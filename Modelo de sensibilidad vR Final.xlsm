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docProps/app.xml" ContentType="application/vnd.openxmlformats-officedocument.extended-properties+xml"/>
  <Override PartName="/docProps/core.xml" ContentType="application/vnd.openxmlformats-package.core-properties+xml"/>
  <Override PartName="/xl/ctrlProps/ctrlProp1.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19.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Types>
</file>

<file path=_rels/.rels><?xml version="1.0" encoding="UTF-8"?>

<Relationships xmlns="http://schemas.openxmlformats.org/package/2006/relationships">
  <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26311" codeName="{8C4F1C90-05EB-6A55-5F09-09C24B55AC0B}"/>
  <workbookPr codeName="ThisWorkbook"/>
  <mc:AlternateContent>
    <mc:Choice Requires="x15">
      <x15ac:absPath xmlns:x15ac="http://schemas.microsoft.com/office/spreadsheetml/2010/11/ac" url="/Users/xavierign/Documents/oil/"/>
    </mc:Choice>
  </mc:AlternateContent>
  <bookViews>
    <workbookView xWindow="120" yWindow="1120" windowWidth="23220" windowHeight="12020" tabRatio="753" activeTab="5"/>
  </bookViews>
  <sheets>
    <sheet name="Input" sheetId="1" r:id="rId1"/>
    <sheet name="Variables" sheetId="10" r:id="rId2"/>
    <sheet name="Rutas" sheetId="11" r:id="rId3"/>
    <sheet name="Puntos de Operacion" sheetId="12" r:id="rId4"/>
    <sheet name="Tareas" sheetId="9" r:id="rId5"/>
    <sheet name="Coordenadas" sheetId="16" r:id="rId6"/>
    <sheet name="Output" sheetId="8" r:id="rId7"/>
    <sheet name="Categorias" sheetId="18" r:id="rId8"/>
    <sheet name="Output Data" r:id="rId13" sheetId="19"/>
  </sheets>
  <definedNames>
    <definedName name="_xlnm._FilterDatabase" localSheetId="5" hidden="1">Coordenadas!$A$1:$B$3594</definedName>
    <definedName name="_xlnm._FilterDatabase" localSheetId="3" hidden="1">'Puntos de Operacion'!$B$1:$J$1718</definedName>
    <definedName name="_xlnm._FilterDatabase" localSheetId="2" hidden="1">Rutas!$B$1:$F$1887</definedName>
    <definedName name="nombres" localSheetId="7">#REF!</definedName>
    <definedName name="nombres" localSheetId="5">#REF!</definedName>
    <definedName name="nombres" localSheetId="4">#REF!</definedName>
    <definedName name="nombres">#REF!</definedName>
    <definedName name="_xlnm.Print_Titles" localSheetId="3">'Puntos de Operacion'!$1:$1</definedName>
    <definedName name="Servicios" localSheetId="7">#REF!</definedName>
    <definedName name="Servicios" localSheetId="5">#REF!</definedName>
    <definedName name="Servicios" localSheetId="4">#REF!</definedName>
    <definedName name="Servicios">#REF!</definedName>
    <definedName name="Servicios2" localSheetId="5">#REF!</definedName>
    <definedName name="Servicios2">#REF!</definedName>
  </definedNames>
  <calcPr calcId="150001" concurrentCalc="0"/>
  <extLst>
    <ext xmlns:mx="http://schemas.microsoft.com/office/mac/excel/2008/main" uri="{7523E5D3-25F3-A5E0-1632-64F254C22452}">
      <mx:ArchID Flags="2"/>
    </ext>
  </extLst>
</workbook>
</file>

<file path=xl/sharedStrings.xml><?xml version="1.0" encoding="utf-8"?>
<sst xmlns="http://schemas.openxmlformats.org/spreadsheetml/2006/main" count="25238" uniqueCount="10140">
  <si>
    <t>Tiempo por turno</t>
  </si>
  <si>
    <t>min</t>
  </si>
  <si>
    <t>Tiempo traslados a zona</t>
  </si>
  <si>
    <t>Tiempo traslados en zona</t>
  </si>
  <si>
    <t>Tiempo en base</t>
  </si>
  <si>
    <t>pers</t>
  </si>
  <si>
    <t>Días promedio mes</t>
  </si>
  <si>
    <t>días</t>
  </si>
  <si>
    <t>Categoría</t>
  </si>
  <si>
    <t>Pozo</t>
  </si>
  <si>
    <t>D</t>
  </si>
  <si>
    <t>A</t>
  </si>
  <si>
    <t>B</t>
  </si>
  <si>
    <t>S1001</t>
  </si>
  <si>
    <t>C</t>
  </si>
  <si>
    <t>A.2</t>
  </si>
  <si>
    <t>En Producción / Petrolífero en producción efectiva secundaria</t>
  </si>
  <si>
    <t>X</t>
  </si>
  <si>
    <t>S1004</t>
  </si>
  <si>
    <t>A.8</t>
  </si>
  <si>
    <t>En Producción / Parado Transitorio</t>
  </si>
  <si>
    <t>S1008</t>
  </si>
  <si>
    <t>S1009</t>
  </si>
  <si>
    <t>E</t>
  </si>
  <si>
    <t>S1024</t>
  </si>
  <si>
    <t>S1033</t>
  </si>
  <si>
    <t>S1034</t>
  </si>
  <si>
    <t>S1035</t>
  </si>
  <si>
    <t>S1041</t>
  </si>
  <si>
    <t>S1201</t>
  </si>
  <si>
    <t>S168</t>
  </si>
  <si>
    <t>S2001</t>
  </si>
  <si>
    <t>A.1</t>
  </si>
  <si>
    <t>En Producción / Petrolífero en producción efectiva primaria</t>
  </si>
  <si>
    <t>S2002</t>
  </si>
  <si>
    <t>S2003</t>
  </si>
  <si>
    <t>S2004</t>
  </si>
  <si>
    <t>S2006</t>
  </si>
  <si>
    <t>S2009</t>
  </si>
  <si>
    <t>S2010</t>
  </si>
  <si>
    <t>S2011</t>
  </si>
  <si>
    <t>S2013</t>
  </si>
  <si>
    <t>S2016</t>
  </si>
  <si>
    <t>S2019</t>
  </si>
  <si>
    <t>S2020</t>
  </si>
  <si>
    <t>S2021</t>
  </si>
  <si>
    <t>S2023</t>
  </si>
  <si>
    <t>S2028</t>
  </si>
  <si>
    <t>S2034</t>
  </si>
  <si>
    <t>S2035</t>
  </si>
  <si>
    <t>S2037</t>
  </si>
  <si>
    <t>S2039</t>
  </si>
  <si>
    <t>S2041</t>
  </si>
  <si>
    <t>S2042</t>
  </si>
  <si>
    <t>S2044</t>
  </si>
  <si>
    <t>S2047</t>
  </si>
  <si>
    <t>S2051</t>
  </si>
  <si>
    <t>S2054</t>
  </si>
  <si>
    <t>S2055</t>
  </si>
  <si>
    <t>S2056</t>
  </si>
  <si>
    <t>S2057</t>
  </si>
  <si>
    <t>S2058</t>
  </si>
  <si>
    <t>S2060</t>
  </si>
  <si>
    <t>S2062</t>
  </si>
  <si>
    <t>S2068</t>
  </si>
  <si>
    <t>S2073</t>
  </si>
  <si>
    <t>S2075</t>
  </si>
  <si>
    <t>S2079</t>
  </si>
  <si>
    <t>S2081</t>
  </si>
  <si>
    <t>S2083</t>
  </si>
  <si>
    <t>S2084</t>
  </si>
  <si>
    <t>S2087</t>
  </si>
  <si>
    <t>S2088</t>
  </si>
  <si>
    <t>S2095</t>
  </si>
  <si>
    <t>S2096</t>
  </si>
  <si>
    <t>S2099</t>
  </si>
  <si>
    <t>S2104</t>
  </si>
  <si>
    <t>S2105</t>
  </si>
  <si>
    <t>S2107</t>
  </si>
  <si>
    <t>S2112</t>
  </si>
  <si>
    <t>S2120</t>
  </si>
  <si>
    <t>S2122</t>
  </si>
  <si>
    <t>S2123</t>
  </si>
  <si>
    <t>S2127</t>
  </si>
  <si>
    <t>S2136</t>
  </si>
  <si>
    <t>S2140</t>
  </si>
  <si>
    <t>S2141</t>
  </si>
  <si>
    <t>S2143</t>
  </si>
  <si>
    <t>S2146</t>
  </si>
  <si>
    <t>S2152</t>
  </si>
  <si>
    <t>S2154</t>
  </si>
  <si>
    <t>S2156</t>
  </si>
  <si>
    <t>S2160</t>
  </si>
  <si>
    <t>S2161</t>
  </si>
  <si>
    <t>S2168</t>
  </si>
  <si>
    <t>S2171</t>
  </si>
  <si>
    <t>S2172</t>
  </si>
  <si>
    <t>S2179</t>
  </si>
  <si>
    <t>S2180</t>
  </si>
  <si>
    <t>S2181</t>
  </si>
  <si>
    <t>S2184</t>
  </si>
  <si>
    <t>S2185</t>
  </si>
  <si>
    <t>S2190</t>
  </si>
  <si>
    <t>S2192</t>
  </si>
  <si>
    <t>S2194</t>
  </si>
  <si>
    <t>S2195</t>
  </si>
  <si>
    <t>S2196</t>
  </si>
  <si>
    <t>S2200</t>
  </si>
  <si>
    <t>S2205</t>
  </si>
  <si>
    <t>S2207</t>
  </si>
  <si>
    <t>S2208</t>
  </si>
  <si>
    <t>S2209</t>
  </si>
  <si>
    <t>S2215</t>
  </si>
  <si>
    <t>S2216</t>
  </si>
  <si>
    <t>S2221</t>
  </si>
  <si>
    <t>S2223</t>
  </si>
  <si>
    <t>S2226</t>
  </si>
  <si>
    <t>S2228</t>
  </si>
  <si>
    <t>S2231</t>
  </si>
  <si>
    <t>S2233</t>
  </si>
  <si>
    <t>S2236</t>
  </si>
  <si>
    <t>S2238</t>
  </si>
  <si>
    <t>S2239</t>
  </si>
  <si>
    <t>S2247</t>
  </si>
  <si>
    <t>S2256</t>
  </si>
  <si>
    <t>S2258</t>
  </si>
  <si>
    <t>S2262</t>
  </si>
  <si>
    <t>S2263</t>
  </si>
  <si>
    <t>S2264</t>
  </si>
  <si>
    <t>S2272</t>
  </si>
  <si>
    <t>S2274</t>
  </si>
  <si>
    <t>S2276</t>
  </si>
  <si>
    <t>S2277</t>
  </si>
  <si>
    <t>S2278</t>
  </si>
  <si>
    <t>S2279</t>
  </si>
  <si>
    <t>S2280</t>
  </si>
  <si>
    <t>S2281</t>
  </si>
  <si>
    <t>S2285</t>
  </si>
  <si>
    <t>S2286</t>
  </si>
  <si>
    <t>S2287</t>
  </si>
  <si>
    <t>S2289</t>
  </si>
  <si>
    <t>S2290</t>
  </si>
  <si>
    <t>S2291</t>
  </si>
  <si>
    <t>S2294</t>
  </si>
  <si>
    <t>S2296</t>
  </si>
  <si>
    <t>S2297</t>
  </si>
  <si>
    <t>S2298</t>
  </si>
  <si>
    <t>S2302</t>
  </si>
  <si>
    <t>S2303</t>
  </si>
  <si>
    <t>S2304</t>
  </si>
  <si>
    <t>S2305</t>
  </si>
  <si>
    <t>S2306</t>
  </si>
  <si>
    <t>S2309</t>
  </si>
  <si>
    <t>S2314</t>
  </si>
  <si>
    <t>S2315</t>
  </si>
  <si>
    <t>S2316</t>
  </si>
  <si>
    <t>S2317</t>
  </si>
  <si>
    <t>S2318</t>
  </si>
  <si>
    <t>S2319</t>
  </si>
  <si>
    <t>S2320</t>
  </si>
  <si>
    <t>S2321</t>
  </si>
  <si>
    <t>S2328</t>
  </si>
  <si>
    <t>S2331</t>
  </si>
  <si>
    <t>S2332</t>
  </si>
  <si>
    <t>S2335</t>
  </si>
  <si>
    <t>S2343</t>
  </si>
  <si>
    <t>S2344</t>
  </si>
  <si>
    <t>S2345</t>
  </si>
  <si>
    <t>S2348</t>
  </si>
  <si>
    <t>S2350</t>
  </si>
  <si>
    <t>S2351</t>
  </si>
  <si>
    <t>S2353</t>
  </si>
  <si>
    <t>S2356</t>
  </si>
  <si>
    <t>S2365</t>
  </si>
  <si>
    <t>S2366</t>
  </si>
  <si>
    <t>S2367</t>
  </si>
  <si>
    <t>S2368</t>
  </si>
  <si>
    <t>S2369</t>
  </si>
  <si>
    <t>S2370</t>
  </si>
  <si>
    <t>S2371</t>
  </si>
  <si>
    <t>S2375</t>
  </si>
  <si>
    <t>S2377</t>
  </si>
  <si>
    <t>S2379</t>
  </si>
  <si>
    <t>S2380</t>
  </si>
  <si>
    <t>S2384</t>
  </si>
  <si>
    <t>S2387</t>
  </si>
  <si>
    <t>S2388</t>
  </si>
  <si>
    <t>S2389</t>
  </si>
  <si>
    <t>S2394</t>
  </si>
  <si>
    <t>S2406</t>
  </si>
  <si>
    <t>S2407</t>
  </si>
  <si>
    <t>S2409</t>
  </si>
  <si>
    <t>S241</t>
  </si>
  <si>
    <t>S2411</t>
  </si>
  <si>
    <t>S2414</t>
  </si>
  <si>
    <t>S2416</t>
  </si>
  <si>
    <t>S2417</t>
  </si>
  <si>
    <t>S2418</t>
  </si>
  <si>
    <t>S2422</t>
  </si>
  <si>
    <t>S2425</t>
  </si>
  <si>
    <t>S2426</t>
  </si>
  <si>
    <t>S2429</t>
  </si>
  <si>
    <t>S2431</t>
  </si>
  <si>
    <t>S2432</t>
  </si>
  <si>
    <t>S2433</t>
  </si>
  <si>
    <t>S2435</t>
  </si>
  <si>
    <t>S2436</t>
  </si>
  <si>
    <t>S2437</t>
  </si>
  <si>
    <t>S2438</t>
  </si>
  <si>
    <t>S2439</t>
  </si>
  <si>
    <t>S2441</t>
  </si>
  <si>
    <t>S2442</t>
  </si>
  <si>
    <t>S2445</t>
  </si>
  <si>
    <t>S2446</t>
  </si>
  <si>
    <t>S2447</t>
  </si>
  <si>
    <t>S2448</t>
  </si>
  <si>
    <t>S2449</t>
  </si>
  <si>
    <t>S2451</t>
  </si>
  <si>
    <t>S2456</t>
  </si>
  <si>
    <t>S2457</t>
  </si>
  <si>
    <t>S2460</t>
  </si>
  <si>
    <t>S2461</t>
  </si>
  <si>
    <t>S2462</t>
  </si>
  <si>
    <t>S2463</t>
  </si>
  <si>
    <t>S2465</t>
  </si>
  <si>
    <t>S2466</t>
  </si>
  <si>
    <t>S2467</t>
  </si>
  <si>
    <t>S2470</t>
  </si>
  <si>
    <t>S2476</t>
  </si>
  <si>
    <t>S2477</t>
  </si>
  <si>
    <t>S2478</t>
  </si>
  <si>
    <t>S2481b</t>
  </si>
  <si>
    <t>S2484</t>
  </si>
  <si>
    <t>S2485</t>
  </si>
  <si>
    <t>S2486</t>
  </si>
  <si>
    <t>S2487</t>
  </si>
  <si>
    <t>S2490</t>
  </si>
  <si>
    <t>S2493</t>
  </si>
  <si>
    <t>S2494</t>
  </si>
  <si>
    <t>S2495</t>
  </si>
  <si>
    <t>S2496</t>
  </si>
  <si>
    <t>S2497</t>
  </si>
  <si>
    <t>S2499</t>
  </si>
  <si>
    <t>S2500</t>
  </si>
  <si>
    <t>S2501</t>
  </si>
  <si>
    <t>S2505</t>
  </si>
  <si>
    <t>S2506</t>
  </si>
  <si>
    <t>S2507</t>
  </si>
  <si>
    <t>S2510</t>
  </si>
  <si>
    <t>S2511</t>
  </si>
  <si>
    <t>S2515</t>
  </si>
  <si>
    <t>S2517</t>
  </si>
  <si>
    <t>S2518</t>
  </si>
  <si>
    <t>S2520</t>
  </si>
  <si>
    <t>S2521</t>
  </si>
  <si>
    <t>S2522</t>
  </si>
  <si>
    <t>S2524</t>
  </si>
  <si>
    <t>S2525</t>
  </si>
  <si>
    <t>S2527</t>
  </si>
  <si>
    <t>S2528</t>
  </si>
  <si>
    <t>S2529</t>
  </si>
  <si>
    <t>S2530</t>
  </si>
  <si>
    <t>S2540</t>
  </si>
  <si>
    <t>S2544</t>
  </si>
  <si>
    <t>S2545</t>
  </si>
  <si>
    <t>S2550</t>
  </si>
  <si>
    <t>S2551</t>
  </si>
  <si>
    <t>S2556</t>
  </si>
  <si>
    <t>S2559</t>
  </si>
  <si>
    <t>S2560</t>
  </si>
  <si>
    <t>S2564</t>
  </si>
  <si>
    <t>S2565</t>
  </si>
  <si>
    <t>S2568</t>
  </si>
  <si>
    <t>S2571</t>
  </si>
  <si>
    <t>S2572</t>
  </si>
  <si>
    <t>S2573</t>
  </si>
  <si>
    <t>S2576</t>
  </si>
  <si>
    <t>S2578</t>
  </si>
  <si>
    <t>S2581</t>
  </si>
  <si>
    <t>S2582</t>
  </si>
  <si>
    <t>S2587</t>
  </si>
  <si>
    <t>S2593</t>
  </si>
  <si>
    <t>S2594</t>
  </si>
  <si>
    <t>S2595</t>
  </si>
  <si>
    <t>S2597</t>
  </si>
  <si>
    <t>S2601</t>
  </si>
  <si>
    <t>S2604</t>
  </si>
  <si>
    <t>S2611</t>
  </si>
  <si>
    <t>S2614</t>
  </si>
  <si>
    <t>S2620</t>
  </si>
  <si>
    <t>S2623</t>
  </si>
  <si>
    <t>S2624</t>
  </si>
  <si>
    <t>S2627</t>
  </si>
  <si>
    <t>S2628</t>
  </si>
  <si>
    <t>S2629</t>
  </si>
  <si>
    <t>S2630</t>
  </si>
  <si>
    <t>S2632</t>
  </si>
  <si>
    <t>S2635</t>
  </si>
  <si>
    <t>S2637</t>
  </si>
  <si>
    <t>S2639</t>
  </si>
  <si>
    <t>S2640</t>
  </si>
  <si>
    <t>S2642</t>
  </si>
  <si>
    <t>S2643</t>
  </si>
  <si>
    <t>S2644</t>
  </si>
  <si>
    <t>S2645</t>
  </si>
  <si>
    <t>S2646</t>
  </si>
  <si>
    <t>S2648</t>
  </si>
  <si>
    <t>S2649</t>
  </si>
  <si>
    <t>S2650</t>
  </si>
  <si>
    <t>S2651</t>
  </si>
  <si>
    <t>S2652</t>
  </si>
  <si>
    <t>S2654</t>
  </si>
  <si>
    <t>S2655</t>
  </si>
  <si>
    <t>S2656</t>
  </si>
  <si>
    <t>S2657</t>
  </si>
  <si>
    <t>S2658</t>
  </si>
  <si>
    <t>S2659</t>
  </si>
  <si>
    <t>S2660</t>
  </si>
  <si>
    <t>S2662</t>
  </si>
  <si>
    <t>S2663</t>
  </si>
  <si>
    <t>S2666</t>
  </si>
  <si>
    <t>S2667</t>
  </si>
  <si>
    <t>S2668</t>
  </si>
  <si>
    <t>S2669</t>
  </si>
  <si>
    <t>S2671</t>
  </si>
  <si>
    <t>S2672</t>
  </si>
  <si>
    <t>S2673</t>
  </si>
  <si>
    <t>S2674</t>
  </si>
  <si>
    <t>S2676</t>
  </si>
  <si>
    <t>S2677</t>
  </si>
  <si>
    <t>S2678</t>
  </si>
  <si>
    <t>S2679</t>
  </si>
  <si>
    <t>S2680</t>
  </si>
  <si>
    <t>S2681</t>
  </si>
  <si>
    <t>S2684</t>
  </si>
  <si>
    <t>S2685</t>
  </si>
  <si>
    <t>S2686</t>
  </si>
  <si>
    <t>S2687</t>
  </si>
  <si>
    <t>S2688</t>
  </si>
  <si>
    <t>S2689</t>
  </si>
  <si>
    <t>S2690</t>
  </si>
  <si>
    <t>S2692</t>
  </si>
  <si>
    <t>S2693</t>
  </si>
  <si>
    <t>S2694</t>
  </si>
  <si>
    <t>S2695</t>
  </si>
  <si>
    <t>S2696</t>
  </si>
  <si>
    <t>S2697</t>
  </si>
  <si>
    <t>S2698</t>
  </si>
  <si>
    <t>S2699</t>
  </si>
  <si>
    <t>S2702</t>
  </si>
  <si>
    <t>S2703</t>
  </si>
  <si>
    <t>S2704</t>
  </si>
  <si>
    <t>S2705</t>
  </si>
  <si>
    <t>S2706</t>
  </si>
  <si>
    <t>S2707</t>
  </si>
  <si>
    <t>S2709</t>
  </si>
  <si>
    <t>S2710</t>
  </si>
  <si>
    <t>S2712</t>
  </si>
  <si>
    <t>S2713</t>
  </si>
  <si>
    <t>S287</t>
  </si>
  <si>
    <t>S288</t>
  </si>
  <si>
    <t>S315</t>
  </si>
  <si>
    <t>S337</t>
  </si>
  <si>
    <t>S353</t>
  </si>
  <si>
    <t>S41</t>
  </si>
  <si>
    <t>S419</t>
  </si>
  <si>
    <t>S424</t>
  </si>
  <si>
    <t>S44</t>
  </si>
  <si>
    <t>S444</t>
  </si>
  <si>
    <t>S450</t>
  </si>
  <si>
    <t>S452</t>
  </si>
  <si>
    <t>S498</t>
  </si>
  <si>
    <t>S504</t>
  </si>
  <si>
    <t>S510</t>
  </si>
  <si>
    <t>S511</t>
  </si>
  <si>
    <t>S513</t>
  </si>
  <si>
    <t>S531</t>
  </si>
  <si>
    <t>S581</t>
  </si>
  <si>
    <t>S616</t>
  </si>
  <si>
    <t>S618</t>
  </si>
  <si>
    <t>S624</t>
  </si>
  <si>
    <t>S632</t>
  </si>
  <si>
    <t>S634</t>
  </si>
  <si>
    <t>S636</t>
  </si>
  <si>
    <t>S639</t>
  </si>
  <si>
    <t>S640</t>
  </si>
  <si>
    <t>S668</t>
  </si>
  <si>
    <t>S676</t>
  </si>
  <si>
    <t>S677</t>
  </si>
  <si>
    <t>S679</t>
  </si>
  <si>
    <t>S700</t>
  </si>
  <si>
    <t>S706</t>
  </si>
  <si>
    <t>S707</t>
  </si>
  <si>
    <t>S714</t>
  </si>
  <si>
    <t>S715</t>
  </si>
  <si>
    <t>S736</t>
  </si>
  <si>
    <t>S738</t>
  </si>
  <si>
    <t>S740</t>
  </si>
  <si>
    <t>S744</t>
  </si>
  <si>
    <t>S745</t>
  </si>
  <si>
    <t>S746</t>
  </si>
  <si>
    <t>S747</t>
  </si>
  <si>
    <t>S754</t>
  </si>
  <si>
    <t>S755</t>
  </si>
  <si>
    <t>S758</t>
  </si>
  <si>
    <t>S761</t>
  </si>
  <si>
    <t>S762</t>
  </si>
  <si>
    <t>S778</t>
  </si>
  <si>
    <t>S779</t>
  </si>
  <si>
    <t>S783</t>
  </si>
  <si>
    <t>S784</t>
  </si>
  <si>
    <t>S787</t>
  </si>
  <si>
    <t>S790</t>
  </si>
  <si>
    <t>S795</t>
  </si>
  <si>
    <t>S801</t>
  </si>
  <si>
    <t>S803</t>
  </si>
  <si>
    <t>S806</t>
  </si>
  <si>
    <t>S809</t>
  </si>
  <si>
    <t>S811</t>
  </si>
  <si>
    <t>S813</t>
  </si>
  <si>
    <t>S818</t>
  </si>
  <si>
    <t>S820</t>
  </si>
  <si>
    <t>S821</t>
  </si>
  <si>
    <t>S822</t>
  </si>
  <si>
    <t>S824</t>
  </si>
  <si>
    <t>S825</t>
  </si>
  <si>
    <t>S827</t>
  </si>
  <si>
    <t>S830</t>
  </si>
  <si>
    <t>S832</t>
  </si>
  <si>
    <t>S835</t>
  </si>
  <si>
    <t>S839</t>
  </si>
  <si>
    <t>S841</t>
  </si>
  <si>
    <t>S844</t>
  </si>
  <si>
    <t>S845</t>
  </si>
  <si>
    <t>S846</t>
  </si>
  <si>
    <t>S847</t>
  </si>
  <si>
    <t>S849</t>
  </si>
  <si>
    <t>S851</t>
  </si>
  <si>
    <t>S855</t>
  </si>
  <si>
    <t>S856</t>
  </si>
  <si>
    <t>S857</t>
  </si>
  <si>
    <t>S858</t>
  </si>
  <si>
    <t>S859</t>
  </si>
  <si>
    <t>S860</t>
  </si>
  <si>
    <t>S863</t>
  </si>
  <si>
    <t>S865</t>
  </si>
  <si>
    <t>S868</t>
  </si>
  <si>
    <t>S871</t>
  </si>
  <si>
    <t>S872</t>
  </si>
  <si>
    <t>S881</t>
  </si>
  <si>
    <t>S885</t>
  </si>
  <si>
    <t>S886</t>
  </si>
  <si>
    <t>S888</t>
  </si>
  <si>
    <t>S892</t>
  </si>
  <si>
    <t>S893</t>
  </si>
  <si>
    <t>S894</t>
  </si>
  <si>
    <t>S900</t>
  </si>
  <si>
    <t>S903</t>
  </si>
  <si>
    <t>S904</t>
  </si>
  <si>
    <t>S905</t>
  </si>
  <si>
    <t>S906</t>
  </si>
  <si>
    <t>S908</t>
  </si>
  <si>
    <t>S909</t>
  </si>
  <si>
    <t>S913</t>
  </si>
  <si>
    <t>S915</t>
  </si>
  <si>
    <t>S916</t>
  </si>
  <si>
    <t>S919</t>
  </si>
  <si>
    <t>S920</t>
  </si>
  <si>
    <t>S921</t>
  </si>
  <si>
    <t>S924</t>
  </si>
  <si>
    <t>S925</t>
  </si>
  <si>
    <t>S929</t>
  </si>
  <si>
    <t>S930</t>
  </si>
  <si>
    <t>S931</t>
  </si>
  <si>
    <t>S933</t>
  </si>
  <si>
    <t>S935</t>
  </si>
  <si>
    <t>S937</t>
  </si>
  <si>
    <t>S938</t>
  </si>
  <si>
    <t>S940</t>
  </si>
  <si>
    <t>S942</t>
  </si>
  <si>
    <t>S944</t>
  </si>
  <si>
    <t>S945</t>
  </si>
  <si>
    <t>S946</t>
  </si>
  <si>
    <t>S948</t>
  </si>
  <si>
    <t>S949</t>
  </si>
  <si>
    <t>S950</t>
  </si>
  <si>
    <t>S953</t>
  </si>
  <si>
    <t>S961</t>
  </si>
  <si>
    <t>S963</t>
  </si>
  <si>
    <t>S964</t>
  </si>
  <si>
    <t>S965</t>
  </si>
  <si>
    <t>S966</t>
  </si>
  <si>
    <t>S967</t>
  </si>
  <si>
    <t>S968</t>
  </si>
  <si>
    <t>S969</t>
  </si>
  <si>
    <t>S973</t>
  </si>
  <si>
    <t>S976</t>
  </si>
  <si>
    <t>S977</t>
  </si>
  <si>
    <t>S981</t>
  </si>
  <si>
    <t>S989</t>
  </si>
  <si>
    <t>S993</t>
  </si>
  <si>
    <t>S995</t>
  </si>
  <si>
    <t>S998</t>
  </si>
  <si>
    <t>S999</t>
  </si>
  <si>
    <t>minutos</t>
  </si>
  <si>
    <t>Pozos Activos</t>
  </si>
  <si>
    <t>Permiso Gremial</t>
  </si>
  <si>
    <t>Sitios sin registro</t>
  </si>
  <si>
    <t>Almacén/ Planta</t>
  </si>
  <si>
    <t>Tiempo de tarea</t>
  </si>
  <si>
    <t>(en minutos)</t>
  </si>
  <si>
    <t>Total de Cuadrillas</t>
  </si>
  <si>
    <t>(cantidad)</t>
  </si>
  <si>
    <t>C,D,E</t>
  </si>
  <si>
    <t>Demanda mensual de visitas a pozos</t>
  </si>
  <si>
    <t xml:space="preserve">Tiempo Disponible </t>
  </si>
  <si>
    <t>Ausente Injustificado</t>
  </si>
  <si>
    <t>Ausente por Vacaciones</t>
  </si>
  <si>
    <t>Franco Compensatorio</t>
  </si>
  <si>
    <t>Ausente Justificado</t>
  </si>
  <si>
    <t xml:space="preserve">                     Ausencias</t>
  </si>
  <si>
    <t>(Km/Hora)</t>
  </si>
  <si>
    <t>veces/ mes</t>
  </si>
  <si>
    <t>Total ausencias</t>
  </si>
  <si>
    <t>Frecuencia de visita por mes por categoría de pozo</t>
  </si>
  <si>
    <t>Velocidad traslado</t>
  </si>
  <si>
    <t>Activo</t>
  </si>
  <si>
    <t>No</t>
  </si>
  <si>
    <t>Fuera</t>
  </si>
  <si>
    <t>En estudio</t>
  </si>
  <si>
    <t>Q21</t>
  </si>
  <si>
    <t>I.2</t>
  </si>
  <si>
    <t>Abandonado / Por improductivo</t>
  </si>
  <si>
    <t>Q22</t>
  </si>
  <si>
    <t>S1000</t>
  </si>
  <si>
    <t>S</t>
  </si>
  <si>
    <t>Parado por alta RAP</t>
  </si>
  <si>
    <t>S1002</t>
  </si>
  <si>
    <t>S1003</t>
  </si>
  <si>
    <t>S1007</t>
  </si>
  <si>
    <t>S1010</t>
  </si>
  <si>
    <t>S1011</t>
  </si>
  <si>
    <t>S1014</t>
  </si>
  <si>
    <t>En espera de reparación</t>
  </si>
  <si>
    <t>S1015</t>
  </si>
  <si>
    <t>I.1</t>
  </si>
  <si>
    <t>Abandonado / Por razones técnicas</t>
  </si>
  <si>
    <t>S1016</t>
  </si>
  <si>
    <t>S1017</t>
  </si>
  <si>
    <t>S1019</t>
  </si>
  <si>
    <t>S1020</t>
  </si>
  <si>
    <t>S1022</t>
  </si>
  <si>
    <t>S1023</t>
  </si>
  <si>
    <t>S1025</t>
  </si>
  <si>
    <t>S1028</t>
  </si>
  <si>
    <t>S1029</t>
  </si>
  <si>
    <t>S1040</t>
  </si>
  <si>
    <t>S117</t>
  </si>
  <si>
    <t>S1203</t>
  </si>
  <si>
    <t>S127</t>
  </si>
  <si>
    <t>S134</t>
  </si>
  <si>
    <t>C.6</t>
  </si>
  <si>
    <t>Parado Transitoriamente / Pozo petrolífero</t>
  </si>
  <si>
    <t>S149</t>
  </si>
  <si>
    <t>S158</t>
  </si>
  <si>
    <t>S163</t>
  </si>
  <si>
    <t>S167</t>
  </si>
  <si>
    <t>S17</t>
  </si>
  <si>
    <t>O</t>
  </si>
  <si>
    <t>Abandono Temporario</t>
  </si>
  <si>
    <t>S2007</t>
  </si>
  <si>
    <t>S2008</t>
  </si>
  <si>
    <t>S2012</t>
  </si>
  <si>
    <t>S2015</t>
  </si>
  <si>
    <t>S2018</t>
  </si>
  <si>
    <t>S202</t>
  </si>
  <si>
    <t>S2022</t>
  </si>
  <si>
    <t>S2024</t>
  </si>
  <si>
    <t>S2025</t>
  </si>
  <si>
    <t>S2029</t>
  </si>
  <si>
    <t>S203</t>
  </si>
  <si>
    <t>S2030</t>
  </si>
  <si>
    <t>S2031</t>
  </si>
  <si>
    <t>S2033</t>
  </si>
  <si>
    <t>S2036</t>
  </si>
  <si>
    <t>S2038</t>
  </si>
  <si>
    <t>S2040</t>
  </si>
  <si>
    <t>S2043</t>
  </si>
  <si>
    <t>S2045</t>
  </si>
  <si>
    <t>F</t>
  </si>
  <si>
    <t>En reparación</t>
  </si>
  <si>
    <t>S2048</t>
  </si>
  <si>
    <t>S2049</t>
  </si>
  <si>
    <t>S205</t>
  </si>
  <si>
    <t>S2050</t>
  </si>
  <si>
    <t>S2059</t>
  </si>
  <si>
    <t>S2067</t>
  </si>
  <si>
    <t>S2070</t>
  </si>
  <si>
    <t>S2072</t>
  </si>
  <si>
    <t>S2074</t>
  </si>
  <si>
    <t>S2076</t>
  </si>
  <si>
    <t>S2077</t>
  </si>
  <si>
    <t>B.1.1.2</t>
  </si>
  <si>
    <t>En Inyección / Inyector de Agua / Recuperación Secundaria / Inyector Selectivo</t>
  </si>
  <si>
    <t>S2078</t>
  </si>
  <si>
    <t>S2080</t>
  </si>
  <si>
    <t>S2085</t>
  </si>
  <si>
    <t>S2086</t>
  </si>
  <si>
    <t>S2089</t>
  </si>
  <si>
    <t>S209</t>
  </si>
  <si>
    <t>S2091</t>
  </si>
  <si>
    <t>S2092</t>
  </si>
  <si>
    <t>S2093</t>
  </si>
  <si>
    <t>S2094</t>
  </si>
  <si>
    <t>S2098</t>
  </si>
  <si>
    <t>S210</t>
  </si>
  <si>
    <t>S2101</t>
  </si>
  <si>
    <t>S2102</t>
  </si>
  <si>
    <t>S2103</t>
  </si>
  <si>
    <t>S2106</t>
  </si>
  <si>
    <t>S2108</t>
  </si>
  <si>
    <t>G</t>
  </si>
  <si>
    <t>Reserva recuperación secundaria y/o asistida</t>
  </si>
  <si>
    <t>S2109</t>
  </si>
  <si>
    <t>S2111</t>
  </si>
  <si>
    <t>S2113</t>
  </si>
  <si>
    <t>S2115</t>
  </si>
  <si>
    <t>S2117</t>
  </si>
  <si>
    <t>S2118</t>
  </si>
  <si>
    <t>S2119</t>
  </si>
  <si>
    <t>S2125</t>
  </si>
  <si>
    <t>S2132</t>
  </si>
  <si>
    <t>S2133</t>
  </si>
  <si>
    <t>S2134</t>
  </si>
  <si>
    <t>S2135</t>
  </si>
  <si>
    <t>S2138</t>
  </si>
  <si>
    <t>S2139</t>
  </si>
  <si>
    <t>S214</t>
  </si>
  <si>
    <t>S2142</t>
  </si>
  <si>
    <t>S2144</t>
  </si>
  <si>
    <t>S2150</t>
  </si>
  <si>
    <t>S2151</t>
  </si>
  <si>
    <t>S2153</t>
  </si>
  <si>
    <t>S2157</t>
  </si>
  <si>
    <t>S2158</t>
  </si>
  <si>
    <t>S2159</t>
  </si>
  <si>
    <t>S216</t>
  </si>
  <si>
    <t>S2162</t>
  </si>
  <si>
    <t>S2167</t>
  </si>
  <si>
    <t>S2169</t>
  </si>
  <si>
    <t>S2170</t>
  </si>
  <si>
    <t>S2170b</t>
  </si>
  <si>
    <t>S2174</t>
  </si>
  <si>
    <t>S2175</t>
  </si>
  <si>
    <t>S2176</t>
  </si>
  <si>
    <t>S2177</t>
  </si>
  <si>
    <t>S2183</t>
  </si>
  <si>
    <t>S2186</t>
  </si>
  <si>
    <t>S2188</t>
  </si>
  <si>
    <t>S2197</t>
  </si>
  <si>
    <t>S2198</t>
  </si>
  <si>
    <t>S2202</t>
  </si>
  <si>
    <t>S2203</t>
  </si>
  <si>
    <t>S2204</t>
  </si>
  <si>
    <t>S2206</t>
  </si>
  <si>
    <t>S2210</t>
  </si>
  <si>
    <t>S2211</t>
  </si>
  <si>
    <t>S2212</t>
  </si>
  <si>
    <t>S2213</t>
  </si>
  <si>
    <t>S2214</t>
  </si>
  <si>
    <t>S2220</t>
  </si>
  <si>
    <t>S2222</t>
  </si>
  <si>
    <t>S2224</t>
  </si>
  <si>
    <t>S2225</t>
  </si>
  <si>
    <t>S2227</t>
  </si>
  <si>
    <t>S2229</t>
  </si>
  <si>
    <t>S2230</t>
  </si>
  <si>
    <t>S2232</t>
  </si>
  <si>
    <t>S2234</t>
  </si>
  <si>
    <t>S2237</t>
  </si>
  <si>
    <t>S224</t>
  </si>
  <si>
    <t>S2241</t>
  </si>
  <si>
    <t>S2242</t>
  </si>
  <si>
    <t>S2243</t>
  </si>
  <si>
    <t>S2244</t>
  </si>
  <si>
    <t>S2245</t>
  </si>
  <si>
    <t>S2246</t>
  </si>
  <si>
    <t>S2248</t>
  </si>
  <si>
    <t>S2249</t>
  </si>
  <si>
    <t>S2250</t>
  </si>
  <si>
    <t>S2252</t>
  </si>
  <si>
    <t>S2253</t>
  </si>
  <si>
    <t>S2254</t>
  </si>
  <si>
    <t>S2255</t>
  </si>
  <si>
    <t>S2257</t>
  </si>
  <si>
    <t>S2259</t>
  </si>
  <si>
    <t>S2260</t>
  </si>
  <si>
    <t>K</t>
  </si>
  <si>
    <t>Reserva de gas</t>
  </si>
  <si>
    <t>S2261</t>
  </si>
  <si>
    <t>S2265</t>
  </si>
  <si>
    <t>S2266</t>
  </si>
  <si>
    <t>S2267</t>
  </si>
  <si>
    <t>S2268</t>
  </si>
  <si>
    <t>S2269</t>
  </si>
  <si>
    <t>S2270</t>
  </si>
  <si>
    <t>S2271</t>
  </si>
  <si>
    <t>S2273</t>
  </si>
  <si>
    <t>S2275</t>
  </si>
  <si>
    <t>S2282</t>
  </si>
  <si>
    <t>S2284</t>
  </si>
  <si>
    <t>S2288</t>
  </si>
  <si>
    <t>S229</t>
  </si>
  <si>
    <t>S2292</t>
  </si>
  <si>
    <t>S2293</t>
  </si>
  <si>
    <t>S2295</t>
  </si>
  <si>
    <t>S2299</t>
  </si>
  <si>
    <t>S2301</t>
  </si>
  <si>
    <t>S2307</t>
  </si>
  <si>
    <t>S2308</t>
  </si>
  <si>
    <t>S2310</t>
  </si>
  <si>
    <t>S2312</t>
  </si>
  <si>
    <t>S2313</t>
  </si>
  <si>
    <t>S232</t>
  </si>
  <si>
    <t>S2322</t>
  </si>
  <si>
    <t>S2323</t>
  </si>
  <si>
    <t>S2324</t>
  </si>
  <si>
    <t>S2326</t>
  </si>
  <si>
    <t>S2327</t>
  </si>
  <si>
    <t>S2330</t>
  </si>
  <si>
    <t>S2337</t>
  </si>
  <si>
    <t>S234</t>
  </si>
  <si>
    <t>S2340</t>
  </si>
  <si>
    <t>S2341</t>
  </si>
  <si>
    <t>S2342</t>
  </si>
  <si>
    <t>S2346</t>
  </si>
  <si>
    <t>S2347</t>
  </si>
  <si>
    <t>S2349</t>
  </si>
  <si>
    <t>S235</t>
  </si>
  <si>
    <t>S2352</t>
  </si>
  <si>
    <t>S2354</t>
  </si>
  <si>
    <t>S2355</t>
  </si>
  <si>
    <t>S2357</t>
  </si>
  <si>
    <t>S2358</t>
  </si>
  <si>
    <t>S2359</t>
  </si>
  <si>
    <t>S2360</t>
  </si>
  <si>
    <t>S2361</t>
  </si>
  <si>
    <t>S2362</t>
  </si>
  <si>
    <t>S2363</t>
  </si>
  <si>
    <t>S2373</t>
  </si>
  <si>
    <t>S2374</t>
  </si>
  <si>
    <t>S2376</t>
  </si>
  <si>
    <t>S2378</t>
  </si>
  <si>
    <t>S238</t>
  </si>
  <si>
    <t>S2383</t>
  </si>
  <si>
    <t>S2385</t>
  </si>
  <si>
    <t>S2386</t>
  </si>
  <si>
    <t>S2390</t>
  </si>
  <si>
    <t>S2391</t>
  </si>
  <si>
    <t>S2398</t>
  </si>
  <si>
    <t>S2404</t>
  </si>
  <si>
    <t>S2405</t>
  </si>
  <si>
    <t>S2408</t>
  </si>
  <si>
    <t>S2410</t>
  </si>
  <si>
    <t>S2412</t>
  </si>
  <si>
    <t>S2413</t>
  </si>
  <si>
    <t>S2415</t>
  </si>
  <si>
    <t>S2420</t>
  </si>
  <si>
    <t>S2423</t>
  </si>
  <si>
    <t>S2424</t>
  </si>
  <si>
    <t>S2427</t>
  </si>
  <si>
    <t>S2428</t>
  </si>
  <si>
    <t>S243</t>
  </si>
  <si>
    <t>S244</t>
  </si>
  <si>
    <t>S2440</t>
  </si>
  <si>
    <t>S2443</t>
  </si>
  <si>
    <t>S2444</t>
  </si>
  <si>
    <t>S2452</t>
  </si>
  <si>
    <t>S2453</t>
  </si>
  <si>
    <t>S2454</t>
  </si>
  <si>
    <t>S2455</t>
  </si>
  <si>
    <t>S2464</t>
  </si>
  <si>
    <t>S2468</t>
  </si>
  <si>
    <t>S2469</t>
  </si>
  <si>
    <t>S247</t>
  </si>
  <si>
    <t>S2471</t>
  </si>
  <si>
    <t>S2472</t>
  </si>
  <si>
    <t>S2473</t>
  </si>
  <si>
    <t>S2474</t>
  </si>
  <si>
    <t>S2475</t>
  </si>
  <si>
    <t>S2479</t>
  </si>
  <si>
    <t>S248</t>
  </si>
  <si>
    <t>S2482</t>
  </si>
  <si>
    <t>S2483</t>
  </si>
  <si>
    <t>S2489</t>
  </si>
  <si>
    <t>S249</t>
  </si>
  <si>
    <t>S2491</t>
  </si>
  <si>
    <t>S2492</t>
  </si>
  <si>
    <t>S2498</t>
  </si>
  <si>
    <t>S250</t>
  </si>
  <si>
    <t>B.1.2</t>
  </si>
  <si>
    <t>En Inyección / Inyector de Agua / Sumideros</t>
  </si>
  <si>
    <t>S2502</t>
  </si>
  <si>
    <t>S2503</t>
  </si>
  <si>
    <t>S2508</t>
  </si>
  <si>
    <t>S2509</t>
  </si>
  <si>
    <t>S2512</t>
  </si>
  <si>
    <t>S2513</t>
  </si>
  <si>
    <t>S2514</t>
  </si>
  <si>
    <t>S2519</t>
  </si>
  <si>
    <t>S2523</t>
  </si>
  <si>
    <t>S2526</t>
  </si>
  <si>
    <t>S2531</t>
  </si>
  <si>
    <t>S2532</t>
  </si>
  <si>
    <t>S2533</t>
  </si>
  <si>
    <t>S2535</t>
  </si>
  <si>
    <t>S2536</t>
  </si>
  <si>
    <t>S2537</t>
  </si>
  <si>
    <t>S2538</t>
  </si>
  <si>
    <t>S2543</t>
  </si>
  <si>
    <t>S2547</t>
  </si>
  <si>
    <t>S2548</t>
  </si>
  <si>
    <t>S2549</t>
  </si>
  <si>
    <t>S2553</t>
  </si>
  <si>
    <t>S2554</t>
  </si>
  <si>
    <t>S2555</t>
  </si>
  <si>
    <t>S2557</t>
  </si>
  <si>
    <t>S2558</t>
  </si>
  <si>
    <t>S2562</t>
  </si>
  <si>
    <t>S2563</t>
  </si>
  <si>
    <t>S2566</t>
  </si>
  <si>
    <t>S2567</t>
  </si>
  <si>
    <t>S2569</t>
  </si>
  <si>
    <t>S2570</t>
  </si>
  <si>
    <t>S2574</t>
  </si>
  <si>
    <t>S2577</t>
  </si>
  <si>
    <t>S2579</t>
  </si>
  <si>
    <t>S258</t>
  </si>
  <si>
    <t>S2580</t>
  </si>
  <si>
    <t>S2583</t>
  </si>
  <si>
    <t>S2585</t>
  </si>
  <si>
    <t>S2586</t>
  </si>
  <si>
    <t>S2588</t>
  </si>
  <si>
    <t>S2591</t>
  </si>
  <si>
    <t>S2592</t>
  </si>
  <si>
    <t>S2596</t>
  </si>
  <si>
    <t>S2598</t>
  </si>
  <si>
    <t>S2599</t>
  </si>
  <si>
    <t>S2606</t>
  </si>
  <si>
    <t>S2607</t>
  </si>
  <si>
    <t>S2613</t>
  </si>
  <si>
    <t>S2616</t>
  </si>
  <si>
    <t>S2618</t>
  </si>
  <si>
    <t>S2621</t>
  </si>
  <si>
    <t>S2622</t>
  </si>
  <si>
    <t>S2625</t>
  </si>
  <si>
    <t>S2633</t>
  </si>
  <si>
    <t>S2634</t>
  </si>
  <si>
    <t>S264</t>
  </si>
  <si>
    <t>S2647</t>
  </si>
  <si>
    <t>S2661</t>
  </si>
  <si>
    <t>C.3</t>
  </si>
  <si>
    <t>Parado Transitoriamente / Pozo inyector de agua</t>
  </si>
  <si>
    <t>S2665</t>
  </si>
  <si>
    <t>S2675</t>
  </si>
  <si>
    <t>S2683</t>
  </si>
  <si>
    <t>S2691</t>
  </si>
  <si>
    <t>S271</t>
  </si>
  <si>
    <t>S272</t>
  </si>
  <si>
    <t>S273</t>
  </si>
  <si>
    <t>S282</t>
  </si>
  <si>
    <t>S284</t>
  </si>
  <si>
    <t>S285</t>
  </si>
  <si>
    <t>S29</t>
  </si>
  <si>
    <t>S293</t>
  </si>
  <si>
    <t>S294</t>
  </si>
  <si>
    <t>S299</t>
  </si>
  <si>
    <t>S3</t>
  </si>
  <si>
    <t>S300</t>
  </si>
  <si>
    <t>S303</t>
  </si>
  <si>
    <t>S309</t>
  </si>
  <si>
    <t>S311</t>
  </si>
  <si>
    <t>S312</t>
  </si>
  <si>
    <t>S314</t>
  </si>
  <si>
    <t>S318</t>
  </si>
  <si>
    <t>S326</t>
  </si>
  <si>
    <t>S328</t>
  </si>
  <si>
    <t>S331</t>
  </si>
  <si>
    <t>S343</t>
  </si>
  <si>
    <t>S352</t>
  </si>
  <si>
    <t>S354</t>
  </si>
  <si>
    <t>S36</t>
  </si>
  <si>
    <t>S365</t>
  </si>
  <si>
    <t>S370</t>
  </si>
  <si>
    <t>S372</t>
  </si>
  <si>
    <t>S38</t>
  </si>
  <si>
    <t>S380</t>
  </si>
  <si>
    <t>S383</t>
  </si>
  <si>
    <t>S384</t>
  </si>
  <si>
    <t>S388</t>
  </si>
  <si>
    <t>S389</t>
  </si>
  <si>
    <t>S39</t>
  </si>
  <si>
    <t>S393</t>
  </si>
  <si>
    <t>S394</t>
  </si>
  <si>
    <t>S40</t>
  </si>
  <si>
    <t>S400</t>
  </si>
  <si>
    <t>S404</t>
  </si>
  <si>
    <t>S407</t>
  </si>
  <si>
    <t>S415</t>
  </si>
  <si>
    <t>S418</t>
  </si>
  <si>
    <t>S421</t>
  </si>
  <si>
    <t>S425</t>
  </si>
  <si>
    <t>S427</t>
  </si>
  <si>
    <t>S429</t>
  </si>
  <si>
    <t>S43</t>
  </si>
  <si>
    <t>S433</t>
  </si>
  <si>
    <t>S436</t>
  </si>
  <si>
    <t>S438</t>
  </si>
  <si>
    <t>S439</t>
  </si>
  <si>
    <t>S451</t>
  </si>
  <si>
    <t>S453</t>
  </si>
  <si>
    <t>S463</t>
  </si>
  <si>
    <t>S464</t>
  </si>
  <si>
    <t>S466</t>
  </si>
  <si>
    <t>S467</t>
  </si>
  <si>
    <t>S47</t>
  </si>
  <si>
    <t>S489</t>
  </si>
  <si>
    <t>S491</t>
  </si>
  <si>
    <t>S494</t>
  </si>
  <si>
    <t>S496</t>
  </si>
  <si>
    <t>S497</t>
  </si>
  <si>
    <t>S499</t>
  </si>
  <si>
    <t>S50</t>
  </si>
  <si>
    <t>S500</t>
  </si>
  <si>
    <t>S502</t>
  </si>
  <si>
    <t>S508</t>
  </si>
  <si>
    <t>S509</t>
  </si>
  <si>
    <t>S52</t>
  </si>
  <si>
    <t>S522</t>
  </si>
  <si>
    <t>S523</t>
  </si>
  <si>
    <t>S525</t>
  </si>
  <si>
    <t>S530</t>
  </si>
  <si>
    <t>S533</t>
  </si>
  <si>
    <t>S537</t>
  </si>
  <si>
    <t>S543</t>
  </si>
  <si>
    <t>S544</t>
  </si>
  <si>
    <t>S545</t>
  </si>
  <si>
    <t>S550</t>
  </si>
  <si>
    <t>S557</t>
  </si>
  <si>
    <t>S560</t>
  </si>
  <si>
    <t>S565</t>
  </si>
  <si>
    <t>S566</t>
  </si>
  <si>
    <t>S57</t>
  </si>
  <si>
    <t>S570</t>
  </si>
  <si>
    <t>S572</t>
  </si>
  <si>
    <t>S576</t>
  </si>
  <si>
    <t>S577</t>
  </si>
  <si>
    <t>S584</t>
  </si>
  <si>
    <t>S588</t>
  </si>
  <si>
    <t>S594</t>
  </si>
  <si>
    <t>S598</t>
  </si>
  <si>
    <t>S599</t>
  </si>
  <si>
    <t>S61</t>
  </si>
  <si>
    <t>S611</t>
  </si>
  <si>
    <t>S614</t>
  </si>
  <si>
    <t>S615</t>
  </si>
  <si>
    <t>S622</t>
  </si>
  <si>
    <t>S623</t>
  </si>
  <si>
    <t>S630</t>
  </si>
  <si>
    <t>S633</t>
  </si>
  <si>
    <t>S637</t>
  </si>
  <si>
    <t>S644</t>
  </si>
  <si>
    <t>S645</t>
  </si>
  <si>
    <t>S646</t>
  </si>
  <si>
    <t>S663</t>
  </si>
  <si>
    <t>S665</t>
  </si>
  <si>
    <t>S667</t>
  </si>
  <si>
    <t>S678</t>
  </si>
  <si>
    <t>S680</t>
  </si>
  <si>
    <t>S682</t>
  </si>
  <si>
    <t>S683</t>
  </si>
  <si>
    <t>S685</t>
  </si>
  <si>
    <t>S69</t>
  </si>
  <si>
    <t>S690</t>
  </si>
  <si>
    <t>S692</t>
  </si>
  <si>
    <t>S695</t>
  </si>
  <si>
    <t>S697</t>
  </si>
  <si>
    <t>S698</t>
  </si>
  <si>
    <t>S699</t>
  </si>
  <si>
    <t>S708</t>
  </si>
  <si>
    <t>S709</t>
  </si>
  <si>
    <t>S711</t>
  </si>
  <si>
    <t>S713</t>
  </si>
  <si>
    <t>S720</t>
  </si>
  <si>
    <t>S721</t>
  </si>
  <si>
    <t>S722</t>
  </si>
  <si>
    <t>S723</t>
  </si>
  <si>
    <t>S724</t>
  </si>
  <si>
    <t>S733</t>
  </si>
  <si>
    <t>S735</t>
  </si>
  <si>
    <t>S739</t>
  </si>
  <si>
    <t>S743</t>
  </si>
  <si>
    <t>S751</t>
  </si>
  <si>
    <t>S752</t>
  </si>
  <si>
    <t>S753</t>
  </si>
  <si>
    <t>S759</t>
  </si>
  <si>
    <t>S76</t>
  </si>
  <si>
    <t>S763</t>
  </si>
  <si>
    <t>S766</t>
  </si>
  <si>
    <t>S767</t>
  </si>
  <si>
    <t>S768</t>
  </si>
  <si>
    <t>S769</t>
  </si>
  <si>
    <t>S771</t>
  </si>
  <si>
    <t>S772</t>
  </si>
  <si>
    <t>S773</t>
  </si>
  <si>
    <t>S775</t>
  </si>
  <si>
    <t>S777</t>
  </si>
  <si>
    <t>S780</t>
  </si>
  <si>
    <t>S785</t>
  </si>
  <si>
    <t>S788</t>
  </si>
  <si>
    <t>S791</t>
  </si>
  <si>
    <t>S792</t>
  </si>
  <si>
    <t>S794</t>
  </si>
  <si>
    <t>S798</t>
  </si>
  <si>
    <t>S799</t>
  </si>
  <si>
    <t>S805</t>
  </si>
  <si>
    <t>S808</t>
  </si>
  <si>
    <t>S812</t>
  </si>
  <si>
    <t>S814</t>
  </si>
  <si>
    <t>S816</t>
  </si>
  <si>
    <t>S817</t>
  </si>
  <si>
    <t>S828</t>
  </si>
  <si>
    <t>S833</t>
  </si>
  <si>
    <t>S834</t>
  </si>
  <si>
    <t>S836</t>
  </si>
  <si>
    <t>S837</t>
  </si>
  <si>
    <t>S838</t>
  </si>
  <si>
    <t>S842</t>
  </si>
  <si>
    <t>S843</t>
  </si>
  <si>
    <t>S853</t>
  </si>
  <si>
    <t>S861</t>
  </si>
  <si>
    <t>S867</t>
  </si>
  <si>
    <t>S869</t>
  </si>
  <si>
    <t>S874</t>
  </si>
  <si>
    <t>S875</t>
  </si>
  <si>
    <t>S876</t>
  </si>
  <si>
    <t>S877</t>
  </si>
  <si>
    <t>S878</t>
  </si>
  <si>
    <t>S889</t>
  </si>
  <si>
    <t>S890</t>
  </si>
  <si>
    <t>S891</t>
  </si>
  <si>
    <t>S897</t>
  </si>
  <si>
    <t>S898</t>
  </si>
  <si>
    <t>S901</t>
  </si>
  <si>
    <t>S911</t>
  </si>
  <si>
    <t>S912</t>
  </si>
  <si>
    <t>S917</t>
  </si>
  <si>
    <t>S918</t>
  </si>
  <si>
    <t>S923</t>
  </si>
  <si>
    <t>S928</t>
  </si>
  <si>
    <t>S932</t>
  </si>
  <si>
    <t>S934</t>
  </si>
  <si>
    <t>S939</t>
  </si>
  <si>
    <t>S941</t>
  </si>
  <si>
    <t>S947</t>
  </si>
  <si>
    <t>S951</t>
  </si>
  <si>
    <t>S954</t>
  </si>
  <si>
    <t>S959</t>
  </si>
  <si>
    <t>S960</t>
  </si>
  <si>
    <t>S962</t>
  </si>
  <si>
    <t>S971</t>
  </si>
  <si>
    <t>S972</t>
  </si>
  <si>
    <t>S975</t>
  </si>
  <si>
    <t>S978</t>
  </si>
  <si>
    <t>S979</t>
  </si>
  <si>
    <t>S980</t>
  </si>
  <si>
    <t>S982</t>
  </si>
  <si>
    <t>S984</t>
  </si>
  <si>
    <t>S988</t>
  </si>
  <si>
    <t>S991</t>
  </si>
  <si>
    <t>S994</t>
  </si>
  <si>
    <t>S996</t>
  </si>
  <si>
    <t>S997</t>
  </si>
  <si>
    <t>Verificar derrames/perdidas de lineas conducción</t>
  </si>
  <si>
    <t>Cañeria conducción productor</t>
  </si>
  <si>
    <t>Preparar pozo para bacheo</t>
  </si>
  <si>
    <t>Satélite</t>
  </si>
  <si>
    <t>Maniobra para control de pozo</t>
  </si>
  <si>
    <t>Colector auxiliar</t>
  </si>
  <si>
    <t>Operar cuadros de maniobras/derivaciones</t>
  </si>
  <si>
    <t>Verificar derrames/pérdidas de Oleoducto</t>
  </si>
  <si>
    <t>Oleoducto</t>
  </si>
  <si>
    <t>Verificación estado - Control de batería</t>
  </si>
  <si>
    <t>Batería</t>
  </si>
  <si>
    <t>Prepara pozo para Bacheo</t>
  </si>
  <si>
    <t>Pozo Productor BES</t>
  </si>
  <si>
    <t>Otros</t>
  </si>
  <si>
    <t>Pulling</t>
  </si>
  <si>
    <t>Saca muestras</t>
  </si>
  <si>
    <t>Prueba de superficie</t>
  </si>
  <si>
    <t>Maniobra de pozo- Ajustar medida</t>
  </si>
  <si>
    <t>Conecta / Desonecta cisterna</t>
  </si>
  <si>
    <t>Limpieza de Vástago</t>
  </si>
  <si>
    <t>Preparado para centrar pozo</t>
  </si>
  <si>
    <t>Cambio / Instalación de rotador de sarta</t>
  </si>
  <si>
    <t>Preparado para bacheo</t>
  </si>
  <si>
    <t>Cambio de tee prensa</t>
  </si>
  <si>
    <t>Instalar válvula de contrapresión</t>
  </si>
  <si>
    <t>Apoyo a soldadores - Instalaciones en general</t>
  </si>
  <si>
    <t>Acondiciona boca de pozo</t>
  </si>
  <si>
    <t>Pozo Productor BM</t>
  </si>
  <si>
    <t>Personas necesarias</t>
  </si>
  <si>
    <t>Frecuencia anual x instalación</t>
  </si>
  <si>
    <t>Tiempo de ejecución (min)</t>
  </si>
  <si>
    <t>Actividades de recorredores</t>
  </si>
  <si>
    <t>Activa</t>
  </si>
  <si>
    <t>Sí</t>
  </si>
  <si>
    <t>Tiempo promedio de tarea</t>
  </si>
  <si>
    <t>Visitas a pozos a realizar durante el mes</t>
  </si>
  <si>
    <t>Capacidad mensual por cuadrilla</t>
  </si>
  <si>
    <t>BM</t>
  </si>
  <si>
    <t>BES</t>
  </si>
  <si>
    <t>NA</t>
  </si>
  <si>
    <t>SURG</t>
  </si>
  <si>
    <t>PCP</t>
  </si>
  <si>
    <t>LTJ</t>
  </si>
  <si>
    <t>PQSAT-1</t>
  </si>
  <si>
    <t>PQ-1009</t>
  </si>
  <si>
    <t>Q10</t>
  </si>
  <si>
    <t>Q15</t>
  </si>
  <si>
    <t>Q16</t>
  </si>
  <si>
    <t>S-18</t>
  </si>
  <si>
    <t>Q17</t>
  </si>
  <si>
    <t>Q50</t>
  </si>
  <si>
    <t>S.a-936ST</t>
  </si>
  <si>
    <t>S1</t>
  </si>
  <si>
    <t>S100</t>
  </si>
  <si>
    <t>S1005</t>
  </si>
  <si>
    <t>S-12</t>
  </si>
  <si>
    <t>S1006</t>
  </si>
  <si>
    <t>S-1006</t>
  </si>
  <si>
    <t>S-14</t>
  </si>
  <si>
    <t>S101</t>
  </si>
  <si>
    <t>S1012</t>
  </si>
  <si>
    <t>S-11</t>
  </si>
  <si>
    <t>S1013</t>
  </si>
  <si>
    <t>S-8</t>
  </si>
  <si>
    <t>S1018</t>
  </si>
  <si>
    <t>S102</t>
  </si>
  <si>
    <t>S-19</t>
  </si>
  <si>
    <t>S-1025</t>
  </si>
  <si>
    <t>S1026</t>
  </si>
  <si>
    <t>S1027</t>
  </si>
  <si>
    <t>S1036</t>
  </si>
  <si>
    <t>S1037</t>
  </si>
  <si>
    <t>S1039</t>
  </si>
  <si>
    <t>S1042</t>
  </si>
  <si>
    <t>S115</t>
  </si>
  <si>
    <t>S116</t>
  </si>
  <si>
    <t>S118</t>
  </si>
  <si>
    <t>S119</t>
  </si>
  <si>
    <t>S125</t>
  </si>
  <si>
    <t>S126</t>
  </si>
  <si>
    <t>S13</t>
  </si>
  <si>
    <t>S133</t>
  </si>
  <si>
    <t>S135</t>
  </si>
  <si>
    <t>S-5</t>
  </si>
  <si>
    <t>S136</t>
  </si>
  <si>
    <t>S-3</t>
  </si>
  <si>
    <t>S138</t>
  </si>
  <si>
    <t>S139</t>
  </si>
  <si>
    <t>S143</t>
  </si>
  <si>
    <t>S144</t>
  </si>
  <si>
    <t>S146</t>
  </si>
  <si>
    <t>S147</t>
  </si>
  <si>
    <t>S148</t>
  </si>
  <si>
    <t>S-31</t>
  </si>
  <si>
    <t>S150</t>
  </si>
  <si>
    <t>S151</t>
  </si>
  <si>
    <t>S152</t>
  </si>
  <si>
    <t>S-4</t>
  </si>
  <si>
    <t>S154</t>
  </si>
  <si>
    <t>S155</t>
  </si>
  <si>
    <t>S156</t>
  </si>
  <si>
    <t>S157</t>
  </si>
  <si>
    <t>S159</t>
  </si>
  <si>
    <t>S16</t>
  </si>
  <si>
    <t>S-16</t>
  </si>
  <si>
    <t>S164</t>
  </si>
  <si>
    <t>S169</t>
  </si>
  <si>
    <t>S-32</t>
  </si>
  <si>
    <t>S-17</t>
  </si>
  <si>
    <t>S170</t>
  </si>
  <si>
    <t>S172</t>
  </si>
  <si>
    <t>S173</t>
  </si>
  <si>
    <t>S174</t>
  </si>
  <si>
    <t>S176</t>
  </si>
  <si>
    <t>S-27</t>
  </si>
  <si>
    <t>S177</t>
  </si>
  <si>
    <t>S178</t>
  </si>
  <si>
    <t>S179</t>
  </si>
  <si>
    <t>S18</t>
  </si>
  <si>
    <t>S183</t>
  </si>
  <si>
    <t>S184</t>
  </si>
  <si>
    <t>S185</t>
  </si>
  <si>
    <t>S186</t>
  </si>
  <si>
    <t>S187</t>
  </si>
  <si>
    <t>S188</t>
  </si>
  <si>
    <t>S189</t>
  </si>
  <si>
    <t>S-2</t>
  </si>
  <si>
    <t>S19</t>
  </si>
  <si>
    <t>S190</t>
  </si>
  <si>
    <t>S191</t>
  </si>
  <si>
    <t>S192</t>
  </si>
  <si>
    <t>S193</t>
  </si>
  <si>
    <t>S194</t>
  </si>
  <si>
    <t>S195</t>
  </si>
  <si>
    <t>S196</t>
  </si>
  <si>
    <t>S197</t>
  </si>
  <si>
    <t>S198</t>
  </si>
  <si>
    <t>S199</t>
  </si>
  <si>
    <t>S2</t>
  </si>
  <si>
    <t>S20</t>
  </si>
  <si>
    <t>S-20</t>
  </si>
  <si>
    <t>S200</t>
  </si>
  <si>
    <t>S2005</t>
  </si>
  <si>
    <t>S201</t>
  </si>
  <si>
    <t>S2014</t>
  </si>
  <si>
    <t>S-21</t>
  </si>
  <si>
    <t>S2017</t>
  </si>
  <si>
    <t>S2026</t>
  </si>
  <si>
    <t>S-15</t>
  </si>
  <si>
    <t>S2027</t>
  </si>
  <si>
    <t>S-22</t>
  </si>
  <si>
    <t>S2032</t>
  </si>
  <si>
    <t>S204</t>
  </si>
  <si>
    <t>S-2040</t>
  </si>
  <si>
    <t>S2046</t>
  </si>
  <si>
    <t>S-28</t>
  </si>
  <si>
    <t>S2053</t>
  </si>
  <si>
    <t>S-2053</t>
  </si>
  <si>
    <t>S-33</t>
  </si>
  <si>
    <t>S206</t>
  </si>
  <si>
    <t>S2061</t>
  </si>
  <si>
    <t>S-34</t>
  </si>
  <si>
    <t>S2063</t>
  </si>
  <si>
    <t>S2064</t>
  </si>
  <si>
    <t>S2065</t>
  </si>
  <si>
    <t>S2066</t>
  </si>
  <si>
    <t>S2069</t>
  </si>
  <si>
    <t>S207</t>
  </si>
  <si>
    <t>S2071</t>
  </si>
  <si>
    <t>S-2073</t>
  </si>
  <si>
    <t>S208</t>
  </si>
  <si>
    <t>S2090</t>
  </si>
  <si>
    <t>S2097</t>
  </si>
  <si>
    <t>S2100</t>
  </si>
  <si>
    <t>S211</t>
  </si>
  <si>
    <t>S2110</t>
  </si>
  <si>
    <t>S2114</t>
  </si>
  <si>
    <t>S2116</t>
  </si>
  <si>
    <t>S212</t>
  </si>
  <si>
    <t>S2121</t>
  </si>
  <si>
    <t>S-26</t>
  </si>
  <si>
    <t>S2124</t>
  </si>
  <si>
    <t>S2126</t>
  </si>
  <si>
    <t>S2128</t>
  </si>
  <si>
    <t>S2129</t>
  </si>
  <si>
    <t>S213</t>
  </si>
  <si>
    <t>S2130</t>
  </si>
  <si>
    <t>S-25</t>
  </si>
  <si>
    <t>S2137</t>
  </si>
  <si>
    <t>S2147</t>
  </si>
  <si>
    <t>S2148</t>
  </si>
  <si>
    <t>S2149</t>
  </si>
  <si>
    <t>S-9</t>
  </si>
  <si>
    <t>S215</t>
  </si>
  <si>
    <t>S2155</t>
  </si>
  <si>
    <t>S2164</t>
  </si>
  <si>
    <t>S217</t>
  </si>
  <si>
    <t>S-2177</t>
  </si>
  <si>
    <t>S2178</t>
  </si>
  <si>
    <t>S218</t>
  </si>
  <si>
    <t>S-218</t>
  </si>
  <si>
    <t>S2182</t>
  </si>
  <si>
    <t>S2187</t>
  </si>
  <si>
    <t>S2189</t>
  </si>
  <si>
    <t>S219</t>
  </si>
  <si>
    <t>S2191</t>
  </si>
  <si>
    <t>S2193</t>
  </si>
  <si>
    <t>S-7A</t>
  </si>
  <si>
    <t>S-2196</t>
  </si>
  <si>
    <t>S2199</t>
  </si>
  <si>
    <t>S220</t>
  </si>
  <si>
    <t>S2201</t>
  </si>
  <si>
    <t>S221</t>
  </si>
  <si>
    <t>S2217</t>
  </si>
  <si>
    <t>S-7B</t>
  </si>
  <si>
    <t>S2218</t>
  </si>
  <si>
    <t>S2219</t>
  </si>
  <si>
    <t>S222</t>
  </si>
  <si>
    <t>S223</t>
  </si>
  <si>
    <t>S2235</t>
  </si>
  <si>
    <t>S2240</t>
  </si>
  <si>
    <t>S225</t>
  </si>
  <si>
    <t>S226</t>
  </si>
  <si>
    <t>S227</t>
  </si>
  <si>
    <t>S228</t>
  </si>
  <si>
    <t>S2283</t>
  </si>
  <si>
    <t>S230</t>
  </si>
  <si>
    <t>S231</t>
  </si>
  <si>
    <t>S2311</t>
  </si>
  <si>
    <t>S2325</t>
  </si>
  <si>
    <t>S2329</t>
  </si>
  <si>
    <t>S233</t>
  </si>
  <si>
    <t>S-2331</t>
  </si>
  <si>
    <t>S2333</t>
  </si>
  <si>
    <t>S2334</t>
  </si>
  <si>
    <t>S2336</t>
  </si>
  <si>
    <t>S2338</t>
  </si>
  <si>
    <t>S2339</t>
  </si>
  <si>
    <t>S-2358</t>
  </si>
  <si>
    <t>S236</t>
  </si>
  <si>
    <t>S2364</t>
  </si>
  <si>
    <t>S237</t>
  </si>
  <si>
    <t>S2372</t>
  </si>
  <si>
    <t>S2381</t>
  </si>
  <si>
    <t>S-6</t>
  </si>
  <si>
    <t>S239</t>
  </si>
  <si>
    <t>S2392</t>
  </si>
  <si>
    <t>S2393</t>
  </si>
  <si>
    <t>S2395</t>
  </si>
  <si>
    <t>S2396</t>
  </si>
  <si>
    <t>S2397</t>
  </si>
  <si>
    <t>S2398b</t>
  </si>
  <si>
    <t>S2399</t>
  </si>
  <si>
    <t>S240</t>
  </si>
  <si>
    <t>S2400</t>
  </si>
  <si>
    <t>S2401</t>
  </si>
  <si>
    <t>S2402</t>
  </si>
  <si>
    <t>S2403</t>
  </si>
  <si>
    <t>S-2408</t>
  </si>
  <si>
    <t>S2419</t>
  </si>
  <si>
    <t>S242</t>
  </si>
  <si>
    <t>S2421</t>
  </si>
  <si>
    <t>S2430</t>
  </si>
  <si>
    <t>S2434</t>
  </si>
  <si>
    <t>S-2440</t>
  </si>
  <si>
    <t>S245</t>
  </si>
  <si>
    <t>S2450</t>
  </si>
  <si>
    <t>S-2453</t>
  </si>
  <si>
    <t>S2458</t>
  </si>
  <si>
    <t>S246</t>
  </si>
  <si>
    <t>S-2461</t>
  </si>
  <si>
    <t>S2480</t>
  </si>
  <si>
    <t>S2481</t>
  </si>
  <si>
    <t>S2488</t>
  </si>
  <si>
    <t>S2504</t>
  </si>
  <si>
    <t>S251</t>
  </si>
  <si>
    <t>S2516</t>
  </si>
  <si>
    <t>S-2517</t>
  </si>
  <si>
    <t>S-24</t>
  </si>
  <si>
    <t>S252</t>
  </si>
  <si>
    <t>S253</t>
  </si>
  <si>
    <t>S-2532</t>
  </si>
  <si>
    <t>S2539</t>
  </si>
  <si>
    <t>S254</t>
  </si>
  <si>
    <t>S2541</t>
  </si>
  <si>
    <t>S2542</t>
  </si>
  <si>
    <t>S-36</t>
  </si>
  <si>
    <t>S2546</t>
  </si>
  <si>
    <t>S255</t>
  </si>
  <si>
    <t>S2552</t>
  </si>
  <si>
    <t>S256</t>
  </si>
  <si>
    <t>S2561</t>
  </si>
  <si>
    <t>S-2563</t>
  </si>
  <si>
    <t>S257</t>
  </si>
  <si>
    <t>S2584</t>
  </si>
  <si>
    <t>S259</t>
  </si>
  <si>
    <t>S2590</t>
  </si>
  <si>
    <t>S26</t>
  </si>
  <si>
    <t>S260</t>
  </si>
  <si>
    <t>S261</t>
  </si>
  <si>
    <t>S2610</t>
  </si>
  <si>
    <t>S2617</t>
  </si>
  <si>
    <t>S2619</t>
  </si>
  <si>
    <t>S-37</t>
  </si>
  <si>
    <t>S262</t>
  </si>
  <si>
    <t>S-2627</t>
  </si>
  <si>
    <t>S263</t>
  </si>
  <si>
    <t>S2638</t>
  </si>
  <si>
    <t>S-2638</t>
  </si>
  <si>
    <t>S2641</t>
  </si>
  <si>
    <t>S265</t>
  </si>
  <si>
    <t>S-2656</t>
  </si>
  <si>
    <t>S266</t>
  </si>
  <si>
    <t>S-30</t>
  </si>
  <si>
    <t>S267</t>
  </si>
  <si>
    <t>S-2673</t>
  </si>
  <si>
    <t>S268</t>
  </si>
  <si>
    <t>S2682</t>
  </si>
  <si>
    <t>S269</t>
  </si>
  <si>
    <t>S-2694</t>
  </si>
  <si>
    <t>S270</t>
  </si>
  <si>
    <t>S2714</t>
  </si>
  <si>
    <t>S274</t>
  </si>
  <si>
    <t>S275</t>
  </si>
  <si>
    <t>S276</t>
  </si>
  <si>
    <t>S277</t>
  </si>
  <si>
    <t>S278</t>
  </si>
  <si>
    <t>S279</t>
  </si>
  <si>
    <t>S280</t>
  </si>
  <si>
    <t>S281</t>
  </si>
  <si>
    <t>S283</t>
  </si>
  <si>
    <t>S-283</t>
  </si>
  <si>
    <t>S286</t>
  </si>
  <si>
    <t>S-29</t>
  </si>
  <si>
    <t>S290</t>
  </si>
  <si>
    <t>S291</t>
  </si>
  <si>
    <t>S292</t>
  </si>
  <si>
    <t>S295</t>
  </si>
  <si>
    <t>S297</t>
  </si>
  <si>
    <t>S298</t>
  </si>
  <si>
    <t>S30</t>
  </si>
  <si>
    <t>S302</t>
  </si>
  <si>
    <t>S304</t>
  </si>
  <si>
    <t>S305</t>
  </si>
  <si>
    <t>S306</t>
  </si>
  <si>
    <t>S307</t>
  </si>
  <si>
    <t>S308</t>
  </si>
  <si>
    <t>S31</t>
  </si>
  <si>
    <t>S310</t>
  </si>
  <si>
    <t>S313</t>
  </si>
  <si>
    <t>S316</t>
  </si>
  <si>
    <t>S317</t>
  </si>
  <si>
    <t>S32</t>
  </si>
  <si>
    <t>S320</t>
  </si>
  <si>
    <t>S321</t>
  </si>
  <si>
    <t>S322</t>
  </si>
  <si>
    <t>S323</t>
  </si>
  <si>
    <t>S324</t>
  </si>
  <si>
    <t>S325</t>
  </si>
  <si>
    <t>S327</t>
  </si>
  <si>
    <t>S329</t>
  </si>
  <si>
    <t>S33</t>
  </si>
  <si>
    <t>S330</t>
  </si>
  <si>
    <t>S333</t>
  </si>
  <si>
    <t>S336</t>
  </si>
  <si>
    <t>S338</t>
  </si>
  <si>
    <t>S339</t>
  </si>
  <si>
    <t>S34</t>
  </si>
  <si>
    <t>S341</t>
  </si>
  <si>
    <t>S345</t>
  </si>
  <si>
    <t>S349</t>
  </si>
  <si>
    <t>S35</t>
  </si>
  <si>
    <t>S355</t>
  </si>
  <si>
    <t>S356</t>
  </si>
  <si>
    <t>S357</t>
  </si>
  <si>
    <t>S358</t>
  </si>
  <si>
    <t>S359</t>
  </si>
  <si>
    <t>S360</t>
  </si>
  <si>
    <t>S362</t>
  </si>
  <si>
    <t>S363</t>
  </si>
  <si>
    <t>S364</t>
  </si>
  <si>
    <t>S367</t>
  </si>
  <si>
    <t>S368</t>
  </si>
  <si>
    <t>S369</t>
  </si>
  <si>
    <t>S37</t>
  </si>
  <si>
    <t>S373</t>
  </si>
  <si>
    <t>S374</t>
  </si>
  <si>
    <t>S-374</t>
  </si>
  <si>
    <t>S375</t>
  </si>
  <si>
    <t>S376</t>
  </si>
  <si>
    <t>S377</t>
  </si>
  <si>
    <t>S378</t>
  </si>
  <si>
    <t>S379</t>
  </si>
  <si>
    <t>S381</t>
  </si>
  <si>
    <t>S385</t>
  </si>
  <si>
    <t>S386</t>
  </si>
  <si>
    <t>S387</t>
  </si>
  <si>
    <t>S390</t>
  </si>
  <si>
    <t>S391</t>
  </si>
  <si>
    <t>S392</t>
  </si>
  <si>
    <t>S395</t>
  </si>
  <si>
    <t>S396</t>
  </si>
  <si>
    <t>S397</t>
  </si>
  <si>
    <t>S398</t>
  </si>
  <si>
    <t>S399</t>
  </si>
  <si>
    <t>S4</t>
  </si>
  <si>
    <t>S401</t>
  </si>
  <si>
    <t>S402</t>
  </si>
  <si>
    <t>S403</t>
  </si>
  <si>
    <t>S-403</t>
  </si>
  <si>
    <t>S413</t>
  </si>
  <si>
    <t>S416</t>
  </si>
  <si>
    <t>S417</t>
  </si>
  <si>
    <t>S42</t>
  </si>
  <si>
    <t>S420</t>
  </si>
  <si>
    <t>S422</t>
  </si>
  <si>
    <t>S423</t>
  </si>
  <si>
    <t>S426</t>
  </si>
  <si>
    <t>S428</t>
  </si>
  <si>
    <t>S430</t>
  </si>
  <si>
    <t>S431</t>
  </si>
  <si>
    <t>S432</t>
  </si>
  <si>
    <t>S434</t>
  </si>
  <si>
    <t>S437</t>
  </si>
  <si>
    <t>S440</t>
  </si>
  <si>
    <t>S441</t>
  </si>
  <si>
    <t>S442</t>
  </si>
  <si>
    <t>S443</t>
  </si>
  <si>
    <t>S445</t>
  </si>
  <si>
    <t>S449</t>
  </si>
  <si>
    <t>S45</t>
  </si>
  <si>
    <t>S454</t>
  </si>
  <si>
    <t>S455</t>
  </si>
  <si>
    <t>S456</t>
  </si>
  <si>
    <t>S457</t>
  </si>
  <si>
    <t>S458</t>
  </si>
  <si>
    <t>S-458</t>
  </si>
  <si>
    <t>S459</t>
  </si>
  <si>
    <t>S46</t>
  </si>
  <si>
    <t>S460</t>
  </si>
  <si>
    <t>S461</t>
  </si>
  <si>
    <t>S462</t>
  </si>
  <si>
    <t>S465</t>
  </si>
  <si>
    <t>S468</t>
  </si>
  <si>
    <t>S469</t>
  </si>
  <si>
    <t>S470</t>
  </si>
  <si>
    <t>S477</t>
  </si>
  <si>
    <t>S48</t>
  </si>
  <si>
    <t>S481</t>
  </si>
  <si>
    <t>S-481</t>
  </si>
  <si>
    <t>S482</t>
  </si>
  <si>
    <t>S483</t>
  </si>
  <si>
    <t>S484</t>
  </si>
  <si>
    <t>S485</t>
  </si>
  <si>
    <t>S487</t>
  </si>
  <si>
    <t>S490</t>
  </si>
  <si>
    <t>S492</t>
  </si>
  <si>
    <t>S495</t>
  </si>
  <si>
    <t>S-498</t>
  </si>
  <si>
    <t>S5</t>
  </si>
  <si>
    <t>S501</t>
  </si>
  <si>
    <t>S503</t>
  </si>
  <si>
    <t>S505</t>
  </si>
  <si>
    <t>S-10</t>
  </si>
  <si>
    <t>S506</t>
  </si>
  <si>
    <t>S507</t>
  </si>
  <si>
    <t>S51</t>
  </si>
  <si>
    <t>S512</t>
  </si>
  <si>
    <t>S514</t>
  </si>
  <si>
    <t>S516</t>
  </si>
  <si>
    <t>S521</t>
  </si>
  <si>
    <t>S-523</t>
  </si>
  <si>
    <t>S524</t>
  </si>
  <si>
    <t>S527</t>
  </si>
  <si>
    <t>S528</t>
  </si>
  <si>
    <t>S529</t>
  </si>
  <si>
    <t>S53</t>
  </si>
  <si>
    <t>S532</t>
  </si>
  <si>
    <t>S538</t>
  </si>
  <si>
    <t>S539</t>
  </si>
  <si>
    <t>S54</t>
  </si>
  <si>
    <t>S542</t>
  </si>
  <si>
    <t>S546</t>
  </si>
  <si>
    <t>S549</t>
  </si>
  <si>
    <t>S-549</t>
  </si>
  <si>
    <t>S55</t>
  </si>
  <si>
    <t>S551</t>
  </si>
  <si>
    <t>S552</t>
  </si>
  <si>
    <t>S553</t>
  </si>
  <si>
    <t>S554</t>
  </si>
  <si>
    <t>S555</t>
  </si>
  <si>
    <t>S556</t>
  </si>
  <si>
    <t>S558</t>
  </si>
  <si>
    <t>S559</t>
  </si>
  <si>
    <t>S56</t>
  </si>
  <si>
    <t>S561</t>
  </si>
  <si>
    <t>S567</t>
  </si>
  <si>
    <t>S568</t>
  </si>
  <si>
    <t>S571</t>
  </si>
  <si>
    <t>S-23</t>
  </si>
  <si>
    <t>S578</t>
  </si>
  <si>
    <t>S58</t>
  </si>
  <si>
    <t>S580</t>
  </si>
  <si>
    <t>S583</t>
  </si>
  <si>
    <t>S587</t>
  </si>
  <si>
    <t>S59</t>
  </si>
  <si>
    <t>S591</t>
  </si>
  <si>
    <t>S593</t>
  </si>
  <si>
    <t>S596</t>
  </si>
  <si>
    <t>S597</t>
  </si>
  <si>
    <t>S60</t>
  </si>
  <si>
    <t>S609</t>
  </si>
  <si>
    <t>S610</t>
  </si>
  <si>
    <t>S612</t>
  </si>
  <si>
    <t>S613</t>
  </si>
  <si>
    <t>S617</t>
  </si>
  <si>
    <t>S62</t>
  </si>
  <si>
    <t>S620</t>
  </si>
  <si>
    <t>S625</t>
  </si>
  <si>
    <t>S626</t>
  </si>
  <si>
    <t>S629</t>
  </si>
  <si>
    <t>S63</t>
  </si>
  <si>
    <t>S-630</t>
  </si>
  <si>
    <t>S631</t>
  </si>
  <si>
    <t>S635</t>
  </si>
  <si>
    <t>S638</t>
  </si>
  <si>
    <t>S64</t>
  </si>
  <si>
    <t>S642</t>
  </si>
  <si>
    <t>S643</t>
  </si>
  <si>
    <t>S65</t>
  </si>
  <si>
    <t>S66</t>
  </si>
  <si>
    <t>S661</t>
  </si>
  <si>
    <t>S662</t>
  </si>
  <si>
    <t>S664</t>
  </si>
  <si>
    <t>S666</t>
  </si>
  <si>
    <t>S67</t>
  </si>
  <si>
    <t>S674</t>
  </si>
  <si>
    <t>S-677</t>
  </si>
  <si>
    <t>S68</t>
  </si>
  <si>
    <t>S681</t>
  </si>
  <si>
    <t>S686</t>
  </si>
  <si>
    <t>S687</t>
  </si>
  <si>
    <t>S688</t>
  </si>
  <si>
    <t>S691</t>
  </si>
  <si>
    <t>S693</t>
  </si>
  <si>
    <t>S694</t>
  </si>
  <si>
    <t>S696</t>
  </si>
  <si>
    <t>S7</t>
  </si>
  <si>
    <t>S701</t>
  </si>
  <si>
    <t>S705</t>
  </si>
  <si>
    <t>S710</t>
  </si>
  <si>
    <t>S712</t>
  </si>
  <si>
    <t>S-714</t>
  </si>
  <si>
    <t>S716</t>
  </si>
  <si>
    <t>S717</t>
  </si>
  <si>
    <t>S719</t>
  </si>
  <si>
    <t>S72</t>
  </si>
  <si>
    <t>S725</t>
  </si>
  <si>
    <t>S726</t>
  </si>
  <si>
    <t>S727</t>
  </si>
  <si>
    <t>S728</t>
  </si>
  <si>
    <t>S729</t>
  </si>
  <si>
    <t>S732</t>
  </si>
  <si>
    <t>S734</t>
  </si>
  <si>
    <t>S-734</t>
  </si>
  <si>
    <t>S737</t>
  </si>
  <si>
    <t>S748</t>
  </si>
  <si>
    <t>S749</t>
  </si>
  <si>
    <t>S75</t>
  </si>
  <si>
    <t>S750</t>
  </si>
  <si>
    <t>S756</t>
  </si>
  <si>
    <t>S-756</t>
  </si>
  <si>
    <t>S757</t>
  </si>
  <si>
    <t>S760</t>
  </si>
  <si>
    <t>S-761</t>
  </si>
  <si>
    <t>S764</t>
  </si>
  <si>
    <t>S765</t>
  </si>
  <si>
    <t>S77</t>
  </si>
  <si>
    <t>S770</t>
  </si>
  <si>
    <t>S774</t>
  </si>
  <si>
    <t>S776</t>
  </si>
  <si>
    <t>S78</t>
  </si>
  <si>
    <t>S781</t>
  </si>
  <si>
    <t>S782</t>
  </si>
  <si>
    <t>S786</t>
  </si>
  <si>
    <t>S789</t>
  </si>
  <si>
    <t>S79</t>
  </si>
  <si>
    <t>S793</t>
  </si>
  <si>
    <t>S796</t>
  </si>
  <si>
    <t>S797</t>
  </si>
  <si>
    <t>S8</t>
  </si>
  <si>
    <t>S80</t>
  </si>
  <si>
    <t>S800</t>
  </si>
  <si>
    <t>S802</t>
  </si>
  <si>
    <t>S804</t>
  </si>
  <si>
    <t>S81</t>
  </si>
  <si>
    <t>S810</t>
  </si>
  <si>
    <t>S815</t>
  </si>
  <si>
    <t>S819</t>
  </si>
  <si>
    <t>S-822</t>
  </si>
  <si>
    <t>S823</t>
  </si>
  <si>
    <t>S826</t>
  </si>
  <si>
    <t>S829</t>
  </si>
  <si>
    <t>S831</t>
  </si>
  <si>
    <t>S840</t>
  </si>
  <si>
    <t>S848</t>
  </si>
  <si>
    <t>S850</t>
  </si>
  <si>
    <t>S852</t>
  </si>
  <si>
    <t>S854</t>
  </si>
  <si>
    <t>S862</t>
  </si>
  <si>
    <t>S864</t>
  </si>
  <si>
    <t>S866</t>
  </si>
  <si>
    <t>S870</t>
  </si>
  <si>
    <t>S873</t>
  </si>
  <si>
    <t>S879</t>
  </si>
  <si>
    <t>S88</t>
  </si>
  <si>
    <t>S882</t>
  </si>
  <si>
    <t>S883</t>
  </si>
  <si>
    <t>S884</t>
  </si>
  <si>
    <t>S887</t>
  </si>
  <si>
    <t>S89</t>
  </si>
  <si>
    <t>S-891</t>
  </si>
  <si>
    <t>S895</t>
  </si>
  <si>
    <t>S896</t>
  </si>
  <si>
    <t>S899</t>
  </si>
  <si>
    <t>S9</t>
  </si>
  <si>
    <t>S90</t>
  </si>
  <si>
    <t>S902</t>
  </si>
  <si>
    <t>S907</t>
  </si>
  <si>
    <t>S91</t>
  </si>
  <si>
    <t>S910</t>
  </si>
  <si>
    <t>S-911</t>
  </si>
  <si>
    <t>S914</t>
  </si>
  <si>
    <t>S-918</t>
  </si>
  <si>
    <t>S-925</t>
  </si>
  <si>
    <t>S926</t>
  </si>
  <si>
    <t>S927</t>
  </si>
  <si>
    <t>S943</t>
  </si>
  <si>
    <t>S-949</t>
  </si>
  <si>
    <t>S952</t>
  </si>
  <si>
    <t>S955</t>
  </si>
  <si>
    <t>S957</t>
  </si>
  <si>
    <t>S958</t>
  </si>
  <si>
    <t>S974</t>
  </si>
  <si>
    <t>S983</t>
  </si>
  <si>
    <t>S986</t>
  </si>
  <si>
    <t>S990</t>
  </si>
  <si>
    <t>S992</t>
  </si>
  <si>
    <t>T63</t>
  </si>
  <si>
    <t>Inspección/ Checklist de pozo A</t>
  </si>
  <si>
    <t>Inspección/ Checklist de pozo B</t>
  </si>
  <si>
    <t>Inspección/ Checklist de pozo C,D,E</t>
  </si>
  <si>
    <t>Inspección/ Checklist de pozo X</t>
  </si>
  <si>
    <t>Categoría A</t>
  </si>
  <si>
    <t>Categoría B</t>
  </si>
  <si>
    <t>Categoría C, D, E</t>
  </si>
  <si>
    <t>Categoría X</t>
  </si>
  <si>
    <r>
      <t xml:space="preserve">Tiempo anual x </t>
    </r>
    <r>
      <rPr>
        <b/>
        <sz val="10"/>
        <color theme="1"/>
        <rFont val="Calibri"/>
        <family val="2"/>
      </rPr>
      <t>instalación</t>
    </r>
    <r>
      <rPr>
        <b/>
        <sz val="10"/>
        <color theme="1"/>
        <rFont val="Calibri"/>
        <family val="2"/>
        <scheme val="minor"/>
      </rPr>
      <t>(min)</t>
    </r>
  </si>
  <si>
    <t>Total de pozos BM</t>
  </si>
  <si>
    <t>Total de pozos BES</t>
  </si>
  <si>
    <t>Colectores aux.</t>
  </si>
  <si>
    <t>Satélites</t>
  </si>
  <si>
    <t>Baterías</t>
  </si>
  <si>
    <t>Oleaducto/ Cañería</t>
  </si>
  <si>
    <t>Total de visitas x instalación</t>
  </si>
  <si>
    <t>Tiempo total de tareas (minutos)</t>
  </si>
  <si>
    <t>Total de instalaciones visitadas</t>
  </si>
  <si>
    <r>
      <t xml:space="preserve">Tiempo anual </t>
    </r>
    <r>
      <rPr>
        <b/>
        <sz val="10"/>
        <color theme="1"/>
        <rFont val="Calibri"/>
        <family val="2"/>
      </rPr>
      <t>Ʃ</t>
    </r>
    <r>
      <rPr>
        <b/>
        <sz val="9"/>
        <color theme="1"/>
        <rFont val="Calibri"/>
        <family val="2"/>
      </rPr>
      <t xml:space="preserve"> </t>
    </r>
    <r>
      <rPr>
        <b/>
        <sz val="10"/>
        <color theme="1"/>
        <rFont val="Calibri"/>
        <family val="2"/>
      </rPr>
      <t>instalaciones</t>
    </r>
    <r>
      <rPr>
        <b/>
        <sz val="10"/>
        <color theme="1"/>
        <rFont val="Calibri"/>
        <family val="2"/>
        <scheme val="minor"/>
      </rPr>
      <t>(min)</t>
    </r>
  </si>
  <si>
    <t>Instalaciones</t>
  </si>
  <si>
    <t>Tiempo de tarea promedio</t>
  </si>
  <si>
    <t>Variable</t>
  </si>
  <si>
    <t>Valor</t>
  </si>
  <si>
    <t>Unidad</t>
  </si>
  <si>
    <t>Servicio Recorredores</t>
  </si>
  <si>
    <t>Turnos diurnos de L a V, de 8 a 17 hs.</t>
  </si>
  <si>
    <t>TBD</t>
  </si>
  <si>
    <t>Valores calculados en base al ruteo óptimo</t>
  </si>
  <si>
    <t>Tiempo no disponible</t>
  </si>
  <si>
    <t>Tiempo NO disponible. Considera los tiempos de almuerzo y otros tiempos de tareas en la base.</t>
  </si>
  <si>
    <t>Tiempo disponible</t>
  </si>
  <si>
    <t>Tiempo disponible para traslados y realizar tareas en instalaciones. Se calcula restándole al tiempo del turno (540 min,C2) , los tiempos de traslado (TBD, C4 y C5) y el tiempo No disponible (80 min, C6)</t>
  </si>
  <si>
    <t>Cantidad recursos por cuadrilla</t>
  </si>
  <si>
    <t>Valor informativo.</t>
  </si>
  <si>
    <t>Ruta</t>
  </si>
  <si>
    <t>Punto Origen</t>
  </si>
  <si>
    <t>Punto Destino</t>
  </si>
  <si>
    <t>Distancia (metros)</t>
  </si>
  <si>
    <t>Tiempo (segundos)</t>
  </si>
  <si>
    <t>Orden</t>
  </si>
  <si>
    <t>Base</t>
  </si>
  <si>
    <t>Esquema</t>
  </si>
  <si>
    <t>Los recorridos inician en la base</t>
  </si>
  <si>
    <t>Para el almuerzo (tienen una hora entre las 12 y 14 hs.) regresan a la base y luego vuelven a salir al campo a continuar el recorrido</t>
  </si>
  <si>
    <t>La tabla de datos se interpreta de la siguiente forma:</t>
  </si>
  <si>
    <t>Linea 11</t>
  </si>
  <si>
    <t>Linea 12</t>
  </si>
  <si>
    <t>(Punto origen)</t>
  </si>
  <si>
    <t>Linea 35</t>
  </si>
  <si>
    <t>S2818</t>
  </si>
  <si>
    <t>S2589</t>
  </si>
  <si>
    <t>S2609</t>
  </si>
  <si>
    <t>S448</t>
  </si>
  <si>
    <t>S480</t>
  </si>
  <si>
    <t>S2602</t>
  </si>
  <si>
    <t>E8</t>
  </si>
  <si>
    <t>E291</t>
  </si>
  <si>
    <t>S2626</t>
  </si>
  <si>
    <t>S2653</t>
  </si>
  <si>
    <t>Planta La Petiza</t>
  </si>
  <si>
    <t>S2605</t>
  </si>
  <si>
    <t>S2300</t>
  </si>
  <si>
    <t>S2608</t>
  </si>
  <si>
    <t>S2575</t>
  </si>
  <si>
    <t>S486</t>
  </si>
  <si>
    <t>E290</t>
  </si>
  <si>
    <t>Linea 623</t>
  </si>
  <si>
    <t>S718</t>
  </si>
  <si>
    <t>S2720</t>
  </si>
  <si>
    <t>S2612</t>
  </si>
  <si>
    <t>S2603</t>
  </si>
  <si>
    <t>S2636</t>
  </si>
  <si>
    <t>S2716</t>
  </si>
  <si>
    <t xml:space="preserve">S218 </t>
  </si>
  <si>
    <t>S2005B</t>
  </si>
  <si>
    <t xml:space="preserve">S2005 </t>
  </si>
  <si>
    <t>SXP2700</t>
  </si>
  <si>
    <t>Planta Norte</t>
  </si>
  <si>
    <t>S2721</t>
  </si>
  <si>
    <t>S2725</t>
  </si>
  <si>
    <t>S2722</t>
  </si>
  <si>
    <t>S2708</t>
  </si>
  <si>
    <t>S2631</t>
  </si>
  <si>
    <t>S2459</t>
  </si>
  <si>
    <t>S2724</t>
  </si>
  <si>
    <t>S2723</t>
  </si>
  <si>
    <t>S1132</t>
  </si>
  <si>
    <t>39SColCA1</t>
  </si>
  <si>
    <t>S2534</t>
  </si>
  <si>
    <t>S2382</t>
  </si>
  <si>
    <t>TS1</t>
  </si>
  <si>
    <t>SXP2670</t>
  </si>
  <si>
    <t>S2717</t>
  </si>
  <si>
    <t>S2718</t>
  </si>
  <si>
    <t>S2711</t>
  </si>
  <si>
    <t>S2615</t>
  </si>
  <si>
    <t>14SColCA2</t>
  </si>
  <si>
    <t>29S</t>
  </si>
  <si>
    <t>34SColCA1</t>
  </si>
  <si>
    <t>34S</t>
  </si>
  <si>
    <t>SAT27</t>
  </si>
  <si>
    <t>09S</t>
  </si>
  <si>
    <t>29SColCA1</t>
  </si>
  <si>
    <t>16SColCA1</t>
  </si>
  <si>
    <t>16S</t>
  </si>
  <si>
    <t>E9</t>
  </si>
  <si>
    <t>SAT10</t>
  </si>
  <si>
    <t>32SColCA1</t>
  </si>
  <si>
    <t>32S</t>
  </si>
  <si>
    <t>SAT21</t>
  </si>
  <si>
    <t>28SColCA1</t>
  </si>
  <si>
    <t>SAT7</t>
  </si>
  <si>
    <t>SAT15</t>
  </si>
  <si>
    <t>38S</t>
  </si>
  <si>
    <t>S650</t>
  </si>
  <si>
    <t>17EColCA1</t>
  </si>
  <si>
    <t>17E</t>
  </si>
  <si>
    <t>SAT22</t>
  </si>
  <si>
    <t>40SColCA1</t>
  </si>
  <si>
    <t>17S</t>
  </si>
  <si>
    <t>26S</t>
  </si>
  <si>
    <t>SAT8</t>
  </si>
  <si>
    <t>SAT11</t>
  </si>
  <si>
    <t>26SColCA2</t>
  </si>
  <si>
    <t>17SColCA1</t>
  </si>
  <si>
    <t>17SColCA2</t>
  </si>
  <si>
    <t>26SColCA1</t>
  </si>
  <si>
    <t>27SColCA1</t>
  </si>
  <si>
    <t>27S</t>
  </si>
  <si>
    <t>SAT17</t>
  </si>
  <si>
    <t>SAT14</t>
  </si>
  <si>
    <t>31SColCA1</t>
  </si>
  <si>
    <t>42S</t>
  </si>
  <si>
    <t>42SColCA1</t>
  </si>
  <si>
    <t>SAT36</t>
  </si>
  <si>
    <t>42SColCA2</t>
  </si>
  <si>
    <t>14SColCA1</t>
  </si>
  <si>
    <t>SA7</t>
  </si>
  <si>
    <t>SA2</t>
  </si>
  <si>
    <t>14S</t>
  </si>
  <si>
    <t>SAT18</t>
  </si>
  <si>
    <t>13S</t>
  </si>
  <si>
    <t>SAT25</t>
  </si>
  <si>
    <t>SAT26</t>
  </si>
  <si>
    <t>35SColCA2</t>
  </si>
  <si>
    <t>35S</t>
  </si>
  <si>
    <t>SAT12</t>
  </si>
  <si>
    <t>40S</t>
  </si>
  <si>
    <t>13SColCA2</t>
  </si>
  <si>
    <t>SA4</t>
  </si>
  <si>
    <t>43S</t>
  </si>
  <si>
    <t>SAT37</t>
  </si>
  <si>
    <t>43SColCA2</t>
  </si>
  <si>
    <t>43SColCA1</t>
  </si>
  <si>
    <t>SA3</t>
  </si>
  <si>
    <t>35SColCA1</t>
  </si>
  <si>
    <t>SAT29</t>
  </si>
  <si>
    <t>35SColCA3</t>
  </si>
  <si>
    <t>28S</t>
  </si>
  <si>
    <t>SAT28</t>
  </si>
  <si>
    <t>11S</t>
  </si>
  <si>
    <t>29SColCA2</t>
  </si>
  <si>
    <t>11ColCA1</t>
  </si>
  <si>
    <t>SAT5</t>
  </si>
  <si>
    <t>37SColCA1</t>
  </si>
  <si>
    <t>37S</t>
  </si>
  <si>
    <t>SAT32</t>
  </si>
  <si>
    <t>02S</t>
  </si>
  <si>
    <t>33SColCA1</t>
  </si>
  <si>
    <t>33S</t>
  </si>
  <si>
    <t>SAT34</t>
  </si>
  <si>
    <t>15SColCA1</t>
  </si>
  <si>
    <t>15S</t>
  </si>
  <si>
    <t>SAT9</t>
  </si>
  <si>
    <t>07S</t>
  </si>
  <si>
    <t>SAT3</t>
  </si>
  <si>
    <t>21SColCA2</t>
  </si>
  <si>
    <t>22SColCA1</t>
  </si>
  <si>
    <t>22S</t>
  </si>
  <si>
    <t>S2398B</t>
  </si>
  <si>
    <t>9SColCA1</t>
  </si>
  <si>
    <t>SAT6</t>
  </si>
  <si>
    <t>22SColCA2</t>
  </si>
  <si>
    <t>31S</t>
  </si>
  <si>
    <t>7SColCA1</t>
  </si>
  <si>
    <t>SAT23</t>
  </si>
  <si>
    <t>20SColCA3</t>
  </si>
  <si>
    <t>21S</t>
  </si>
  <si>
    <t>SAT30</t>
  </si>
  <si>
    <t>SAT16</t>
  </si>
  <si>
    <t>25S</t>
  </si>
  <si>
    <t>39S</t>
  </si>
  <si>
    <t>SAT1</t>
  </si>
  <si>
    <t>S26100</t>
  </si>
  <si>
    <t>SAT31</t>
  </si>
  <si>
    <t>24SColCA1</t>
  </si>
  <si>
    <t>24S</t>
  </si>
  <si>
    <t>41SColCA2</t>
  </si>
  <si>
    <t>41SColCA3</t>
  </si>
  <si>
    <t>20SColCA1</t>
  </si>
  <si>
    <t>04S</t>
  </si>
  <si>
    <t>SAT24</t>
  </si>
  <si>
    <t>20S</t>
  </si>
  <si>
    <t>08S</t>
  </si>
  <si>
    <t>SAT20</t>
  </si>
  <si>
    <t>SAT35</t>
  </si>
  <si>
    <t>SAT19</t>
  </si>
  <si>
    <t>36S</t>
  </si>
  <si>
    <t>12ColCA1</t>
  </si>
  <si>
    <t>SAT4</t>
  </si>
  <si>
    <t>12S</t>
  </si>
  <si>
    <t>12SColCA2</t>
  </si>
  <si>
    <t>30SColCA1</t>
  </si>
  <si>
    <t>SAT2</t>
  </si>
  <si>
    <t>30S</t>
  </si>
  <si>
    <t>41S</t>
  </si>
  <si>
    <t>S120</t>
  </si>
  <si>
    <t>Estado</t>
  </si>
  <si>
    <t>23S</t>
  </si>
  <si>
    <t>PQ</t>
  </si>
  <si>
    <t>Colector</t>
  </si>
  <si>
    <t>11SColCA1</t>
  </si>
  <si>
    <t>12SColCA1</t>
  </si>
  <si>
    <t>21SColCA1</t>
  </si>
  <si>
    <t>Tiempo de tareas 1/2 jornada</t>
  </si>
  <si>
    <t>Tiempo de turno - Hora de almuerzo / 2 - Tiempo adicional en base (15 min)</t>
  </si>
  <si>
    <t>Tipo</t>
  </si>
  <si>
    <t>Identif</t>
  </si>
  <si>
    <t>Categoria</t>
  </si>
  <si>
    <t>Sistema</t>
  </si>
  <si>
    <t>Si</t>
  </si>
  <si>
    <t>detailed</t>
  </si>
  <si>
    <t>day</t>
  </si>
  <si>
    <t>turno</t>
  </si>
  <si>
    <t>jornada</t>
  </si>
  <si>
    <t>Tiempo adicional</t>
  </si>
  <si>
    <t>Linea 1890</t>
  </si>
  <si>
    <t>Linea 1889</t>
  </si>
  <si>
    <t>Linea 1888</t>
  </si>
  <si>
    <t>Linea 1887</t>
  </si>
  <si>
    <t>Linea 1886</t>
  </si>
  <si>
    <t>Linea 1885</t>
  </si>
  <si>
    <t>Linea 1884</t>
  </si>
  <si>
    <t>Linea 1883</t>
  </si>
  <si>
    <t>Linea 1882</t>
  </si>
  <si>
    <t>Linea 1881</t>
  </si>
  <si>
    <t>Linea 1880</t>
  </si>
  <si>
    <t>Linea 1879</t>
  </si>
  <si>
    <t>Linea 1878</t>
  </si>
  <si>
    <t>Linea 1877</t>
  </si>
  <si>
    <t>Linea 1876</t>
  </si>
  <si>
    <t>Linea 1875</t>
  </si>
  <si>
    <t>Linea 1874</t>
  </si>
  <si>
    <t>Linea 1873</t>
  </si>
  <si>
    <t>Linea 1872</t>
  </si>
  <si>
    <t>Linea 1871</t>
  </si>
  <si>
    <t>Linea 1870</t>
  </si>
  <si>
    <t>Linea 1869</t>
  </si>
  <si>
    <t>Linea 1868</t>
  </si>
  <si>
    <t>Linea 1867</t>
  </si>
  <si>
    <t>Linea 1866</t>
  </si>
  <si>
    <t>Linea 1865</t>
  </si>
  <si>
    <t>Linea 1864</t>
  </si>
  <si>
    <t>Linea 1863</t>
  </si>
  <si>
    <t>Linea 1862</t>
  </si>
  <si>
    <t>Linea 1861</t>
  </si>
  <si>
    <t>Linea 1860</t>
  </si>
  <si>
    <t>Linea 1859</t>
  </si>
  <si>
    <t>Linea 1858</t>
  </si>
  <si>
    <t>Linea 1857</t>
  </si>
  <si>
    <t>Linea 1856</t>
  </si>
  <si>
    <t>Linea 1855</t>
  </si>
  <si>
    <t>Linea 1854</t>
  </si>
  <si>
    <t>Linea 1853</t>
  </si>
  <si>
    <t>Linea 1852</t>
  </si>
  <si>
    <t>Linea 1851</t>
  </si>
  <si>
    <t>Linea 1850</t>
  </si>
  <si>
    <t>Linea 1849</t>
  </si>
  <si>
    <t>Linea 1848</t>
  </si>
  <si>
    <t>Linea 1847</t>
  </si>
  <si>
    <t>Linea 1846</t>
  </si>
  <si>
    <t>Linea 1845</t>
  </si>
  <si>
    <t>Linea 1844</t>
  </si>
  <si>
    <t>Linea 1843</t>
  </si>
  <si>
    <t>Linea 1842</t>
  </si>
  <si>
    <t>Linea 1841</t>
  </si>
  <si>
    <t>Linea 1840</t>
  </si>
  <si>
    <t>Linea 1839</t>
  </si>
  <si>
    <t>Linea 1838</t>
  </si>
  <si>
    <t>Linea 1837</t>
  </si>
  <si>
    <t>Linea 1836</t>
  </si>
  <si>
    <t>Linea 1835</t>
  </si>
  <si>
    <t>Linea 1834</t>
  </si>
  <si>
    <t>Linea 1833</t>
  </si>
  <si>
    <t>Linea 1832</t>
  </si>
  <si>
    <t>Linea 1831</t>
  </si>
  <si>
    <t>Linea 1830</t>
  </si>
  <si>
    <t>Linea 1829</t>
  </si>
  <si>
    <t>Linea 1828</t>
  </si>
  <si>
    <t>Linea 1827</t>
  </si>
  <si>
    <t>Linea 1826</t>
  </si>
  <si>
    <t>Linea 1825</t>
  </si>
  <si>
    <t>Linea 1824</t>
  </si>
  <si>
    <t>Linea 1823</t>
  </si>
  <si>
    <t>Linea 1822</t>
  </si>
  <si>
    <t>Linea 1821</t>
  </si>
  <si>
    <t>Linea 1820</t>
  </si>
  <si>
    <t>Linea 1819</t>
  </si>
  <si>
    <t>Linea 1818</t>
  </si>
  <si>
    <t>Linea 1817</t>
  </si>
  <si>
    <t>Linea 1816</t>
  </si>
  <si>
    <t>Linea 1815</t>
  </si>
  <si>
    <t>Linea 1814</t>
  </si>
  <si>
    <t>Linea 1813</t>
  </si>
  <si>
    <t>Linea 1812</t>
  </si>
  <si>
    <t>Linea 1811</t>
  </si>
  <si>
    <t>Linea 1810</t>
  </si>
  <si>
    <t>Linea 1809</t>
  </si>
  <si>
    <t>Linea 1808</t>
  </si>
  <si>
    <t>Linea 1807</t>
  </si>
  <si>
    <t>Linea 1806</t>
  </si>
  <si>
    <t>Linea 1805</t>
  </si>
  <si>
    <t>Linea 1804</t>
  </si>
  <si>
    <t>Linea 1803</t>
  </si>
  <si>
    <t>Linea 1802</t>
  </si>
  <si>
    <t>Linea 1801</t>
  </si>
  <si>
    <t>Linea 1800</t>
  </si>
  <si>
    <t>Linea 1799</t>
  </si>
  <si>
    <t>Linea 1798</t>
  </si>
  <si>
    <t>Linea 1797</t>
  </si>
  <si>
    <t>Linea 1796</t>
  </si>
  <si>
    <t>Linea 1795</t>
  </si>
  <si>
    <t>Linea 1794</t>
  </si>
  <si>
    <t>Linea 1793</t>
  </si>
  <si>
    <t>Linea 1792</t>
  </si>
  <si>
    <t>Linea 1791</t>
  </si>
  <si>
    <t>Linea 1790</t>
  </si>
  <si>
    <t>Linea 1789</t>
  </si>
  <si>
    <t>Linea 1788</t>
  </si>
  <si>
    <t>Linea 1787</t>
  </si>
  <si>
    <t>Linea 1786</t>
  </si>
  <si>
    <t>Linea 1785</t>
  </si>
  <si>
    <t>Linea 1784</t>
  </si>
  <si>
    <t>Linea 1783</t>
  </si>
  <si>
    <t>Linea 1782</t>
  </si>
  <si>
    <t>Linea 1781</t>
  </si>
  <si>
    <t>Linea 1780</t>
  </si>
  <si>
    <t>Linea 1779</t>
  </si>
  <si>
    <t>Linea 1778</t>
  </si>
  <si>
    <t>Linea 1777</t>
  </si>
  <si>
    <t>Linea 1776</t>
  </si>
  <si>
    <t>Linea 1775</t>
  </si>
  <si>
    <t>Linea 1774</t>
  </si>
  <si>
    <t>Linea 1773</t>
  </si>
  <si>
    <t>Linea 1772</t>
  </si>
  <si>
    <t>Linea 1771</t>
  </si>
  <si>
    <t>Linea 1770</t>
  </si>
  <si>
    <t>Linea 1769</t>
  </si>
  <si>
    <t>Linea 1768</t>
  </si>
  <si>
    <t>Linea 1767</t>
  </si>
  <si>
    <t>Linea 1766</t>
  </si>
  <si>
    <t>Linea 1765</t>
  </si>
  <si>
    <t>Linea 1764</t>
  </si>
  <si>
    <t>Linea 1763</t>
  </si>
  <si>
    <t>Linea 1762</t>
  </si>
  <si>
    <t>Linea 1761</t>
  </si>
  <si>
    <t>Linea 1760</t>
  </si>
  <si>
    <t>Linea 1759</t>
  </si>
  <si>
    <t>Linea 1758</t>
  </si>
  <si>
    <t>Linea 1757</t>
  </si>
  <si>
    <t>Linea 1756</t>
  </si>
  <si>
    <t>Linea 1755</t>
  </si>
  <si>
    <t>Linea 1754</t>
  </si>
  <si>
    <t>Linea 1753</t>
  </si>
  <si>
    <t>Linea 1752</t>
  </si>
  <si>
    <t>Linea 1751</t>
  </si>
  <si>
    <t>Linea 1750</t>
  </si>
  <si>
    <t>Linea 1749</t>
  </si>
  <si>
    <t>Linea 1748</t>
  </si>
  <si>
    <t>Linea 1747</t>
  </si>
  <si>
    <t>Linea 1746</t>
  </si>
  <si>
    <t>Linea 1745</t>
  </si>
  <si>
    <t>Linea 1744</t>
  </si>
  <si>
    <t>Linea 1743</t>
  </si>
  <si>
    <t>Linea 1742</t>
  </si>
  <si>
    <t>Linea 1741</t>
  </si>
  <si>
    <t>Linea 1740</t>
  </si>
  <si>
    <t>Linea 1739</t>
  </si>
  <si>
    <t>Linea 1738</t>
  </si>
  <si>
    <t>Linea 1737</t>
  </si>
  <si>
    <t>Linea 1736</t>
  </si>
  <si>
    <t>Linea 1735</t>
  </si>
  <si>
    <t>Linea 1734</t>
  </si>
  <si>
    <t>Linea 1733</t>
  </si>
  <si>
    <t>Linea 1732</t>
  </si>
  <si>
    <t>Linea 1731</t>
  </si>
  <si>
    <t>Linea 1730</t>
  </si>
  <si>
    <t>Linea 1729</t>
  </si>
  <si>
    <t>Linea 1728</t>
  </si>
  <si>
    <t>Linea 1727</t>
  </si>
  <si>
    <t>Linea 1726</t>
  </si>
  <si>
    <t>Linea 1725</t>
  </si>
  <si>
    <t>Linea 1724</t>
  </si>
  <si>
    <t>Linea 1723</t>
  </si>
  <si>
    <t>Linea 1722</t>
  </si>
  <si>
    <t>Linea 1721</t>
  </si>
  <si>
    <t>Linea 1720</t>
  </si>
  <si>
    <t>Linea 1719</t>
  </si>
  <si>
    <t>Linea 1718</t>
  </si>
  <si>
    <t>Linea 1717</t>
  </si>
  <si>
    <t>Linea 1716</t>
  </si>
  <si>
    <t>Linea 1715</t>
  </si>
  <si>
    <t>Linea 1714</t>
  </si>
  <si>
    <t>Linea 1713</t>
  </si>
  <si>
    <t>Linea 1712</t>
  </si>
  <si>
    <t>Linea 1711</t>
  </si>
  <si>
    <t>Linea 1710</t>
  </si>
  <si>
    <t>Linea 1709</t>
  </si>
  <si>
    <t>Linea 1708</t>
  </si>
  <si>
    <t>Linea 1707</t>
  </si>
  <si>
    <t>Linea 1706</t>
  </si>
  <si>
    <t>Linea 1705</t>
  </si>
  <si>
    <t>Linea 1704</t>
  </si>
  <si>
    <t>Linea 1703</t>
  </si>
  <si>
    <t>Linea 1702</t>
  </si>
  <si>
    <t>Linea 1701</t>
  </si>
  <si>
    <t>Linea 1700</t>
  </si>
  <si>
    <t>Linea 1699</t>
  </si>
  <si>
    <t>Linea 1698</t>
  </si>
  <si>
    <t>Linea 1697</t>
  </si>
  <si>
    <t>Linea 1696</t>
  </si>
  <si>
    <t>Linea 1695</t>
  </si>
  <si>
    <t>Linea 1694</t>
  </si>
  <si>
    <t>Linea 1693</t>
  </si>
  <si>
    <t>Linea 1692</t>
  </si>
  <si>
    <t>Linea 1691</t>
  </si>
  <si>
    <t>Linea 1690</t>
  </si>
  <si>
    <t>Linea 1689</t>
  </si>
  <si>
    <t>Linea 1688</t>
  </si>
  <si>
    <t>Linea 1687</t>
  </si>
  <si>
    <t>Linea 1686</t>
  </si>
  <si>
    <t>Linea 1685</t>
  </si>
  <si>
    <t>Linea 1684</t>
  </si>
  <si>
    <t>Linea 1683</t>
  </si>
  <si>
    <t>Linea 1682</t>
  </si>
  <si>
    <t>Linea 1681</t>
  </si>
  <si>
    <t>Linea 1680</t>
  </si>
  <si>
    <t>Linea 1679</t>
  </si>
  <si>
    <t>Linea 1678</t>
  </si>
  <si>
    <t>Linea 1677</t>
  </si>
  <si>
    <t>Linea 1676</t>
  </si>
  <si>
    <t>Linea 1675</t>
  </si>
  <si>
    <t>Linea 1674</t>
  </si>
  <si>
    <t>Linea 1673</t>
  </si>
  <si>
    <t>Linea 1672</t>
  </si>
  <si>
    <t>Linea 1671</t>
  </si>
  <si>
    <t>Linea 1670</t>
  </si>
  <si>
    <t>Linea 1669</t>
  </si>
  <si>
    <t>Linea 1668</t>
  </si>
  <si>
    <t>Linea 1667</t>
  </si>
  <si>
    <t>Linea 1666</t>
  </si>
  <si>
    <t>Linea 1665</t>
  </si>
  <si>
    <t>Linea 1664</t>
  </si>
  <si>
    <t>Linea 1663</t>
  </si>
  <si>
    <t>Linea 1662</t>
  </si>
  <si>
    <t>Linea 1661</t>
  </si>
  <si>
    <t>Linea 1660</t>
  </si>
  <si>
    <t>Linea 1659</t>
  </si>
  <si>
    <t>Linea 1658</t>
  </si>
  <si>
    <t>Linea 1657</t>
  </si>
  <si>
    <t>Linea 1656</t>
  </si>
  <si>
    <t>Linea 1655</t>
  </si>
  <si>
    <t>Linea 1654</t>
  </si>
  <si>
    <t>Linea 1653</t>
  </si>
  <si>
    <t>Linea 1652</t>
  </si>
  <si>
    <t>Linea 1651</t>
  </si>
  <si>
    <t>Linea 1650</t>
  </si>
  <si>
    <t>Linea 1649</t>
  </si>
  <si>
    <t>Linea 1648</t>
  </si>
  <si>
    <t>Linea 1647</t>
  </si>
  <si>
    <t>Linea 1646</t>
  </si>
  <si>
    <t>Linea 1645</t>
  </si>
  <si>
    <t>Linea 1644</t>
  </si>
  <si>
    <t>Linea 1643</t>
  </si>
  <si>
    <t>Linea 1642</t>
  </si>
  <si>
    <t>Linea 1641</t>
  </si>
  <si>
    <t>Linea 1640</t>
  </si>
  <si>
    <t>Linea 1639</t>
  </si>
  <si>
    <t>Linea 1638</t>
  </si>
  <si>
    <t>Linea 1637</t>
  </si>
  <si>
    <t>Linea 1636</t>
  </si>
  <si>
    <t>Linea 1635</t>
  </si>
  <si>
    <t>Linea 1634</t>
  </si>
  <si>
    <t>Linea 1633</t>
  </si>
  <si>
    <t>Linea 1632</t>
  </si>
  <si>
    <t>Linea 1631</t>
  </si>
  <si>
    <t>Linea 1630</t>
  </si>
  <si>
    <t>Linea 1629</t>
  </si>
  <si>
    <t>Linea 1628</t>
  </si>
  <si>
    <t>Linea 1627</t>
  </si>
  <si>
    <t>Linea 1626</t>
  </si>
  <si>
    <t>Linea 1625</t>
  </si>
  <si>
    <t>Linea 1624</t>
  </si>
  <si>
    <t>Linea 1623</t>
  </si>
  <si>
    <t>Linea 1622</t>
  </si>
  <si>
    <t>Linea 1621</t>
  </si>
  <si>
    <t>Linea 1620</t>
  </si>
  <si>
    <t>Linea 1619</t>
  </si>
  <si>
    <t>Linea 1618</t>
  </si>
  <si>
    <t>Linea 1617</t>
  </si>
  <si>
    <t>Linea 1616</t>
  </si>
  <si>
    <t>Linea 1615</t>
  </si>
  <si>
    <t>Linea 1614</t>
  </si>
  <si>
    <t>Linea 1613</t>
  </si>
  <si>
    <t>Linea 1612</t>
  </si>
  <si>
    <t>Linea 1611</t>
  </si>
  <si>
    <t>Linea 1610</t>
  </si>
  <si>
    <t>Linea 1609</t>
  </si>
  <si>
    <t>Linea 1608</t>
  </si>
  <si>
    <t>Linea 1607</t>
  </si>
  <si>
    <t>Linea 1606</t>
  </si>
  <si>
    <t>Linea 1605</t>
  </si>
  <si>
    <t>Linea 1604</t>
  </si>
  <si>
    <t>Linea 1603</t>
  </si>
  <si>
    <t>Linea 1602</t>
  </si>
  <si>
    <t>Linea 1601</t>
  </si>
  <si>
    <t>Linea 1600</t>
  </si>
  <si>
    <t>Linea 1599</t>
  </si>
  <si>
    <t>Linea 1598</t>
  </si>
  <si>
    <t>Linea 1597</t>
  </si>
  <si>
    <t>Linea 1596</t>
  </si>
  <si>
    <t>Linea 1595</t>
  </si>
  <si>
    <t>Linea 1594</t>
  </si>
  <si>
    <t>Linea 1593</t>
  </si>
  <si>
    <t>Linea 1592</t>
  </si>
  <si>
    <t>Linea 1591</t>
  </si>
  <si>
    <t>Linea 1590</t>
  </si>
  <si>
    <t>Linea 1589</t>
  </si>
  <si>
    <t>Linea 1588</t>
  </si>
  <si>
    <t>Linea 1587</t>
  </si>
  <si>
    <t>Linea 1586</t>
  </si>
  <si>
    <t>Linea 1585</t>
  </si>
  <si>
    <t>Linea 1584</t>
  </si>
  <si>
    <t>Linea 1583</t>
  </si>
  <si>
    <t>Linea 1582</t>
  </si>
  <si>
    <t>Linea 1581</t>
  </si>
  <si>
    <t>Linea 1580</t>
  </si>
  <si>
    <t>Linea 1579</t>
  </si>
  <si>
    <t>Linea 1578</t>
  </si>
  <si>
    <t>Linea 1577</t>
  </si>
  <si>
    <t>Linea 1576</t>
  </si>
  <si>
    <t>Linea 1575</t>
  </si>
  <si>
    <t>Linea 1574</t>
  </si>
  <si>
    <t>Linea 1573</t>
  </si>
  <si>
    <t>Linea 1572</t>
  </si>
  <si>
    <t>Linea 1571</t>
  </si>
  <si>
    <t>Linea 1570</t>
  </si>
  <si>
    <t>Linea 1569</t>
  </si>
  <si>
    <t>Linea 1568</t>
  </si>
  <si>
    <t>Linea 1567</t>
  </si>
  <si>
    <t>Linea 1566</t>
  </si>
  <si>
    <t>Linea 1565</t>
  </si>
  <si>
    <t>Linea 1564</t>
  </si>
  <si>
    <t>Linea 1563</t>
  </si>
  <si>
    <t>Linea 1562</t>
  </si>
  <si>
    <t>Linea 1561</t>
  </si>
  <si>
    <t>Linea 1560</t>
  </si>
  <si>
    <t>Linea 1559</t>
  </si>
  <si>
    <t>Linea 1558</t>
  </si>
  <si>
    <t>Linea 1557</t>
  </si>
  <si>
    <t>Linea 1556</t>
  </si>
  <si>
    <t>Linea 1555</t>
  </si>
  <si>
    <t>Linea 1554</t>
  </si>
  <si>
    <t>Linea 1553</t>
  </si>
  <si>
    <t>Linea 1552</t>
  </si>
  <si>
    <t>Linea 1551</t>
  </si>
  <si>
    <t>Linea 1550</t>
  </si>
  <si>
    <t>Linea 1549</t>
  </si>
  <si>
    <t>Linea 1548</t>
  </si>
  <si>
    <t>Linea 1547</t>
  </si>
  <si>
    <t>Linea 1546</t>
  </si>
  <si>
    <t>Linea 1545</t>
  </si>
  <si>
    <t>Linea 1544</t>
  </si>
  <si>
    <t>Linea 1543</t>
  </si>
  <si>
    <t>Linea 1542</t>
  </si>
  <si>
    <t>Linea 1541</t>
  </si>
  <si>
    <t>Linea 1540</t>
  </si>
  <si>
    <t>Linea 1539</t>
  </si>
  <si>
    <t>Linea 1538</t>
  </si>
  <si>
    <t>Linea 1537</t>
  </si>
  <si>
    <t>Linea 1536</t>
  </si>
  <si>
    <t>Linea 1535</t>
  </si>
  <si>
    <t>Linea 1534</t>
  </si>
  <si>
    <t>Linea 1533</t>
  </si>
  <si>
    <t>Linea 1532</t>
  </si>
  <si>
    <t>Linea 1531</t>
  </si>
  <si>
    <t>Linea 1530</t>
  </si>
  <si>
    <t>Linea 1529</t>
  </si>
  <si>
    <t>Linea 1528</t>
  </si>
  <si>
    <t>Linea 1527</t>
  </si>
  <si>
    <t>Linea 1526</t>
  </si>
  <si>
    <t>Linea 1525</t>
  </si>
  <si>
    <t>Linea 1524</t>
  </si>
  <si>
    <t>Linea 1523</t>
  </si>
  <si>
    <t>Linea 1522</t>
  </si>
  <si>
    <t>Linea 1521</t>
  </si>
  <si>
    <t>Linea 1520</t>
  </si>
  <si>
    <t>Linea 1519</t>
  </si>
  <si>
    <t>Linea 1518</t>
  </si>
  <si>
    <t>Linea 1517</t>
  </si>
  <si>
    <t>Linea 1516</t>
  </si>
  <si>
    <t>Linea 1515</t>
  </si>
  <si>
    <t>Linea 1514</t>
  </si>
  <si>
    <t>Linea 1513</t>
  </si>
  <si>
    <t>Linea 1512</t>
  </si>
  <si>
    <t>Linea 1511</t>
  </si>
  <si>
    <t>Linea 1510</t>
  </si>
  <si>
    <t>Linea 1509</t>
  </si>
  <si>
    <t>Linea 1508</t>
  </si>
  <si>
    <t>Linea 1507</t>
  </si>
  <si>
    <t>Linea 1506</t>
  </si>
  <si>
    <t>Linea 1505</t>
  </si>
  <si>
    <t>Linea 1504</t>
  </si>
  <si>
    <t>Linea 1503</t>
  </si>
  <si>
    <t>Linea 1502</t>
  </si>
  <si>
    <t>Linea 1501</t>
  </si>
  <si>
    <t>Linea 1500</t>
  </si>
  <si>
    <t>Linea 1499</t>
  </si>
  <si>
    <t>Linea 1498</t>
  </si>
  <si>
    <t>Linea 1497</t>
  </si>
  <si>
    <t>Linea 1496</t>
  </si>
  <si>
    <t>Linea 1495</t>
  </si>
  <si>
    <t>Linea 1494</t>
  </si>
  <si>
    <t>Linea 1493</t>
  </si>
  <si>
    <t>Linea 1492</t>
  </si>
  <si>
    <t>Linea 1491</t>
  </si>
  <si>
    <t>Linea 1490</t>
  </si>
  <si>
    <t>Linea 1489</t>
  </si>
  <si>
    <t>Linea 1488</t>
  </si>
  <si>
    <t>Linea 1487</t>
  </si>
  <si>
    <t>Linea 1486</t>
  </si>
  <si>
    <t>Linea 1485</t>
  </si>
  <si>
    <t>Linea 1484</t>
  </si>
  <si>
    <t>Linea 1483</t>
  </si>
  <si>
    <t>Linea 1482</t>
  </si>
  <si>
    <t>Linea 1481</t>
  </si>
  <si>
    <t>Linea 1480</t>
  </si>
  <si>
    <t>Linea 1479</t>
  </si>
  <si>
    <t>Linea 1478</t>
  </si>
  <si>
    <t>Linea 1477</t>
  </si>
  <si>
    <t>Linea 1476</t>
  </si>
  <si>
    <t>Linea 1475</t>
  </si>
  <si>
    <t>Linea 1474</t>
  </si>
  <si>
    <t>Linea 1473</t>
  </si>
  <si>
    <t>Linea 1472</t>
  </si>
  <si>
    <t>Linea 1471</t>
  </si>
  <si>
    <t>Linea 1470</t>
  </si>
  <si>
    <t>Linea 1469</t>
  </si>
  <si>
    <t>Linea 1468</t>
  </si>
  <si>
    <t>Linea 1467</t>
  </si>
  <si>
    <t>Linea 1466</t>
  </si>
  <si>
    <t>Linea 1465</t>
  </si>
  <si>
    <t>Linea 1464</t>
  </si>
  <si>
    <t>Linea 1463</t>
  </si>
  <si>
    <t>Linea 1462</t>
  </si>
  <si>
    <t>Linea 1461</t>
  </si>
  <si>
    <t>Linea 1460</t>
  </si>
  <si>
    <t>Linea 1459</t>
  </si>
  <si>
    <t>Linea 1458</t>
  </si>
  <si>
    <t>Linea 1457</t>
  </si>
  <si>
    <t>Linea 1456</t>
  </si>
  <si>
    <t>Linea 1455</t>
  </si>
  <si>
    <t>Linea 1454</t>
  </si>
  <si>
    <t>Linea 1453</t>
  </si>
  <si>
    <t>Linea 1452</t>
  </si>
  <si>
    <t>Linea 1451</t>
  </si>
  <si>
    <t>Linea 1450</t>
  </si>
  <si>
    <t>Linea 1449</t>
  </si>
  <si>
    <t>Linea 1448</t>
  </si>
  <si>
    <t>Linea 1447</t>
  </si>
  <si>
    <t>Linea 1446</t>
  </si>
  <si>
    <t>Linea 1445</t>
  </si>
  <si>
    <t>Linea 1444</t>
  </si>
  <si>
    <t>Linea 1443</t>
  </si>
  <si>
    <t>Linea 1442</t>
  </si>
  <si>
    <t>Linea 1441</t>
  </si>
  <si>
    <t>Linea 1440</t>
  </si>
  <si>
    <t>Linea 1439</t>
  </si>
  <si>
    <t>Linea 1438</t>
  </si>
  <si>
    <t>Linea 1437</t>
  </si>
  <si>
    <t>Linea 1436</t>
  </si>
  <si>
    <t>Linea 1435</t>
  </si>
  <si>
    <t>Linea 1434</t>
  </si>
  <si>
    <t>Linea 1433</t>
  </si>
  <si>
    <t>Linea 1432</t>
  </si>
  <si>
    <t>Linea 1431</t>
  </si>
  <si>
    <t>Linea 1430</t>
  </si>
  <si>
    <t>Linea 1429</t>
  </si>
  <si>
    <t>Linea 1428</t>
  </si>
  <si>
    <t>Linea 1427</t>
  </si>
  <si>
    <t>Linea 1426</t>
  </si>
  <si>
    <t>Linea 1425</t>
  </si>
  <si>
    <t>Linea 1424</t>
  </si>
  <si>
    <t>Linea 1423</t>
  </si>
  <si>
    <t>Linea 1422</t>
  </si>
  <si>
    <t>Linea 1421</t>
  </si>
  <si>
    <t>Linea 1420</t>
  </si>
  <si>
    <t>Linea 1419</t>
  </si>
  <si>
    <t>Linea 1418</t>
  </si>
  <si>
    <t>Linea 1417</t>
  </si>
  <si>
    <t>Linea 1416</t>
  </si>
  <si>
    <t>Linea 1415</t>
  </si>
  <si>
    <t>Linea 1414</t>
  </si>
  <si>
    <t>Linea 1413</t>
  </si>
  <si>
    <t>Linea 1412</t>
  </si>
  <si>
    <t>Linea 1411</t>
  </si>
  <si>
    <t>Linea 1410</t>
  </si>
  <si>
    <t>Linea 1409</t>
  </si>
  <si>
    <t>Linea 1408</t>
  </si>
  <si>
    <t>Linea 1407</t>
  </si>
  <si>
    <t>Linea 1406</t>
  </si>
  <si>
    <t>Linea 1405</t>
  </si>
  <si>
    <t>Linea 1404</t>
  </si>
  <si>
    <t>Linea 1403</t>
  </si>
  <si>
    <t>Linea 1402</t>
  </si>
  <si>
    <t>Linea 1401</t>
  </si>
  <si>
    <t>Linea 1400</t>
  </si>
  <si>
    <t>Linea 1399</t>
  </si>
  <si>
    <t>Linea 1398</t>
  </si>
  <si>
    <t>Linea 1397</t>
  </si>
  <si>
    <t>Linea 1396</t>
  </si>
  <si>
    <t>Linea 1395</t>
  </si>
  <si>
    <t>Linea 1394</t>
  </si>
  <si>
    <t>Linea 1393</t>
  </si>
  <si>
    <t>Linea 1392</t>
  </si>
  <si>
    <t>Linea 1391</t>
  </si>
  <si>
    <t>Linea 1390</t>
  </si>
  <si>
    <t>Linea 1389</t>
  </si>
  <si>
    <t>Linea 1388</t>
  </si>
  <si>
    <t>Linea 1387</t>
  </si>
  <si>
    <t>Linea 1386</t>
  </si>
  <si>
    <t>Linea 1385</t>
  </si>
  <si>
    <t>Linea 1384</t>
  </si>
  <si>
    <t>Linea 1383</t>
  </si>
  <si>
    <t>Linea 1382</t>
  </si>
  <si>
    <t>Linea 1381</t>
  </si>
  <si>
    <t>Linea 1380</t>
  </si>
  <si>
    <t>Linea 1379</t>
  </si>
  <si>
    <t>Linea 1378</t>
  </si>
  <si>
    <t>Linea 1377</t>
  </si>
  <si>
    <t>Linea 1376</t>
  </si>
  <si>
    <t>Linea 1375</t>
  </si>
  <si>
    <t>Linea 1374</t>
  </si>
  <si>
    <t>Linea 1373</t>
  </si>
  <si>
    <t>Linea 1372</t>
  </si>
  <si>
    <t>Linea 1371</t>
  </si>
  <si>
    <t>Linea 1370</t>
  </si>
  <si>
    <t>Linea 1369</t>
  </si>
  <si>
    <t>Linea 1368</t>
  </si>
  <si>
    <t>Linea 1367</t>
  </si>
  <si>
    <t>Linea 1366</t>
  </si>
  <si>
    <t>Linea 1365</t>
  </si>
  <si>
    <t>Linea 1364</t>
  </si>
  <si>
    <t>Linea 1363</t>
  </si>
  <si>
    <t>Linea 1362</t>
  </si>
  <si>
    <t>Linea 1361</t>
  </si>
  <si>
    <t>Linea 1360</t>
  </si>
  <si>
    <t>Linea 1359</t>
  </si>
  <si>
    <t>Linea 1358</t>
  </si>
  <si>
    <t>Linea 1357</t>
  </si>
  <si>
    <t>Linea 1356</t>
  </si>
  <si>
    <t>Linea 1355</t>
  </si>
  <si>
    <t>Linea 1354</t>
  </si>
  <si>
    <t>Linea 1353</t>
  </si>
  <si>
    <t>Linea 1352</t>
  </si>
  <si>
    <t>Linea 1351</t>
  </si>
  <si>
    <t>Linea 1350</t>
  </si>
  <si>
    <t>Linea 1349</t>
  </si>
  <si>
    <t>Linea 1348</t>
  </si>
  <si>
    <t>Linea 1347</t>
  </si>
  <si>
    <t>Linea 1346</t>
  </si>
  <si>
    <t>Linea 1345</t>
  </si>
  <si>
    <t>Linea 1344</t>
  </si>
  <si>
    <t>Linea 1343</t>
  </si>
  <si>
    <t>Linea 1342</t>
  </si>
  <si>
    <t>Linea 1341</t>
  </si>
  <si>
    <t>Linea 1340</t>
  </si>
  <si>
    <t>Linea 1339</t>
  </si>
  <si>
    <t>Linea 1338</t>
  </si>
  <si>
    <t>Linea 1337</t>
  </si>
  <si>
    <t>Linea 1336</t>
  </si>
  <si>
    <t>Linea 1335</t>
  </si>
  <si>
    <t>Linea 1334</t>
  </si>
  <si>
    <t>Linea 1333</t>
  </si>
  <si>
    <t>Linea 1332</t>
  </si>
  <si>
    <t>Linea 1331</t>
  </si>
  <si>
    <t>Linea 1330</t>
  </si>
  <si>
    <t>Linea 1329</t>
  </si>
  <si>
    <t>Linea 1328</t>
  </si>
  <si>
    <t>Linea 1327</t>
  </si>
  <si>
    <t>Linea 1326</t>
  </si>
  <si>
    <t>Linea 1325</t>
  </si>
  <si>
    <t>Linea 1324</t>
  </si>
  <si>
    <t>Linea 1323</t>
  </si>
  <si>
    <t>Linea 1322</t>
  </si>
  <si>
    <t>Linea 1321</t>
  </si>
  <si>
    <t>Linea 1320</t>
  </si>
  <si>
    <t>Linea 1319</t>
  </si>
  <si>
    <t>Linea 1318</t>
  </si>
  <si>
    <t>Linea 1317</t>
  </si>
  <si>
    <t>Linea 1316</t>
  </si>
  <si>
    <t>Linea 1315</t>
  </si>
  <si>
    <t>Linea 1314</t>
  </si>
  <si>
    <t>Linea 1313</t>
  </si>
  <si>
    <t>Linea 1312</t>
  </si>
  <si>
    <t>Linea 1311</t>
  </si>
  <si>
    <t>Linea 1310</t>
  </si>
  <si>
    <t>Linea 1309</t>
  </si>
  <si>
    <t>Linea 1308</t>
  </si>
  <si>
    <t>Linea 1307</t>
  </si>
  <si>
    <t>Linea 1306</t>
  </si>
  <si>
    <t>Linea 1305</t>
  </si>
  <si>
    <t>Linea 1304</t>
  </si>
  <si>
    <t>Linea 1303</t>
  </si>
  <si>
    <t>Linea 1302</t>
  </si>
  <si>
    <t>Linea 1301</t>
  </si>
  <si>
    <t>Linea 1300</t>
  </si>
  <si>
    <t>Linea 1299</t>
  </si>
  <si>
    <t>Linea 1298</t>
  </si>
  <si>
    <t>Linea 1297</t>
  </si>
  <si>
    <t>Linea 1296</t>
  </si>
  <si>
    <t>Linea 1295</t>
  </si>
  <si>
    <t>Linea 1294</t>
  </si>
  <si>
    <t>Linea 1293</t>
  </si>
  <si>
    <t>Linea 1292</t>
  </si>
  <si>
    <t>Linea 1291</t>
  </si>
  <si>
    <t>Linea 1290</t>
  </si>
  <si>
    <t>Linea 1289</t>
  </si>
  <si>
    <t>Linea 1288</t>
  </si>
  <si>
    <t>Linea 1287</t>
  </si>
  <si>
    <t>Linea 1286</t>
  </si>
  <si>
    <t>Linea 1285</t>
  </si>
  <si>
    <t>Linea 1284</t>
  </si>
  <si>
    <t>Linea 1283</t>
  </si>
  <si>
    <t>Linea 1282</t>
  </si>
  <si>
    <t>Linea 1281</t>
  </si>
  <si>
    <t>Linea 1280</t>
  </si>
  <si>
    <t>Linea 1279</t>
  </si>
  <si>
    <t>Linea 1278</t>
  </si>
  <si>
    <t>Linea 1277</t>
  </si>
  <si>
    <t>Linea 1276</t>
  </si>
  <si>
    <t>Linea 1275</t>
  </si>
  <si>
    <t>Linea 1274</t>
  </si>
  <si>
    <t>Linea 1273</t>
  </si>
  <si>
    <t>Linea 1272</t>
  </si>
  <si>
    <t>Linea 1271</t>
  </si>
  <si>
    <t>Linea 1270</t>
  </si>
  <si>
    <t>Linea 1269</t>
  </si>
  <si>
    <t>Linea 1268</t>
  </si>
  <si>
    <t>Linea 1267</t>
  </si>
  <si>
    <t>Linea 1266</t>
  </si>
  <si>
    <t>Linea 1265</t>
  </si>
  <si>
    <t>Linea 1264</t>
  </si>
  <si>
    <t>Linea 1263</t>
  </si>
  <si>
    <t>Linea 1262</t>
  </si>
  <si>
    <t>Linea 1261</t>
  </si>
  <si>
    <t>Linea 1260</t>
  </si>
  <si>
    <t>Linea 1259</t>
  </si>
  <si>
    <t>Linea 1258</t>
  </si>
  <si>
    <t>Linea 1257</t>
  </si>
  <si>
    <t>Linea 1256</t>
  </si>
  <si>
    <t>Linea 1255</t>
  </si>
  <si>
    <t>Linea 1254</t>
  </si>
  <si>
    <t>Linea 1253</t>
  </si>
  <si>
    <t>Linea 1252</t>
  </si>
  <si>
    <t>Linea 1251</t>
  </si>
  <si>
    <t>Linea 1250</t>
  </si>
  <si>
    <t>Linea 1249</t>
  </si>
  <si>
    <t>Linea 1248</t>
  </si>
  <si>
    <t>Linea 1247</t>
  </si>
  <si>
    <t>Linea 1246</t>
  </si>
  <si>
    <t>Linea 1245</t>
  </si>
  <si>
    <t>Linea 1244</t>
  </si>
  <si>
    <t>Linea 1243</t>
  </si>
  <si>
    <t>Linea 1242</t>
  </si>
  <si>
    <t>Linea 1241</t>
  </si>
  <si>
    <t>Linea 1240</t>
  </si>
  <si>
    <t>Linea 1239</t>
  </si>
  <si>
    <t>Linea 1238</t>
  </si>
  <si>
    <t>Linea 1237</t>
  </si>
  <si>
    <t>Linea 1236</t>
  </si>
  <si>
    <t>Linea 1235</t>
  </si>
  <si>
    <t>Linea 1234</t>
  </si>
  <si>
    <t>Linea 1233</t>
  </si>
  <si>
    <t>Linea 1232</t>
  </si>
  <si>
    <t>Linea 1231</t>
  </si>
  <si>
    <t>Linea 1230</t>
  </si>
  <si>
    <t>Linea 1229</t>
  </si>
  <si>
    <t>Linea 1228</t>
  </si>
  <si>
    <t>Linea 1227</t>
  </si>
  <si>
    <t>Linea 1226</t>
  </si>
  <si>
    <t>Linea 1225</t>
  </si>
  <si>
    <t>Linea 1224</t>
  </si>
  <si>
    <t>Linea 1223</t>
  </si>
  <si>
    <t>Linea 1222</t>
  </si>
  <si>
    <t>Linea 1221</t>
  </si>
  <si>
    <t>Linea 1220</t>
  </si>
  <si>
    <t>Linea 1219</t>
  </si>
  <si>
    <t>Linea 1218</t>
  </si>
  <si>
    <t>Linea 1217</t>
  </si>
  <si>
    <t>Linea 1216</t>
  </si>
  <si>
    <t>Linea 1215</t>
  </si>
  <si>
    <t>Linea 1214</t>
  </si>
  <si>
    <t>Linea 1213</t>
  </si>
  <si>
    <t>Linea 1212</t>
  </si>
  <si>
    <t>Linea 1211</t>
  </si>
  <si>
    <t>Linea 1210</t>
  </si>
  <si>
    <t>Linea 1209</t>
  </si>
  <si>
    <t>Linea 1208</t>
  </si>
  <si>
    <t>Linea 1207</t>
  </si>
  <si>
    <t>Linea 1206</t>
  </si>
  <si>
    <t>Linea 1205</t>
  </si>
  <si>
    <t>Linea 1204</t>
  </si>
  <si>
    <t>Linea 1203</t>
  </si>
  <si>
    <t>Linea 1202</t>
  </si>
  <si>
    <t>Linea 1201</t>
  </si>
  <si>
    <t>Linea 1200</t>
  </si>
  <si>
    <t>Linea 1199</t>
  </si>
  <si>
    <t>Linea 1198</t>
  </si>
  <si>
    <t>Linea 1197</t>
  </si>
  <si>
    <t>Linea 1196</t>
  </si>
  <si>
    <t>Linea 1195</t>
  </si>
  <si>
    <t>Linea 1194</t>
  </si>
  <si>
    <t>Linea 1193</t>
  </si>
  <si>
    <t>Linea 1192</t>
  </si>
  <si>
    <t>Linea 1191</t>
  </si>
  <si>
    <t>Linea 1190</t>
  </si>
  <si>
    <t>Linea 1189</t>
  </si>
  <si>
    <t>Linea 1188</t>
  </si>
  <si>
    <t>Linea 1187</t>
  </si>
  <si>
    <t>Linea 1186</t>
  </si>
  <si>
    <t>Linea 1185</t>
  </si>
  <si>
    <t>Linea 1184</t>
  </si>
  <si>
    <t>Linea 1183</t>
  </si>
  <si>
    <t>Linea 1182</t>
  </si>
  <si>
    <t>Linea 1181</t>
  </si>
  <si>
    <t>Linea 1180</t>
  </si>
  <si>
    <t>Linea 1179</t>
  </si>
  <si>
    <t>Linea 1178</t>
  </si>
  <si>
    <t>Linea 1177</t>
  </si>
  <si>
    <t>Linea 1176</t>
  </si>
  <si>
    <t>Linea 1175</t>
  </si>
  <si>
    <t>Linea 1174</t>
  </si>
  <si>
    <t>Linea 1173</t>
  </si>
  <si>
    <t>Linea 1172</t>
  </si>
  <si>
    <t>Linea 1171</t>
  </si>
  <si>
    <t>Linea 1170</t>
  </si>
  <si>
    <t>Linea 1169</t>
  </si>
  <si>
    <t>Linea 1168</t>
  </si>
  <si>
    <t>Linea 1167</t>
  </si>
  <si>
    <t>Linea 1166</t>
  </si>
  <si>
    <t>Linea 1165</t>
  </si>
  <si>
    <t>Linea 1164</t>
  </si>
  <si>
    <t>Linea 1163</t>
  </si>
  <si>
    <t>Linea 1162</t>
  </si>
  <si>
    <t>Linea 1161</t>
  </si>
  <si>
    <t>Linea 1160</t>
  </si>
  <si>
    <t>Linea 1159</t>
  </si>
  <si>
    <t>Linea 1158</t>
  </si>
  <si>
    <t>Linea 1157</t>
  </si>
  <si>
    <t>Linea 1156</t>
  </si>
  <si>
    <t>Linea 1155</t>
  </si>
  <si>
    <t>Linea 1154</t>
  </si>
  <si>
    <t>Linea 1153</t>
  </si>
  <si>
    <t>Linea 1152</t>
  </si>
  <si>
    <t>Linea 1151</t>
  </si>
  <si>
    <t>Linea 1150</t>
  </si>
  <si>
    <t>Linea 1149</t>
  </si>
  <si>
    <t>Linea 1148</t>
  </si>
  <si>
    <t>Linea 1147</t>
  </si>
  <si>
    <t>Linea 1146</t>
  </si>
  <si>
    <t>Linea 1145</t>
  </si>
  <si>
    <t>Linea 1144</t>
  </si>
  <si>
    <t>Linea 1143</t>
  </si>
  <si>
    <t>Linea 1142</t>
  </si>
  <si>
    <t>Linea 1141</t>
  </si>
  <si>
    <t>Linea 1140</t>
  </si>
  <si>
    <t>Linea 1139</t>
  </si>
  <si>
    <t>Linea 1138</t>
  </si>
  <si>
    <t>Linea 1137</t>
  </si>
  <si>
    <t>Linea 1136</t>
  </si>
  <si>
    <t>Linea 1135</t>
  </si>
  <si>
    <t>Linea 1134</t>
  </si>
  <si>
    <t>Linea 1133</t>
  </si>
  <si>
    <t>Linea 1132</t>
  </si>
  <si>
    <t>Linea 1131</t>
  </si>
  <si>
    <t>Linea 1130</t>
  </si>
  <si>
    <t>Linea 1129</t>
  </si>
  <si>
    <t>Linea 1128</t>
  </si>
  <si>
    <t>Linea 1127</t>
  </si>
  <si>
    <t>Linea 1126</t>
  </si>
  <si>
    <t>Linea 1125</t>
  </si>
  <si>
    <t>Linea 1124</t>
  </si>
  <si>
    <t>Linea 1123</t>
  </si>
  <si>
    <t>Linea 1122</t>
  </si>
  <si>
    <t>Linea 1121</t>
  </si>
  <si>
    <t>Linea 1120</t>
  </si>
  <si>
    <t>Linea 1119</t>
  </si>
  <si>
    <t>Linea 1118</t>
  </si>
  <si>
    <t>Linea 1117</t>
  </si>
  <si>
    <t>Linea 1116</t>
  </si>
  <si>
    <t>Linea 1115</t>
  </si>
  <si>
    <t>Linea 1114</t>
  </si>
  <si>
    <t>Linea 1113</t>
  </si>
  <si>
    <t>Linea 1112</t>
  </si>
  <si>
    <t>Linea 1111</t>
  </si>
  <si>
    <t>Linea 1110</t>
  </si>
  <si>
    <t>Linea 1109</t>
  </si>
  <si>
    <t>Linea 1108</t>
  </si>
  <si>
    <t>Linea 1107</t>
  </si>
  <si>
    <t>Linea 1106</t>
  </si>
  <si>
    <t>Linea 1105</t>
  </si>
  <si>
    <t>Linea 1104</t>
  </si>
  <si>
    <t>Linea 1103</t>
  </si>
  <si>
    <t>Linea 1102</t>
  </si>
  <si>
    <t>Linea 1101</t>
  </si>
  <si>
    <t>Linea 1100</t>
  </si>
  <si>
    <t>Linea 1099</t>
  </si>
  <si>
    <t>Linea 1098</t>
  </si>
  <si>
    <t>Linea 1097</t>
  </si>
  <si>
    <t>Linea 1096</t>
  </si>
  <si>
    <t>Linea 1095</t>
  </si>
  <si>
    <t>Linea 1094</t>
  </si>
  <si>
    <t>Linea 1093</t>
  </si>
  <si>
    <t>Linea 1092</t>
  </si>
  <si>
    <t>Linea 1091</t>
  </si>
  <si>
    <t>Linea 1090</t>
  </si>
  <si>
    <t>Linea 1089</t>
  </si>
  <si>
    <t>Linea 1088</t>
  </si>
  <si>
    <t>Linea 1087</t>
  </si>
  <si>
    <t>Linea 1086</t>
  </si>
  <si>
    <t>Linea 1085</t>
  </si>
  <si>
    <t>Linea 1084</t>
  </si>
  <si>
    <t>Linea 1083</t>
  </si>
  <si>
    <t>Linea 1082</t>
  </si>
  <si>
    <t>Linea 1081</t>
  </si>
  <si>
    <t>Linea 1080</t>
  </si>
  <si>
    <t>Linea 1079</t>
  </si>
  <si>
    <t>Linea 1078</t>
  </si>
  <si>
    <t>Linea 1077</t>
  </si>
  <si>
    <t>Linea 1076</t>
  </si>
  <si>
    <t>Linea 1075</t>
  </si>
  <si>
    <t>Linea 1074</t>
  </si>
  <si>
    <t>Linea 1073</t>
  </si>
  <si>
    <t>Linea 1072</t>
  </si>
  <si>
    <t>Linea 1071</t>
  </si>
  <si>
    <t>Linea 1070</t>
  </si>
  <si>
    <t>Linea 1069</t>
  </si>
  <si>
    <t>Linea 1068</t>
  </si>
  <si>
    <t>Linea 1067</t>
  </si>
  <si>
    <t>Linea 1066</t>
  </si>
  <si>
    <t>Linea 1065</t>
  </si>
  <si>
    <t>Linea 1064</t>
  </si>
  <si>
    <t>Linea 1063</t>
  </si>
  <si>
    <t>Linea 1062</t>
  </si>
  <si>
    <t>Linea 1061</t>
  </si>
  <si>
    <t>Linea 1060</t>
  </si>
  <si>
    <t>Linea 1059</t>
  </si>
  <si>
    <t>Linea 1058</t>
  </si>
  <si>
    <t>Linea 1057</t>
  </si>
  <si>
    <t>Linea 1056</t>
  </si>
  <si>
    <t>Linea 1055</t>
  </si>
  <si>
    <t>Linea 1054</t>
  </si>
  <si>
    <t>Linea 1053</t>
  </si>
  <si>
    <t>Linea 1052</t>
  </si>
  <si>
    <t>Linea 1051</t>
  </si>
  <si>
    <t>Linea 1050</t>
  </si>
  <si>
    <t>Linea 1049</t>
  </si>
  <si>
    <t>Linea 1048</t>
  </si>
  <si>
    <t>Linea 1047</t>
  </si>
  <si>
    <t>Linea 1046</t>
  </si>
  <si>
    <t>Linea 1045</t>
  </si>
  <si>
    <t>Linea 1044</t>
  </si>
  <si>
    <t>Linea 1043</t>
  </si>
  <si>
    <t>Linea 1042</t>
  </si>
  <si>
    <t>Linea 1041</t>
  </si>
  <si>
    <t>Linea 1040</t>
  </si>
  <si>
    <t>Linea 1039</t>
  </si>
  <si>
    <t>Linea 1038</t>
  </si>
  <si>
    <t>Linea 1037</t>
  </si>
  <si>
    <t>Linea 1036</t>
  </si>
  <si>
    <t>Linea 1035</t>
  </si>
  <si>
    <t>Linea 1034</t>
  </si>
  <si>
    <t>Linea 1033</t>
  </si>
  <si>
    <t>Linea 1032</t>
  </si>
  <si>
    <t>Linea 1031</t>
  </si>
  <si>
    <t>Linea 1030</t>
  </si>
  <si>
    <t>Linea 1029</t>
  </si>
  <si>
    <t>Linea 1028</t>
  </si>
  <si>
    <t>Linea 1027</t>
  </si>
  <si>
    <t>Linea 1026</t>
  </si>
  <si>
    <t>Linea 1025</t>
  </si>
  <si>
    <t>Linea 1024</t>
  </si>
  <si>
    <t>Linea 1023</t>
  </si>
  <si>
    <t>Linea 1022</t>
  </si>
  <si>
    <t>Linea 1021</t>
  </si>
  <si>
    <t>Linea 1020</t>
  </si>
  <si>
    <t>Linea 1019</t>
  </si>
  <si>
    <t>Linea 1018</t>
  </si>
  <si>
    <t>Linea 1017</t>
  </si>
  <si>
    <t>Linea 1016</t>
  </si>
  <si>
    <t>Linea 1015</t>
  </si>
  <si>
    <t>Linea 1014</t>
  </si>
  <si>
    <t>Linea 1013</t>
  </si>
  <si>
    <t>Linea 1012</t>
  </si>
  <si>
    <t>Linea 1011</t>
  </si>
  <si>
    <t>Linea 1010</t>
  </si>
  <si>
    <t>Linea 1009</t>
  </si>
  <si>
    <t>Linea 1008</t>
  </si>
  <si>
    <t>Linea 1007</t>
  </si>
  <si>
    <t>Linea 1006</t>
  </si>
  <si>
    <t>Linea 1005</t>
  </si>
  <si>
    <t>Linea 1004</t>
  </si>
  <si>
    <t>Linea 1003</t>
  </si>
  <si>
    <t>Linea 1002</t>
  </si>
  <si>
    <t>Linea 1001</t>
  </si>
  <si>
    <t>Linea 1000</t>
  </si>
  <si>
    <t>Linea 999</t>
  </si>
  <si>
    <t>Linea 998</t>
  </si>
  <si>
    <t>Linea 997</t>
  </si>
  <si>
    <t>Linea 996</t>
  </si>
  <si>
    <t>Linea 995</t>
  </si>
  <si>
    <t>Linea 994</t>
  </si>
  <si>
    <t>Linea 993</t>
  </si>
  <si>
    <t>Linea 992</t>
  </si>
  <si>
    <t>Linea 991</t>
  </si>
  <si>
    <t>Linea 990</t>
  </si>
  <si>
    <t>Linea 989</t>
  </si>
  <si>
    <t>Linea 988</t>
  </si>
  <si>
    <t>Linea 987</t>
  </si>
  <si>
    <t>Linea 986</t>
  </si>
  <si>
    <t>Linea 985</t>
  </si>
  <si>
    <t>Linea 984</t>
  </si>
  <si>
    <t>Linea 983</t>
  </si>
  <si>
    <t>Linea 982</t>
  </si>
  <si>
    <t>Linea 981</t>
  </si>
  <si>
    <t>Linea 980</t>
  </si>
  <si>
    <t>Linea 979</t>
  </si>
  <si>
    <t>Linea 978</t>
  </si>
  <si>
    <t>Linea 977</t>
  </si>
  <si>
    <t>Linea 976</t>
  </si>
  <si>
    <t>Linea 975</t>
  </si>
  <si>
    <t>Linea 974</t>
  </si>
  <si>
    <t>Linea 973</t>
  </si>
  <si>
    <t>Linea 972</t>
  </si>
  <si>
    <t>Linea 971</t>
  </si>
  <si>
    <t>Linea 970</t>
  </si>
  <si>
    <t>Linea 969</t>
  </si>
  <si>
    <t>Linea 968</t>
  </si>
  <si>
    <t>Linea 967</t>
  </si>
  <si>
    <t>Linea 966</t>
  </si>
  <si>
    <t>Linea 965</t>
  </si>
  <si>
    <t>Linea 964</t>
  </si>
  <si>
    <t>Linea 963</t>
  </si>
  <si>
    <t>Linea 962</t>
  </si>
  <si>
    <t>Linea 961</t>
  </si>
  <si>
    <t>Linea 960</t>
  </si>
  <si>
    <t>Linea 959</t>
  </si>
  <si>
    <t>Linea 958</t>
  </si>
  <si>
    <t>Linea 957</t>
  </si>
  <si>
    <t>Linea 956</t>
  </si>
  <si>
    <t>Linea 955</t>
  </si>
  <si>
    <t>Linea 954</t>
  </si>
  <si>
    <t>Linea 953</t>
  </si>
  <si>
    <t>Linea 952</t>
  </si>
  <si>
    <t>Linea 951</t>
  </si>
  <si>
    <t>Linea 950</t>
  </si>
  <si>
    <t>Linea 949</t>
  </si>
  <si>
    <t>Linea 948</t>
  </si>
  <si>
    <t>Linea 947</t>
  </si>
  <si>
    <t>Linea 946</t>
  </si>
  <si>
    <t>Linea 945</t>
  </si>
  <si>
    <t>Linea 944</t>
  </si>
  <si>
    <t>Linea 943</t>
  </si>
  <si>
    <t>Linea 942</t>
  </si>
  <si>
    <t>Linea 941</t>
  </si>
  <si>
    <t>Linea 940</t>
  </si>
  <si>
    <t>Linea 939</t>
  </si>
  <si>
    <t>Linea 938</t>
  </si>
  <si>
    <t>Linea 937</t>
  </si>
  <si>
    <t>Linea 936</t>
  </si>
  <si>
    <t>Linea 935</t>
  </si>
  <si>
    <t>Linea 934</t>
  </si>
  <si>
    <t>Linea 933</t>
  </si>
  <si>
    <t>Linea 932</t>
  </si>
  <si>
    <t>Linea 931</t>
  </si>
  <si>
    <t>Linea 930</t>
  </si>
  <si>
    <t>Linea 929</t>
  </si>
  <si>
    <t>Linea 928</t>
  </si>
  <si>
    <t>Linea 927</t>
  </si>
  <si>
    <t>Linea 926</t>
  </si>
  <si>
    <t>Linea 925</t>
  </si>
  <si>
    <t>Linea 924</t>
  </si>
  <si>
    <t>Linea 923</t>
  </si>
  <si>
    <t>Linea 922</t>
  </si>
  <si>
    <t>Linea 921</t>
  </si>
  <si>
    <t>Linea 920</t>
  </si>
  <si>
    <t>Linea 919</t>
  </si>
  <si>
    <t>Linea 918</t>
  </si>
  <si>
    <t>Linea 917</t>
  </si>
  <si>
    <t>Linea 916</t>
  </si>
  <si>
    <t>Linea 915</t>
  </si>
  <si>
    <t>Linea 914</t>
  </si>
  <si>
    <t>Linea 913</t>
  </si>
  <si>
    <t>Linea 912</t>
  </si>
  <si>
    <t>Linea 911</t>
  </si>
  <si>
    <t>Linea 910</t>
  </si>
  <si>
    <t>Linea 909</t>
  </si>
  <si>
    <t>Linea 908</t>
  </si>
  <si>
    <t>Linea 907</t>
  </si>
  <si>
    <t>Linea 906</t>
  </si>
  <si>
    <t>Linea 905</t>
  </si>
  <si>
    <t>Linea 904</t>
  </si>
  <si>
    <t>Linea 903</t>
  </si>
  <si>
    <t>Linea 902</t>
  </si>
  <si>
    <t>Linea 901</t>
  </si>
  <si>
    <t>Linea 900</t>
  </si>
  <si>
    <t>Linea 899</t>
  </si>
  <si>
    <t>Linea 898</t>
  </si>
  <si>
    <t>Linea 897</t>
  </si>
  <si>
    <t>Linea 896</t>
  </si>
  <si>
    <t>Linea 895</t>
  </si>
  <si>
    <t>Linea 894</t>
  </si>
  <si>
    <t>Linea 893</t>
  </si>
  <si>
    <t>Linea 892</t>
  </si>
  <si>
    <t>Linea 891</t>
  </si>
  <si>
    <t>Linea 890</t>
  </si>
  <si>
    <t>Linea 889</t>
  </si>
  <si>
    <t>Linea 888</t>
  </si>
  <si>
    <t>Linea 887</t>
  </si>
  <si>
    <t>Linea 886</t>
  </si>
  <si>
    <t>Linea 885</t>
  </si>
  <si>
    <t>Linea 884</t>
  </si>
  <si>
    <t>Linea 883</t>
  </si>
  <si>
    <t>Linea 882</t>
  </si>
  <si>
    <t>Linea 881</t>
  </si>
  <si>
    <t>Linea 880</t>
  </si>
  <si>
    <t>Linea 879</t>
  </si>
  <si>
    <t>Linea 878</t>
  </si>
  <si>
    <t>Linea 877</t>
  </si>
  <si>
    <t>Linea 876</t>
  </si>
  <si>
    <t>Linea 875</t>
  </si>
  <si>
    <t>Linea 874</t>
  </si>
  <si>
    <t>Linea 873</t>
  </si>
  <si>
    <t>Linea 872</t>
  </si>
  <si>
    <t>Linea 871</t>
  </si>
  <si>
    <t>Linea 870</t>
  </si>
  <si>
    <t>Linea 869</t>
  </si>
  <si>
    <t>Linea 868</t>
  </si>
  <si>
    <t>Linea 867</t>
  </si>
  <si>
    <t>Linea 866</t>
  </si>
  <si>
    <t>Linea 865</t>
  </si>
  <si>
    <t>Linea 864</t>
  </si>
  <si>
    <t>Linea 863</t>
  </si>
  <si>
    <t>Linea 862</t>
  </si>
  <si>
    <t>Linea 861</t>
  </si>
  <si>
    <t>Linea 860</t>
  </si>
  <si>
    <t>Linea 859</t>
  </si>
  <si>
    <t>Linea 858</t>
  </si>
  <si>
    <t>Linea 857</t>
  </si>
  <si>
    <t>Linea 856</t>
  </si>
  <si>
    <t>Linea 855</t>
  </si>
  <si>
    <t>Linea 854</t>
  </si>
  <si>
    <t>Linea 853</t>
  </si>
  <si>
    <t>Linea 852</t>
  </si>
  <si>
    <t>Linea 851</t>
  </si>
  <si>
    <t>Linea 850</t>
  </si>
  <si>
    <t>Linea 849</t>
  </si>
  <si>
    <t>Linea 848</t>
  </si>
  <si>
    <t>Linea 847</t>
  </si>
  <si>
    <t>Linea 846</t>
  </si>
  <si>
    <t>Linea 845</t>
  </si>
  <si>
    <t>Linea 844</t>
  </si>
  <si>
    <t>Linea 843</t>
  </si>
  <si>
    <t>Linea 842</t>
  </si>
  <si>
    <t>Linea 841</t>
  </si>
  <si>
    <t>Linea 840</t>
  </si>
  <si>
    <t>Linea 839</t>
  </si>
  <si>
    <t>Linea 838</t>
  </si>
  <si>
    <t>Linea 837</t>
  </si>
  <si>
    <t>Linea 836</t>
  </si>
  <si>
    <t>Linea 835</t>
  </si>
  <si>
    <t>Linea 834</t>
  </si>
  <si>
    <t>Linea 833</t>
  </si>
  <si>
    <t>Linea 832</t>
  </si>
  <si>
    <t>Linea 831</t>
  </si>
  <si>
    <t>Linea 830</t>
  </si>
  <si>
    <t>Linea 829</t>
  </si>
  <si>
    <t>Linea 828</t>
  </si>
  <si>
    <t>Linea 827</t>
  </si>
  <si>
    <t>Linea 826</t>
  </si>
  <si>
    <t>Linea 825</t>
  </si>
  <si>
    <t>Linea 824</t>
  </si>
  <si>
    <t>Linea 823</t>
  </si>
  <si>
    <t>Linea 822</t>
  </si>
  <si>
    <t>Linea 821</t>
  </si>
  <si>
    <t>Linea 820</t>
  </si>
  <si>
    <t>Linea 819</t>
  </si>
  <si>
    <t>Linea 818</t>
  </si>
  <si>
    <t>Linea 817</t>
  </si>
  <si>
    <t>Linea 816</t>
  </si>
  <si>
    <t>Linea 815</t>
  </si>
  <si>
    <t>Linea 814</t>
  </si>
  <si>
    <t>Linea 813</t>
  </si>
  <si>
    <t>Linea 812</t>
  </si>
  <si>
    <t>Linea 811</t>
  </si>
  <si>
    <t>Linea 810</t>
  </si>
  <si>
    <t>Linea 809</t>
  </si>
  <si>
    <t>Linea 808</t>
  </si>
  <si>
    <t>Linea 807</t>
  </si>
  <si>
    <t>Linea 806</t>
  </si>
  <si>
    <t>Linea 805</t>
  </si>
  <si>
    <t>Linea 804</t>
  </si>
  <si>
    <t>Linea 803</t>
  </si>
  <si>
    <t>Linea 802</t>
  </si>
  <si>
    <t>Linea 801</t>
  </si>
  <si>
    <t>Linea 800</t>
  </si>
  <si>
    <t>Linea 799</t>
  </si>
  <si>
    <t>Linea 798</t>
  </si>
  <si>
    <t>Linea 797</t>
  </si>
  <si>
    <t>Linea 796</t>
  </si>
  <si>
    <t>Linea 795</t>
  </si>
  <si>
    <t>Linea 794</t>
  </si>
  <si>
    <t>Linea 793</t>
  </si>
  <si>
    <t>Linea 792</t>
  </si>
  <si>
    <t>Linea 791</t>
  </si>
  <si>
    <t>Linea 790</t>
  </si>
  <si>
    <t>Linea 789</t>
  </si>
  <si>
    <t>Linea 788</t>
  </si>
  <si>
    <t>Linea 787</t>
  </si>
  <si>
    <t>Linea 786</t>
  </si>
  <si>
    <t>Linea 785</t>
  </si>
  <si>
    <t>Linea 784</t>
  </si>
  <si>
    <t>Linea 783</t>
  </si>
  <si>
    <t>Linea 782</t>
  </si>
  <si>
    <t>Linea 781</t>
  </si>
  <si>
    <t>Linea 780</t>
  </si>
  <si>
    <t>Linea 779</t>
  </si>
  <si>
    <t>Linea 778</t>
  </si>
  <si>
    <t>Linea 777</t>
  </si>
  <si>
    <t>Linea 776</t>
  </si>
  <si>
    <t>Linea 775</t>
  </si>
  <si>
    <t>Linea 774</t>
  </si>
  <si>
    <t>Linea 773</t>
  </si>
  <si>
    <t>Linea 772</t>
  </si>
  <si>
    <t>Linea 771</t>
  </si>
  <si>
    <t>Linea 770</t>
  </si>
  <si>
    <t>Linea 769</t>
  </si>
  <si>
    <t>Linea 768</t>
  </si>
  <si>
    <t>Linea 767</t>
  </si>
  <si>
    <t>Linea 766</t>
  </si>
  <si>
    <t>Linea 765</t>
  </si>
  <si>
    <t>Linea 764</t>
  </si>
  <si>
    <t>Linea 763</t>
  </si>
  <si>
    <t>Linea 762</t>
  </si>
  <si>
    <t>Linea 761</t>
  </si>
  <si>
    <t>Linea 760</t>
  </si>
  <si>
    <t>Linea 759</t>
  </si>
  <si>
    <t>Linea 758</t>
  </si>
  <si>
    <t>Linea 757</t>
  </si>
  <si>
    <t>Linea 756</t>
  </si>
  <si>
    <t>Linea 755</t>
  </si>
  <si>
    <t>Linea 754</t>
  </si>
  <si>
    <t>Linea 753</t>
  </si>
  <si>
    <t>Linea 752</t>
  </si>
  <si>
    <t>Linea 751</t>
  </si>
  <si>
    <t>Linea 750</t>
  </si>
  <si>
    <t>Linea 749</t>
  </si>
  <si>
    <t>Linea 748</t>
  </si>
  <si>
    <t>Linea 747</t>
  </si>
  <si>
    <t>Linea 746</t>
  </si>
  <si>
    <t>Linea 745</t>
  </si>
  <si>
    <t>Linea 744</t>
  </si>
  <si>
    <t>Linea 743</t>
  </si>
  <si>
    <t>Linea 742</t>
  </si>
  <si>
    <t>Linea 741</t>
  </si>
  <si>
    <t>Linea 740</t>
  </si>
  <si>
    <t>Linea 739</t>
  </si>
  <si>
    <t>Linea 738</t>
  </si>
  <si>
    <t>Linea 737</t>
  </si>
  <si>
    <t>Linea 736</t>
  </si>
  <si>
    <t>Linea 735</t>
  </si>
  <si>
    <t>Linea 734</t>
  </si>
  <si>
    <t>Linea 733</t>
  </si>
  <si>
    <t>Linea 732</t>
  </si>
  <si>
    <t>Linea 731</t>
  </si>
  <si>
    <t>Linea 730</t>
  </si>
  <si>
    <t>Linea 729</t>
  </si>
  <si>
    <t>Linea 728</t>
  </si>
  <si>
    <t>Linea 727</t>
  </si>
  <si>
    <t>Linea 726</t>
  </si>
  <si>
    <t>Linea 725</t>
  </si>
  <si>
    <t>Linea 724</t>
  </si>
  <si>
    <t>Linea 723</t>
  </si>
  <si>
    <t>Linea 722</t>
  </si>
  <si>
    <t>Linea 721</t>
  </si>
  <si>
    <t>Linea 720</t>
  </si>
  <si>
    <t>Linea 719</t>
  </si>
  <si>
    <t>Linea 718</t>
  </si>
  <si>
    <t>Linea 717</t>
  </si>
  <si>
    <t>Linea 716</t>
  </si>
  <si>
    <t>Linea 715</t>
  </si>
  <si>
    <t>Linea 714</t>
  </si>
  <si>
    <t>Linea 713</t>
  </si>
  <si>
    <t>Linea 712</t>
  </si>
  <si>
    <t>Linea 711</t>
  </si>
  <si>
    <t>Linea 710</t>
  </si>
  <si>
    <t>Linea 709</t>
  </si>
  <si>
    <t>Linea 708</t>
  </si>
  <si>
    <t>Linea 707</t>
  </si>
  <si>
    <t>Linea 706</t>
  </si>
  <si>
    <t>Linea 705</t>
  </si>
  <si>
    <t>Linea 704</t>
  </si>
  <si>
    <t>Linea 703</t>
  </si>
  <si>
    <t>Linea 702</t>
  </si>
  <si>
    <t>Linea 701</t>
  </si>
  <si>
    <t>Linea 700</t>
  </si>
  <si>
    <t>Linea 699</t>
  </si>
  <si>
    <t>Linea 698</t>
  </si>
  <si>
    <t>Linea 697</t>
  </si>
  <si>
    <t>Linea 696</t>
  </si>
  <si>
    <t>Linea 695</t>
  </si>
  <si>
    <t>Linea 694</t>
  </si>
  <si>
    <t>Linea 693</t>
  </si>
  <si>
    <t>Linea 692</t>
  </si>
  <si>
    <t>Linea 691</t>
  </si>
  <si>
    <t>Linea 690</t>
  </si>
  <si>
    <t>Linea 689</t>
  </si>
  <si>
    <t>Linea 688</t>
  </si>
  <si>
    <t>Linea 687</t>
  </si>
  <si>
    <t>Linea 686</t>
  </si>
  <si>
    <t>Linea 685</t>
  </si>
  <si>
    <t>Linea 684</t>
  </si>
  <si>
    <t>Linea 683</t>
  </si>
  <si>
    <t>Linea 682</t>
  </si>
  <si>
    <t>Linea 681</t>
  </si>
  <si>
    <t>Linea 680</t>
  </si>
  <si>
    <t>Linea 679</t>
  </si>
  <si>
    <t>Linea 678</t>
  </si>
  <si>
    <t>Linea 677</t>
  </si>
  <si>
    <t>Linea 676</t>
  </si>
  <si>
    <t>Linea 675</t>
  </si>
  <si>
    <t>Linea 674</t>
  </si>
  <si>
    <t>Linea 673</t>
  </si>
  <si>
    <t>Linea 672</t>
  </si>
  <si>
    <t>Linea 671</t>
  </si>
  <si>
    <t>Linea 670</t>
  </si>
  <si>
    <t>Linea 669</t>
  </si>
  <si>
    <t>Linea 668</t>
  </si>
  <si>
    <t>Linea 667</t>
  </si>
  <si>
    <t>Linea 666</t>
  </si>
  <si>
    <t>Linea 665</t>
  </si>
  <si>
    <t>Linea 664</t>
  </si>
  <si>
    <t>Linea 663</t>
  </si>
  <si>
    <t>Linea 662</t>
  </si>
  <si>
    <t>Linea 661</t>
  </si>
  <si>
    <t>Linea 660</t>
  </si>
  <si>
    <t>Linea 659</t>
  </si>
  <si>
    <t>Linea 658</t>
  </si>
  <si>
    <t>Linea 657</t>
  </si>
  <si>
    <t>Linea 656</t>
  </si>
  <si>
    <t>Linea 655</t>
  </si>
  <si>
    <t>Linea 654</t>
  </si>
  <si>
    <t>Linea 653</t>
  </si>
  <si>
    <t>Linea 652</t>
  </si>
  <si>
    <t>Linea 651</t>
  </si>
  <si>
    <t>Linea 650</t>
  </si>
  <si>
    <t>Linea 649</t>
  </si>
  <si>
    <t>Linea 648</t>
  </si>
  <si>
    <t>Linea 647</t>
  </si>
  <si>
    <t>Linea 646</t>
  </si>
  <si>
    <t>Linea 645</t>
  </si>
  <si>
    <t>Linea 644</t>
  </si>
  <si>
    <t>Linea 643</t>
  </si>
  <si>
    <t>Linea 642</t>
  </si>
  <si>
    <t>Linea 641</t>
  </si>
  <si>
    <t>Linea 640</t>
  </si>
  <si>
    <t>Linea 639</t>
  </si>
  <si>
    <t>Linea 638</t>
  </si>
  <si>
    <t>Linea 637</t>
  </si>
  <si>
    <t>Linea 636</t>
  </si>
  <si>
    <t>Linea 635</t>
  </si>
  <si>
    <t>Linea 634</t>
  </si>
  <si>
    <t>Linea 633</t>
  </si>
  <si>
    <t>Linea 632</t>
  </si>
  <si>
    <t>Linea 631</t>
  </si>
  <si>
    <t>Linea 630</t>
  </si>
  <si>
    <t>Linea 629</t>
  </si>
  <si>
    <t>Linea 628</t>
  </si>
  <si>
    <t>Linea 627</t>
  </si>
  <si>
    <t>Linea 626</t>
  </si>
  <si>
    <t>Linea 625</t>
  </si>
  <si>
    <t>Linea 624</t>
  </si>
  <si>
    <t>Linea 622</t>
  </si>
  <si>
    <t>Linea 621</t>
  </si>
  <si>
    <t>Linea 620</t>
  </si>
  <si>
    <t>Linea 619</t>
  </si>
  <si>
    <t>Linea 618</t>
  </si>
  <si>
    <t>Linea 617</t>
  </si>
  <si>
    <t>Linea 616</t>
  </si>
  <si>
    <t>Linea 615</t>
  </si>
  <si>
    <t>Linea 614</t>
  </si>
  <si>
    <t>Linea 613</t>
  </si>
  <si>
    <t>Linea 612</t>
  </si>
  <si>
    <t>Linea 611</t>
  </si>
  <si>
    <t>Linea 610</t>
  </si>
  <si>
    <t>Linea 609</t>
  </si>
  <si>
    <t>Linea 608</t>
  </si>
  <si>
    <t>Linea 607</t>
  </si>
  <si>
    <t>Linea 606</t>
  </si>
  <si>
    <t>Linea 605</t>
  </si>
  <si>
    <t>Linea 604</t>
  </si>
  <si>
    <t>Linea 603</t>
  </si>
  <si>
    <t>Linea 602</t>
  </si>
  <si>
    <t>Linea 601</t>
  </si>
  <si>
    <t>Linea 600</t>
  </si>
  <si>
    <t>Linea 599</t>
  </si>
  <si>
    <t>Linea 598</t>
  </si>
  <si>
    <t>Linea 597</t>
  </si>
  <si>
    <t>Linea 596</t>
  </si>
  <si>
    <t>Linea 595</t>
  </si>
  <si>
    <t>Linea 594</t>
  </si>
  <si>
    <t>Linea 593</t>
  </si>
  <si>
    <t>Linea 592</t>
  </si>
  <si>
    <t>Linea 591</t>
  </si>
  <si>
    <t>Linea 590</t>
  </si>
  <si>
    <t>Linea 589</t>
  </si>
  <si>
    <t>Linea 588</t>
  </si>
  <si>
    <t>Linea 587</t>
  </si>
  <si>
    <t>Linea 586</t>
  </si>
  <si>
    <t>Linea 585</t>
  </si>
  <si>
    <t>Linea 584</t>
  </si>
  <si>
    <t>Linea 583</t>
  </si>
  <si>
    <t>Linea 582</t>
  </si>
  <si>
    <t>Linea 581</t>
  </si>
  <si>
    <t>Linea 580</t>
  </si>
  <si>
    <t>Linea 579</t>
  </si>
  <si>
    <t>Linea 578</t>
  </si>
  <si>
    <t>Linea 577</t>
  </si>
  <si>
    <t>Linea 576</t>
  </si>
  <si>
    <t>Linea 575</t>
  </si>
  <si>
    <t>Linea 574</t>
  </si>
  <si>
    <t>Linea 573</t>
  </si>
  <si>
    <t>Linea 572</t>
  </si>
  <si>
    <t>Linea 571</t>
  </si>
  <si>
    <t>Linea 570</t>
  </si>
  <si>
    <t>Linea 569</t>
  </si>
  <si>
    <t>Linea 568</t>
  </si>
  <si>
    <t>Linea 567</t>
  </si>
  <si>
    <t>Linea 566</t>
  </si>
  <si>
    <t>Linea 565</t>
  </si>
  <si>
    <t>Linea 564</t>
  </si>
  <si>
    <t>Linea 563</t>
  </si>
  <si>
    <t>Linea 562</t>
  </si>
  <si>
    <t>Linea 561</t>
  </si>
  <si>
    <t>Linea 560</t>
  </si>
  <si>
    <t>Linea 559</t>
  </si>
  <si>
    <t>Linea 558</t>
  </si>
  <si>
    <t>Linea 557</t>
  </si>
  <si>
    <t>Linea 556</t>
  </si>
  <si>
    <t>Linea 555</t>
  </si>
  <si>
    <t>Linea 554</t>
  </si>
  <si>
    <t>Linea 553</t>
  </si>
  <si>
    <t>Linea 552</t>
  </si>
  <si>
    <t>Linea 551</t>
  </si>
  <si>
    <t>Linea 550</t>
  </si>
  <si>
    <t>Linea 549</t>
  </si>
  <si>
    <t>Linea 548</t>
  </si>
  <si>
    <t>Linea 547</t>
  </si>
  <si>
    <t>Linea 546</t>
  </si>
  <si>
    <t>Linea 545</t>
  </si>
  <si>
    <t>Linea 544</t>
  </si>
  <si>
    <t>Linea 543</t>
  </si>
  <si>
    <t>Linea 542</t>
  </si>
  <si>
    <t>Linea 541</t>
  </si>
  <si>
    <t>Linea 540</t>
  </si>
  <si>
    <t>Linea 539</t>
  </si>
  <si>
    <t>Linea 538</t>
  </si>
  <si>
    <t>Linea 537</t>
  </si>
  <si>
    <t>Linea 536</t>
  </si>
  <si>
    <t>Linea 535</t>
  </si>
  <si>
    <t>Linea 534</t>
  </si>
  <si>
    <t>Linea 533</t>
  </si>
  <si>
    <t>Linea 532</t>
  </si>
  <si>
    <t>Linea 531</t>
  </si>
  <si>
    <t>Linea 530</t>
  </si>
  <si>
    <t>Linea 529</t>
  </si>
  <si>
    <t>Linea 528</t>
  </si>
  <si>
    <t>Linea 527</t>
  </si>
  <si>
    <t>Linea 526</t>
  </si>
  <si>
    <t>Linea 525</t>
  </si>
  <si>
    <t>Linea 524</t>
  </si>
  <si>
    <t>Linea 523</t>
  </si>
  <si>
    <t>Linea 522</t>
  </si>
  <si>
    <t>Linea 521</t>
  </si>
  <si>
    <t>Linea 520</t>
  </si>
  <si>
    <t>Linea 519</t>
  </si>
  <si>
    <t>Linea 518</t>
  </si>
  <si>
    <t>Linea 517</t>
  </si>
  <si>
    <t>Linea 516</t>
  </si>
  <si>
    <t>Linea 515</t>
  </si>
  <si>
    <t>Linea 514</t>
  </si>
  <si>
    <t>Linea 513</t>
  </si>
  <si>
    <t>Linea 512</t>
  </si>
  <si>
    <t>Linea 511</t>
  </si>
  <si>
    <t>Linea 510</t>
  </si>
  <si>
    <t>Linea 509</t>
  </si>
  <si>
    <t>Linea 508</t>
  </si>
  <si>
    <t>Linea 507</t>
  </si>
  <si>
    <t>Linea 506</t>
  </si>
  <si>
    <t>Linea 505</t>
  </si>
  <si>
    <t>Linea 504</t>
  </si>
  <si>
    <t>Linea 503</t>
  </si>
  <si>
    <t>Linea 502</t>
  </si>
  <si>
    <t>Linea 501</t>
  </si>
  <si>
    <t>Linea 500</t>
  </si>
  <si>
    <t>Linea 499</t>
  </si>
  <si>
    <t>Linea 498</t>
  </si>
  <si>
    <t>Linea 497</t>
  </si>
  <si>
    <t>Linea 496</t>
  </si>
  <si>
    <t>Linea 495</t>
  </si>
  <si>
    <t>Linea 494</t>
  </si>
  <si>
    <t>Linea 493</t>
  </si>
  <si>
    <t>Linea 492</t>
  </si>
  <si>
    <t>Linea 491</t>
  </si>
  <si>
    <t>Linea 490</t>
  </si>
  <si>
    <t>Linea 489</t>
  </si>
  <si>
    <t>Linea 488</t>
  </si>
  <si>
    <t>Linea 487</t>
  </si>
  <si>
    <t>Linea 486</t>
  </si>
  <si>
    <t>Linea 485</t>
  </si>
  <si>
    <t>Linea 484</t>
  </si>
  <si>
    <t>Linea 483</t>
  </si>
  <si>
    <t>Linea 482</t>
  </si>
  <si>
    <t>Linea 481</t>
  </si>
  <si>
    <t>Linea 480</t>
  </si>
  <si>
    <t>Linea 479</t>
  </si>
  <si>
    <t>Linea 478</t>
  </si>
  <si>
    <t>Linea 477</t>
  </si>
  <si>
    <t>Linea 476</t>
  </si>
  <si>
    <t>Linea 475</t>
  </si>
  <si>
    <t>Linea 474</t>
  </si>
  <si>
    <t>Linea 473</t>
  </si>
  <si>
    <t>Linea 472</t>
  </si>
  <si>
    <t>Linea 471</t>
  </si>
  <si>
    <t>Linea 470</t>
  </si>
  <si>
    <t>Linea 469</t>
  </si>
  <si>
    <t>Linea 468</t>
  </si>
  <si>
    <t>Linea 467</t>
  </si>
  <si>
    <t>Linea 466</t>
  </si>
  <si>
    <t>Linea 465</t>
  </si>
  <si>
    <t>Linea 464</t>
  </si>
  <si>
    <t>Linea 463</t>
  </si>
  <si>
    <t>Linea 462</t>
  </si>
  <si>
    <t>Linea 461</t>
  </si>
  <si>
    <t>Linea 460</t>
  </si>
  <si>
    <t>Linea 459</t>
  </si>
  <si>
    <t>Linea 458</t>
  </si>
  <si>
    <t>Linea 457</t>
  </si>
  <si>
    <t>Linea 456</t>
  </si>
  <si>
    <t>Linea 455</t>
  </si>
  <si>
    <t>Linea 454</t>
  </si>
  <si>
    <t>Linea 453</t>
  </si>
  <si>
    <t>Linea 452</t>
  </si>
  <si>
    <t>Linea 451</t>
  </si>
  <si>
    <t>Linea 450</t>
  </si>
  <si>
    <t>Linea 449</t>
  </si>
  <si>
    <t>Linea 448</t>
  </si>
  <si>
    <t>Linea 447</t>
  </si>
  <si>
    <t>Linea 446</t>
  </si>
  <si>
    <t>Linea 445</t>
  </si>
  <si>
    <t>Linea 444</t>
  </si>
  <si>
    <t>Linea 443</t>
  </si>
  <si>
    <t>Linea 442</t>
  </si>
  <si>
    <t>Linea 441</t>
  </si>
  <si>
    <t>Linea 440</t>
  </si>
  <si>
    <t>Linea 439</t>
  </si>
  <si>
    <t>Linea 438</t>
  </si>
  <si>
    <t>Linea 437</t>
  </si>
  <si>
    <t>Linea 436</t>
  </si>
  <si>
    <t>Linea 435</t>
  </si>
  <si>
    <t>Linea 434</t>
  </si>
  <si>
    <t>Linea 433</t>
  </si>
  <si>
    <t>Linea 432</t>
  </si>
  <si>
    <t>Linea 431</t>
  </si>
  <si>
    <t>Linea 430</t>
  </si>
  <si>
    <t>Linea 429</t>
  </si>
  <si>
    <t>Linea 428</t>
  </si>
  <si>
    <t>Linea 427</t>
  </si>
  <si>
    <t>Linea 426</t>
  </si>
  <si>
    <t>Linea 425</t>
  </si>
  <si>
    <t>Linea 424</t>
  </si>
  <si>
    <t>Linea 423</t>
  </si>
  <si>
    <t>Linea 422</t>
  </si>
  <si>
    <t>Linea 421</t>
  </si>
  <si>
    <t>Linea 420</t>
  </si>
  <si>
    <t>Linea 419</t>
  </si>
  <si>
    <t>Linea 418</t>
  </si>
  <si>
    <t>Linea 417</t>
  </si>
  <si>
    <t>Linea 416</t>
  </si>
  <si>
    <t>Linea 415</t>
  </si>
  <si>
    <t>Linea 414</t>
  </si>
  <si>
    <t>Linea 413</t>
  </si>
  <si>
    <t>Linea 412</t>
  </si>
  <si>
    <t>Linea 411</t>
  </si>
  <si>
    <t>Linea 410</t>
  </si>
  <si>
    <t>Linea 409</t>
  </si>
  <si>
    <t>Linea 408</t>
  </si>
  <si>
    <t>Linea 407</t>
  </si>
  <si>
    <t>Linea 406</t>
  </si>
  <si>
    <t>Linea 405</t>
  </si>
  <si>
    <t>Linea 404</t>
  </si>
  <si>
    <t>Linea 403</t>
  </si>
  <si>
    <t>Linea 402</t>
  </si>
  <si>
    <t>Linea 401</t>
  </si>
  <si>
    <t>Linea 400</t>
  </si>
  <si>
    <t>Linea 399</t>
  </si>
  <si>
    <t>Linea 398</t>
  </si>
  <si>
    <t>Linea 397</t>
  </si>
  <si>
    <t>Linea 396</t>
  </si>
  <si>
    <t>Linea 395</t>
  </si>
  <si>
    <t>Linea 394</t>
  </si>
  <si>
    <t>Linea 393</t>
  </si>
  <si>
    <t>Linea 392</t>
  </si>
  <si>
    <t>Linea 391</t>
  </si>
  <si>
    <t>Linea 390</t>
  </si>
  <si>
    <t>Linea 389</t>
  </si>
  <si>
    <t>Linea 388</t>
  </si>
  <si>
    <t>Linea 387</t>
  </si>
  <si>
    <t>Linea 386</t>
  </si>
  <si>
    <t>Linea 385</t>
  </si>
  <si>
    <t>Linea 384</t>
  </si>
  <si>
    <t>Linea 383</t>
  </si>
  <si>
    <t>Linea 382</t>
  </si>
  <si>
    <t>Linea 381</t>
  </si>
  <si>
    <t>Linea 380</t>
  </si>
  <si>
    <t>Linea 379</t>
  </si>
  <si>
    <t>Linea 378</t>
  </si>
  <si>
    <t>Linea 377</t>
  </si>
  <si>
    <t>Linea 376</t>
  </si>
  <si>
    <t>Linea 375</t>
  </si>
  <si>
    <t>Linea 374</t>
  </si>
  <si>
    <t>Linea 373</t>
  </si>
  <si>
    <t>Linea 372</t>
  </si>
  <si>
    <t>Linea 371</t>
  </si>
  <si>
    <t>Linea 370</t>
  </si>
  <si>
    <t>Linea 369</t>
  </si>
  <si>
    <t>Linea 368</t>
  </si>
  <si>
    <t>Linea 367</t>
  </si>
  <si>
    <t>Linea 366</t>
  </si>
  <si>
    <t>Linea 365</t>
  </si>
  <si>
    <t>Linea 364</t>
  </si>
  <si>
    <t>Linea 363</t>
  </si>
  <si>
    <t>Linea 362</t>
  </si>
  <si>
    <t>Linea 361</t>
  </si>
  <si>
    <t>Linea 360</t>
  </si>
  <si>
    <t>Linea 359</t>
  </si>
  <si>
    <t>Linea 358</t>
  </si>
  <si>
    <t>Linea 357</t>
  </si>
  <si>
    <t>Linea 356</t>
  </si>
  <si>
    <t>Linea 355</t>
  </si>
  <si>
    <t>Linea 354</t>
  </si>
  <si>
    <t>Linea 353</t>
  </si>
  <si>
    <t>Linea 352</t>
  </si>
  <si>
    <t>Linea 351</t>
  </si>
  <si>
    <t>Linea 350</t>
  </si>
  <si>
    <t>Linea 349</t>
  </si>
  <si>
    <t>Linea 348</t>
  </si>
  <si>
    <t>Linea 347</t>
  </si>
  <si>
    <t>Linea 346</t>
  </si>
  <si>
    <t>Linea 345</t>
  </si>
  <si>
    <t>Linea 344</t>
  </si>
  <si>
    <t>Linea 343</t>
  </si>
  <si>
    <t>Linea 342</t>
  </si>
  <si>
    <t>Linea 341</t>
  </si>
  <si>
    <t>Linea 340</t>
  </si>
  <si>
    <t>Linea 339</t>
  </si>
  <si>
    <t>Linea 338</t>
  </si>
  <si>
    <t>Linea 337</t>
  </si>
  <si>
    <t>Linea 336</t>
  </si>
  <si>
    <t>Linea 335</t>
  </si>
  <si>
    <t>Linea 334</t>
  </si>
  <si>
    <t>Linea 333</t>
  </si>
  <si>
    <t>Linea 332</t>
  </si>
  <si>
    <t>Linea 331</t>
  </si>
  <si>
    <t>Linea 330</t>
  </si>
  <si>
    <t>Linea 329</t>
  </si>
  <si>
    <t>Linea 328</t>
  </si>
  <si>
    <t>Linea 327</t>
  </si>
  <si>
    <t>Linea 326</t>
  </si>
  <si>
    <t>Linea 325</t>
  </si>
  <si>
    <t>Linea 324</t>
  </si>
  <si>
    <t>Linea 323</t>
  </si>
  <si>
    <t>Linea 322</t>
  </si>
  <si>
    <t>Linea 321</t>
  </si>
  <si>
    <t>Linea 320</t>
  </si>
  <si>
    <t>Linea 319</t>
  </si>
  <si>
    <t>Linea 318</t>
  </si>
  <si>
    <t>Linea 317</t>
  </si>
  <si>
    <t>Linea 316</t>
  </si>
  <si>
    <t>Linea 315</t>
  </si>
  <si>
    <t>Linea 314</t>
  </si>
  <si>
    <t>Linea 313</t>
  </si>
  <si>
    <t>Linea 312</t>
  </si>
  <si>
    <t>Linea 311</t>
  </si>
  <si>
    <t>Linea 310</t>
  </si>
  <si>
    <t>Linea 309</t>
  </si>
  <si>
    <t>Linea 308</t>
  </si>
  <si>
    <t>Linea 307</t>
  </si>
  <si>
    <t>Linea 306</t>
  </si>
  <si>
    <t>Linea 305</t>
  </si>
  <si>
    <t>Linea 304</t>
  </si>
  <si>
    <t>Linea 303</t>
  </si>
  <si>
    <t>Linea 302</t>
  </si>
  <si>
    <t>Linea 301</t>
  </si>
  <si>
    <t>Linea 300</t>
  </si>
  <si>
    <t>Linea 299</t>
  </si>
  <si>
    <t>Linea 298</t>
  </si>
  <si>
    <t>Linea 297</t>
  </si>
  <si>
    <t>Linea 296</t>
  </si>
  <si>
    <t>Linea 295</t>
  </si>
  <si>
    <t>Linea 294</t>
  </si>
  <si>
    <t>Linea 293</t>
  </si>
  <si>
    <t>Linea 292</t>
  </si>
  <si>
    <t>Linea 291</t>
  </si>
  <si>
    <t>Linea 290</t>
  </si>
  <si>
    <t>Linea 289</t>
  </si>
  <si>
    <t>Linea 288</t>
  </si>
  <si>
    <t>Linea 287</t>
  </si>
  <si>
    <t>Linea 286</t>
  </si>
  <si>
    <t>Linea 285</t>
  </si>
  <si>
    <t>Linea 284</t>
  </si>
  <si>
    <t>Linea 283</t>
  </si>
  <si>
    <t>Linea 282</t>
  </si>
  <si>
    <t>Linea 281</t>
  </si>
  <si>
    <t>Linea 280</t>
  </si>
  <si>
    <t>Linea 279</t>
  </si>
  <si>
    <t>Linea 278</t>
  </si>
  <si>
    <t>Linea 277</t>
  </si>
  <si>
    <t>Linea 276</t>
  </si>
  <si>
    <t>Linea 275</t>
  </si>
  <si>
    <t>Linea 274</t>
  </si>
  <si>
    <t>Linea 273</t>
  </si>
  <si>
    <t>Linea 272</t>
  </si>
  <si>
    <t>Linea 271</t>
  </si>
  <si>
    <t>Linea 270</t>
  </si>
  <si>
    <t>Linea 269</t>
  </si>
  <si>
    <t>Linea 268</t>
  </si>
  <si>
    <t>Linea 267</t>
  </si>
  <si>
    <t>Linea 266</t>
  </si>
  <si>
    <t>Linea 265</t>
  </si>
  <si>
    <t>Linea 264</t>
  </si>
  <si>
    <t>Linea 263</t>
  </si>
  <si>
    <t>Linea 262</t>
  </si>
  <si>
    <t>Linea 261</t>
  </si>
  <si>
    <t>Linea 260</t>
  </si>
  <si>
    <t>Linea 259</t>
  </si>
  <si>
    <t>Linea 258</t>
  </si>
  <si>
    <t>Linea 257</t>
  </si>
  <si>
    <t>Linea 256</t>
  </si>
  <si>
    <t>Linea 255</t>
  </si>
  <si>
    <t>Linea 254</t>
  </si>
  <si>
    <t>Linea 253</t>
  </si>
  <si>
    <t>Linea 252</t>
  </si>
  <si>
    <t>Linea 251</t>
  </si>
  <si>
    <t>Linea 250</t>
  </si>
  <si>
    <t>Linea 249</t>
  </si>
  <si>
    <t>Linea 248</t>
  </si>
  <si>
    <t>Linea 247</t>
  </si>
  <si>
    <t>Linea 246</t>
  </si>
  <si>
    <t>Linea 245</t>
  </si>
  <si>
    <t>Linea 244</t>
  </si>
  <si>
    <t>Linea 243</t>
  </si>
  <si>
    <t>Linea 242</t>
  </si>
  <si>
    <t>Linea 241</t>
  </si>
  <si>
    <t>Linea 240</t>
  </si>
  <si>
    <t>Linea 239</t>
  </si>
  <si>
    <t>Linea 238</t>
  </si>
  <si>
    <t>Linea 237</t>
  </si>
  <si>
    <t>Linea 236</t>
  </si>
  <si>
    <t>Linea 235</t>
  </si>
  <si>
    <t>Linea 234</t>
  </si>
  <si>
    <t>Linea 233</t>
  </si>
  <si>
    <t>Linea 232</t>
  </si>
  <si>
    <t>Linea 231</t>
  </si>
  <si>
    <t>Linea 230</t>
  </si>
  <si>
    <t>Linea 229</t>
  </si>
  <si>
    <t>Linea 228</t>
  </si>
  <si>
    <t>Linea 227</t>
  </si>
  <si>
    <t>Linea 226</t>
  </si>
  <si>
    <t>Linea 225</t>
  </si>
  <si>
    <t>Linea 224</t>
  </si>
  <si>
    <t>Linea 223</t>
  </si>
  <si>
    <t>Linea 222</t>
  </si>
  <si>
    <t>Linea 221</t>
  </si>
  <si>
    <t>Linea 220</t>
  </si>
  <si>
    <t>Linea 219</t>
  </si>
  <si>
    <t>Linea 218</t>
  </si>
  <si>
    <t>Linea 217</t>
  </si>
  <si>
    <t>Linea 216</t>
  </si>
  <si>
    <t>Linea 215</t>
  </si>
  <si>
    <t>Linea 214</t>
  </si>
  <si>
    <t>Linea 213</t>
  </si>
  <si>
    <t>Linea 212</t>
  </si>
  <si>
    <t>Linea 211</t>
  </si>
  <si>
    <t>Linea 210</t>
  </si>
  <si>
    <t>Linea 209</t>
  </si>
  <si>
    <t>Linea 208</t>
  </si>
  <si>
    <t>Linea 207</t>
  </si>
  <si>
    <t>Linea 206</t>
  </si>
  <si>
    <t>Linea 205</t>
  </si>
  <si>
    <t>Linea 204</t>
  </si>
  <si>
    <t>Linea 203</t>
  </si>
  <si>
    <t>Linea 202</t>
  </si>
  <si>
    <t>Linea 201</t>
  </si>
  <si>
    <t>Linea 200</t>
  </si>
  <si>
    <t>Linea 199</t>
  </si>
  <si>
    <t>Linea 198</t>
  </si>
  <si>
    <t>Linea 197</t>
  </si>
  <si>
    <t>Linea 196</t>
  </si>
  <si>
    <t>Linea 195</t>
  </si>
  <si>
    <t>Linea 194</t>
  </si>
  <si>
    <t>Linea 193</t>
  </si>
  <si>
    <t>Linea 192</t>
  </si>
  <si>
    <t>Linea 191</t>
  </si>
  <si>
    <t>Linea 190</t>
  </si>
  <si>
    <t>Linea 189</t>
  </si>
  <si>
    <t>Linea 188</t>
  </si>
  <si>
    <t>Linea 187</t>
  </si>
  <si>
    <t>Linea 186</t>
  </si>
  <si>
    <t>Linea 185</t>
  </si>
  <si>
    <t>Linea 184</t>
  </si>
  <si>
    <t>Linea 183</t>
  </si>
  <si>
    <t>Linea 182</t>
  </si>
  <si>
    <t>Linea 181</t>
  </si>
  <si>
    <t>Linea 180</t>
  </si>
  <si>
    <t>Linea 179</t>
  </si>
  <si>
    <t>Linea 178</t>
  </si>
  <si>
    <t>Linea 177</t>
  </si>
  <si>
    <t>Linea 176</t>
  </si>
  <si>
    <t>Linea 175</t>
  </si>
  <si>
    <t>Linea 174</t>
  </si>
  <si>
    <t>Linea 173</t>
  </si>
  <si>
    <t>Linea 172</t>
  </si>
  <si>
    <t>Linea 171</t>
  </si>
  <si>
    <t>Linea 170</t>
  </si>
  <si>
    <t>Linea 169</t>
  </si>
  <si>
    <t>Linea 168</t>
  </si>
  <si>
    <t>Linea 167</t>
  </si>
  <si>
    <t>Linea 166</t>
  </si>
  <si>
    <t>Linea 165</t>
  </si>
  <si>
    <t>Linea 164</t>
  </si>
  <si>
    <t>Linea 163</t>
  </si>
  <si>
    <t>Linea 162</t>
  </si>
  <si>
    <t>Linea 161</t>
  </si>
  <si>
    <t>Linea 160</t>
  </si>
  <si>
    <t>Linea 159</t>
  </si>
  <si>
    <t>Linea 158</t>
  </si>
  <si>
    <t>Linea 157</t>
  </si>
  <si>
    <t>Linea 156</t>
  </si>
  <si>
    <t>Linea 155</t>
  </si>
  <si>
    <t>Linea 154</t>
  </si>
  <si>
    <t>Linea 153</t>
  </si>
  <si>
    <t>Linea 152</t>
  </si>
  <si>
    <t>Linea 151</t>
  </si>
  <si>
    <t>Linea 150</t>
  </si>
  <si>
    <t>Linea 149</t>
  </si>
  <si>
    <t>Linea 148</t>
  </si>
  <si>
    <t>Linea 147</t>
  </si>
  <si>
    <t>Linea 146</t>
  </si>
  <si>
    <t>Linea 145</t>
  </si>
  <si>
    <t>Linea 144</t>
  </si>
  <si>
    <t>Linea 143</t>
  </si>
  <si>
    <t>Linea 142</t>
  </si>
  <si>
    <t>Linea 141</t>
  </si>
  <si>
    <t>Linea 140</t>
  </si>
  <si>
    <t>Linea 139</t>
  </si>
  <si>
    <t>Linea 138</t>
  </si>
  <si>
    <t>Linea 137</t>
  </si>
  <si>
    <t>Linea 136</t>
  </si>
  <si>
    <t>Linea 135</t>
  </si>
  <si>
    <t>Linea 134</t>
  </si>
  <si>
    <t>Linea 133</t>
  </si>
  <si>
    <t>Linea 132</t>
  </si>
  <si>
    <t>Linea 131</t>
  </si>
  <si>
    <t>Linea 130</t>
  </si>
  <si>
    <t>Linea 129</t>
  </si>
  <si>
    <t>Linea 128</t>
  </si>
  <si>
    <t>Linea 127</t>
  </si>
  <si>
    <t>Linea 126</t>
  </si>
  <si>
    <t>Linea 125</t>
  </si>
  <si>
    <t>Linea 124</t>
  </si>
  <si>
    <t>Linea 123</t>
  </si>
  <si>
    <t>Linea 122</t>
  </si>
  <si>
    <t>Linea 121</t>
  </si>
  <si>
    <t>Linea 120</t>
  </si>
  <si>
    <t>Linea 119</t>
  </si>
  <si>
    <t>Linea 118</t>
  </si>
  <si>
    <t>Linea 117</t>
  </si>
  <si>
    <t>Linea 116</t>
  </si>
  <si>
    <t>Linea 115</t>
  </si>
  <si>
    <t>Linea 114</t>
  </si>
  <si>
    <t>Linea 113</t>
  </si>
  <si>
    <t>Linea 112</t>
  </si>
  <si>
    <t>Linea 111</t>
  </si>
  <si>
    <t>Linea 110</t>
  </si>
  <si>
    <t>Linea 109</t>
  </si>
  <si>
    <t>Linea 108</t>
  </si>
  <si>
    <t>Linea 107</t>
  </si>
  <si>
    <t>Linea 106</t>
  </si>
  <si>
    <t>Linea 105</t>
  </si>
  <si>
    <t>Linea 104</t>
  </si>
  <si>
    <t>Linea 103</t>
  </si>
  <si>
    <t>Linea 102</t>
  </si>
  <si>
    <t>Linea 101</t>
  </si>
  <si>
    <t>Linea 100</t>
  </si>
  <si>
    <t>Linea 99</t>
  </si>
  <si>
    <t>Linea 98</t>
  </si>
  <si>
    <t>Linea 97</t>
  </si>
  <si>
    <t>Linea 96</t>
  </si>
  <si>
    <t>Linea 95</t>
  </si>
  <si>
    <t>Linea 94</t>
  </si>
  <si>
    <t>Linea 93</t>
  </si>
  <si>
    <t>Linea 92</t>
  </si>
  <si>
    <t>Linea 91</t>
  </si>
  <si>
    <t>Linea 90</t>
  </si>
  <si>
    <t>Linea 89</t>
  </si>
  <si>
    <t>Linea 88</t>
  </si>
  <si>
    <t>Linea 87</t>
  </si>
  <si>
    <t>Linea 86</t>
  </si>
  <si>
    <t>Linea 85</t>
  </si>
  <si>
    <t>Linea 84</t>
  </si>
  <si>
    <t>Linea 83</t>
  </si>
  <si>
    <t>Linea 82</t>
  </si>
  <si>
    <t>Linea 81</t>
  </si>
  <si>
    <t>Linea 80</t>
  </si>
  <si>
    <t>Linea 79</t>
  </si>
  <si>
    <t>Linea 78</t>
  </si>
  <si>
    <t>Linea 77</t>
  </si>
  <si>
    <t>Linea 76</t>
  </si>
  <si>
    <t>Linea 75</t>
  </si>
  <si>
    <t>Linea 74</t>
  </si>
  <si>
    <t>Linea 73</t>
  </si>
  <si>
    <t>Linea 72</t>
  </si>
  <si>
    <t>Linea 71</t>
  </si>
  <si>
    <t>Linea 70</t>
  </si>
  <si>
    <t>Linea 69</t>
  </si>
  <si>
    <t>Linea 68</t>
  </si>
  <si>
    <t>Linea 67</t>
  </si>
  <si>
    <t>Linea 66</t>
  </si>
  <si>
    <t>Linea 65</t>
  </si>
  <si>
    <t>Linea 64</t>
  </si>
  <si>
    <t>Linea 63</t>
  </si>
  <si>
    <t>Linea 62</t>
  </si>
  <si>
    <t>Linea 61</t>
  </si>
  <si>
    <t>Linea 60</t>
  </si>
  <si>
    <t>Linea 59</t>
  </si>
  <si>
    <t>Linea 58</t>
  </si>
  <si>
    <t>Linea 57</t>
  </si>
  <si>
    <t>Linea 56</t>
  </si>
  <si>
    <t>Linea 55</t>
  </si>
  <si>
    <t>Linea 54</t>
  </si>
  <si>
    <t>Linea 53</t>
  </si>
  <si>
    <t>Linea 52</t>
  </si>
  <si>
    <t>Linea 51</t>
  </si>
  <si>
    <t>Linea 50</t>
  </si>
  <si>
    <t>Linea 49</t>
  </si>
  <si>
    <t>Linea 48</t>
  </si>
  <si>
    <t>Linea 47</t>
  </si>
  <si>
    <t>Linea 46</t>
  </si>
  <si>
    <t>Linea 45</t>
  </si>
  <si>
    <t>Linea 44</t>
  </si>
  <si>
    <t>Linea 43</t>
  </si>
  <si>
    <t>Linea 42</t>
  </si>
  <si>
    <t>Linea 41</t>
  </si>
  <si>
    <t>Linea 40</t>
  </si>
  <si>
    <t>Linea 39</t>
  </si>
  <si>
    <t>Linea 38</t>
  </si>
  <si>
    <t>Linea 37</t>
  </si>
  <si>
    <t>Linea 36</t>
  </si>
  <si>
    <t>Linea 34</t>
  </si>
  <si>
    <t>Linea 33</t>
  </si>
  <si>
    <t>Linea 32</t>
  </si>
  <si>
    <t>Linea 31</t>
  </si>
  <si>
    <t>Linea 30</t>
  </si>
  <si>
    <t>Linea 29</t>
  </si>
  <si>
    <t>Linea 28</t>
  </si>
  <si>
    <t>Linea 27</t>
  </si>
  <si>
    <t>Linea 26</t>
  </si>
  <si>
    <t>Linea 25</t>
  </si>
  <si>
    <t>Linea 24</t>
  </si>
  <si>
    <t>Linea 23</t>
  </si>
  <si>
    <t>Linea 22</t>
  </si>
  <si>
    <t>Linea 21</t>
  </si>
  <si>
    <t>Linea 20</t>
  </si>
  <si>
    <t>Linea 19</t>
  </si>
  <si>
    <t>Linea 18</t>
  </si>
  <si>
    <t>Linea 17</t>
  </si>
  <si>
    <t>Linea 16</t>
  </si>
  <si>
    <t>Linea 15</t>
  </si>
  <si>
    <t>Linea 14</t>
  </si>
  <si>
    <t>Linea 13</t>
  </si>
  <si>
    <t>Linea 10</t>
  </si>
  <si>
    <t>Linea 9</t>
  </si>
  <si>
    <t>Linea 8</t>
  </si>
  <si>
    <t>Linea 7</t>
  </si>
  <si>
    <t>Linea 6</t>
  </si>
  <si>
    <t>Linea 5</t>
  </si>
  <si>
    <t>Linea 4</t>
  </si>
  <si>
    <t>Linea 3</t>
  </si>
  <si>
    <t>Linea 2</t>
  </si>
  <si>
    <t>Linea 1</t>
  </si>
  <si>
    <t>T-1</t>
  </si>
  <si>
    <t>S-7</t>
  </si>
  <si>
    <t>S2726</t>
  </si>
  <si>
    <t>S2719</t>
  </si>
  <si>
    <t>S2715</t>
  </si>
  <si>
    <t>S2701</t>
  </si>
  <si>
    <t>S2600</t>
  </si>
  <si>
    <t>S2251</t>
  </si>
  <si>
    <t>S2005b</t>
  </si>
  <si>
    <t>Sxp-2700</t>
  </si>
  <si>
    <t>Sxp-2670</t>
  </si>
  <si>
    <t>Q18</t>
  </si>
  <si>
    <t>Planta Sur</t>
  </si>
  <si>
    <t>Planta Central</t>
  </si>
  <si>
    <t>Planta Oeste</t>
  </si>
  <si>
    <t>det.coord</t>
  </si>
  <si>
    <t>-67.8793395 -45.891315,-67.8811419 -45.8904936,-67.8816247 -45.8907997</t>
  </si>
  <si>
    <t>-67.8703165 -45.8982817,-67.8659606 -45.8989089</t>
  </si>
  <si>
    <t>-67.8685462 -45.8831151,-67.8700483 -45.8829059,-67.8648233 -45.8818603,-67.8628063 -45.8810537,-67.8621304 -45.8814645</t>
  </si>
  <si>
    <t>-67.8737283 -45.8829508,-67.8736854 -45.8833242,-67.8730094 -45.8829134,-67.8686643 -45.8830254</t>
  </si>
  <si>
    <t>-67.8738034 -45.8829806,-67.8739858 -45.8834512,-67.87655 -45.8844445,-67.8765929 -45.8840262</t>
  </si>
  <si>
    <t>-67.8820431 -45.8588966,-67.8808415 -45.8591357,-67.8813887 -45.8593822</t>
  </si>
  <si>
    <t>-67.9551601 -45.9008651,-67.9546666 -45.8996481,-67.9538405 -45.8990284</t>
  </si>
  <si>
    <t>-67.887429 -45.855564,-67.8894138 -45.853808,-67.8932333 -45.8533447,-67.8969455 -45.8545851,-67.8963768 -45.8546599</t>
  </si>
  <si>
    <t>-67.9155922 -45.9087041,-67.9169869 -45.9084652,-67.9148841 -45.9052252,-67.9164612 -45.9058822</t>
  </si>
  <si>
    <t>-67.8114688 -45.8591357,-67.8116298 -45.8604955,-67.8098059 -45.8582465,-67.8087223 -45.8590049,-67.807923 -45.8590273</t>
  </si>
  <si>
    <t>-67.8110075 -45.8532999,-67.8095913 -45.8534045,-67.8081751 -45.8532849,-67.8063512 -45.8536436</t>
  </si>
  <si>
    <t>-67.9274154 -45.8620123,-67.9282737 -45.8628789,-67.929883 -45.8623559,-67.930398 -45.8620123,-67.9313636 -45.862326,-67.9303551 -45.8630209</t>
  </si>
  <si>
    <t>-67.9316425 -45.8618479,-67.9312563 -45.8616237,-67.929883 -45.8623559,-67.928102 -45.8629985,-67.9275656 -45.8619674</t>
  </si>
  <si>
    <t>-67.9267287 -45.8641042,-67.9260421 -45.8645525,-67.9272652 -45.8648663,-67.9282737 -45.8628789,-67.9276514 -45.8618479</t>
  </si>
  <si>
    <t>-67.9267931 -45.86391,-67.9258704 -45.8645525,-67.9281235 -45.8654938</t>
  </si>
  <si>
    <t>-67.8851008 -45.8739503,-67.8845429 -45.874533,-67.8839421 -45.8736665,-67.8834701 -45.8740549</t>
  </si>
  <si>
    <t>-67.8660679 -45.8992972,-67.8682137 -45.8998049</t>
  </si>
  <si>
    <t>-67.8667545 -45.8970572,-67.8640938 -45.8981025,-67.8651237 -45.89867</t>
  </si>
  <si>
    <t>-67.8667545 -45.8970572,-67.8640938 -45.8981025,-67.8634501 -45.8978337</t>
  </si>
  <si>
    <t>-67.8636646 -45.8957132,-67.8625917 -45.8959521,-67.8602743 -45.8948769</t>
  </si>
  <si>
    <t>-67.8636646 -45.8957132,-67.8630209 -45.8961014,-67.8661537 -45.8966391</t>
  </si>
  <si>
    <t>-67.8685999 -45.895295,-67.8667116 -45.8956833,-67.8646088 -45.8956833</t>
  </si>
  <si>
    <t>-67.8773117 -45.8978935,-67.8737068 -45.8977441,-67.8735352 -45.8983713</t>
  </si>
  <si>
    <t>-67.8727734 -45.8946678,-67.8698874 -45.8956236,-67.8718185 -45.8958326</t>
  </si>
  <si>
    <t>-67.8758526 -45.8962209,-67.8745222 -45.8968183,-67.87714 -45.8974753</t>
  </si>
  <si>
    <t>-67.9441738 -45.8946081,-67.9435945 -45.8938464,-67.9422426 -45.892801,-67.9410195 -45.8932192</t>
  </si>
  <si>
    <t>-67.8617334 -45.8922185,-67.8619051 -45.8917108,-67.8603172 -45.8915465,-67.8574204 -45.891666,-67.8577852 -45.8919348</t>
  </si>
  <si>
    <t>-67.8672266 -45.8915539,-67.8653598 -45.8912776,-67.8647375 -45.8920692,-67.8620982 -45.8918004,-67.8619695 -45.8921737</t>
  </si>
  <si>
    <t>-67.9025245 -45.9264086,-67.9055715 -45.9264683</t>
  </si>
  <si>
    <t>-67.9643333 -45.8867223,-67.9649127 -45.8864982,-67.9649878 -45.8851316,-67.9646873 -45.8835781,-67.9646981 -45.8825101,-67.9644513 -45.8818827,-67.9668546 -45.8822114</t>
  </si>
  <si>
    <t>-67.9670584 -45.8844071,-67.9672515 -45.8836677,-67.9703629 -45.8832122</t>
  </si>
  <si>
    <t>-67.9573059 -45.8868268,-67.956748 -45.8864908,-67.9563725 -45.8857215,-67.9556644 -45.8849971</t>
  </si>
  <si>
    <t>-67.9558575 -45.8850121,-67.9577243 -45.885266,-67.9570806 -45.8846984,-67.9572737 -45.8842727</t>
  </si>
  <si>
    <t>-67.9643977 -45.8867746,-67.9641402 -45.8867895,-67.9629064 -45.8855274,-67.9625845 -45.8842055,-67.9620588 -45.8840412,-67.9608893 -45.8848926</t>
  </si>
  <si>
    <t>-67.9563618 -45.8869613,-67.9570055 -45.8870583,-67.9568553 -45.8866028,-67.957381 -45.8868268</t>
  </si>
  <si>
    <t>-67.9273725 -45.8808371,-67.9279733 -45.8808371,-67.9285955 -45.8814794,-67.9291534 -45.881584,-67.9297328 -45.8811956,-67.9299903 -45.8814346,-67.9273295 -45.8829582,-67.9266322 -45.8833914,-67.9264498 -45.8840636,-67.9268146 -45.883959</t>
  </si>
  <si>
    <t>-67.9688394 -45.8781557,-67.9686356 -45.8783723,-67.9678738 -45.8782901,-67.9662108 -45.8786113,-67.9643333 -45.8783051,-67.9625952 -45.8786785,-67.9616833 -45.8791715,-67.9595697 -45.8790296,-67.9603207 -45.87953</t>
  </si>
  <si>
    <t>-67.9371786 -45.9124813,-67.9369533 -45.9118916,-67.9363096 -45.9101747,-67.935183 -45.9100179</t>
  </si>
  <si>
    <t>-67.8814316 -45.8592926,-67.8808415 -45.8591357,-67.880863 -45.8587322,-67.8817642 -45.858239,-67.8850043 -45.8580522</t>
  </si>
  <si>
    <t>-67.8790283 -45.8588293,-67.880466 -45.8587397,-67.8813028 -45.8593598</t>
  </si>
  <si>
    <t>-67.9288423 -45.860757,-67.9286063 -45.8609812,-67.9269433 -45.8608168,-67.9254305 -45.8610559,-67.9256237 -45.8606898</t>
  </si>
  <si>
    <t>-67.9434013 -45.8843175,-67.9426825 -45.884086,-67.9423177 -45.8838843,-67.94191 -45.8839814,-67.9418349 -45.8844669,-67.9412127 -45.8843922</t>
  </si>
  <si>
    <t>-67.9593015 -45.8712574,-67.9589045 -45.8713097,-67.9584646 -45.8716832,-67.9586685 -45.8713097,-67.9592264 -45.8706486,-67.9605514 -45.8697297,-67.9606479 -45.8695131</t>
  </si>
  <si>
    <t>-67.9578531 -45.8725273,-67.9577994 -45.8722659,-67.9585719 -45.8716197,-67.9589689 -45.871291,-67.9592746 -45.8712275</t>
  </si>
  <si>
    <t>-67.9511744 -45.8693487,-67.9508901 -45.8697222,-67.9506004 -45.8681534,-67.9501069 -45.8689752,-67.9495919 -45.8690798,-67.9491574 -45.8689752</t>
  </si>
  <si>
    <t>-67.9526013 -45.869965,-67.9517484 -45.8700734,-67.9508901 -45.8697222,-67.9511476 -45.8693039</t>
  </si>
  <si>
    <t>-68.0101347 -45.8702676,-68.0097699 -45.8704992,-68.0091369 -45.8700584,-68.010757 -45.8694981,-68.0126882 -45.8689677</t>
  </si>
  <si>
    <t>-67.993623 -45.8705739,-67.9937196 -45.8709847,-67.9948246 -45.871672,-67.9955006 -45.871657,-67.995683 -45.8713956,-67.9958975 -45.8708727,-67.9992449 -45.8694757</t>
  </si>
  <si>
    <t>-67.9669297 -45.8569464,-67.9656959 -45.8570435,-67.9686677 -45.8556836,-67.9679596 -45.8556985,-67.9669726 -45.8559601,-67.9666936 -45.8558629</t>
  </si>
  <si>
    <t>-67.9812849 -45.8543311,-67.9821217 -45.8545851,-67.9830444 -45.8534792,-67.9832697 -45.8527095,-67.9828513 -45.8519996,-67.9814351 -45.8523359,-67.9816818 -45.8521416</t>
  </si>
  <si>
    <t>-67.9706204 -45.8640967,-67.9705024 -45.8634169,-67.9697621 -45.8628117,-67.9696226 -45.8622215,-67.9705238 -45.8617881,-67.9714894 -45.8617732</t>
  </si>
  <si>
    <t>-67.9784846 -45.8638128,-67.9773581 -45.8639025,-67.9769611 -45.8641416,-67.9760814 -45.864545,-67.975781 -45.8649709,-67.9756951 -45.8656806,-67.9747403 -45.8664725,-67.9738927 -45.8666518,-67.9742575 -45.8674213,-67.9730237 -45.867369</t>
  </si>
  <si>
    <t>-68.0073881 -45.8595317,-68.0048668 -45.8579775,-68.0083323 -45.8566475,-68.0111432 -45.8564831,-68.0119586 -45.855833,-68.0093408 -45.8553025,-68.0084181 -45.8553324,-68.0081391 -45.8549139,-68.0071521 -45.8545179</t>
  </si>
  <si>
    <t>-67.9807377 -45.8716645,-67.9809952 -45.8709175,-67.9819071 -45.8698567,-67.9830122 -45.8690947,-67.9832804 -45.8686614,-67.9840744 -45.8683402</t>
  </si>
  <si>
    <t>-67.9875398 -45.8692665,-67.988205 -45.8691993,-67.9883659 -45.8686465,-67.9866493 -45.8686017,-67.9853296 -45.8685195,-67.9839349 -45.868766,-67.9830122 -45.8690947,-67.9832804 -45.8686614,-67.9841065 -45.8682057</t>
  </si>
  <si>
    <t>-67.9929042 -45.8670777,-67.9928398 -45.8661064,-67.9924321 -45.8655835,-67.9918849 -45.8652398,-67.9909408 -45.867115,-67.9902434 -45.8675334</t>
  </si>
  <si>
    <t>-67.9903615 -45.8718289,-67.9906189 -45.8717616,-67.9914665 -45.8719409,-67.9915845 -45.8711565,-67.9914451 -45.871037</t>
  </si>
  <si>
    <t>-68.01428 -45.86088,-68.01441 -45.86067,-68.013976 -45.85962,-68.01370 -45.85934,-68.01342 -45.85814,-68.01245 -45.8562,-68.01183 -45.85572,-68.00954 -45.85532,-68.00842 -45.85533,-68.0081391 -45.85491,-68.00715 -45.85452</t>
  </si>
  <si>
    <t>-68.0070448 -45.8686241,-68.0067122 -45.8683028,-68.0066907 -45.8679293,-68.0047274 -45.8681086,-68.0029786 -45.8686316,-68.0021524 -45.8685344,-68.0022383 -45.8682132</t>
  </si>
  <si>
    <t>-67.9764569 -45.8790072,-67.9757595 -45.8787084,-67.9756951 -45.8784321,-67.9790318 -45.877588,-67.9792678 -45.8765199,-67.9792786 -45.8747272,-67.9798257 -45.8760045,-67.9801154 -45.8760643</t>
  </si>
  <si>
    <t>-67.9740965 -45.879164,-67.9757595 -45.8787084,-67.9764569 -45.8790072</t>
  </si>
  <si>
    <t>-67.9797721 -45.879179,-67.9789889 -45.8790669,-67.9792571 -45.8776403,-67.9831409 -45.876744,-67.9844499 -45.8766842,-67.9838705 -45.8772892</t>
  </si>
  <si>
    <t>-67.9789352 -45.8795823,-67.9791069 -45.8776627,-67.9756737 -45.8784769,-67.9758239 -45.8787234,-67.9765105 -45.8789474</t>
  </si>
  <si>
    <t>-67.9668546 -45.8821665,-67.9643869 -45.8818304,-67.9643548 -45.8816139,-67.9637325 -45.8815541,-67.9633892 -45.8809342</t>
  </si>
  <si>
    <t>-67.9671228 -45.8843772,-67.9672515 -45.8836677,-67.9667258 -45.8837424,-67.9662216 -45.8820919,-67.9668331 -45.8821143</t>
  </si>
  <si>
    <t>-68.0086541 -45.8821815,-68.0073452 -45.883496,-68.0035043 -45.8826147,-67.9980969 -45.8824952,-67.9939771 -45.8822114</t>
  </si>
  <si>
    <t>-67.9836452 -45.880628,-67.9830766 -45.8810014,-67.9855227 -45.8810313,-67.9863381 -45.8810462,-67.9885912 -45.8817483,-67.9939771 -45.8822114,-67.9940629 -45.8814495</t>
  </si>
  <si>
    <t>-67.837755 -45.86586,-67.83729 -45.86488,-67.83742 -45.86357,-67.83766 -45.8613996,-67.836585 -45.8608317,-67.835362 -45.8606823,-67.8348255 -45.8602041,-67.83521 -45.85859,-67.83553 -45.85798,-67.83712 -45.85698,-67.8372502 -45.8563785</t>
  </si>
  <si>
    <t>-67.8170907 -45.857589,-67.8185821 -45.8575068,-67.8190112 -45.8571556,-67.8180671 -45.857036,-67.8183889 -45.8550783,-67.8170156 -45.8536137,-67.8172088 -45.8525526,-67.818346 -45.8509086</t>
  </si>
  <si>
    <t>-67.7886486 -45.8575591,-67.7910948 -45.858127,-67.7924466 -45.8577384,-67.7932191 -45.8561842,-67.7934766 -45.8556462,-67.7945924 -45.8549588</t>
  </si>
  <si>
    <t>-67.7884984 -45.8575367,-67.7846575 -45.8568119,-67.7830803 -45.8561095</t>
  </si>
  <si>
    <t>-67.8260922 -45.8716048,-67.8258884 -45.8718886,-67.8219509 -45.871657,-67.8194082 -45.8687287,-67.8185391 -45.8670926,-67.8190756 -45.8667788</t>
  </si>
  <si>
    <t>-67.8419 -45.8843,-67.84199 -45.88554,-67.8396535 -45.88699,-67.83912 -45.88937,-67.83802 -45.8905,-67.83603 -45.89096,-67.83455 -45.89131,-67.8337097 -45.8907848,-67.83354 -45.88813,-67.82783 -45.88844,-67.824097 -45.88562,-67.82332 -45.88365</t>
  </si>
  <si>
    <t>-67.9778302 -45.8870135,-67.9771757 -45.8878873,-67.9771113 -45.8870583,-67.9760706 -45.8855946,-67.9760921 -45.885154,-67.976414 -45.8844445,-67.9765964 -45.8829881</t>
  </si>
  <si>
    <t>-67.9784203 -45.8865057,-67.9788816 -45.8861846,-67.9778624 -45.8855423,-67.9777014 -45.8841084,-67.9774868 -45.8837499,-67.9776371 -45.8834138</t>
  </si>
  <si>
    <t>-67.978431 -45.8864236,-67.9788816 -45.8861846,-67.9784632 -45.8858858,-67.9806626 -45.8847357</t>
  </si>
  <si>
    <t>-68.03412 -45.86451,-68.0340385 -45.8650157,-68.03623 -45.865,-68.0373645 -45.8645077,-68.0384374 -45.8634467,-68.0381584 -45.865449,-68.0371928 -45.8658823,-68.030713 -45.8667788,-68.029232 -45.8661214,-68.0280 -45.865696,-68.0249727 -45.8660168</t>
  </si>
  <si>
    <t>-68.0175269 -45.8722771,-68.0190611 -45.87218,-68.0215824 -45.8713881,-68.0221939 -45.8713732,-68.023771 -45.8717542,-68.0255091 -45.8708279,-68.0262601 -45.8703946,-68.0260563 -45.8689154,-68.0269146 -45.8685568</t>
  </si>
  <si>
    <t>-68.0035579 -45.8703423,-68.0025816 -45.8706859,-68.0014014 -45.8705066</t>
  </si>
  <si>
    <t>-67.9970026 -45.8663754,-68.0035257 -45.8657777,-68.003397 -45.8661662</t>
  </si>
  <si>
    <t>-68.003161 -45.870346,-68.0019486 -45.8700435,-68.0011064 -45.8695504,-68.0003178 -45.8695878,-67.9991966 -45.870163,-67.9964232 -45.8706112,-67.9993576 -45.8694981</t>
  </si>
  <si>
    <t>-68.0144477 -45.8672196,-68.0150485 -45.867115,-68.015188 -45.8664352,-68.0156386 -45.866084,-68.0166256 -45.8659197,-68.0177629 -45.8658524,-68.0182672 -45.8656731,-68.0190182 -45.8647094</t>
  </si>
  <si>
    <t>-68.0269039 -45.8649858,-68.0253482 -45.8655162,-68.0246937 -45.8655611,-68.0228591 -45.8649933</t>
  </si>
  <si>
    <t>-68.02497 -45.86602,-68.02546 -45.86609,-68.02718 -45.86582,-68.02922 -45.8659496,-68.03100 -45.865,-68.0319571 -45.8640594,-68.0318284 -45.8635513,-68.0311096 -45.863372,-68.0304229 -45.8642163,-68.0299187 -45.8644927,-68.0277836 -45.8647841</t>
  </si>
  <si>
    <t>-68.0237496 -45.867765,-68.0235457 -45.8671822,-68.0264854 -45.8671001,-68.0292964 -45.8659794,-68.0283415 -45.8657777,-68.0272365 -45.8657478,-68.025552 -45.8660915,-68.0249727 -45.8660168</t>
  </si>
  <si>
    <t>-68.017398 -45.87239,-68.01817 -45.87217,-68.02141 -45.87146,-68.02409 -45.87163,-68.02478 -45.8711,-68.02811 -45.86945,-68.03097 -45.86731,-68.03071 -45.86678,-68.029232 -45.86612,-68.02922 -45.86595,-68.02802 -45.86570,-68.0251 -45.86606</t>
  </si>
  <si>
    <t>-68.0200803 -45.8683477,-68.0205953 -45.867877,-68.0235457 -45.8671822,-68.0237496 -45.867765</t>
  </si>
  <si>
    <t>-68.0183744 -45.871052,-68.0195653 -45.8706187,-68.020606 -45.8698343,-68.0231166 -45.8688856,-68.0237281 -45.8683701,-68.0236638 -45.8680862</t>
  </si>
  <si>
    <t>-68.0175054 -45.8696401,-68.0182135 -45.8692964,-68.0187929 -45.8680563,-68.0189645 -45.8673317,-68.0201447 -45.8665173</t>
  </si>
  <si>
    <t>-68.0131066 -45.8689005,-68.0121303 -45.8686316,-68.0120552 -45.8683925,-68.0127525 -45.8681983,-68.0147588 -45.8685046,-68.0157888 -45.8683477,-68.0166256 -45.8672047,-68.0162394 -45.8669133</t>
  </si>
  <si>
    <t>-68.0173337 -45.8671225,-68.0165398 -45.8671598,-68.0162394 -45.8669133</t>
  </si>
  <si>
    <t>-68.0159712 -45.8694234,-68.0150592 -45.8690574,-68.0143297 -45.8689304,-68.0137074 -45.8689304</t>
  </si>
  <si>
    <t>-68.0170333 -45.8699613,-68.0162179 -45.8701854,-68.0148554 -45.8699837</t>
  </si>
  <si>
    <t>-68.0173981 -45.8697447,-68.018117 -45.8693263,-68.019619 -45.8685942</t>
  </si>
  <si>
    <t>-68.0136108 -45.8697596,-68.012892 -45.8698418,-68.0106711 -45.8695579,-68.0112398 -45.869416,-68.0126882 -45.8689677</t>
  </si>
  <si>
    <t>-68.0131066 -45.8689005,-68.0126238 -45.8687212,-68.0113363 -45.868385,-68.01036 -45.8679741,-68.0097055 -45.8679816,-68.0074954 -45.8686166</t>
  </si>
  <si>
    <t>-68.0131066 -45.8689005,-68.012774 -45.8687735,-68.0118942 -45.8688631</t>
  </si>
  <si>
    <t>-68.0074954 -45.8686166,-68.0089223 -45.8681609,-68.0101132 -45.867877,-68.0111969 -45.8677426</t>
  </si>
  <si>
    <t>-68.0084074 -45.867511,-68.0094588 -45.8672495,-68.0104244 -45.866988,-68.0113471 -45.8669432,-68.013525 -45.8671374</t>
  </si>
  <si>
    <t>-68.0107784 -45.8673914,-68.0114222 -45.8671822,-68.013525 -45.8671374</t>
  </si>
  <si>
    <t>-68.0075276 -45.8685419,-68.0100274 -45.8675782</t>
  </si>
  <si>
    <t>-68.0112183 -45.870163,-68.0137074 -45.8697596</t>
  </si>
  <si>
    <t>-68.0004144 -45.8672271,-68.0020022 -45.8664426,-68.0025816 -45.8662932,-68.0029786 -45.8663007,-68.003751 -45.8658375,-68.0066907 -45.8648887</t>
  </si>
  <si>
    <t>-68.0017018 -45.8670702,-68.0004251 -45.8673989</t>
  </si>
  <si>
    <t>-68.0054998 -45.8672271,-68.0041695 -45.8676081</t>
  </si>
  <si>
    <t>-68.0063367 -45.8668087,-68.0071521 -45.8667116</t>
  </si>
  <si>
    <t>-68.0070448 -45.8686241,-68.0060685 -45.868385</t>
  </si>
  <si>
    <t>-68.0048561 -45.8661961,-68.0066156 -45.864941</t>
  </si>
  <si>
    <t>-68.0036545 -45.8678173,-68.002646 -45.868131</t>
  </si>
  <si>
    <t>-67.9980218 -45.8692665,-68.0000389 -45.8684074,-68.0017662 -45.8680339</t>
  </si>
  <si>
    <t>-67.9966056 -45.867511,-67.9967237 -45.866988,-67.9979897 -45.8666817,-67.998451 -45.8670179</t>
  </si>
  <si>
    <t>-67.9991162 -45.867638,-67.997539 -45.8679443,-67.9967666 -45.8682281,-67.9962516 -45.868258,-67.9961979 -45.8678471,-67.9964554 -45.867765</t>
  </si>
  <si>
    <t>-67.9954576 -45.8672868,-67.9960907 -45.8666518,-67.9968202 -45.8663306</t>
  </si>
  <si>
    <t>-68.0175376 -45.8610783,-68.0183852 -45.8554669,-68.0097055 -45.8553399,-68.0107677 -45.8556089,-68.0119586 -45.855833,-68.0127418 -45.8565952,-68.0119157 -45.8572752,-68.0101454 -45.8579701,-68.0083323 -45.8580747</t>
  </si>
  <si>
    <t>-68.0142117 -45.8610111,-68.0144048 -45.8606674,-68.0143297 -45.8601444,-68.0140078 -45.859711,-68.0151987 -45.8589489</t>
  </si>
  <si>
    <t>-68.0092764 -45.861153,-68.0112505 -45.8612053,-68.0125165 -45.8608841,-68.0140936 -45.8599053,-68.0144691 -45.860757,-68.0142117 -45.8610111</t>
  </si>
  <si>
    <t>-68.0142868 -45.8609737,-68.0144262 -45.8605553,-68.0140936 -45.8599053,-68.0133533 -45.8599352,-68.0130315 -45.8598604,-68.0120766 -45.8601145</t>
  </si>
  <si>
    <t>-68.0123556 -45.8628341,-68.0125165 -45.8629013,-68.0133748 -45.862326,-68.013128 -45.8622812</t>
  </si>
  <si>
    <t>-68.0112612 -45.8633048,-68.0125165 -45.8629013,-68.0123556 -45.8628341</t>
  </si>
  <si>
    <t>-68.0141151 -45.8612651,-68.0133748 -45.862326,-68.0126989 -45.8622364</t>
  </si>
  <si>
    <t>-68.0066907 -45.8648887,-68.0109608 -45.8634467</t>
  </si>
  <si>
    <t>-68.0066907 -45.8648887,-68.0076134 -45.8646197,-68.0077314 -45.8640818,-68.0066907 -45.862595,-68.0065084 -45.8626847</t>
  </si>
  <si>
    <t>-68.0085039 -45.8608542,-68.0076885 -45.8600248</t>
  </si>
  <si>
    <t>-68.0074525 -45.859442,-68.00487 -45.8579775,-68.00833 -45.8566475,-68.0097485 -45.8565354,-68.01083 -45.8564682,-68.011744 -45.8561992,-68.0119693 -45.8564981,-68.0117869 -45.85732,-68.01049 -45.8578729,-68.0090 -45.8580149,-68.00819 -45.8580597</t>
  </si>
  <si>
    <t>-68.0006397 -45.8586948,-68.0010796 -45.8583586,-68.0028284 -45.8574844</t>
  </si>
  <si>
    <t>-68.0003715 -45.8601892,-68.0002105 -45.8608467,-67.999084 -45.85998,-67.9998887 -45.8590385</t>
  </si>
  <si>
    <t>-68.0074525 -45.859442,-68.0054677 -45.8582764,-68.0048132 -45.8581195,-68.0035686 -45.8582092,-68.0016375 -45.8587994,-68.0007148 -45.8595093</t>
  </si>
  <si>
    <t>-68.006798 -45.8626548,-68.0083001 -45.8630059,-68.008461 -45.862991</t>
  </si>
  <si>
    <t>-68.0066907 -45.862595,-68.0062294 -45.8616088,-68.0054569 -45.8608467,-68.004663 -45.8610185</t>
  </si>
  <si>
    <t>-68.004663 -45.8610185,-68.0054462 -45.8607869,-68.0051136 -45.8604806</t>
  </si>
  <si>
    <t>-68.0032039 -45.861564,-68.0037832 -45.8611157,-68.0040193 -45.8610858</t>
  </si>
  <si>
    <t>-68.0024529 -45.8617881,-68.0025601 -45.862341,-68.0002105 -45.8608467,-68.0004787 -45.8601219</t>
  </si>
  <si>
    <t>-68.0034399 -45.8632824,-68.0027211 -45.8632899,-68.0020022 -45.8636634</t>
  </si>
  <si>
    <t>-68.0014122 -45.863768,-68.0004251 -45.863641,-68.0001462 -45.8631031,-68.0007792 -45.8628789</t>
  </si>
  <si>
    <t>-68.0024529 -45.8618703,-68.0025494 -45.8621318,-68.003161 -45.8622588,-68.0020881 -45.862722,-68.0013907 -45.8627594</t>
  </si>
  <si>
    <t>-68.0066907 -45.862595,-68.0061436 -45.8616013,-68.003 -45.8622065,-68.0024529 -45.8617881</t>
  </si>
  <si>
    <t>-68.0063689 -45.8627071,-68.0042124 -45.8630807</t>
  </si>
  <si>
    <t>-67.9994917 -45.8615789,-68.0002105 -45.8608467,-68.0004895 -45.8600099</t>
  </si>
  <si>
    <t>-67.9975498 -45.8639921,-67.9972064 -45.8635364,-67.9973459 -45.8628266,-67.9982257 -45.8621169</t>
  </si>
  <si>
    <t>-67.9948568 -45.8624979,-67.9942131 -45.8637381,-67.9934406 -45.8643881,-67.9919493 -45.8649634,-67.9911447 -45.8646347,-67.9918528 -45.8642238</t>
  </si>
  <si>
    <t>-67.9961872 -45.8633197,-67.9955757 -45.8643358,-67.9948568 -45.86456,-67.9938269 -45.8646123,-67.9918849 -45.8652398,-67.992121 -45.8648663,-67.9911447 -45.8646347,-67.9920459 -45.8642163</t>
  </si>
  <si>
    <t>-67.9929578 -45.8671225,-67.9928398 -45.8662783,-67.9924321 -45.8655835,-67.9919815 -45.8652548,-67.992121 -45.8648663,-67.9910159 -45.864672,-67.9918528 -45.8642238</t>
  </si>
  <si>
    <t>-67.9920459 -45.8642163,-67.9910159 -45.864672,-67.9903078 -45.8650157,-67.9890847 -45.8656208,-67.9855978 -45.8654415,-67.9855227 -45.865322</t>
  </si>
  <si>
    <t>-67.9859841 -45.8648065,-67.9864562 -45.8645301,-67.9876256 -45.8640743,-67.9883873 -45.863895,-67.9899967 -45.8630284,-67.9918635 -45.8629238,-67.9934192 -45.8619151,-67.9951036 -45.8606001</t>
  </si>
  <si>
    <t>-67.9898036 -45.8644479,-67.9899323 -45.8642163,-67.9894602 -45.8639847,-67.9881299 -45.8643134,-67.9860914 -45.8648289</t>
  </si>
  <si>
    <t>-67.9952538 -45.8605927,-67.9947281 -45.8608168,-67.9940629 -45.8615789,-67.9931509 -45.862087,-67.9937303 -45.8615714,-67.9916918 -45.8619226</t>
  </si>
  <si>
    <t>-67.9916918 -45.8618703,-67.9937303 -45.8615714,-67.9944706 -45.8607869,-67.9950607 -45.8601444,-67.9962516 -45.8595167</t>
  </si>
  <si>
    <t>-67.9887307 -45.8607944,-67.9889238 -45.8604806,-67.9867244 -45.8607421,-67.9861665 -45.8609737,-67.9860163 -45.8616088,-67.9854047 -45.8619674,-67.9846215 -45.8621617,-67.9841387 -45.862468,-67.9838812 -45.8630209,-67.9834414 -45.8631927</t>
  </si>
  <si>
    <t>-68.0017233 -45.8532924,-68.003515 -45.8529711,-68.0079675 -45.8528665,-68.0065942 -45.8530906,-68.0036867 -45.85327,-68.0011547 -45.8538304,-67.9985046 -45.8545029,-67.9974318 -45.8549363</t>
  </si>
  <si>
    <t>-68.0038691 -45.8521192,-68.0049956 -45.8523583,-68.0053174 -45.8525451,-68.0079353 -45.8527469,-68.0083215 -45.8528889,-68.0071306 -45.8529038,-68.0042124 -45.8529636,-68.0017233 -45.8532924</t>
  </si>
  <si>
    <t>-68.0005109 -45.853539,-68.0013478 -45.8533596</t>
  </si>
  <si>
    <t>-68.0027425 -45.8543386,-68.0014336 -45.8551904</t>
  </si>
  <si>
    <t>-68.0048883 -45.8551755,-68.0036545 -45.8542862</t>
  </si>
  <si>
    <t>-68.0036116 -45.8554071,-68.0018198 -45.8556985,-68.0015731 -45.8555715</t>
  </si>
  <si>
    <t>-68.0071521 -45.8545179,-68.0081713 -45.855026,-68.0084181 -45.8553324,-68.0044699 -45.8552875</t>
  </si>
  <si>
    <t>-67.9973888 -45.8529038,-67.998054 -45.8531654,-67.9995239 -45.8530757,-67.9994166 -45.8523434</t>
  </si>
  <si>
    <t>-67.9973888 -45.8529038,-67.9979253 -45.8530757,-67.998054 -45.8531654,-67.998848 -45.8531654,-67.9993522 -45.853808</t>
  </si>
  <si>
    <t>-67.9881728 -45.8536137,-67.9885697 -45.8538827,-67.990458 -45.8528291,-67.9917777 -45.853001</t>
  </si>
  <si>
    <t>-67.9882586 -45.8535838,-67.988559 -45.8539425,-67.9922819 -45.8514915</t>
  </si>
  <si>
    <t>-67.9586148 -45.8568044,-67.9579926 -45.8564383,-67.9605138 -45.8553847,-67.9615545 -45.8546374,-67.963078 -45.8525451,-67.9633892 -45.8522836,-67.9675841 -45.8512224,-67.9699767 -45.8512598,-67.9700732 -45.8515064,-67.9697835 -45.8517381</t>
  </si>
  <si>
    <t>-67.9879904 -45.8516708,-67.9872286 -45.8511178,-67.9863381 -45.8507068,-67.9850507 -45.8508488</t>
  </si>
  <si>
    <t>-67.9816282 -45.8521939,-67.9814351 -45.8523359,-67.9827976 -45.8519398,-67.9848897 -45.8508637</t>
  </si>
  <si>
    <t>-67.9811668 -45.8569464,-67.9819822 -45.8570884,-67.9831517 -45.856909,-67.9837418 -45.8569464,-67.9856944 -45.8556014,-67.9860163 -45.8551904,-67.986263 -45.8545328,-67.9868317 -45.8540994</t>
  </si>
  <si>
    <t>-67.9838812 -45.8552801,-67.9835379 -45.8555416,-67.9828727 -45.8555267,-67.9824436 -45.8558181,-67.9824865 -45.8565578,-67.9826903 -45.8569837,-67.9821646 -45.8571182,-67.9811668 -45.8569464</t>
  </si>
  <si>
    <t>-67.9796112 -45.8591954,-67.9805982 -45.8590086,-67.9837096 -45.8569987,-67.9826903 -45.8567521,-67.9826152 -45.8569837,-67.9819822 -45.8570884,-67.9810381 -45.8569015</t>
  </si>
  <si>
    <t>-67.9788172 -45.8572079,-67.9786134 -45.8566849,-67.9783559 -45.8564084,-67.9780984 -45.8565653</t>
  </si>
  <si>
    <t>-67.9789138 -45.8594345,-67.9789031 -45.8591207,-67.978034 -45.8588891,-67.9774547 -45.8577534,-67.9779911 -45.8567596</t>
  </si>
  <si>
    <t>-67.9839563 -45.855026,-67.9837525 -45.8546374,-67.9831088 -45.8549513,-67.9826152 -45.8550185,-67.9821646 -45.8546748,-67.9815531 -45.8544581,-67.9812849 -45.8543311</t>
  </si>
  <si>
    <t>-67.9847181 -45.8530832,-67.9842567 -45.8537034,-67.9838169 -45.8547495,-67.9839563 -45.855026</t>
  </si>
  <si>
    <t>-67.977916 -45.8542115,-67.9775351 -45.8540621,-67.9782486 -45.8535577</t>
  </si>
  <si>
    <t>-67.9816282 -45.8521939,-67.9812098 -45.8524031,-67.9798794 -45.8525526,-67.9790747 -45.8522462,-67.9770684 -45.8520893,-67.9774868 -45.8524256</t>
  </si>
  <si>
    <t>-67.9747403 -45.8533821,-67.9737854 -45.8521267,-67.9758561 -45.8519548,-67.9769397 -45.8521042,-67.9775941 -45.8524031</t>
  </si>
  <si>
    <t>-67.9748797 -45.8534568,-67.9738176 -45.8522612,-67.9730666 -45.8517007,-67.9728305 -45.8516858,-67.9720902 -45.8515438</t>
  </si>
  <si>
    <t>-67.9637325 -45.8577459,-67.9643655 -45.8579476,-67.9642689 -45.8583885,-67.9623485 -45.8582017,-67.9617047 -45.8578879,-67.960825 -45.8571257,-67.9587221 -45.8568418</t>
  </si>
  <si>
    <t>-67.9938591 -45.8584931,-67.9937518 -45.8586351,-67.9925716 -45.858381</t>
  </si>
  <si>
    <t>-67.9920673 -45.8599725,-67.9925072 -45.8593897,-67.9937088 -45.8588368,-67.9939985 -45.858523</t>
  </si>
  <si>
    <t>-67.9865742 -45.8579626,-67.9858339 -45.8582764,-67.9838169 -45.8583661,-67.9827332 -45.8584258</t>
  </si>
  <si>
    <t>-67.9898036 -45.8520968,-67.9894602 -45.8522163,-67.9886556 -45.8520669</t>
  </si>
  <si>
    <t>-67.9898036 -45.8520968,-67.9896212 -45.8523807,-67.9890954 -45.852448,-67.9883552 -45.8522985</t>
  </si>
  <si>
    <t>-67.9898036 -45.8520968,-67.9897928 -45.8522612,-67.9911017 -45.8519249,-67.9923141 -45.8513943</t>
  </si>
  <si>
    <t>-67.9956508 -45.8509758,-67.9934192 -45.8511253</t>
  </si>
  <si>
    <t>-67.9942131 -45.8542489,-67.9949319 -45.8537856,-67.9959404 -45.8535315</t>
  </si>
  <si>
    <t>-67.9891598 -45.8574097,-67.989471 -45.8568044,-67.9900932 -45.8564383,-67.9923999 -45.8559003,-67.9930544 -45.8553697,-67.9934084 -45.8544955</t>
  </si>
  <si>
    <t>-67.9892135 -45.8580672,-67.9890418 -45.8588742,-67.9885483 -45.8590684,-67.9874325 -45.8590161,-67.9863274 -45.8592627</t>
  </si>
  <si>
    <t>-67.9863274 -45.8592029,-67.9874325 -45.8590161,-67.9853618 -45.8588742,-67.9839349 -45.859442</t>
  </si>
  <si>
    <t>-67.9840422 -45.8594345,-67.9846001 -45.8591805,-67.9853618 -45.8588742,-67.9842031 -45.8589414,-67.9834092 -45.8591431,-67.9824221 -45.8597185,-67.9820251 -45.8604432</t>
  </si>
  <si>
    <t>-67.9920995 -45.8600248,-67.9924321 -45.8594196,-67.9920352 -45.8594271,-67.991209 -45.8597334,-67.9899323 -45.8598828</t>
  </si>
  <si>
    <t>-67.9887736 -45.8608467,-67.989192 -45.8603909,-67.9923463 -45.8594868,-67.9919493 -45.8600248</t>
  </si>
  <si>
    <t>-67.9856086 -45.8607421,-67.9860055 -45.8603312,-67.9866064 -45.8600099,-67.9872823 -45.8599426</t>
  </si>
  <si>
    <t>-67.9819286 -45.8586874,-67.981596 -45.8589638,-67.981596 -45.859584,-67.9814029 -45.8601593,-67.9798687 -45.8604656,-67.9786563 -45.8601967,-67.9783773 -45.8600024,-67.9787743 -45.859569</t>
  </si>
  <si>
    <t>-67.977401 -45.8546748,-67.9777014 -45.8555042</t>
  </si>
  <si>
    <t>-67.9792035 -45.8549961,-67.9786348 -45.8542788,-67.9780018 -45.8541816</t>
  </si>
  <si>
    <t>-67.976253 -45.8586351,-67.9776263 -45.8591207,-67.978034 -45.8588891,-67.9775727 -45.8582166,-67.9771328 -45.8571631,-67.9770899 -45.8562589</t>
  </si>
  <si>
    <t>-67.9816282 -45.862737,-67.9832053 -45.8630433,-67.983613 -45.8628715,-67.9840636 -45.8621841,-67.9845142 -45.8619151,-67.9852223 -45.861691,-67.985512 -45.8611306</t>
  </si>
  <si>
    <t>-67.9928935 -45.8605404,-67.9914236 -45.8609588,-67.98931 -45.8614369,-67.9889023 -45.8613323</t>
  </si>
  <si>
    <t>-67.9911339 -45.8618479,-67.9904687 -45.8619002,-67.9910696 -45.8615117,-67.9918849 -45.861295,-67.9930007 -45.8606151</t>
  </si>
  <si>
    <t>-67.9886341 -45.8629088,-67.9906297 -45.8618479,-67.9911232 -45.8617956</t>
  </si>
  <si>
    <t>-67.9859948 -45.8647094,-67.9874003 -45.863783</t>
  </si>
  <si>
    <t>-67.9889023 -45.8650979,-67.9886663 -45.8652174,-67.9866278 -45.865322,-67.9865313 -45.8654042,-67.9855978 -45.8654864,-67.9854262 -45.8652622</t>
  </si>
  <si>
    <t>-67.9839242 -45.865322,-67.9855227 -45.865322</t>
  </si>
  <si>
    <t>-67.9865956 -45.8628042,-67.9847825 -45.8635289,-67.9829693 -45.864037,-67.982583 -45.8644927,-67.9819822 -45.8648513</t>
  </si>
  <si>
    <t>-67.9836237 -45.8633496,-67.9845786 -45.863133</t>
  </si>
  <si>
    <t>-67.9835165 -45.8632226,-67.9838812 -45.8630209,-67.9841387 -45.8625502,-67.9836881 -45.862991,-67.9831409 -45.8631255,-67.9816282 -45.862737</t>
  </si>
  <si>
    <t>-67.9810274 -45.8649111,-67.9806197 -45.8647617,-67.9802334 -45.864149,-67.9799116 -45.863783,-67.9801905 -45.8629835,-67.9809201 -45.8629238</t>
  </si>
  <si>
    <t>-67.9785919 -45.8629686,-67.9789352 -45.8631031,-67.9796863 -45.8629088,-67.9804587 -45.8629985,-67.9811132 -45.8627967</t>
  </si>
  <si>
    <t>-67.9777443 -45.8626249,-67.9774654 -45.8621692,-67.9766178 -45.8616013,-67.9764462 -45.8607421,-67.9758561 -45.860772</t>
  </si>
  <si>
    <t>-67.9785061 -45.863768,-67.977562 -45.8638502,-67.9780233 -45.8634692,-67.9789352 -45.8631031,-67.9785919 -45.8629686</t>
  </si>
  <si>
    <t>-67.9745042 -45.8629686,-67.9744184 -45.863641,-67.9750192 -45.86391,-67.9762745 -45.8638502,-67.9788494 -45.8631105,-67.9785919 -45.8629686</t>
  </si>
  <si>
    <t>-67.9754913 -45.864545,-67.9768431 -45.8639921,-67.9784095 -45.8638054</t>
  </si>
  <si>
    <t>-67.9780984 -45.8649709,-67.9776263 -45.8648289,-67.9768217 -45.8650007,-67.9760063 -45.86583,-67.9748476 -45.8665622,-67.9738605 -45.866353,-67.9728091 -45.865591</t>
  </si>
  <si>
    <t>-67.9770362 -45.8661886,-67.9775405 -45.8660019,-67.9780447 -45.8660616,-67.9790211 -45.8666444,-67.9791498 -45.8664875,-67.9789352 -45.8662036,-67.978828 -45.8655685,-67.9785597 -45.8651502</t>
  </si>
  <si>
    <t>-67.9759312 -45.8585902,-67.9752445 -45.8581942,-67.9735923 -45.8586276,-67.9730344 -45.8589638,-67.9731739 -45.8570958,-67.9715323 -45.8586948</t>
  </si>
  <si>
    <t>-67.9787314 -45.8612128,-67.9781628 -45.8612053,-67.9774868 -45.8607794,-67.9767251 -45.8597259,-67.9755342 -45.8596288,-67.9744506 -45.8598903,-67.9743111 -45.8601967,-67.9733455 -45.8602788,-67.9734099 -45.8608317,-67.9735816 -45.8606898</t>
  </si>
  <si>
    <t>-67.9787099 -45.8612726,-67.9784203 -45.8614145,-67.9773581 -45.8614743,-67.9770362 -45.8612875</t>
  </si>
  <si>
    <t>-67.9814565 -45.8608243,-67.9794395 -45.8610634</t>
  </si>
  <si>
    <t>-67.9787743 -45.859569,-67.9784095 -45.8600622,-67.9786134 -45.860249,-67.9797721 -45.8603909,-67.9814243 -45.8607346</t>
  </si>
  <si>
    <t>-67.9762101 -45.8587172,-67.9768431 -45.8590385,-67.9774976 -45.8593075,-67.9783773 -45.8600024,-67.9787743 -45.859569</t>
  </si>
  <si>
    <t>-67.9761672 -45.8586351,-67.9759634 -45.858508,-67.9757595 -45.8578206,-67.9751909 -45.8575143,-67.9723477 -45.8568567,-67.9721653 -45.8565802</t>
  </si>
  <si>
    <t>-67.9740536 -45.8562664,-67.9732168 -45.8559152,-67.9729164 -45.8555491,-67.9730666 -45.854884,-67.9738176 -45.8545553,-67.9740536 -45.853539,-67.9746437 -45.8541517,-67.9750943 -45.8541144,-67.9749441 -45.8543161</t>
  </si>
  <si>
    <t>-67.9750836 -45.8543983,-67.9752016 -45.8534194</t>
  </si>
  <si>
    <t>-67.9721439 -45.8564532,-67.9723585 -45.855833,-67.9728305 -45.8549363,-67.9739249 -45.8544805,-67.9741395 -45.8540023,-67.9740536 -45.853539,-67.9744184 -45.8538977,-67.9746437 -45.8541517,-67.9750943 -45.8540247,-67.9749548 -45.854488</t>
  </si>
  <si>
    <t>-67.9697835 -45.8517381,-67.9700947 -45.8517082,-67.9702342 -45.8514018,-67.9710817 -45.8516335,-67.97135 -45.8516633</t>
  </si>
  <si>
    <t>-67.9651701 -45.8532326,-67.9648376 -45.8537034,-67.961694 -45.85531,-67.9612434 -45.8559825</t>
  </si>
  <si>
    <t>-67.9532611 -45.8555491,-67.9531324 -45.8554146,-67.9523814 -45.8552726,-67.953347 -45.8549139,-67.9542696 -45.8547196,-67.9566622 -45.8541742</t>
  </si>
  <si>
    <t>-67.9458046 -45.8575965,-67.9463518 -45.857036,-67.9487979 -45.8564084,-67.9493773 -45.8556089,-67.950772 -45.8518128,-67.951287 -45.8510879,-67.9534864 -45.8514018</t>
  </si>
  <si>
    <t>-67.9457188 -45.857589,-67.9462659 -45.8571182,-67.9485941 -45.8563636,-67.9499888 -45.8559451,-67.9510617 -45.855422,-67.9522741 -45.8552801,-67.9531324 -45.8554146,-67.9533362 -45.8555192</t>
  </si>
  <si>
    <t>-67.9494631 -45.8607197,-67.9496992 -45.8604582,-67.9489589 -45.8596363,-67.9496777 -45.8591282,-67.9500318 -45.8586351,-67.9503858 -45.8584632</t>
  </si>
  <si>
    <t>-67.9549134 -45.858239,-67.9527032 -45.8590684,-67.9493666 -45.8607794,-67.9491198 -45.8606898</t>
  </si>
  <si>
    <t>-67.88692 -45.8969,-67.88699 -45.8967,-67.88813 -45.89656,-67.89097 -45.89695,-67.89245 -45.89689,-67.89426 -45.89522,-67.895143 -45.89461,-67.8961408 -45.8936821,-67.9025245 -45.8916958,-67.905325 -45.89145,-67.90461 -45.89114,-67.90381 -45.89112</t>
  </si>
  <si>
    <t>-67.8830731 -45.8952726,-67.8847253 -45.8956385,-67.8855407 -45.8952726,-67.8875041 -45.895855,-67.8877079 -45.8965569,-67.8870857 -45.8966764,-67.8869247 -45.8969004</t>
  </si>
  <si>
    <t>-67.8887486 -45.9139369,-67.8892422 -45.9133771,-67.889092 -45.9088982,-67.8895211 -45.9081964,-67.8884697 -45.9068527,-67.8891134 -45.9060464,-67.8899932 -45.905494,-67.890079 -45.9049863,-67.8895855 -45.9049415,-67.8884912 -45.9054641</t>
  </si>
  <si>
    <t>-67.8816462 -45.8976545,-67.8819466 -45.8992972,-67.8823757 -45.8992374</t>
  </si>
  <si>
    <t>-67.8778481 -45.8999691,-67.8795862 -45.8996556,-67.8816676 -45.8998198,-67.8823113 -45.899342</t>
  </si>
  <si>
    <t>-67.875402 -45.9018954,-67.8762174 -45.9018506,-67.8767323 -45.9016117,-67.8774405 -45.9009995,-67.8778481 -45.8999691</t>
  </si>
  <si>
    <t>-67.8778911 -45.9022389,-67.8772688 -45.9023733,-67.8762174 -45.9020895,-67.8762174 -45.9018506,-67.875402 -45.9018954</t>
  </si>
  <si>
    <t>-67.8811741 -45.9021194,-67.8801656 -45.9024927,-67.8792 -45.9030004,-67.8772688 -45.9023733,-67.8778696 -45.9023733</t>
  </si>
  <si>
    <t>-67.8873324 -45.9059718,-67.8863239 -45.9058523,-67.8840923 -45.9048668,-67.8834271 -45.9042397,-67.8832769 -45.9030601,-67.8815603 -45.9032542,-67.8792 -45.9030004,-67.8801656 -45.9023882,-67.8811741 -45.9021194</t>
  </si>
  <si>
    <t>-67.8877831 -45.9058523,-67.8869033 -45.9059867,-67.8840923 -45.9048668,-67.8834271 -45.9042397,-67.8832769 -45.9030601,-67.8820109 -45.9031497,-67.8811312 -45.903299,-67.8780627 -45.9027018,-67.8772688 -45.9023733,-67.8778911 -45.9022389</t>
  </si>
  <si>
    <t>-67.9576707 -45.9040606,-67.9586577 -45.9041501,-67.9598594 -45.9049266,-67.9530573 -45.9053894,-67.9526496 -45.9059568,-67.9507613 -45.9066437,-67.9497957 -45.9073603,-67.9479933 -45.907644,-67.9448175 -45.9073753,-67.9420066 -45.9072707</t>
  </si>
  <si>
    <t>-67.9685926 -45.9034484,-67.9653096 -45.9044488,-67.9600525 -45.9049564,-67.9584861 -45.9041651,-67.9576707 -45.9040606</t>
  </si>
  <si>
    <t>-67.8982973 -45.9096447,-67.8995419 -45.9101224,-67.9002929 -45.9102867,-67.9009795 -45.9101672</t>
  </si>
  <si>
    <t>-67.9095197 -45.9178556,-67.9090691 -45.9168107,-67.90527 -45.9149745,-67.9052067 -45.9146162,-67.9025245 -45.9141235,-67.90171 -45.9145565,-67.89907 -45.9147953,-67.8979325 -45.9163329,-67.8972459 -45.916945,-67.8961945 -45.916945,-67.896 -45.9166</t>
  </si>
  <si>
    <t>-67.9106355 -45.9125261,-67.9076529 -45.9123768,-67.9041553 -45.9118991,-67.9033184 -45.9115706,-67.9007006 -45.9119737,-67.8999066 -45.9124515</t>
  </si>
  <si>
    <t>-67.9095197 -45.9178556,-67.9090691 -45.9168107,-67.9049706 -45.9149894,-67.9050565 -45.9146311,-67.908597 -45.9143027,-67.9105282 -45.9135114,-67.9126954 -45.9130636,-67.9141974 -45.9123171</t>
  </si>
  <si>
    <t>-67.9186392 -45.925737,-67.9181242 -45.9258713,-67.9160213 -45.924319,-67.9144335 -45.9239011,-67.9125881 -45.9236324,-67.911365 -45.9232891,-67.908361 -45.9205575,-67.9107213 -45.9206172</t>
  </si>
  <si>
    <t>-67.9126096 -45.9157358,-67.9124379 -45.9161389,-67.9112148 -45.9154372,-67.9091549 -45.9151387,-67.9052281 -45.9148401,-67.9049706 -45.9149894,-67.9067302 -45.9155716,-67.9090691 -45.9168107,-67.9094338 -45.9176018</t>
  </si>
  <si>
    <t>-67.9150558 -45.9126903,-67.9162359 -45.9122126,-67.9164505 -45.9115408,-67.9181457 -45.910645,-67.9202914 -45.9111078</t>
  </si>
  <si>
    <t>-67.9115582 -45.9126157,-67.9142189 -45.9121827,-67.9144764 -45.9124216</t>
  </si>
  <si>
    <t>-67.9152703 -45.9126754,-67.9162359 -45.9122126,-67.9164505 -45.9115408,-67.9124379 -45.9113168,-67.9118156 -45.9111227</t>
  </si>
  <si>
    <t>-67.9181457 -45.9134368,-67.9172659 -45.9143475,-67.9155493 -45.9147505,-67.9153347 -45.914437,-67.9160857 -45.9122425,-67.9150558 -45.9126903</t>
  </si>
  <si>
    <t>-67.9163003 -45.9153178,-67.9149914 -45.9157358,-67.9143691 -45.9153775,-67.9149055 -45.9141384,-67.9150128 -45.913183</t>
  </si>
  <si>
    <t>-67.9155922 -45.9087041,-67.9169869 -45.9084652,-67.9180384 -45.9103165,-67.9170728 -45.9108839</t>
  </si>
  <si>
    <t>-67.9202914 -45.9111078,-67.9198408 -45.9108092,-67.9200125 -45.9097492,-67.9208064 -45.9090624,-67.920506 -45.9081367,-67.9211497 -45.9068378</t>
  </si>
  <si>
    <t>-67.9201412 -45.9109884,-67.9198408 -45.9108092,-67.919991 -45.9095252,-67.9194546 -45.9088982</t>
  </si>
  <si>
    <t>-67.922008 -45.9097193,-67.9201412 -45.9109884,-67.9196906 -45.9109585,-67.9200125 -45.9097492,-67.9210854 -45.909585,-67.9227591 -45.90851,-67.9267287 -45.9077933,-67.9317927 -45.9075544,-67.9344964 -45.9080023,-67.9353762 -45.9076142</t>
  </si>
  <si>
    <t>-67.9225016 -45.9096596,-67.9238319 -45.9092266,-67.9256344 -45.9093461</t>
  </si>
  <si>
    <t>-67.9191971 -45.9115109,-67.9193473 -45.9122574,-67.9206347 -45.9121827,-67.9237676 -45.911287</t>
  </si>
  <si>
    <t>-67.9221797 -45.9097492,-67.9201412 -45.9109884,-67.91924 -45.911063,-67.9191971 -45.9115109</t>
  </si>
  <si>
    <t>-67.9353762 -45.9076142,-67.9341531 -45.9079128,-67.9320073 -45.9074798,-67.9287457 -45.9072558</t>
  </si>
  <si>
    <t>-67.9353762 -45.9076142,-67.9343462 -45.9079277,-67.9320073 -45.9074798,-67.9288745 -45.9068079,-67.9269218 -45.9062405,-67.9253125 -45.906136</t>
  </si>
  <si>
    <t>-67.9419637 -45.9061061,-67.9426718 -45.9047623,-67.9415345 -45.9048967,-67.938745 -45.9059568,-67.9340029 -45.9072707,-67.9353547 -45.9073006</t>
  </si>
  <si>
    <t>-67.9417276 -45.9060912,-67.9426718 -45.9047623,-67.9416203 -45.9047773,-67.9445601 -45.9035379,-67.942543 -45.9026271</t>
  </si>
  <si>
    <t>-67.9506755 -45.9009696,-67.9479718 -45.9005665,-67.9449892 -45.9007008,-67.945075 -45.9032692,-67.9445601 -45.9035379,-67.9423714 -45.902642</t>
  </si>
  <si>
    <t>-67.9196262 -45.9152282,-67.9156566 -45.9172286,-67.9137468 -45.9172436,-67.9124808 -45.9162882,-67.9127598 -45.9157507</t>
  </si>
  <si>
    <t>-67.9231882 -45.9122723,-67.9249692 -45.9120036,-67.9255915 -45.9130038,-67.9226518 -45.9145117,-67.9209566 -45.9155119,-67.9190469 -45.9157209,-67.9196262 -45.9152282</t>
  </si>
  <si>
    <t>-67.9250765 -45.911063,-67.9249692 -45.9120036,-67.9233384 -45.9123171</t>
  </si>
  <si>
    <t>-67.9308486 -45.9099433,-67.9312348 -45.9102419,-67.9297328 -45.910421,-67.9279304 -45.9103613,-67.9261494 -45.9116303,-67.9255915 -45.9130038,-67.924819 -45.9119737,-67.9250765 -45.911063</t>
  </si>
  <si>
    <t>-67.937994 -45.9086444,-67.9371142 -45.9083457,-67.9353976 -45.9082412,-67.9346466 -45.907853,-67.9353762 -45.9076142</t>
  </si>
  <si>
    <t>-67.9595375 -45.9095402,-67.9626489 -45.9100179,-67.9632926 -45.9097492,-67.9646015 -45.9095999,-67.9670477 -45.9085548,-67.962842 -45.9087489,-67.9598165 -45.9075843,-67.9531431 -45.90851,-67.9471993 -45.9112123,-67.9453754 -45.9116005,-67.9437232 -45.9109734,-67.9432511 -45.9099433</t>
  </si>
  <si>
    <t>-67.9489374 -45.903299,-67.9498816 -45.9036126,-67.9506969 -45.9043144,-67.9538083 -45.903299,-67.9553103 -45.9025524,-67.9560614 -45.9025524,-67.955997 -45.9012981</t>
  </si>
  <si>
    <t>-67.9313636 -45.9007755,-67.9299688 -45.9015296,-67.9309559 -45.9024778,-67.931664 -45.9022687,-67.9323721 -45.9010144,-67.9335737 -45.900447,-67.9371786 -45.9012832,-67.9379082 -45.9021045,-67.9396677 -45.9026719,-67.941041 -45.9025674</t>
  </si>
  <si>
    <t>-67.9564691 -45.881106,-67.9562545 -45.8807027,-67.9636574 -45.8816139,-67.9634643 -45.8809267</t>
  </si>
  <si>
    <t>-67.967391 -45.8796271,-67.9660606 -45.879657,-67.9619408 -45.879179,-67.959795 -45.8789997,-67.9602242 -45.8794852</t>
  </si>
  <si>
    <t>-67.974751 -45.8807997,-67.974987 -45.8810612,-67.9706311 -45.8811956,-67.9665542 -45.881584,-67.9636574 -45.8816139,-67.9634643 -45.8809267</t>
  </si>
  <si>
    <t>-67.9708028 -45.8792686,-67.9686999 -45.8795524,-67.9682064 -45.8792238</t>
  </si>
  <si>
    <t>-67.9739785 -45.8781632,-67.9745579 -45.8782677,-67.9740644 -45.8788802,-67.9710174 -45.8792537</t>
  </si>
  <si>
    <t>-67.9969704 -45.8870658,-67.996434 -45.8868194,-67.9933119 -45.8867073,-67.9884195 -45.8868343,-67.9843962 -45.8868791,-67.9850078 -45.8864385</t>
  </si>
  <si>
    <t>-67.9825723 -45.8872002,-67.9846001 -45.8867148,-67.9850078 -45.8864385</t>
  </si>
  <si>
    <t>-67.98136 -45.8871704,-67.9796433 -45.8867148,-67.9789674 -45.8862518,-67.9784203 -45.8865057</t>
  </si>
  <si>
    <t>-67.9770148 -45.8886117,-67.9772186 -45.8879396,-67.9777443 -45.8870285</t>
  </si>
  <si>
    <t>-67.9753625 -45.8886192,-67.9764462 -45.8884623,-67.9771543 -45.8881561,-67.9769289 -45.888649</t>
  </si>
  <si>
    <t>-67.9755127 -45.8898364,-67.9753196 -45.8896348,-67.9751372 -45.889239,-67.9736996 -45.8884922,-67.9752123 -45.8886192</t>
  </si>
  <si>
    <t>-67.9778516 -45.8901202,-67.977283 -45.8901052,-67.9767358 -45.889926</t>
  </si>
  <si>
    <t>-67.9743755 -45.8910088,-67.9777122 -45.890165</t>
  </si>
  <si>
    <t>-67.9825187 -45.8903218,-67.979182 -45.8900455</t>
  </si>
  <si>
    <t>-67.9748368 -45.8912328,-67.9752231 -45.891427,-67.9759526 -45.8921289,-67.9767251 -45.8924575</t>
  </si>
  <si>
    <t>-67.9749441 -45.8933834,-67.9761243 -45.8929055,-67.9766607 -45.892353</t>
  </si>
  <si>
    <t>-67.9806304 -45.8917854,-67.9784203 -45.8917854,-67.9782271 -45.8926517</t>
  </si>
  <si>
    <t>-67.9793 -45.8940107,-67.9789138 -45.8935925,-67.9785919 -45.8927711,-67.9782271 -45.8926517</t>
  </si>
  <si>
    <t>-67.9825401 -45.8906205,-67.9820251 -45.8918004</t>
  </si>
  <si>
    <t>-67.984364 -45.8918302,-67.9820251 -45.8918004</t>
  </si>
  <si>
    <t>-67.9725194 -45.8940704,-67.9735279 -45.8935179</t>
  </si>
  <si>
    <t>-67.9729271 -45.8958177,-67.9726696 -45.8949515</t>
  </si>
  <si>
    <t>-67.9721761 -45.8962209,-67.9716182 -45.8947873,-67.9710388 -45.8947723</t>
  </si>
  <si>
    <t>-67.9693437 -45.9027914,-67.9659963 -45.8987297,-67.965138 -45.8986401</t>
  </si>
  <si>
    <t>-67.970438 -45.9058075,-67.9690218 -45.9036126</t>
  </si>
  <si>
    <t>-67.9705238 -45.9066735,-67.9697728 -45.9068527,-67.9681849 -45.9083607,-67.9670477 -45.9085548,-67.9651165 -45.9093461,-67.9646015 -45.9095999,-67.9632926 -45.9097492,-67.9626489 -45.9100179,-67.9595375 -45.9096447</t>
  </si>
  <si>
    <t>-67.9533577 -45.9118095,-67.9582071 -45.9103464,-67.960031 -45.9096148,-67.9595375 -45.9095402</t>
  </si>
  <si>
    <t>-67.9432511 -45.9099433,-67.9437232 -45.9109734,-67.9452038 -45.9116154,-67.9434228 -45.911287,-67.9401827 -45.9100179,-67.9391742 -45.9089579</t>
  </si>
  <si>
    <t>-67.9382944 -45.9130934,-67.9395604 -45.9136906,-67.9405904 -45.9131382,-67.9431438 -45.9124664,-67.9441524 -45.9118692,-67.9452038 -45.9116154,-67.9438734 -45.9110779,-67.9432511 -45.9099433</t>
  </si>
  <si>
    <t>-67.9287028 -45.9107794,-67.9314494 -45.9103464,-67.9308486 -45.9099433</t>
  </si>
  <si>
    <t>-67.93396 -45.910003,-67.9332089 -45.9102269,-67.9314494 -45.9103464,-67.9311919 -45.9100478,-67.9308486 -45.9099433</t>
  </si>
  <si>
    <t>-67.9196262 -45.9152282,-67.9190469 -45.9157209,-67.9191113 -45.9172286</t>
  </si>
  <si>
    <t>-67.9294324 -45.9165121,-67.930162 -45.916945,-67.9304409 -45.9174227,-67.9261708 -45.9179004,-67.9190469 -45.9157209,-67.9196262 -45.9152282</t>
  </si>
  <si>
    <t>-67.9315567 -45.9216173,-67.9323292 -45.9215277,-67.9268146 -45.9178258,-67.9294968 -45.9176466,-67.9304409 -45.9174227,-67.9300117 -45.9168704,-67.9294324 -45.9165121</t>
  </si>
  <si>
    <t>-67.9473066 -45.9191991,-67.9491735 -45.9182736,-67.9488516 -45.9169151,-67.9491198 -45.9161986,-67.9481864 -45.9168405,-67.9482937 -45.9178556,-67.947135 -45.9184079,-67.94559 -45.9178407,-67.9453111 -45.9174227,-67.9465771 -45.9168554,-67.9420924 -45.9173033,-67.9408264 -45.9169002,-67.9406118 -45.9177959,-67.9378867 -45.9191842,-67.9375434 -45.9200649,-67.9378974 -45.9205575</t>
  </si>
  <si>
    <t>-67.892257 -45.917781,-67.8922355 -45.9171241,-67.8925788 -45.9166017,-67.8926325 -45.9163553,-67.8917956 -45.9155044,-67.8909266 -45.914855,-67.8902507 -45.9144445,-67.8900683 -45.9137279,-67.8889096 -45.913601,-67.888813 -45.9138473</t>
  </si>
  <si>
    <t>-67.8910983 -45.9129292,-67.8887486 -45.9136607,-67.8887486 -45.9139369</t>
  </si>
  <si>
    <t>-67.8970957 -45.9101971,-67.8962266 -45.9110033,-67.8952825 -45.9116751,-67.894671 -45.9126978,-67.894038 -45.9128023,-67.8929436 -45.9118916,-67.8913021 -45.9110556,-67.8906584 -45.9110481,-67.889961 -45.9114661,-67.8900468 -45.9123096,-67.8905189 -45.9129068,-67.8910983 -45.9129292</t>
  </si>
  <si>
    <t>-67.8991771 -45.9121305,-67.8986728 -45.9117274,-67.8980076 -45.9113691,-67.8973746 -45.9114288,-67.8960335 -45.9121156</t>
  </si>
  <si>
    <t>-67.8887486 -45.9136607,-67.8879547 -45.9129889,-67.886517 -45.9125112,-67.8854227 -45.9119289,-67.8854227 -45.9116154,-67.88656 -45.9111825,-67.8872895 -45.9104509,-67.8866029 -45.9097343,-67.8843713 -45.9097193,-67.8802943 -45.9103016,-67.8787923 -45.9095999,-67.8778052 -45.9098238,-67.8731489 -45.9121529,-67.8766251 -45.9119737</t>
  </si>
  <si>
    <t>-67.8764534 -45.9120484,-67.873342 -45.9119588,-67.8756166 -45.9111227,-67.8760672 -45.9105554,-67.8737712 -45.9110481,-67.8723979 -45.9109585</t>
  </si>
  <si>
    <t>-67.8757238 -45.9164673,-67.8738785 -45.9161538,-67.8745866 -45.9146759,-67.8749084 -45.9142579,-67.8734493 -45.9131979,-67.8731489 -45.9121529,-67.8740287 -45.9120036,-67.8764534 -45.9120484</t>
  </si>
  <si>
    <t>-67.8781486 -45.9186916,-67.8755093 -45.9185572,-67.8748226 -45.9179303,-67.8745651 -45.9174227,-67.8737283 -45.9167808,-67.8738785 -45.9161538,-67.8757238 -45.9164673</t>
  </si>
  <si>
    <t>-67.8866458 -45.920871,-67.8864312 -45.9203187,-67.8857017 -45.9199007,-67.8836632 -45.9202142,-67.8826976 -45.9207217,-67.8820324 -45.9203037,-67.8802729 -45.9199903,-67.878921 -45.9191692</t>
  </si>
  <si>
    <t>-67.8846073 -45.9123171,-67.8879547 -45.9129889,-67.8887486 -45.9136607</t>
  </si>
  <si>
    <t>-67.8890276 -45.9167659,-67.8884053 -45.9153477,-67.8880405 -45.9137055,-67.8874612 -45.9131382,-67.8845859 -45.9125112</t>
  </si>
  <si>
    <t>-67.8903794 -45.9205127,-67.8905725 -45.9213636,-67.8898215 -45.9222741,-67.8887701 -45.922692,-67.8885126 -45.9233786</t>
  </si>
  <si>
    <t>-67.893126 -45.9187811,-67.8931475 -45.9193633,-67.891345 -45.9201246,-67.8913021 -45.921274,-67.8899932 -45.9222293,-67.8905725 -45.9213636,-67.8903794 -45.9205127</t>
  </si>
  <si>
    <t>-67.895422 -45.9189901,-67.8929543 -45.9186468</t>
  </si>
  <si>
    <t>-67.8951859 -45.9189752,-67.8956151 -45.9181094,-67.8975034 -45.9169749,-67.8979325 -45.9163329,-67.8972459 -45.916945,-67.8964305 -45.9169151,-67.8960013 -45.9166017</t>
  </si>
  <si>
    <t>-67.9195619 -45.9217516,-67.9195189 -45.9185124,-67.9191113 -45.9172286</t>
  </si>
  <si>
    <t>-67.9105067 -45.9207068,-67.9081678 -45.9205276,-67.9078245 -45.9200798,-67.9065156 -45.9195574,-67.9081035 -45.9191991,-67.9097772 -45.9180049</t>
  </si>
  <si>
    <t>-67.9129314 -45.918184,-67.9114509 -45.9185423,-67.9090905 -45.9197514,-67.9102707 -45.9204978</t>
  </si>
  <si>
    <t>-67.9032755 -45.9242593,-67.9009366 -45.9240205</t>
  </si>
  <si>
    <t>-67.9009366 -45.9240205,-67.9032111 -45.9240951,-67.9045844 -45.9234831,-67.9111075 -45.9230055,-67.908361 -45.9205575,-67.9102921 -45.920662</t>
  </si>
  <si>
    <t>-67.9102921 -45.920662,-67.908361 -45.9205575,-67.9075885 -45.9200201,-67.9060221 -45.9194977,-67.9027176 -45.9217367</t>
  </si>
  <si>
    <t>-67.898984 -45.9215725,-67.9012799 -45.9215277,-67.9016232 -45.9217367</t>
  </si>
  <si>
    <t>-67.9082537 -45.9278265,-67.9069018 -45.9297071,-67.9044557 -45.9301399,-67.9031253 -45.9268564,-67.9025245 -45.9264086</t>
  </si>
  <si>
    <t>-67.9160428 -45.9260952,-67.9158497 -45.9268415,-67.9124379 -45.928125,-67.9126954 -45.9289758,-67.9133177 -45.9295131,-67.9122019 -45.9304384,-67.9106355 -45.9306175,-67.9069018 -45.9297071,-67.9082537 -45.9278265</t>
  </si>
  <si>
    <t>-67.9183388 -45.9258713,-67.9167509 -45.9248116,-67.9175448 -45.9264683,-67.9174805 -45.9272444,-67.9163647 -45.9281549,-67.9153562 -45.9282295,-67.9142404 -45.9287071,-67.9133177 -45.9295131,-67.9126954 -45.9289758,-67.912631 -45.9280206,-67.9141116 -45.9273489,-67.9158497 -45.9268415,-67.9161072 -45.9264235,-67.9158711 -45.9259907</t>
  </si>
  <si>
    <t>-67.9287672 -45.9270653,-67.927587 -45.9266922,-67.9265141 -45.9266325,-67.9261708 -45.9260206,-67.926321 -45.9254982,-67.9253769 -45.9248713,-67.9232097 -45.9249011,-67.922008 -45.9242593,-67.9200339 -45.9239458,-67.9162788 -45.9243787,-67.9181242 -45.9258713,-67.9186392 -45.925737</t>
  </si>
  <si>
    <t>-67.9366422 -45.9271698,-67.9355264 -45.9268564,-67.9335093 -45.9267071,-67.9319644 -45.9271698,-67.9287672 -45.9270653</t>
  </si>
  <si>
    <t>-67.9435515 -45.9227219,-67.9384983 -45.9223039,-67.9381764 -45.9219979,-67.9378438 -45.9222592,-67.9378438 -45.9241399,-67.9368353 -45.9265728</t>
  </si>
  <si>
    <t>-67.9378974 -45.9205575,-67.9375219 -45.920244,-67.9376721 -45.9193932,-67.9373181 -45.9201097,-67.9375005 -45.9207814,-67.9381657 -45.9214382,-67.9378438 -45.9222592,-67.9378653 -45.9235428,-67.9352689 -45.9230204,-67.9323292 -45.9215277,-67.9315567 -45.9216173</t>
  </si>
  <si>
    <t>-67.9437661 -45.9226174,-67.9421139 -45.9226995,-67.9384983 -45.9223039,-67.9381764 -45.9219979,-67.9380584 -45.9212964,-67.9374897 -45.9206471,-67.9373181 -45.9201097,-67.9376721 -45.9193932,-67.9375219 -45.920244,-67.9378974 -45.9205575</t>
  </si>
  <si>
    <t>-67.9528105 -45.9161613,-67.9515123 -45.9160642,-67.9499567 -45.9146834,-67.9483688 -45.915176,-67.9474139 -45.9164972,-67.9465771 -45.9168554,-67.9461694 -45.9163329,-67.9441094 -45.9159747,-67.9418564 -45.9156761,-67.9395819 -45.9148998,-67.9391098 -45.9138847,-67.9391956 -45.913392,-67.9384017 -45.9129591</t>
  </si>
  <si>
    <t>-67.9510295 -45.9188259,-67.949667 -45.9168704,-67.9491198 -45.9161986,-67.9486799 -45.916833,-67.9491198 -45.9181243,-67.9471564 -45.9191543</t>
  </si>
  <si>
    <t>-67.9530573 -45.9174227,-67.9520273 -45.9186766</t>
  </si>
  <si>
    <t>-67.958014 -45.9182139,-67.9570055 -45.9184677,-67.9553103 -45.9181691,-67.9540443 -45.919229,-67.95192 -45.9189752</t>
  </si>
  <si>
    <t>-67.9587436 -45.920871,-67.9575205 -45.9200947,-67.9542375 -45.9190946,-67.9514909 -45.9187513</t>
  </si>
  <si>
    <t>-67.9682279 -45.9133771,-67.9674554 -45.9145266,-67.9676914 -45.9155268,-67.9655671 -45.9164972,-67.9633999 -45.9171241,-67.9619193 -45.9176317,-67.9586577 -45.9198261,-67.9587865 -45.9209754</t>
  </si>
  <si>
    <t>-67.9546666 -45.8908595,-67.9532504 -45.8922185,-67.9515231 -45.8917406</t>
  </si>
  <si>
    <t>-67.9549241 -45.8925098,-67.9545915 -45.8926666,-67.9532933 -45.8921588,-67.9515231 -45.8917406</t>
  </si>
  <si>
    <t>-67.9325545 -45.8880964,-67.9324257 -45.8875363,-67.933048 -45.8868642,-67.9335093 -45.8836304</t>
  </si>
  <si>
    <t>-67.9221904 -45.8981548,-67.9232204 -45.8984983,-67.9230487 -45.8980652,-67.9224908 -45.89755,-67.9236388 -45.8964449</t>
  </si>
  <si>
    <t>-67.9177594 -45.8928831,-67.9196584 -45.8908744,-67.9194117 -45.8909267,-67.9188323 -45.8915241,-67.9170513 -45.8923754,-67.9181993 -45.8910014,-67.918961 -45.8905234</t>
  </si>
  <si>
    <t>-67.9211497 -45.8932565,-67.9207635 -45.8937941,-67.9185104 -45.8933685,-67.9182851 -45.8928831,-67.9197979 -45.8909565,-67.9196584 -45.8908744,-67.919358 -45.8912851,-67.917856 -45.8928831</t>
  </si>
  <si>
    <t>-67.9154849 -45.8913374,-67.9156995 -45.8918153,-67.9161823 -45.8920468,-67.9130065 -45.8949441,-67.9139829 -45.893137</t>
  </si>
  <si>
    <t>-67.9123414 -45.8967361,-67.9125881 -45.8958401,-67.913264 -45.8944587,-67.9140687 -45.8931669</t>
  </si>
  <si>
    <t>-67.9101312 -45.899663,-67.9090261 -45.9007008,-67.9088652 -45.9010443,-67.9077709 -45.901328,-67.907331 -45.9009771,-67.9077816 -45.9005441,-67.9070628 -45.8999318</t>
  </si>
  <si>
    <t>-67.8896284 -45.868654,-67.8885341 -45.8711117,-67.889092 -45.8708652</t>
  </si>
  <si>
    <t>-67.8862917 -45.8600846,-67.8869355 -45.8600547,-67.8873861 -45.8596438,-67.8876221 -45.8588667,-67.8886843 -45.8579999</t>
  </si>
  <si>
    <t>-67.8874397 -45.861564,-67.8883946 -45.8610484,-67.8891027 -45.8595242,-67.8897572 -45.8589414,-67.889607 -45.8582764</t>
  </si>
  <si>
    <t>-67.9512119 -45.8788877,-67.952435 -45.8787607,-67.9518127 -45.8800454,-67.9474354 -45.8786785,-67.9441524 -45.8779764,-67.9427791 -45.8776328,-67.940805 -45.8776926</t>
  </si>
  <si>
    <t>-67.9581213 -45.8673466,-67.9581428 -45.8669731,-67.9568553 -45.866226,-67.9523492 -45.8659869,-67.9491305 -45.866226,-67.9489803 -45.8668834</t>
  </si>
  <si>
    <t>-67.9634213 -45.8661513,-67.9616404 -45.8655387,-67.96031 -45.8656881,-67.960031 -45.8653594</t>
  </si>
  <si>
    <t>-68.0108535 -45.8689005,-68.0099201 -45.8687436,-68.00933 -45.8689229</t>
  </si>
  <si>
    <t>-68.0041587 -45.8700285,-68.0051243 -45.8686091</t>
  </si>
  <si>
    <t>-68.0042875 -45.8700958,-68.0049527 -45.8693637</t>
  </si>
  <si>
    <t>-67.9971957 -45.8714031,-67.9989982 -45.8712611,-67.9998028 -45.8710071</t>
  </si>
  <si>
    <t>-68.0036652 -45.8703498,-68.0024529 -45.8706934,-68.0012727 -45.8709175,-68.0001891 -45.8713881,-67.9995775 -45.8718363</t>
  </si>
  <si>
    <t>-68.0045772 -45.8707083,-68.003397 -45.8713806</t>
  </si>
  <si>
    <t>-68.0010152 -45.871799,-67.9994595 -45.8718961</t>
  </si>
  <si>
    <t>-68.0100918 -45.8701854,-68.0087399 -45.8700808,-68.0073988 -45.8701331,-68.0048668 -45.8704917</t>
  </si>
  <si>
    <t>-68.0100918 -45.8701854,-68.0091584 -45.8701107,-68.0076241 -45.8713582</t>
  </si>
  <si>
    <t>-68.0103922 -45.8730315,-68.010006 -45.8730838,-68.0082464 -45.8715973,-68.0073667 -45.8714852</t>
  </si>
  <si>
    <t>-68.0089009 -45.8743612,-68.0095875 -45.8737113,-68.0099952 -45.8730241,-68.0103064 -45.872927</t>
  </si>
  <si>
    <t>-68.0118513 -45.872658,-68.0103922 -45.8730315,-68.0101883 -45.8728224</t>
  </si>
  <si>
    <t>-68.0046093 -45.8728523,-68.0045557 -45.8727178,-68.0070448 -45.8717766</t>
  </si>
  <si>
    <t>-68.0045235 -45.8728971,-68.0042553 -45.8727253</t>
  </si>
  <si>
    <t>-68.0041802 -45.8731137,-68.0035472 -45.8731286,-68.0014122 -45.8739055</t>
  </si>
  <si>
    <t>-68.003161 -45.872673,-68.0046201 -45.8721575</t>
  </si>
  <si>
    <t>-67.9987729 -45.8728298,-67.9992771 -45.8727029,-68.0004144 -45.8721277</t>
  </si>
  <si>
    <t>-67.9984939 -45.8727327,-67.9986763 -45.8725609,-67.9987407 -45.872292</t>
  </si>
  <si>
    <t>-68.0007684 -45.8741147,-67.9944921 -45.8759223,-67.9942346 -45.8757953</t>
  </si>
  <si>
    <t>-67.9970562 -45.8749065,-67.998054 -45.8746002,-67.9989874 -45.8742865,-67.9998994 -45.8736889</t>
  </si>
  <si>
    <t>-67.9940093 -45.875758,-67.9942882 -45.875646,-67.9944921 -45.8759223,-67.9952216 -45.8756385,-67.9962945 -45.874899</t>
  </si>
  <si>
    <t>-67.9972601 -45.8737412,-67.9979467 -45.8732108</t>
  </si>
  <si>
    <t>-68.0009079 -45.8733901,-68.0017447 -45.8731436,-68.0013478 -45.8728149,-68.0005753 -45.8728074,-67.9998672 -45.8727327,-67.9986441 -45.8728074</t>
  </si>
  <si>
    <t>-68.0015838 -45.8738084,-68.0021203 -45.8736067,-68.0017447 -45.8731436,-68.0009079 -45.8733901</t>
  </si>
  <si>
    <t>-68.0016375 -45.8737561,-68.0021203 -45.8736067,-68.0018306 -45.8731884,-68.0024421 -45.8728149</t>
  </si>
  <si>
    <t>-67.9960477 -45.8739802,-67.9943097 -45.8746376</t>
  </si>
  <si>
    <t>-67.9932904 -45.8760792,-67.9926252 -45.8763556,-67.9912949 -45.8766319</t>
  </si>
  <si>
    <t>-67.9921103 -45.8760792,-67.9931402 -45.8760045</t>
  </si>
  <si>
    <t>-67.9896748 -45.8771548,-67.9892349 -45.8767216,-67.985158 -45.8765946,-67.9863167 -45.8762734</t>
  </si>
  <si>
    <t>-67.9909623 -45.8768411,-67.9909086 -45.8766394,-67.9893529 -45.876729,-67.9896641 -45.8770726</t>
  </si>
  <si>
    <t>-67.98666 -45.8789698,-67.985394 -45.879657,-67.9850936 -45.8801051,-67.9852331 -45.8804636,-67.9852545 -45.8810612,-67.9828298 -45.8809641,-67.9836452 -45.880628</t>
  </si>
  <si>
    <t>-67.9842353 -45.8779316,-67.9845464 -45.8776478,-67.9840744 -45.8771697,-67.9842675 -45.8766469,-67.9855335 -45.8765274,-67.9845035 -45.8763929</t>
  </si>
  <si>
    <t>-67.9838705 -45.8772892,-67.9842675 -45.8766469,-67.9854584 -45.876617,-67.9846001 -45.8763854</t>
  </si>
  <si>
    <t>-67.9801154 -45.8760643,-67.9798043 -45.8759522,-67.979418 -45.8747869,-67.9791927 -45.874772,-67.9793322 -45.8767141,-67.9789352 -45.8795823</t>
  </si>
  <si>
    <t>-67.970835 -45.8801275,-67.9720259 -45.8796495,-67.9739892 -45.879179</t>
  </si>
  <si>
    <t>-67.9765213 -45.8806504,-67.9766071 -45.8809043,-67.9752553 -45.8810014,-67.974751 -45.8807997</t>
  </si>
  <si>
    <t>-67.9729807 -45.8815392,-67.975148 -45.8809715,-67.9747081 -45.8806877</t>
  </si>
  <si>
    <t>-67.9774117 -45.8806802,-67.9766285 -45.8808296,-67.9764354 -45.8806429</t>
  </si>
  <si>
    <t>-67.9768538 -45.8819574,-67.9764032 -45.8816661,-67.9762852 -45.8812703,-67.9767895 -45.8808595,-67.9773152 -45.8806429</t>
  </si>
  <si>
    <t>-67.9836452 -45.880628,-67.9827011 -45.8809865,-67.9772079 -45.8809641,-67.9786885 -45.8806504,-67.9790211 -45.8800977</t>
  </si>
  <si>
    <t>-67.9813814 -45.881808,-67.9819071 -45.8817483,-67.9820681 -45.881345,-67.981478 -45.8815466,-67.980212 -45.881345</t>
  </si>
  <si>
    <t>-67.9814887 -45.8817558,-67.9819179 -45.8816512,-67.9821432 -45.8813076,-67.9828405 -45.8810462,-67.9829264 -45.8808968,-67.9836452 -45.880628</t>
  </si>
  <si>
    <t>-67.9745901 -45.8842353,-67.975266 -45.8835333</t>
  </si>
  <si>
    <t>-67.9741502 -45.8819201,-67.9734421 -45.8820844,-67.9724014 -45.8825176,-67.9714251 -45.8825474</t>
  </si>
  <si>
    <t>-67.9708779 -45.8830703,-67.9724014 -45.8825176,-67.9714251 -45.8825474</t>
  </si>
  <si>
    <t>-67.9708779 -45.8830703,-67.9724014 -45.882891</t>
  </si>
  <si>
    <t>-67.9702878 -45.8816587,-67.9720151 -45.8816736</t>
  </si>
  <si>
    <t>-67.9716504 -45.8841009,-67.9722619 -45.8837872,-67.9711998 -45.8831898</t>
  </si>
  <si>
    <t>-67.9766071 -45.8824279,-67.9764247 -45.8817184,-67.9768002 -45.8819051</t>
  </si>
  <si>
    <t>-67.9766285 -45.88254,-67.9760277 -45.8820396,-67.9747617 -45.8818006,-67.9745471 -45.8818454</t>
  </si>
  <si>
    <t>-67.9754806 -45.8829358,-67.9752553 -45.8825325,-67.9725409 -45.8829059</t>
  </si>
  <si>
    <t>-67.9737425 -45.8844967,-67.9722619 -45.8837872,-67.9715753 -45.8840486</t>
  </si>
  <si>
    <t>-67.9738498 -45.8845789,-67.9717362 -45.8849299,-67.9701054 -45.8854378,-67.9703629 -45.8856618</t>
  </si>
  <si>
    <t>-67.9642582 -45.8866849,-67.9660714 -45.8869613,-67.9663503 -45.8865505,-67.9662859 -45.88549,-67.9665112 -45.8837798,-67.9671657 -45.8837275,-67.9670477 -45.8843548</t>
  </si>
  <si>
    <t>-67.9643333 -45.8867223,-67.9646766 -45.8866103,-67.9642367 -45.8857813,-67.9634535 -45.885139,-67.9639041 -45.8838619</t>
  </si>
  <si>
    <t>-67.9689896 -45.8855572,-67.9684317 -45.8850942,-67.9680133 -45.8843399,-67.9672301 -45.8837872,-67.9670477 -45.8843548</t>
  </si>
  <si>
    <t>-67.9702342 -45.8858709,-67.9697192 -45.8860352,-67.9691613 -45.8857589</t>
  </si>
  <si>
    <t>-67.9671872 -45.8881412,-67.9659748 -45.8870061,-67.9642153 -45.8869314,-67.9642582 -45.8866849</t>
  </si>
  <si>
    <t>-67.9670262 -45.8881263,-67.9660714 -45.8869613,-67.9657602 -45.8876259,-67.9651165 -45.8877678,-67.9650307 -45.887947,-67.964462 -45.8880815</t>
  </si>
  <si>
    <t>-67.9752874 -45.8886341,-67.9738069 -45.8884922,-67.9698479 -45.8860651,-67.9702234 -45.8859307</t>
  </si>
  <si>
    <t>-67.9752123 -45.8886192,-67.9738176 -45.8885743,-67.972852 -45.8880068,-67.9716182 -45.8889776,-67.9710495 -45.8890672</t>
  </si>
  <si>
    <t>-67.9726589 -45.8893435,-67.9721224 -45.889478,-67.9718435 -45.8887909,-67.9712427 -45.8890149</t>
  </si>
  <si>
    <t>-67.9741609 -45.8913075,-67.9732168 -45.8912627,-67.9721975 -45.8896198,-67.9726803 -45.8893958</t>
  </si>
  <si>
    <t>-67.9609108 -45.8902845,-67.9623485 -45.8909491,-67.9621017 -45.8899111,-67.962445 -45.8899634,-67.9637861 -45.8886864</t>
  </si>
  <si>
    <t>-67.9702985 -45.892002,-67.9693437 -45.8927189,-67.9695046 -45.8920393,-67.9694617 -45.8909565,-67.9689038 -45.8902247,-67.9675949 -45.8891494</t>
  </si>
  <si>
    <t>-67.963196 -45.8927189,-67.9626918 -45.8927114,-67.9624236 -45.8909043,-67.9618871 -45.8908445,-67.9608786 -45.8903442</t>
  </si>
  <si>
    <t>-67.9636359 -45.8920916,-67.9636359 -45.890964</t>
  </si>
  <si>
    <t>-67.9667902 -45.8928309,-67.9665112 -45.8926517,-67.9661894 -45.8920169,-67.965138 -45.8917033,-67.964741 -45.8917481,-67.9635823 -45.8909043</t>
  </si>
  <si>
    <t>-67.9700196 -45.8946006,-67.9694724 -45.8950785,-67.9688716 -45.8947873,-67.968539 -45.8939211,-67.9681528 -45.8937344,-67.9683995 -45.892562,-67.9679918 -45.8916286,-67.9672837 -45.8913673,-67.9666185 -45.8912776,-67.966361 -45.8910462</t>
  </si>
  <si>
    <t>-67.9702985 -45.892002,-67.969805 -45.8925695,-67.9693437 -45.8927189,-67.9691291 -45.8925844,-67.9689145 -45.8911731</t>
  </si>
  <si>
    <t>-67.9612112 -45.8971319,-67.9633784 -45.8962807,-67.9639149 -45.8957132,-67.9634535 -45.8934357,-67.9631853 -45.892801</t>
  </si>
  <si>
    <t>-67.9602778 -45.8973559,-67.959677 -45.8974604,-67.9590976 -45.897326,-67.9587114 -45.8968257,-67.95928 -45.896094,-67.9591405 -45.8953548</t>
  </si>
  <si>
    <t>-67.9623377 -45.8945558,-67.9625738 -45.8941376,-67.9627454 -45.8928234,-67.963196 -45.8927189</t>
  </si>
  <si>
    <t>-67.9649234 -45.8939808,-67.9661894 -45.8928234,-67.9669297 -45.8928981</t>
  </si>
  <si>
    <t>-67.9699337 -45.8946379,-67.9693973 -45.8950411,-67.9688287 -45.894847,-67.9686248 -45.893936,-67.9694724 -45.8926591,-67.9702985 -45.892002</t>
  </si>
  <si>
    <t>-67.9698801 -45.8941675,-67.9696119 -45.8937568,-67.9699659 -45.8935029</t>
  </si>
  <si>
    <t>-67.9662001 -45.8964449,-67.9652131 -45.8977815,-67.9650414 -45.897662,-67.9655886 -45.8962657,-67.966125 -45.8954817,-67.9668546 -45.8937568</t>
  </si>
  <si>
    <t>-67.9700303 -45.8946753,-67.9689145 -45.8953622,-67.9678416 -45.8961836,-67.9674447 -45.8968631,-67.9655778 -45.8978636,-67.9653203 -45.8977964,-67.9662001 -45.8964449</t>
  </si>
  <si>
    <t>-67.9662001 -45.8964449,-67.9653203 -45.8977964,-67.9651058 -45.8977217,-67.9655027 -45.8963628,-67.9647303 -45.8972513,-67.9640865 -45.8983937</t>
  </si>
  <si>
    <t>-67.9681742 -45.8981175,-67.967155 -45.8982145,-67.966522 -45.8986401,-67.965138 -45.8986401</t>
  </si>
  <si>
    <t>-67.9642367 -45.8983564,-67.9643333 -45.8976993,-67.9650199 -45.8970721,-67.9652989 -45.8964076,-67.9613721 -45.8972065</t>
  </si>
  <si>
    <t>-67.9576921 -45.9039411,-67.9583466 -45.9038888,-67.959516 -45.9036873,-67.9611468 -45.9030079,-67.9597306 -45.9022762,-67.9588938 -45.9019029,-67.9587328 -45.9013728</t>
  </si>
  <si>
    <t>-67.9577565 -45.9038664,-67.9585826 -45.9036126,-67.9585826 -45.9031348,-67.9576492 -45.90253,-67.9561365 -45.9021343,-67.9558575 -45.9012832</t>
  </si>
  <si>
    <t>-67.9519415 -45.9014251,-67.9524672 -45.9015595,-67.9527569 -45.9020821,-67.9535294 -45.9024554,-67.9558897 -45.9024703,-67.956233 -45.9022389,-67.9559326 -45.9014549,-67.9556215 -45.9012309</t>
  </si>
  <si>
    <t>-67.9506969 -45.9010816,-67.9497743 -45.9008576,-67.9498494 -45.8992001</t>
  </si>
  <si>
    <t>-67.9450321 -45.8998198,-67.9446352 -45.9000513,-67.9394531 -45.9004321,-67.9364061 -45.8998348,-67.9364491 -45.8993644,-67.9359663 -45.8986551,-67.9358912 -45.8977367,-67.9363203 -45.8977665</t>
  </si>
  <si>
    <t>-67.9498494 -45.8992001,-67.949506 -45.8996854,-67.9466414 -45.8986103,-67.9437232 -45.8985057,-67.9415774 -45.8979681,-67.9412556 -45.8976545,-67.9422104 -45.8972588</t>
  </si>
  <si>
    <t>-67.9498494 -45.8992001,-67.9497743 -45.9002081,-67.9476178 -45.8999243,-67.9458475 -45.9000662,-67.9446352 -45.9000513,-67.9449892 -45.8998721</t>
  </si>
  <si>
    <t>-67.9566944 -45.8986327,-67.9550421 -45.8986849,-67.9549778 -45.9007158,-67.9546666 -45.8996481,-67.953701 -45.898991</t>
  </si>
  <si>
    <t>-67.9566944 -45.8986327,-67.9549992 -45.8986252,-67.9545057 -45.8976097,-67.9539156 -45.8971991,-67.953068 -45.8970721,-67.9531431 -45.8968855,-67.9546881 -45.8965943</t>
  </si>
  <si>
    <t>-67.9518449 -45.8968108,-67.9525423 -45.897214,-67.9543984 -45.8976247,-67.9541409 -45.8973633,-67.953068 -45.8970721,-67.9531431 -45.8968855,-67.9545593 -45.8966391</t>
  </si>
  <si>
    <t>-67.9576063 -45.8896124,-67.9577136 -45.888888,-67.9572308 -45.8876483,-67.9565012 -45.8869986</t>
  </si>
  <si>
    <t>-67.9601276 -45.8876035,-67.960943 -45.8876259</t>
  </si>
  <si>
    <t>-67.9594517 -45.8873571,-67.9572845 -45.8868791</t>
  </si>
  <si>
    <t>-67.9577458 -45.889687,-67.9589152 -45.8901575,-67.9578638 -45.8892315,-67.9582071 -45.8887536,-67.9595053 -45.8884474,-67.9607284 -45.889,-67.9613507 -45.8890224,-67.9625523 -45.8881561,-67.9630458 -45.8861696,-67.9629171 -45.8856469,-67.9631639 -45.8856543,-67.96399 -45.8867447,-67.9643333 -45.8867223</t>
  </si>
  <si>
    <t>-67.9610395 -45.8924351,-67.9590547 -45.8915988,-67.9585397 -45.8910014,-67.9589152 -45.8901575,-67.9578102 -45.8897468</t>
  </si>
  <si>
    <t>-67.958647 -45.8921289,-67.9580784 -45.8917854,-67.958411 -45.8907699,-67.9588509 -45.8902397,-67.9578209 -45.8896422</t>
  </si>
  <si>
    <t>-67.9555678 -45.8902546,-67.9566729 -45.8896124</t>
  </si>
  <si>
    <t>-67.9583359 -45.8946379,-67.9581213 -45.8934282,-67.958293 -45.8929951,-67.9576492 -45.8922484,-67.9574883 -45.8911432,-67.9567587 -45.8908221,-67.9557824 -45.8912104,-67.9554927 -45.8916958</t>
  </si>
  <si>
    <t>-67.958411 -45.8946678,-67.9585934 -45.8938464,-67.9590118 -45.8934581,-67.9594839 -45.8932714,-67.9597199 -45.892913,-67.9595053 -45.8926741</t>
  </si>
  <si>
    <t>-67.9582393 -45.8946827,-67.9580355 -45.8936448,-67.9570484 -45.8930026,-67.9563832 -45.8929429,-67.9546344 -45.8936448,-67.9533792 -45.8943691</t>
  </si>
  <si>
    <t>-67.9480469 -45.8964599,-67.9490232 -45.8964748,-67.9496241 -45.8946081,-67.9499245 -45.8939808,-67.9505253 -45.8936448,-67.9514372 -45.8936821,-67.9526389 -45.8943915</t>
  </si>
  <si>
    <t>-67.9449463 -45.892353,-67.9449999 -45.8927189,-67.9458153 -45.8930848,-67.9470813 -45.8933088,-67.9488838 -45.8925919,-67.9495275 -45.8921961,-67.950021 -45.8916212,-67.9507613 -45.8914718,-67.9513192 -45.8916436</t>
  </si>
  <si>
    <t>-67.9491413 -45.8948769,-67.9488516 -45.8952428,-67.9481113 -45.8938987,-67.9485404 -45.8934731</t>
  </si>
  <si>
    <t>-67.9479182 -45.8963777,-67.9484332 -45.8961687,-67.9491413 -45.8948769</t>
  </si>
  <si>
    <t>-67.9444742 -45.8952204,-67.9448175 -45.8966465,-67.9453754 -45.8970423,-67.9465127 -45.8973708,-67.948122 -45.8975724,-67.9491735 -45.8979383,-67.9495811 -45.8977143,-67.9495168 -45.8971916,-67.948916 -45.89643,-67.9480469 -45.8964599</t>
  </si>
  <si>
    <t>-67.942307 -45.8972439,-67.941395 -45.8969527,-67.9402256 -45.8963927,-67.9396248 -45.8958401</t>
  </si>
  <si>
    <t>-67.953701 -45.8891792,-67.9537976 -45.8898588,-67.9529715 -45.8906056,-67.9515767 -45.8903293,-67.9498279 -45.8905906,-67.9490983 -45.8910462</t>
  </si>
  <si>
    <t>-67.9490983 -45.8910462,-67.9498279 -45.8905906,-67.9512763 -45.8903591,-67.9510403 -45.8900978</t>
  </si>
  <si>
    <t>-67.9492593 -45.8893958,-67.9482508 -45.8911806</t>
  </si>
  <si>
    <t>-67.9531646 -45.88667,-67.9533255 -45.8870733,-67.9523599 -45.8875064,-67.9523385 -45.888074,-67.9529393 -45.8886416</t>
  </si>
  <si>
    <t>-67.957381 -45.8868268,-67.9566729 -45.8866327,-67.953701 -45.8868791,-67.9533148 -45.8869911,-67.9529393 -45.8866103</t>
  </si>
  <si>
    <t>-67.9508686 -45.8837125,-67.9510295 -45.8835781,-67.9506648 -45.8828387,-67.9505682 -45.8823309,-67.9502892 -45.8818603</t>
  </si>
  <si>
    <t>-67.9536474 -45.8826894,-67.9525745 -45.8824205</t>
  </si>
  <si>
    <t>-67.9574776 -45.8841607,-67.957145 -45.8847059,-67.9566514 -45.8846162,-67.9556644 -45.8837499,-67.9523063 -45.8835856,-67.9527569 -45.8833092,-67.9532826 -45.8832644</t>
  </si>
  <si>
    <t>-67.9573381 -45.8842279,-67.9571986 -45.8848253,-67.9566514 -45.8846162,-67.9557717 -45.8837574,-67.9548705 -45.8829881,-67.9542482 -45.8827267</t>
  </si>
  <si>
    <t>-67.9572201 -45.886797,-67.9568553 -45.8863339,-67.9577565 -45.8853929,-67.9572201 -45.8847357,-67.9574776 -45.8842727</t>
  </si>
  <si>
    <t>-67.960428 -45.8852436,-67.9597843 -45.8853855,-67.9578102 -45.8852959,-67.9558897 -45.8849448</t>
  </si>
  <si>
    <t>-67.9559433 -45.8833167,-67.957145 -45.8847059,-67.9573596 -45.8843026</t>
  </si>
  <si>
    <t>-67.952832 -45.8866028,-67.9515767 -45.8861547,-67.9514158 -45.8859157,-67.950815 -45.8855647,-67.9502463 -45.8848776,-67.9522634 -45.8836379,-67.9526711 -45.8833914,-67.9532182 -45.8833317</t>
  </si>
  <si>
    <t>-67.9555893 -45.8849299,-67.9548168 -45.8848552,-67.9538727 -45.8849822</t>
  </si>
  <si>
    <t>-67.951051 -45.8868418,-67.9516089 -45.886207,-67.952832 -45.8866028</t>
  </si>
  <si>
    <t>-67.9510939 -45.886543,-67.9510939 -45.8861398,-67.9498386 -45.8851241,-67.9501069 -45.8842652</t>
  </si>
  <si>
    <t>-67.9273081 -45.8864236,-67.9265678 -45.885266,-67.9253983 -45.8869463</t>
  </si>
  <si>
    <t>-67.929883 -45.8876782,-67.9306018 -45.8878724,-67.9317605 -45.8883727,-67.9326189 -45.888201</t>
  </si>
  <si>
    <t>-67.9365563 -45.8934955,-67.9363203 -45.8936,-67.935344 -45.8928831,-67.935226 -45.8911432</t>
  </si>
  <si>
    <t>-67.9325116 -45.8927189,-67.9321575 -45.8923754,-67.9320073 -45.8911582,-67.9324365 -45.8909939,-67.9336274 -45.8912403,-67.9348075 -45.8908669</t>
  </si>
  <si>
    <t>-67.9365563 -45.8934432,-67.9362988 -45.8935104,-67.9354835 -45.8929653,-67.9325223 -45.8923978,-67.932297 -45.8925471,-67.9325116 -45.8927189</t>
  </si>
  <si>
    <t>-67.9357624 -45.896079,-67.9362452 -45.8957654,-67.9356766 -45.8947947,-67.936213 -45.8944139,-67.9363203 -45.8936,-67.9366314 -45.8934955</t>
  </si>
  <si>
    <t>-67.9326725 -45.8927039,-67.9321253 -45.8924276,-67.9320502 -45.8919796,-67.9315674 -45.8910163</t>
  </si>
  <si>
    <t>-67.9292285 -45.8926143,-67.9297435 -45.8916137,-67.930634 -45.8913523,-67.9310846 -45.8915241,-67.9320288 -45.8924127,-67.9322755 -45.8923231,-67.9316425 -45.8910014</t>
  </si>
  <si>
    <t>-67.929368 -45.8925994,-67.9296148 -45.8919423,-67.9287994 -45.8913897,-67.9285097 -45.8910014,-67.9286277 -45.8901127</t>
  </si>
  <si>
    <t>-67.9286492 -45.8892166,-67.9288638 -45.8878724,-67.9292393 -45.8876931</t>
  </si>
  <si>
    <t>-67.9235637 -45.895743,-67.9241538 -45.8953249,-67.9267287 -45.8949142,-67.9271579 -45.8944961,-67.9267287 -45.8942048,-67.9257309 -45.8936448,-67.9256558 -45.8930698,-67.9268682 -45.8923604,-67.9289711 -45.8934208,-67.9293036 -45.893361</t>
  </si>
  <si>
    <t>-67.9316318 -45.8950411,-67.9325867 -45.8946603,-67.9341102 -45.8949739,-67.9346573 -45.8952428</t>
  </si>
  <si>
    <t>-67.9292071 -45.8980727,-67.9297006 -45.8983415,-67.9303551 -45.8987073,-67.9325438 -45.8992524,-67.932812 -45.8995137,-67.9300761 -45.8999542,-67.9277909 -45.900111,-67.9299474 -45.9014624,-67.9311705 -45.9009398</t>
  </si>
  <si>
    <t>-67.9312027 -45.9008128,-67.9299688 -45.9015296,-67.9282737 -45.9003723,-67.9263103 -45.8994316,-67.9232204 -45.8984983,-67.9221046 -45.8981623</t>
  </si>
  <si>
    <t>-67.9233277 -45.9000662,-67.9218793 -45.9005963,-67.9207635 -45.9005814</t>
  </si>
  <si>
    <t>-67.9163861 -45.9059195,-67.9159999 -45.9055014,-67.9150128 -45.9052252,-67.9152274 -45.9042696,-67.9163969 -45.9024479,-67.9179418 -45.9021418,-67.9190683 -45.9011936,-67.9189825 -45.9003723,-67.9191971 -45.9000886,-67.9196155 -45.9003499</t>
  </si>
  <si>
    <t>-67.9164612 -45.9058822,-67.9158711 -45.905479,-67.9148841 -45.9052252,-67.9124272 -45.9007456,-67.9111719 -45.9011339,-67.9084682 -45.9027914</t>
  </si>
  <si>
    <t>-67.9142082 -45.9087937,-67.9097235 -45.9084055,-67.9054964 -45.9096297</t>
  </si>
  <si>
    <t>-67.9045951 -45.9018208,-67.906301 -45.9022986,-67.9085219 -45.9021269,-67.9110646 -45.9011414,-67.9084682 -45.9028809</t>
  </si>
  <si>
    <t>-67.9084682 -45.9027914,-67.9096591 -45.9021717,-67.9111719 -45.9011339,-67.9123199 -45.9007083,-67.9114294 -45.8999766,-67.9097021 -45.9003425,-67.9089189 -45.9008875,-67.9101956 -45.899678</t>
  </si>
  <si>
    <t>-67.9071593 -45.8999318,-67.9077816 -45.9005441,-67.9093266 -45.8992524,-67.9094017 -45.8982519,-67.9090691 -45.8980577,-67.9083502 -45.8984833,-67.9024601 -45.8979383,-67.9008722 -45.8967959,-67.9025567 -45.8975649,-67.9050457 -45.8975575,-67.9064405 -45.8970647,-67.9069877 -45.8965047,-67.9064941 -45.8957953,-67.9053569 -45.8954966,-67.9042304 -45.895407,-67.9022777 -45.8949814,-67.9017198 -45.8952876,-67.9019129 -45.8963628,-67.9025137 -45.896766,-67.9042196 -45.8966017</t>
  </si>
  <si>
    <t>-67.9070628 -45.8999318,-67.9078245 -45.9006112,-67.9073203 -45.9009024,-67.9057217 -45.8997078,-67.904563 -45.8992225,-67.9035115 -45.8990209</t>
  </si>
  <si>
    <t>-67.9248083 -45.8977292,-67.9243898 -45.8973111,-67.9244757 -45.8960118,-67.9252696 -45.8956908,-67.9270184 -45.895534</t>
  </si>
  <si>
    <t>-67.9247761 -45.8977964,-67.9243469 -45.8973633,-67.9243791 -45.8961313,-67.9234135 -45.8969676,-67.9229736 -45.897214,-67.9236066 -45.8963628</t>
  </si>
  <si>
    <t>-67.9196155 -45.9003499,-67.9192078 -45.9000214,-67.9200554 -45.8997825,-67.9231131 -45.8985207,-67.9222226 -45.8982295</t>
  </si>
  <si>
    <t>-67.9198515 -45.8952876,-67.9187465 -45.8950934,-67.9171157 -45.8950187,-67.9165041 -45.8955564</t>
  </si>
  <si>
    <t>-67.9165363 -45.8956086,-67.9175019 -45.8947275,-67.9165041 -45.893712,-67.9164827 -45.892689,-67.9183388 -45.8916958,-67.9195189 -45.8908296,-67.9196799 -45.8909341,-67.9177058 -45.8929802</t>
  </si>
  <si>
    <t>-67.9236388 -45.8957654,-67.9239929 -45.8954518,-67.9248619 -45.8951606,-67.9265141 -45.8948918,-67.9267073 -45.8945707,-67.9261279 -45.89416,-67.9250765 -45.8933685</t>
  </si>
  <si>
    <t>-67.9217613 -45.8923082,-67.9222977 -45.8918228,-67.9222763 -45.8910238,-67.921139 -45.8899783,-67.9201734 -45.8900156</t>
  </si>
  <si>
    <t>-67.9257953 -45.8919049,-67.9254949 -45.8919945,-67.9252696 -45.8913747,-67.9241109 -45.8909192</t>
  </si>
  <si>
    <t>-67.9267395 -45.8911582,-67.9273725 -45.8903965,-67.9274154 -45.8900082</t>
  </si>
  <si>
    <t>-67.925173 -45.8927786,-67.9257953 -45.8919049</t>
  </si>
  <si>
    <t>-67.9221904 -45.8981548,-67.9233706 -45.8984385,-67.9223728 -45.8974903,-67.9203773 -45.8967212,-67.9203129 -45.8957953</t>
  </si>
  <si>
    <t>-67.9181457 -45.8980652,-67.9194331 -45.8971393,-67.92027 -45.8969004,-67.9202485 -45.8958625</t>
  </si>
  <si>
    <t>-67.9101956 -45.899678,-67.9090798 -45.9005739,-67.9091763 -45.9006934,-67.9097128 -45.9003873,-67.9113436 -45.8999841,-67.9123521 -45.9008128,-67.9124165 -45.9004769,-67.9120195 -45.899566,-67.9120624 -45.8986177,-67.9110324 -45.8972513,-67.9111183 -45.8939286</t>
  </si>
  <si>
    <t>-67.9155815 -45.891315,-67.9156137 -45.8917929,-67.9101205 -45.891778,-67.9101098 -45.8913822,-67.9085004 -45.8909043</t>
  </si>
  <si>
    <t>-67.9088008 -45.8909117,-67.9101098 -45.8913822,-67.9100025 -45.891763,-67.9117191 -45.8917406,-67.9115689 -45.8913971,-67.911129 -45.8908445,-67.9124701 -45.8893286</t>
  </si>
  <si>
    <t>-67.9200876 -45.8901874,-67.9206669 -45.8896646,-67.9178774 -45.8882906,-67.9172873 -45.8905981,-67.9169333 -45.8902621,-67.9169869 -45.889239,-67.9164076 -45.8886266</t>
  </si>
  <si>
    <t>-67.9201949 -45.8901426,-67.920785 -45.8896646,-67.9178774 -45.8882906,-67.9180706 -45.8870061,-67.9186499 -45.8868642,-67.918961 -45.8857962</t>
  </si>
  <si>
    <t>-67.9213536 -45.8885893,-67.9210854 -45.8895004,-67.9204845 -45.8896796,-67.9201949 -45.8901426</t>
  </si>
  <si>
    <t>-67.9183924 -45.8832943,-67.9178345 -45.8833989,-67.9181349 -45.883832,-67.9182851 -45.8847656,-67.9179955 -45.8868492,-67.9182959 -45.887021,-67.918725 -45.8867895,-67.9189289 -45.8859232</t>
  </si>
  <si>
    <t>-67.9170191 -45.8851166,-67.9173195 -45.8842055,-67.9170299 -45.8838096,-67.9156995 -45.8836155,-67.9139936 -45.884071</t>
  </si>
  <si>
    <t>-67.9139292 -45.8840113,-67.9155707 -45.8836005,-67.9171479 -45.8825624,-67.9169762 -45.8820172,-67.9165578 -45.8823607</t>
  </si>
  <si>
    <t>-67.9199052 -45.8837125,-67.9188645 -45.8826669,-67.9191864 -45.8815466,-67.9198301 -45.881457</t>
  </si>
  <si>
    <t>-67.9238641 -45.8824055,-67.9235315 -45.8824279,-67.9226196 -45.8841831,-67.9213428 -45.8843847,-67.9205918 -45.884198,-67.9203773 -45.8840337</t>
  </si>
  <si>
    <t>-67.9233921 -45.8855124,-67.9230702 -45.8860053,-67.9223835 -45.8861323,-67.9201627 -45.8858186</t>
  </si>
  <si>
    <t>-67.9273725 -45.8864012,-67.9273295 -45.8861696,-67.9265678 -45.8852062,-67.9264498 -45.8840636,-67.9268146 -45.883959</t>
  </si>
  <si>
    <t>-67.9306662 -45.8853705,-67.9301298 -45.8848478,-67.9301834 -45.8845415,-67.9296148 -45.8841457,-67.9283166 -45.8832794,-67.9278016 -45.8828089,-67.927072 -45.8829806,-67.9266322 -45.8833914,-67.9264498 -45.8840636,-67.9268146 -45.883959</t>
  </si>
  <si>
    <t>-67.9307413 -45.885378,-67.9301298 -45.8848478,-67.9305589 -45.8826669</t>
  </si>
  <si>
    <t>-67.9306662 -45.8853705,-67.9302263 -45.8849075,-67.930398 -45.8837648,-67.9310846 -45.8830703</t>
  </si>
  <si>
    <t>-67.9308057 -45.8796645,-67.931267 -45.8797765,-67.9315138 -45.8799184,-67.9314601 -45.8810014,-67.931546 -45.882174,-67.9312348 -45.8828089</t>
  </si>
  <si>
    <t>-67.9309022 -45.8820844,-67.931546 -45.8802844,-67.9315138 -45.8799184,-67.9308915 -45.8797018</t>
  </si>
  <si>
    <t>-67.9347432 -45.8865206,-67.9354727 -45.8859531,-67.9353011 -45.8855274,-67.9348075 -45.8850793,-67.9337132 -45.8845864,-67.9335845 -45.8836827</t>
  </si>
  <si>
    <t>-67.9351616 -45.890628,-67.9353011 -45.8903069,-67.9351509 -45.889702,-67.9356337 -45.8888283,-67.9361594 -45.8882682,-67.9367387 -45.8882607</t>
  </si>
  <si>
    <t>-67.9386914 -45.8911283,-67.9384661 -45.8920468,-67.9380691 -45.8922111,-67.9374146 -45.8931968</t>
  </si>
  <si>
    <t>-67.9441845 -45.8944512,-67.9437339 -45.8940256,-67.9429615 -45.8935179,-67.9420388 -45.8926442,-67.9392278 -45.8921737,-67.9386055 -45.8919721,-67.9388738 -45.8911059</t>
  </si>
  <si>
    <t>-67.9451072 -45.8893211,-67.9437232 -45.8890224,-67.941674 -45.8897767,-67.9414809 -45.8904637,-67.9415774 -45.8909864,-67.9420388 -45.8919497,-67.9406333 -45.8922409,-67.9389274 -45.891778,-67.938863 -45.8911806</t>
  </si>
  <si>
    <t>-67.9435515 -45.8903965,-67.9442811 -45.8907549,-67.9443991 -45.8913449,-67.9417706 -45.8920468,-67.9407835 -45.8922185,-67.938906 -45.8918302,-67.9386592 -45.8912328,-67.9388738 -45.8911059</t>
  </si>
  <si>
    <t>-67.948696 -45.886909,-67.9494202 -45.887484,-67.9491949 -45.8880889,-67.9491842 -45.8890224</t>
  </si>
  <si>
    <t>-67.9487872 -45.8868418,-67.9495382 -45.8874766,-67.9496884 -45.88726,-67.9485726 -45.886095,-67.9476714 -45.8855871</t>
  </si>
  <si>
    <t>-67.948755 -45.886894,-67.9494202 -45.887484,-67.9503751 -45.8875587,-67.9509008 -45.8873571,-67.9508793 -45.8868716</t>
  </si>
  <si>
    <t>-67.9471672 -45.8852884,-67.9470921 -45.8848627,-67.9461265 -45.8845565</t>
  </si>
  <si>
    <t>-67.9484117 -45.88667,-67.947489 -45.8864908,-67.9468238 -45.8864609,-67.9463196 -45.8856021,-67.9456758 -45.8850643,-67.945118 -45.8847581,-67.9446459 -45.8841607,-67.9440129 -45.8842652</t>
  </si>
  <si>
    <t>-67.9418457 -45.8717616,-67.9421782 -45.8718513,-67.9431438 -45.8723667</t>
  </si>
  <si>
    <t>-67.9371572 -45.8724638,-67.9373395 -45.8719857,-67.9396999 -45.8719409,-67.9396462 -45.8731884</t>
  </si>
  <si>
    <t>-67.9433692 -45.8709175,-67.9431653 -45.8707233,-67.9422212 -45.8717691,-67.9418242 -45.8716795</t>
  </si>
  <si>
    <t>-67.9455793 -45.876856,-67.9449999 -45.8763556,-67.944839 -45.8754443,-67.9461801 -45.8743238,-67.947135 -45.8736291,-67.9471564 -45.873166</t>
  </si>
  <si>
    <t>-67.9486585 -45.8762659,-67.9482937 -45.8759821,-67.9462659 -45.8766543,-67.9456758 -45.876871</t>
  </si>
  <si>
    <t>-67.9602134 -45.8796719,-67.9599452 -45.8797616,-67.9590547 -45.8796495</t>
  </si>
  <si>
    <t>-67.9538298 -45.8776104,-67.9575419 -45.8788205,-67.9596341 -45.8789624,-67.9602242 -45.8794852</t>
  </si>
  <si>
    <t>-67.956351 -45.881091,-67.9560935 -45.8809193,-67.9542911 -45.8805458,-67.9525852 -45.8807699</t>
  </si>
  <si>
    <t>-67.9567909 -45.8815392,-67.9558897 -45.8815765,-67.9548705 -45.8810313,-67.9529178 -45.8809043,-67.9525852 -45.8807699</t>
  </si>
  <si>
    <t>-67.9600096 -45.8822562,-67.9586792 -45.8818827,-67.9575849 -45.8812778,-67.9572201 -45.8810686,-67.9562652 -45.8809641,-67.9564691 -45.881106</t>
  </si>
  <si>
    <t>-67.9548705 -45.8815541,-67.9565549 -45.8817558</t>
  </si>
  <si>
    <t>-67.9535401 -45.8796645,-67.9535186 -45.8794852,-67.9540229 -45.879403</t>
  </si>
  <si>
    <t>-67.9512334 -45.8789325,-67.9524779 -45.878813,-67.9526925 -45.8784619,-67.9535401 -45.8792313,-67.9540229 -45.879403</t>
  </si>
  <si>
    <t>-67.9502034 -45.8767813,-67.9502571 -45.876871,-67.9507077 -45.8773341,-67.9500103 -45.8768486,-67.9491627 -45.8767365</t>
  </si>
  <si>
    <t>-67.9512334 -45.8789325,-67.9524779 -45.878813,-67.9526925 -45.8784619,-67.9516733 -45.8780212,-67.9502034 -45.8767813</t>
  </si>
  <si>
    <t>-67.9534543 -45.8773565,-67.9526925 -45.87711,-67.9530144 -45.8775731,-67.9524779 -45.878813,-67.9512334 -45.8789325</t>
  </si>
  <si>
    <t>-67.9436159 -45.8698567,-67.942425 -45.8700509,-67.941395 -45.8694608,-67.9411268 -45.8698194,-67.9401827 -45.8705515</t>
  </si>
  <si>
    <t>-67.9377472 -45.8730539,-67.9373825 -45.8732855,-67.9341102 -45.8732706,-67.9337132 -45.8730988</t>
  </si>
  <si>
    <t>-67.9356444 -45.8724937,-67.9361272 -45.8725833,-67.9367495 -45.8717317</t>
  </si>
  <si>
    <t>-67.9337347 -45.872531,-67.9350007 -45.8704245,-67.9346895 -45.8701032</t>
  </si>
  <si>
    <t>-67.9336917 -45.8726132,-67.9336059 -45.8731436,-67.9357409 -45.8730689,-67.9361057 -45.8726356,-67.9355693 -45.8725236</t>
  </si>
  <si>
    <t>-67.9328656 -45.8763854,-67.932179 -45.8753248,-67.9310739 -45.8765498,-67.9306126 -45.8766543</t>
  </si>
  <si>
    <t>-67.9365349 -45.8790744,-67.9370821 -45.878798,-67.9369318 -45.8781183,-67.9345286 -45.8783947,-67.9327369 -45.8783723,-67.9328656 -45.8785665</t>
  </si>
  <si>
    <t>-67.9327905 -45.8785964,-67.9326189 -45.8783723,-67.9300547 -45.8784246,-67.9299045 -45.8786188,-67.9289496 -45.8789922</t>
  </si>
  <si>
    <t>-67.9350007 -45.8770502,-67.9328656 -45.8763854,-67.9299259 -45.8784694,-67.9310095 -45.876617,-67.9306126 -45.8766543</t>
  </si>
  <si>
    <t>-67.9305589 -45.8765722,-67.9309773 -45.8765423,-67.9323184 -45.875011,-67.9336917 -45.8726132</t>
  </si>
  <si>
    <t>-67.9310846 -45.8724489,-67.9311812 -45.8718139,-67.9314172 -45.8718438</t>
  </si>
  <si>
    <t>-67.9326403 -45.8707009,-67.9319537 -45.8703348,-67.931664 -45.8708503,-67.9311275 -45.8713582,-67.9311597 -45.8717019,-67.9314923 -45.8717243</t>
  </si>
  <si>
    <t>-67.927748 -45.8730764,-67.9284775 -45.8728821,-67.9307306 -45.8708279,-67.9308271 -45.8705216,-67.9304624 -45.870671</t>
  </si>
  <si>
    <t>-67.9259777 -45.8700883,-67.9266965 -45.8697372,-67.9268789 -45.8687959,-67.9274154 -45.8688781</t>
  </si>
  <si>
    <t>-67.9286814 -45.8701481,-67.9282093 -45.8706486,-67.9280055 -45.8706037,-67.9282737 -45.8691918,-67.928381 -45.8679293</t>
  </si>
  <si>
    <t>-67.9305053 -45.8707233,-67.9308486 -45.8704618,-67.931031 -45.8693562,-67.9314709 -45.8688258</t>
  </si>
  <si>
    <t>-67.9246581 -45.871052,-67.9252267 -45.8707756,-67.9262352 -45.8708428,-67.9261279 -45.8709175</t>
  </si>
  <si>
    <t>-67.9245079 -45.8710594,-67.9254735 -45.8703498</t>
  </si>
  <si>
    <t>-67.9239607 -45.87091,-67.9254735 -45.8690648</t>
  </si>
  <si>
    <t>-67.9271257 -45.8680488,-67.9272223 -45.8683402,-67.9274583 -45.8688258</t>
  </si>
  <si>
    <t>-67.9271686 -45.8677052,-67.926718 -45.8677948,-67.925849 -45.8687063</t>
  </si>
  <si>
    <t>-67.934829 -45.8699464,-67.9352367 -45.8689827,-67.9338956 -45.8684298,-67.9331553 -45.8691993,-67.9323077 -45.8697148,-67.9319537 -45.8703348,-67.9324794 -45.8705739</t>
  </si>
  <si>
    <t>-67.936492 -45.8696625,-67.9362881 -45.8694234,-67.9350436 -45.8703273,-67.9347003 -45.8699986</t>
  </si>
  <si>
    <t>-67.9383588 -45.8674437,-67.9380584 -45.8682655,-67.9363847 -45.8693786,-67.9365671 -45.8696326</t>
  </si>
  <si>
    <t>-67.9438949 -45.8700584,-67.9443777 -45.8707457,-67.9432297 -45.8702825,-67.9431975 -45.8705739,-67.9433692 -45.8709175</t>
  </si>
  <si>
    <t>-67.9438949 -45.8700584,-67.9444742 -45.8707756,-67.9451823 -45.8710893,-67.946341 -45.870671</t>
  </si>
  <si>
    <t>-67.9468346 -45.8712312,-67.9461801 -45.8714553,-67.9452574 -45.8710968,-67.9466307 -45.8704618</t>
  </si>
  <si>
    <t>-67.9477787 -45.8703722,-67.9475856 -45.8705888,-67.9465663 -45.8706262,-67.9466307 -45.8704618</t>
  </si>
  <si>
    <t>-67.9447746 -45.868781,-67.9452896 -45.8682431,-67.9451072 -45.8681161</t>
  </si>
  <si>
    <t>-67.9437768 -45.869782,-67.944324 -45.8690947</t>
  </si>
  <si>
    <t>-67.9421461 -45.8691918,-67.9418027 -45.8693487,-67.941159 -45.8692068,-67.9424894 -45.8699912,-67.9436159 -45.8698567</t>
  </si>
  <si>
    <t>-67.9388952 -45.8675782,-67.941159 -45.8692068,-67.9419637 -45.8693413,-67.9421461 -45.8692815</t>
  </si>
  <si>
    <t>-67.9412663 -45.8661812,-67.9427469 -45.8667191,-67.9430795 -45.8671524</t>
  </si>
  <si>
    <t>-67.9412663 -45.8661812,-67.9418349 -45.8663679,-67.9421568 -45.8664949,-67.9416311 -45.8669208</t>
  </si>
  <si>
    <t>-67.949152 -45.8670029,-67.9489589 -45.866338,-67.9464805 -45.8656358,-67.946502 -45.8652099</t>
  </si>
  <si>
    <t>-67.9492593 -45.8670403,-67.9490125 -45.8664651,-67.9469955 -45.8663829</t>
  </si>
  <si>
    <t>-67.9484814 -45.8672271,-67.9488516 -45.8664725,-67.9470009 -45.8663082</t>
  </si>
  <si>
    <t>-67.9468131 -45.8799931,-67.9464698 -45.8794927,-67.9443026 -45.8791491</t>
  </si>
  <si>
    <t>-67.9472744 -45.8827118,-67.9475963 -45.8819051,-67.9476392 -45.8807475,-67.9472208 -45.8805159</t>
  </si>
  <si>
    <t>-67.9433799 -45.8793582,-67.9425859 -45.8792462,-67.9414809 -45.8788951,-67.9399574 -45.8788802,-67.9395819 -45.8785889,-67.9398179 -45.8784246</t>
  </si>
  <si>
    <t>-67.9398179 -45.8784246,-67.9395819 -45.8785889,-67.9390883 -45.8780586,-67.9393244 -45.8764601,-67.9386699 -45.8763257,-67.9351509 -45.876983,-67.9351187 -45.8772071</t>
  </si>
  <si>
    <t>-67.9364383 -45.8791566,-67.9368889 -45.8790371,-67.9370821 -45.878798,-67.939657 -45.8787906,-67.9398179 -45.8784246</t>
  </si>
  <si>
    <t>-67.934314 -45.8808147,-67.933284 -45.8799259,-67.9348612 -45.8793956,-67.935698 -45.8793209</t>
  </si>
  <si>
    <t>-67.9380155 -45.8812404,-67.938627 -45.880852,-67.9384768 -45.8805682,-67.9371035 -45.8800827,-67.9358482 -45.8797093,-67.9335737 -45.8797616,-67.934432 -45.8794255,-67.9350007 -45.8792835,-67.9357088 -45.8792686</t>
  </si>
  <si>
    <t>-67.9404831 -45.883003,-67.9393351 -45.8816139,-67.9395604 -45.8815392</t>
  </si>
  <si>
    <t>-67.9437983 -45.8842727,-67.9447317 -45.8841009,-67.9435945 -45.8826968,-67.9432082 -45.8817707</t>
  </si>
  <si>
    <t>-67.9413199 -45.8842577,-67.94191 -45.884325,-67.9418242 -45.8848403,-67.9404724 -45.8852734,-67.9399681 -45.8854975,-67.9388416 -45.8850046,-67.9390776 -45.8859083</t>
  </si>
  <si>
    <t>-67.9411805 -45.8856618,-67.9419315 -45.8851988,-67.9424787 -45.8848403,-67.9426825 -45.884086,-67.9423177 -45.8838843,-67.94191 -45.8839814,-67.9418242 -45.8843474,-67.9413629 -45.88431</t>
  </si>
  <si>
    <t>-67.9423177 -45.8861323,-67.9425859 -45.8852137,-67.9431438 -45.8846088,-67.9432619 -45.8842802</t>
  </si>
  <si>
    <t>-67.9459763 -45.8845415,-67.9446459 -45.8841607,-67.9436696 -45.8842353</t>
  </si>
  <si>
    <t>-67.9472744 -45.8852212,-67.9470921 -45.8844967,-67.9472423 -45.883959,-67.9472315 -45.8831823</t>
  </si>
  <si>
    <t>-67.9414594 -45.88785,-67.9417813 -45.8871554,-67.9419315 -45.8865879,-67.9423285 -45.8863414</t>
  </si>
  <si>
    <t>-67.9410625 -45.888776,-67.9401827 -45.8890747,-67.9375863 -45.8886341</t>
  </si>
  <si>
    <t>-67.9390776 -45.8859083,-67.9388952 -45.8849299,-67.9384875 -45.8844519,-67.9383051 -45.883832,-67.939024 -45.8833317,-67.9396892 -45.8836155,-67.9402363 -45.8833989</t>
  </si>
  <si>
    <t>-67.937361 -45.8846162,-67.9377794 -45.883735,-67.9390776 -45.8830777,-67.9391098 -45.8833615,-67.9396677 -45.8835632,-67.9402363 -45.8833989</t>
  </si>
  <si>
    <t>-67.937361 -45.8846162,-67.9372966 -45.8833914</t>
  </si>
  <si>
    <t>-67.9337454 -45.8835706,-67.9334879 -45.8835333,-67.9329729 -45.8828537,-67.933166 -45.8825026,-67.9368997 -45.8818155,-67.9387558 -45.8812479,-67.9385948 -45.8809118,-67.9379404 -45.8812105</t>
  </si>
  <si>
    <t>-67.9369962 -45.8822636,-67.9367441 -45.8819686,-67.9343677 -45.8832719</t>
  </si>
  <si>
    <t>-67.9369104 -45.8822487,-67.9367441 -45.8819686,-67.9385787 -45.881274,-67.938568 -45.8809641,-67.9379243 -45.8811844</t>
  </si>
  <si>
    <t>-67.9397643 -45.8807437,-67.9386055 -45.8812441,-67.9385412 -45.8810014,-67.9379243 -45.8811844</t>
  </si>
  <si>
    <t>-67.9394478 -45.8815018,-67.9390669 -45.8813786,-67.9390454 -45.8810425,-67.9386485 -45.8811881,-67.938568 -45.8809641,-67.9379404 -45.8812105</t>
  </si>
  <si>
    <t>-67.9308057 -45.8796645,-67.9309773 -45.8795823,-67.9308271 -45.8793582,-67.9319429 -45.8795524,-67.9332089 -45.8799333,-67.9339921 -45.8795524,-67.9349685 -45.8793358,-67.935698 -45.8793209</t>
  </si>
  <si>
    <t>-67.9288745 -45.8790371,-67.9299796 -45.8786337,-67.9304302 -45.8776552,-67.9309022 -45.8766245,-67.9306126 -45.8766543</t>
  </si>
  <si>
    <t>-67.9288745 -45.8790371,-67.9299045 -45.8786188,-67.929765 -45.8784918,-67.9247224 -45.8798512,-67.9241753 -45.8796943</t>
  </si>
  <si>
    <t>-67.9288745 -45.8790371,-67.9299796 -45.8786337,-67.9308271 -45.8793582,-67.9310632 -45.8796271,-67.9308057 -45.8796645</t>
  </si>
  <si>
    <t>-67.9238641 -45.8824055,-67.9235101 -45.8823682,-67.9249907 -45.8798288,-67.9241753 -45.8796943</t>
  </si>
  <si>
    <t>-67.9271579 -45.8812329,-67.9272652 -45.8815242,-67.9268789 -45.8817483,-67.9256773 -45.881808,-67.9241323 -45.8825624,-67.9234779 -45.8826296,-67.9235315 -45.8824279,-67.9238641 -45.8824055</t>
  </si>
  <si>
    <t>-67.9231775 -45.8798138,-67.9230273 -45.8801051,-67.9220295 -45.8802022,-67.9198301 -45.8807027,-67.9191542 -45.8814645,-67.9198301 -45.8813375</t>
  </si>
  <si>
    <t>-67.9241753 -45.8796943,-67.9245615 -45.8798587,-67.926954 -45.8792014,-67.9268253 -45.8787383,-67.9270506 -45.8779615,-67.9269862 -45.8778121</t>
  </si>
  <si>
    <t>-67.9178238 -45.878447,-67.9194975 -45.8781632,-67.9207098 -45.8777001,-67.9215896 -45.8770278</t>
  </si>
  <si>
    <t>-67.9178238 -45.878447,-67.9198837 -45.8780138,-67.9210961 -45.8774536,-67.9217184 -45.8775133</t>
  </si>
  <si>
    <t>-67.9193151 -45.8790595,-67.9188216 -45.8787756,-67.9182959 -45.8787831,-67.9170728 -45.8790221,-67.9140472 -45.879896,-67.9107106 -45.8805757</t>
  </si>
  <si>
    <t>-67.9539478 -45.8775432,-67.9560077 -45.8773266,-67.9570484 -45.8767328,-67.9579389 -45.8758215,-67.9585665 -45.8748691,-67.9575956 -45.8754443</t>
  </si>
  <si>
    <t>-67.9166651 -45.8823159,-67.9169762 -45.8821367,-67.9166543 -45.8815466,-67.913146 -45.8824205,-67.9128242 -45.8814645</t>
  </si>
  <si>
    <t>-67.9170835 -45.8822711,-67.9166543 -45.8815466,-67.916429 -45.8804562</t>
  </si>
  <si>
    <t>-67.9183173 -45.8833018,-67.9179525 -45.8832943,-67.9178452 -45.8829358,-67.9186606 -45.8819873,-67.9191113 -45.8815466,-67.9197979 -45.8813898</t>
  </si>
  <si>
    <t>-67.9166651 -45.8823159,-67.9170835 -45.8822711,-67.9178345 -45.8833989,-67.9184783 -45.8832943</t>
  </si>
  <si>
    <t>-67.911365 -45.8831076,-67.9142618 -45.8826968,-67.9159892 -45.8825026</t>
  </si>
  <si>
    <t>-67.9075134 -45.8800454,-67.9082537 -45.880008,-67.9072881 -45.8803591,-67.9054105 -45.8804711,-67.9046917 -45.8804338</t>
  </si>
  <si>
    <t>-67.9108071 -45.8805533,-67.9115689 -45.8802695,-67.9100025 -45.879545,-67.90923 -45.8796421,-67.9087579 -45.8798661,-67.9080069 -45.8799931,-67.9075992 -45.8799856</t>
  </si>
  <si>
    <t>-67.9108071 -45.880613,-67.9116762 -45.8803665,-67.9099488 -45.8795972,-67.9089832 -45.8795748,-67.908479 -45.879291,-67.9081464 -45.8778345,-67.9075241 -45.8768784,-67.9078567 -45.8763107,-67.9075456 -45.8753322,-67.9072452 -45.8752799,-67.9064727 -45.8764004</t>
  </si>
  <si>
    <t>-67.8906476 -45.868512,-67.8905618 -45.8681833,-67.8898966 -45.86775</t>
  </si>
  <si>
    <t>-67.8960952 -45.8598436,-67.8959692 -45.8585678,-67.8961945 -45.8583138,-67.8955936 -45.8581419,-67.8949177 -45.8572976,-67.8950787 -45.8562589,-67.894907 -45.8558629,-67.8937376 -45.8558928,-67.8932869 -45.8566101,-67.8928149 -45.8568492,-67.8926003 -45.8566998</t>
  </si>
  <si>
    <t>-67.889328 -45.8585753,-67.8896499 -45.8581793,-67.890197 -45.8571108</t>
  </si>
  <si>
    <t>-67.8915596 -45.8569165,-67.8910661 -45.8570435</t>
  </si>
  <si>
    <t>-67.892493 -45.8607271,-67.8927398 -45.8607346,-67.8933835 -45.8598081,-67.8937054 -45.8590236,-67.8939092 -45.8579925,-67.8937912 -45.8574844,-67.8941989 -45.8566849,-67.8936088 -45.8564383,-67.8929114 -45.8567745,-67.8926003 -45.8566998</t>
  </si>
  <si>
    <t>-67.892493 -45.8607271,-67.8926861 -45.8606748,-67.8933942 -45.8590311,-67.8930509 -45.8588742,-67.8927612 -45.8590834</t>
  </si>
  <si>
    <t>-67.8925037 -45.8593524,-67.8918707 -45.8603237</t>
  </si>
  <si>
    <t>-67.8864205 -45.8626398,-67.8868496 -45.8621841</t>
  </si>
  <si>
    <t>-67.8899395 -45.8624008,-67.889961 -45.8618255,-67.8894138 -45.8611605</t>
  </si>
  <si>
    <t>-67.8883839 -45.8629387,-67.8899932 -45.8631703,-67.8900898 -45.8632301</t>
  </si>
  <si>
    <t>-67.8922999 -45.8618479,-67.8926861 -45.8618553,-67.8926969 -45.8608019,-67.892493 -45.8607271</t>
  </si>
  <si>
    <t>-67.8931367 -45.8638427,-67.892611 -45.8618778,-67.8922999 -45.8618479</t>
  </si>
  <si>
    <t>-67.8957546 -45.8637157,-67.8955936 -45.8639772,-67.894392 -45.8641192,-67.8938127 -45.8632973,-67.8930938 -45.8633795,-67.8930295 -45.8638502</t>
  </si>
  <si>
    <t>-67.8918493 -45.8637008,-67.8930938 -45.8633795,-67.8931367 -45.8638427</t>
  </si>
  <si>
    <t>-67.8942311 -45.8647841,-67.8944886 -45.8644778,-67.8944886 -45.8640444,-67.8955936 -45.8639772,-67.8958511 -45.8637307</t>
  </si>
  <si>
    <t>-67.8899288 -45.8678098,-67.889725 -45.8675931,-67.8871179 -45.8666444,-67.8856266 -45.8654042,-67.8853905 -45.8647019</t>
  </si>
  <si>
    <t>-67.8928256 -45.8669955,-67.8921926 -45.8666742,-67.8873646 -45.8660616,-67.8857768 -45.8654266,-67.8854012 -45.8646272</t>
  </si>
  <si>
    <t>-67.885648 -45.8640295,-67.884264 -45.8643059,-67.8840923 -45.8646421,-67.8845537 -45.8652697,-67.8857446 -45.8653743,-67.8853691 -45.8647617</t>
  </si>
  <si>
    <t>-67.8877938 -45.8628715,-67.8873003 -45.8630657,-67.8865063 -45.863768,-67.8859699 -45.8639324</t>
  </si>
  <si>
    <t>-67.8896391 -45.8628117,-67.8891349 -45.8629835,-67.8883517 -45.862864</t>
  </si>
  <si>
    <t>-67.8823435 -45.864418,-67.8824079 -45.8637456,-67.8817427 -45.8630807,-67.8819895 -45.8626249,-67.8826332 -45.8624979,-67.8835452 -45.862722,-67.8839958 -45.8626847</t>
  </si>
  <si>
    <t>-67.8855836 -45.8605329,-67.8847253 -45.8611754,-67.8843284 -45.8612427</t>
  </si>
  <si>
    <t>-67.8826869 -45.8602863,-67.8832984 -45.8601967,-67.8844357 -45.8603087,-67.8854334 -45.8597259,-67.8857231 -45.8592104,-67.8858519 -45.8571556,-67.8854227 -45.8579177</t>
  </si>
  <si>
    <t>-67.8861415 -45.8600696,-67.8866887 -45.8595317,-67.8869033 -45.8586351</t>
  </si>
  <si>
    <t>-67.887429 -45.855564,-67.8882551 -45.8548691,-67.8894138 -45.853808,-67.8920853 -45.8535689,-67.8916454 -45.8538678,-67.8897357 -45.85395,-67.88910 -45.85436,-67.8875685 -45.8562589,-67.885799 -45.8571033,-67.88544 -45.8578281,-67.88523 -45.85794</t>
  </si>
  <si>
    <t>-67.9549778 -45.85820170000001,-67.9571986 -45.85672970000001,-67.9579175 -45.8564981,-67.9585719 -45.8567521</t>
  </si>
  <si>
    <t>-67.9526496 -45.859838,-67.9510939 -45.8599277,-67.9493344 -45.8608317,-67.949034 -45.8607271</t>
  </si>
  <si>
    <t>-67.9570913 -45.858777,-67.95766 -45.8584931</t>
  </si>
  <si>
    <t>-67.9602885 -45.8583661,-67.9596019 -45.8583063,-67.9588509 -45.8580298</t>
  </si>
  <si>
    <t>-67.9637325 -45.8577459,-67.9642367 -45.8578505,-67.9642689 -45.8583885,-67.963078 -45.8585603,-67.9614151 -45.8585603</t>
  </si>
  <si>
    <t>-67.9657495 -45.8527319,-67.9690433 -45.8515438</t>
  </si>
  <si>
    <t>-67.96980500000001 -45.854346,-67.9705453 -45.8543834,-67.9708993 -45.8532924,-67.9696655 -45.85327</t>
  </si>
  <si>
    <t>-67.9702127 -45.8552278,-67.9707491 -45.854899,-67.9705453 -45.8543834,-67.96980500000001 -45.854346</t>
  </si>
  <si>
    <t>-67.9702127 -45.8552278,-67.9719615 -45.8544058</t>
  </si>
  <si>
    <t>-67.9716182 -45.8586425,-67.9730558 -45.8570659,-67.9720259 -45.8565877</t>
  </si>
  <si>
    <t>-67.97135 -45.8605329,-67.9716933 -45.8600771,-67.9713929 -45.8591282</t>
  </si>
  <si>
    <t>-67.9727018 -45.8616387,-67.973367 -45.8612352,-67.9735816 -45.8606898</t>
  </si>
  <si>
    <t>-67.9716182 -45.8576189,-67.9711139 -45.856841800000005,-67.9692686 -45.85569110000001,-67.9695475 -45.855579</t>
  </si>
  <si>
    <t>-67.9717469 -45.8565802,-67.9712749 -45.8564906,-67.9691505 -45.8556985,-67.9694617 -45.8555042</t>
  </si>
  <si>
    <t>-67.9742467 -45.8562888,-67.9727125 -45.8569464,-67.9720366 -45.8564457</t>
  </si>
  <si>
    <t>-67.9698265 -45.8555939,-67.9681849 -45.8557135,-67.9659534 -45.8565279</t>
  </si>
  <si>
    <t>-67.96980500000001 -45.8555341,-67.9681528 -45.8556462,-67.966007 -45.8547122,-67.9648912 -45.8550335</t>
  </si>
  <si>
    <t>-67.96980500000001 -45.8555341,-67.96826 -45.8556761,-67.9670048 -45.8558928,-67.9666936 -45.8558031</t>
  </si>
  <si>
    <t>-67.9667151 -45.8589862,-67.9657924 -45.8593374,-67.9640114 -45.8591431</t>
  </si>
  <si>
    <t>-67.962842 -45.8594868,-67.9620373 -45.8595391,-67.9602456 -45.8592253,-67.9589045 -45.859315</t>
  </si>
  <si>
    <t>-67.9621124 -45.8619973,-67.9603636 -45.8626697,-67.959795 -45.8624829,-67.9607069 -45.8619525,-67.9615867 -45.86125760000001,-67.9604924 -45.8603835</t>
  </si>
  <si>
    <t>-67.962091 -45.861945,-67.9604924 -45.8626473,-67.9584217 -45.8619525,-67.9584968 -45.8617507</t>
  </si>
  <si>
    <t>-67.9626489 -45.8575591,-67.9621768 -45.8566998</t>
  </si>
  <si>
    <t>-67.9669297 -45.8569464,-67.9656959 -45.8570435,-67.9637325 -45.8577459</t>
  </si>
  <si>
    <t>-67.9688287 -45.8612875,-67.9708672 -45.860772</t>
  </si>
  <si>
    <t>-67.9705346 -45.8620944,-67.97189710000002 -45.861818</t>
  </si>
  <si>
    <t>-67.9675519 -45.8588144,-67.9686356 -45.8581793,-67.9688287 -45.8578654,-67.9682279 -45.857925200000004</t>
  </si>
  <si>
    <t>-67.9668546 -45.8589862,-67.9659426 -45.859329900000006,-67.9655457 -45.8587247,-67.9649663 -45.8584931,-67.9659104 -45.8580224</t>
  </si>
  <si>
    <t>-67.9675949 -45.8587247,-67.9686892 -45.858239,-67.9689896 -45.8576114,-67.9686141 -45.8569912,-67.9681528 -45.856841800000005</t>
  </si>
  <si>
    <t>-67.965374 -45.860503,-67.9655886 -45.8612053,-67.9660177 -45.8592627,-67.9667151 -45.8589265</t>
  </si>
  <si>
    <t>-67.965374 -45.8620048,-67.9656529 -45.8614594,-67.9652882 -45.8605702</t>
  </si>
  <si>
    <t>-67.9641831 -45.8643059,-67.9631746 -45.8636036,-67.9624557 -45.8629387</t>
  </si>
  <si>
    <t>-67.9644942 -45.8626174,-67.9623485 -45.862864</t>
  </si>
  <si>
    <t>-67.9641831 -45.8642536,-67.96308880000001 -45.8635812,-67.9604924 -45.8626473,-67.9621124 -45.8619973</t>
  </si>
  <si>
    <t>-67.9682064 -45.8628939,-67.968421 -45.8615714</t>
  </si>
  <si>
    <t>-67.96624300000002 -45.8629312,-67.9655886 -45.8612053,-67.9652774 -45.8621542</t>
  </si>
  <si>
    <t>-67.9681206 -45.8652323,-67.9681742 -45.8649709,-67.9665112 -45.8645301,-67.96624300000002 -45.8629312</t>
  </si>
  <si>
    <t>-67.96923640000001 -45.8639249,-67.9690218 -45.8637232,-67.9683566 -45.8633944,-67.9682493 -45.8630657</t>
  </si>
  <si>
    <t>-67.9679811 -45.8652398,-67.9681528 -45.8650381,-67.9671121 -45.864746700000005,-67.9631639 -45.8636559,-67.9641831 -45.8642536</t>
  </si>
  <si>
    <t>-67.97240140000001 -45.8649634,-67.9722619 -45.864418,-67.9726052 -45.8633048</t>
  </si>
  <si>
    <t>-67.9688179 -45.8673466,-67.9708242 -45.8668236,-67.9720795 -45.8663978,-67.9723263 -45.865576,-67.9716289 -45.8644778,-67.9715002 -45.8637307,-67.9703414 -45.8627146,-67.9702663 -45.8623036</t>
  </si>
  <si>
    <t>-67.9701805 -45.8660766,-67.9706526 -45.8654864,-67.9707384 -45.8650979</t>
  </si>
  <si>
    <t>-67.9732597 -45.8674138,-67.9739678 -45.8674661,-67.9742575 -45.8672345,-67.9737854 -45.8666444,-67.9743755 -45.8664576,-67.9735065 -45.8661812,-67.9728949 -45.8655461</t>
  </si>
  <si>
    <t>-67.969451 -45.8664725,-67.967788 -45.8671075,-67.9667258 -45.8672943,-67.9657495 -45.866861,-67.9644191 -45.8654191,-67.9645479 -45.86535190000001,-67.9657495 -45.86621850000001</t>
  </si>
  <si>
    <t>-67.9683673 -45.8675184,-67.96785240000001 -45.8677575,-67.9664147 -45.8674811,-67.9657388 -45.8669955,-67.9639041 -45.8655984</t>
  </si>
  <si>
    <t>-67.9684639 -45.8677052,-67.9677773 -45.8678994,-67.9665112 -45.8679218,-67.9654062 -45.8674885,-67.9641616 -45.8664725</t>
  </si>
  <si>
    <t>-67.9648805 -45.8683701,-67.9633141 -45.8669955</t>
  </si>
  <si>
    <t>-67.9704916 -45.8675259,-67.9713821 -45.8670777,-67.9725838 -45.8673092</t>
  </si>
  <si>
    <t>-67.96972990000002 -45.8689453,-67.96923640000001 -45.8685867,-67.9698372 -45.8679667</t>
  </si>
  <si>
    <t>-67.96972990000002 -45.8689453,-67.96923640000001 -45.8687586,-67.9681098 -45.8689901,-67.9667795 -45.868863100000006,-67.9656208 -45.8688333</t>
  </si>
  <si>
    <t>-67.969687 -45.872351800000004,-67.9697084 -45.8720305,-67.9696226 -45.870812900000004,-67.9693437 -45.8699688,-67.9690433 -45.8695803</t>
  </si>
  <si>
    <t>-67.9711676 -45.8706262,-67.9712427 -45.8723667,-67.9717791 -45.8732033,-67.9711139 -45.8738906,-67.9693866 -45.8740474,-67.9686463 -45.874533</t>
  </si>
  <si>
    <t>-67.9710925 -45.8705739,-67.9709744 -45.8714329,-67.9711354 -45.8722173,-67.9706633 -45.8714479,-67.9697943 -45.8691545</t>
  </si>
  <si>
    <t>-67.9741073 -45.869909,-67.97257300000001 -45.8694085</t>
  </si>
  <si>
    <t>-67.97257300000001 -45.8722547,-67.9717791 -45.8712761,-67.9717684 -45.8698941,-67.971983 -45.8696102</t>
  </si>
  <si>
    <t>-67.9754591 -45.8702153,-67.9761243 -45.8702377,-67.97676800000002 -45.8696774</t>
  </si>
  <si>
    <t>-67.9785383 -45.8689528,-67.9771435 -45.870671,-67.9765534 -45.8706934,-67.9753625 -45.8703498</t>
  </si>
  <si>
    <t>-67.9771006 -45.868863100000006,-67.9771006 -45.8682506,-67.976886 -45.8676678</t>
  </si>
  <si>
    <t>-67.9788494 -45.8686091,-67.9777122 -45.8662932,-67.9771221 -45.8662409</t>
  </si>
  <si>
    <t>-67.9788065 -45.8706037,-67.9790211 -45.8702228,-67.978828 -45.868893</t>
  </si>
  <si>
    <t>-67.9761887 -45.8726132,-67.9763067 -45.8720604,-67.9778838 -45.8710893</t>
  </si>
  <si>
    <t>-67.9800725 -45.873800900000006,-67.9795146 -45.8726879,-67.9796112 -45.8723816,-67.9792464 -45.872165,-67.9787529 -45.8722173,-67.9783773 -45.8729942,-67.9778409 -45.873195900000006,-67.9771113 -45.8730315</t>
  </si>
  <si>
    <t>-67.9799759 -45.8737337,-67.9795146 -45.8726879,-67.9809093 -45.8709474,-67.980845 -45.8716421</t>
  </si>
  <si>
    <t>-67.9837632 -45.87098470000001,-67.9840529 -45.8705066,-67.9844713 -45.8702377</t>
  </si>
  <si>
    <t>-67.9828405 -45.8731361,-67.9826689 -45.8734498,-67.9822183 -45.8736665,-67.9818749 -45.8741744,-67.98139210000001 -45.8741744,-67.9812849 -45.8729942,-67.9818642 -45.8723069</t>
  </si>
  <si>
    <t>-67.9841816 -45.8724713,-67.982744 -45.8731137</t>
  </si>
  <si>
    <t>-67.9864132 -45.8714628,-67.9852867 -45.8721053</t>
  </si>
  <si>
    <t>-67.9876685 -45.869289,-67.9882801 -45.8691246,-67.9883015 -45.8685942,-67.987411 -45.86853440000001,-67.9866815 -45.867765,-67.9858017 -45.8678023,-67.984364 -45.8673615,-67.9834414 -45.8673391,-67.9814029 -45.8672943</t>
  </si>
  <si>
    <t>-67.9865098 -45.8688407,-67.9868531 -45.868893</t>
  </si>
  <si>
    <t>-67.9852331 -45.8689378,-67.9855335 -45.8688781</t>
  </si>
  <si>
    <t>-67.9825616 -45.8700734,-67.9832804 -45.8690798,-67.9830658 -45.8690275,-67.9832804 -45.8686614,-67.9840422 -45.8682879</t>
  </si>
  <si>
    <t>-67.9901361 -45.8674661,-67.9900289 -45.8678098,-67.9882801 -45.8686838,-67.9882801 -45.8691246,-67.9875398 -45.8692665</t>
  </si>
  <si>
    <t>-67.9914665 -45.8678173,-67.991488 -45.8672495,-67.9911554 -45.8667639,-67.9902434 -45.8675334</t>
  </si>
  <si>
    <t>-67.9889882 -45.8675184,-67.9901576 -45.8669507,-67.9907262 -45.8670702,-67.9901469 -45.8675259</t>
  </si>
  <si>
    <t>-67.99505 -45.8690499,-67.9947495 -45.8687287,-67.9952323 -45.8676529</t>
  </si>
  <si>
    <t>-67.9969811 -45.8694981,-67.9958439 -45.8695654,-67.99512510000001 -45.8693413,-67.99505 -45.8690499</t>
  </si>
  <si>
    <t>-67.9930758 -45.87218,-67.9926682 -45.8723966,-67.9915738 -45.871926,-67.992357 -45.8715599,-67.992475 -45.8704394,-67.9920244 -45.869162,-67.99270030000001 -45.8680115</t>
  </si>
  <si>
    <t>-67.99270030000001 -45.8680115,-67.9920244 -45.869162,-67.9932475 -45.8700435</t>
  </si>
  <si>
    <t>-67.9914558 -45.8692516,-67.9914558 -45.8690499,-67.9925716 -45.8679293</t>
  </si>
  <si>
    <t>-67.993741 -45.8705963,-67.9939234 -45.8708503,-67.9949427 -45.8711939,-67.9950929 -45.8710445,-67.9944706 -45.8703796,-67.9934084 -45.8690723,-67.9934728 -45.86881830000001</t>
  </si>
  <si>
    <t>-67.9910052 -45.8707457,-67.9910266 -45.8705664,-67.99163820000001 -45.8700883,-67.9915524 -45.8697073</t>
  </si>
  <si>
    <t>-67.9929739 -45.8721949,-67.9927379 -45.872546,-67.993784 -45.8729494,-67.9957634 -45.8725273,-67.9964232 -45.8722024</t>
  </si>
  <si>
    <t>-67.9872072 -45.8733154,-67.9879367 -45.8721053,-67.9887521 -45.8706336,-67.9895782 -45.8698268</t>
  </si>
  <si>
    <t>-67.9905438 -45.871724300000004,-67.989943 -45.8713209,-67.9886019 -45.8709623,-67.9877007 -45.87093990000001,-67.9877007 -45.8708577</t>
  </si>
  <si>
    <t>-67.9864132 -45.8714628,-67.9858124 -45.8712611,-67.9848146 -45.8715898,-67.9841173 -45.8715002</t>
  </si>
  <si>
    <t>-67.9905009 -45.8717766,-67.9901576 -45.8714553,-67.989074 -45.871037,-67.9874003 -45.8709623,-67.9869282 -45.8711864</t>
  </si>
  <si>
    <t>-67.9930758 -45.87218,-67.992754 -45.8724788,-67.9914343 -45.8718886,-67.9915845 -45.8711565,-67.9912734 -45.8710071</t>
  </si>
  <si>
    <t>-67.9939556 -45.8721949,-67.9937088 -45.8706486</t>
  </si>
  <si>
    <t>-67.9906511 -45.87464500000001,-67.9933763 -45.8736067</t>
  </si>
  <si>
    <t>-67.9888701 -45.8726057,-67.9892778 -45.8719708,-67.9897499 -45.8717542,-67.9904151 -45.8717766</t>
  </si>
  <si>
    <t>-67.9908228 -45.8733677,-67.988677 -45.8735843,-67.9884624 -45.8732855</t>
  </si>
  <si>
    <t>-67.9877865 -45.8744433,-67.9869175 -45.8743164,-67.9861021 -45.873868200000004</t>
  </si>
  <si>
    <t>-67.989825 -45.8749513,-67.9878294 -45.8753248,-67.9862309 -45.8752351,-67.9857373 -45.8750036</t>
  </si>
  <si>
    <t>-67.9865313 -45.875578700000005,-67.9854369 -45.8754517,-67.9845679 -45.8750857,-67.98401 -45.8753098,-67.9841065 -45.8756534,-67.9853833 -45.8764975,-67.98469660000002 -45.8764303</t>
  </si>
  <si>
    <t>-67.9865313 -45.8763033,-67.9853833 -45.8764975,-67.98469660000002 -45.8764303</t>
  </si>
  <si>
    <t>-67.9832268 -45.8749662,-67.9826152 -45.8755115,-67.9815102 -45.8758476,-67.9808342 -45.875578700000005,-67.9800081 -45.8743388</t>
  </si>
  <si>
    <t>-67.9801047 -45.8737412,-67.9795146 -45.8726879,-67.9791605 -45.8735694,-67.9792249 -45.8748467,-67.9793966 -45.8748467,-67.9797721 -45.8758476,-67.9800725 -45.876012</t>
  </si>
  <si>
    <t>-67.977519 -45.8745479,-67.9775083 -45.8737262,-67.9769719 -45.8730166</t>
  </si>
  <si>
    <t>-67.9752553 -45.8766842,-67.977401 -45.8762211,-67.9776049 -45.8757953,-67.9775298 -45.8753995</t>
  </si>
  <si>
    <t>-67.9752016 -45.8765946,-67.9770792 -45.8757132,-67.974987 -45.875578700000005,-67.9743862 -45.87520520000001</t>
  </si>
  <si>
    <t>-67.9765105 -45.8744807,-67.9762423 -45.87404000000001,-67.9744506 -45.8743686,-67.9729486 -45.8749961,-67.9738176 -45.8749065</t>
  </si>
  <si>
    <t>-67.9725409 -45.8757132,-67.9730666 -45.8750185,-67.9739141 -45.8748392</t>
  </si>
  <si>
    <t>-67.974236 -45.878222900000004,-67.9747295 -45.8780885,-67.9774117 -45.8772519</t>
  </si>
  <si>
    <t>-67.974236 -45.878222900000004,-67.9747188 -45.8782005,-67.9765856 -45.8777449</t>
  </si>
  <si>
    <t>-67.9764569 -45.8790072,-67.9757595 -45.8787084,-67.9755771 -45.8785142,-67.9742253 -45.8787756,-67.974236 -45.878222900000004</t>
  </si>
  <si>
    <t>-67.9802227 -45.8789176,-67.9803193 -45.8786636</t>
  </si>
  <si>
    <t>-67.9789352 -45.8795823,-67.9789889 -45.8790669,-67.9799759 -45.8791491</t>
  </si>
  <si>
    <t>-67.9669082 -45.8749812,-67.9658675 -45.873868200000004,-67.9650843 -45.8737113,-67.9633462 -45.8741744,-67.9616296 -45.8739877,-67.9602456 -45.873278,-67.9584754 -45.8748915,-67.957499 -45.8754293</t>
  </si>
  <si>
    <t>-67.9649234 -45.8746674,-67.9647088 -45.874473200000004,-67.96326040000001 -45.8743313,-67.9616296 -45.8739877,-67.9603851 -45.8732855,-67.9597843 -45.8735544,-67.9585505 -45.8749065,-67.9576385 -45.8754667</t>
  </si>
  <si>
    <t>-67.9582286 -45.8768411,-67.9568982 -45.8769083,-67.9591405 -45.8758775</t>
  </si>
  <si>
    <t>-67.9545808 -45.876206200000006,-67.9548597 -45.8766021,-67.9553211 -45.8767066</t>
  </si>
  <si>
    <t>-67.95394780000001 -45.8775432,-67.9556751 -45.8774162,-67.9568982 -45.8769083,-67.9582715 -45.8767813</t>
  </si>
  <si>
    <t>-67.95394780000001 -45.8775432,-67.9552996 -45.8774536,-67.9573596 -45.8777449</t>
  </si>
  <si>
    <t>-67.953819 -45.8775656,-67.9575419 -45.8788205,-67.9598057 -45.8774984</t>
  </si>
  <si>
    <t>-67.968936 -45.8781706,-67.9686356 -45.8783723,-67.9677558 -45.8783125,-67.9662108 -45.8786113,-67.9637325 -45.8780885,-67.96308880000001 -45.87784940000001</t>
  </si>
  <si>
    <t>-67.9615653 -45.8766768,-67.9624772 -45.8775357</t>
  </si>
  <si>
    <t>-67.9618549 -45.8754667,-67.9605675 -45.8757281</t>
  </si>
  <si>
    <t>-67.963239 -45.8758775,-67.9627669 -45.8756161</t>
  </si>
  <si>
    <t>-67.964623 -45.8769382,-67.964446 -45.8767851,-67.9641402 -45.8764975</t>
  </si>
  <si>
    <t>-67.9605675 -45.8757281,-67.9607499 -45.8763556,-67.960943 -45.8763182</t>
  </si>
  <si>
    <t>-67.9644406 -45.8768411,-67.9604387 -45.8756982,-67.9600525 -45.8757431</t>
  </si>
  <si>
    <t>-67.9665434 -45.8771175,-67.9649556 -45.87698300000001</t>
  </si>
  <si>
    <t>-67.9663503 -45.8776552,-67.9650199 -45.8770577</t>
  </si>
  <si>
    <t>-67.965728 -45.8759672,-67.9653203 -45.8753546</t>
  </si>
  <si>
    <t>-67.967788 -45.876729,-67.9666829 -45.876467600000005</t>
  </si>
  <si>
    <t>-67.9701483 -45.8769083,-67.9696548 -45.876871,-67.9690433 -45.8773863,-67.967273 -45.8772967</t>
  </si>
  <si>
    <t>-67.968936 -45.876467600000005,-67.9687858 -45.8766021,-67.9677987 -45.8763033,-67.9669404 -45.8754816</t>
  </si>
  <si>
    <t>-67.9705024 -45.8745479,-67.9698265 -45.8742641,-67.9688072 -45.8745629</t>
  </si>
  <si>
    <t>-67.96696190000002 -45.8736067,-67.9677129 -45.8742267,-67.9679918 -45.8746077</t>
  </si>
  <si>
    <t>-67.9631531 -45.8689453,-67.9649556 -45.8693861,-67.9659963 -45.8693263,-67.9652774 -45.8701555,-67.9652882 -45.8705813</t>
  </si>
  <si>
    <t>-67.9629171 -45.8689752,-67.9648805 -45.86944580000001,-67.9671872 -45.8692591,-67.96834590000002 -45.869543</t>
  </si>
  <si>
    <t>-67.9617369 -45.8690125,-67.9623377 -45.8686838,-67.9630673 -45.8689827</t>
  </si>
  <si>
    <t>-67.9589796 -45.8672345,-67.95881870000001 -45.8668012,-67.9583251 -45.8662708</t>
  </si>
  <si>
    <t>-67.9570484 -45.8711267,-67.9574454 -45.8693637,-67.9580891 -45.8675707</t>
  </si>
  <si>
    <t>-67.9570913 -45.8712163,-67.9574454 -45.8694608,-67.9588079 -45.8679741</t>
  </si>
  <si>
    <t>-67.9634535 -45.8717168,-67.9633999 -45.8708577,-67.96269180000002 -45.8705066,-67.9629707 -45.8699613,-67.962091 -45.8691246,-67.9614472 -45.8691395</t>
  </si>
  <si>
    <t>-67.9624021 -45.871029500000006,-67.9628313 -45.8711117,-67.9631317 -45.8718438,-67.9635072 -45.8717915</t>
  </si>
  <si>
    <t>-67.9666829 -45.8734274,-67.9651701 -45.87286720000001,-67.9644513 -45.8730315,-67.9638612 -45.8733752,-67.9632068 -45.8733901</t>
  </si>
  <si>
    <t>-67.9630244 -45.8733005,-67.9618549 -45.87156740000001,-67.9611683 -45.8714553,-67.9596126 -45.871724300000004,-67.95881870000001 -45.8720007</t>
  </si>
  <si>
    <t>-67.9597306 -45.8712088,-67.9617476 -45.871029500000006</t>
  </si>
  <si>
    <t>-67.9579389 -45.8725161,-67.9578102 -45.8712761,-67.9582608 -45.8706112,-67.9584432 -45.86944580000001</t>
  </si>
  <si>
    <t>-67.9575098 -45.8735619,-67.9580784 -45.8727253</t>
  </si>
  <si>
    <t>-67.9571235 -45.8715898,-67.9572952 -45.8723443,-67.9570484 -45.87342,-67.95743470000001 -45.8736217</t>
  </si>
  <si>
    <t>-67.9553211 -45.8700435,-67.9553211 -45.8704319,-67.9545271 -45.8711192,-67.9544628 -45.8720455,-67.9547471 -45.8723555</t>
  </si>
  <si>
    <t>-67.9565334 -45.8678994,-67.9555142 -45.8695056</t>
  </si>
  <si>
    <t>-67.9530036 -45.8667041,-67.9524243 -45.8664576,-67.9497743 -45.8668386,-67.9490125 -45.8664651,-67.9491305 -45.86691330000001</t>
  </si>
  <si>
    <t>-67.9544628 -45.8675483,-67.9534221 -45.8668759</t>
  </si>
  <si>
    <t>-67.9513514 -45.867951700000006,-67.9506004 -45.8681534,-67.9493558 -45.8665622,-67.9490876 -45.8664576,-67.9492164 -45.8668461</t>
  </si>
  <si>
    <t>-67.9512978 -45.867892,-67.9505146 -45.86814600000001,-67.9502678 -45.8688706,-67.9491305 -45.8690574</t>
  </si>
  <si>
    <t>-67.9511476 -45.8693039,-67.95089010000001 -45.8697222,-67.9506433 -45.8681011,-67.9512978 -45.867892</t>
  </si>
  <si>
    <t>-67.9468453 -45.8713059,-67.9461801 -45.8714553,-67.9469955 -45.8717467,-67.9458368 -45.8728373</t>
  </si>
  <si>
    <t>-67.948637 -45.8727253,-67.9472315 -45.8720754,-67.9471457 -45.8730315</t>
  </si>
  <si>
    <t>-67.9508579 -45.8736739,-67.9500961 -45.8727925,-67.9492593 -45.8721949,-67.9478645 -45.8717542,-67.9469955 -45.8717467,-67.9473388 -45.8721426,-67.948637 -45.8727253</t>
  </si>
  <si>
    <t>-67.9508579 -45.8736739,-67.9509115 -45.8721426</t>
  </si>
  <si>
    <t>-67.9521346 -45.8759746,-67.951448 -45.8759597,-67.9509008 -45.8738383</t>
  </si>
  <si>
    <t>-67.9521346 -45.8759746,-67.9517162 -45.8759074,-67.9513943 -45.8758999,-67.9525959 -45.87702780000001,-67.95337920000001 -45.8774162</t>
  </si>
  <si>
    <t>-67.9521239 -45.8742491,-67.9518771 -45.875885,-67.9521346 -45.8759746</t>
  </si>
  <si>
    <t>-67.9523921 -45.8742192,-67.953068 -45.8750334,-67.9540443 -45.8756908</t>
  </si>
  <si>
    <t>-67.9531002 -45.873786,-67.953465 -45.873547,-67.9519629 -45.8734723,-67.9543126 -45.8725086</t>
  </si>
  <si>
    <t>-67.9531217 -45.8736665,-67.9552889 -45.8727253</t>
  </si>
  <si>
    <t>-67.9518449 -45.870925,-67.9516733 -45.8706037,-67.9509866 -45.870275,-67.95089010000001 -45.8697222,-67.9517484 -45.8700734,-67.9526281 -45.8699912</t>
  </si>
  <si>
    <t>-67.9510081 -45.87218,-67.9515123 -45.8715599,-67.9518449 -45.870925</t>
  </si>
  <si>
    <t>-67.9136181 -45.8861696,-67.911365 -45.8881188,-67.9120302 -45.8888581,-67.9114616 -45.8900306,-67.9100347 -45.8917182,-67.9115689 -45.8917556,-67.9111719 -45.8910312,-67.911247 -45.8905309,-67.9125345 -45.8893734</t>
  </si>
  <si>
    <t>-67.9105389 -45.8848851,-67.9110646 -45.8839441,-67.909584 -45.8832196,-67.9103136 -45.8831972</t>
  </si>
  <si>
    <t>-67.9105926 -45.884959800000004,-67.9112256 -45.8839441,-67.9132855 -45.8840113</t>
  </si>
  <si>
    <t>-67.9076958 -45.8841084,-67.9082644 -45.8839366,-67.9093373 -45.8833167,-67.9103136 -45.8831972</t>
  </si>
  <si>
    <t>-67.8863347 -45.8849448,-67.8869569 -45.8849672,-67.8874826 -45.883847,-67.8903258 -45.883570600000006</t>
  </si>
  <si>
    <t>-67.8808522 -45.8847432,-67.8831053 -45.8843548,-67.884897 -45.8834586,-67.8876114 -45.88378720000001,-67.8901434 -45.8835856</t>
  </si>
  <si>
    <t>-67.8987801 -45.8811134,-67.9009366 -45.8810089,-67.9016554 -45.8824877,-67.9003036 -45.8826894,-67.9006684 -45.8841532,-67.902503 -45.8831748,-67.9032862 -45.8836304</t>
  </si>
  <si>
    <t>-67.9147124 -45.8735918,-67.9146481 -45.8732631,-67.9165041 -45.8723592,-67.917223 -45.8722696,-67.9172659 -45.8726356</t>
  </si>
  <si>
    <t>-67.9188001 -45.868512,-67.9194438 -45.8683551,-67.9187143 -45.868885600000006,-67.9161716 -45.8689378,-67.9146481 -45.87009580000001</t>
  </si>
  <si>
    <t>-67.9217505 -45.8712238,-67.9221582 -45.8710893,-67.9240143 -45.8689901,-67.9237783 -45.8690051</t>
  </si>
  <si>
    <t>-67.9235101 -45.8711267,-67.9226303 -45.8711043,-67.9216754 -45.8713134</t>
  </si>
  <si>
    <t>-67.9196262 -45.8714255,-67.9219222 -45.8712462</t>
  </si>
  <si>
    <t>-67.9206347 -45.8733602,-67.9204845 -45.8732108,-67.9220188 -45.8711565</t>
  </si>
  <si>
    <t>-67.9272544 -45.872531,-67.9265356 -45.8732108,-67.9254305 -45.8739578,-67.9244006 -45.8744433,-67.9238319 -45.8741744,-67.92411090000002 -45.8740698</t>
  </si>
  <si>
    <t>-67.922523 -45.8727327,-67.9230595 -45.8736739,-67.9237139 -45.8740997,-67.9241216 -45.8740101</t>
  </si>
  <si>
    <t>-67.9221582 -45.8723966,-67.9212999 -45.8721351,-67.917105 -45.8727327</t>
  </si>
  <si>
    <t>-67.9212248 -45.8733378,-67.9216969 -45.8732033,-67.9219866 -45.8726954</t>
  </si>
  <si>
    <t>-67.9194653 -45.874084800000006,-67.9204845 -45.8732108,-67.9206347 -45.8733602</t>
  </si>
  <si>
    <t>-67.921772 -45.8743761,-67.9216862 -45.87397270000001,-67.9225016 -45.873278,-67.9226518 -45.8727253</t>
  </si>
  <si>
    <t>-67.9123628 -45.8789922,-67.9139936 -45.8782154,-67.9156995 -45.8769755,-67.9165149 -45.8759447,-67.9189503 -45.874689800000006</t>
  </si>
  <si>
    <t>-67.9128349 -45.8790819,-67.91394 -45.8782827,-67.9123628 -45.8789922</t>
  </si>
  <si>
    <t>-67.9128456 -45.8792537,-67.9124808 -45.8793284,-67.9119766 -45.880389,-67.9108071 -45.880613</t>
  </si>
  <si>
    <t>-67.9129636 -45.879291,-67.9124808 -45.8793284,-67.9120302 -45.8802545,-67.9124165 -45.8806728,-67.9129958 -45.8809193</t>
  </si>
  <si>
    <t>-67.9140365 -45.879418,-67.9132962 -45.8793806,-67.9129636 -45.879291</t>
  </si>
  <si>
    <t>-67.9153132 -45.8792537,-67.9169548 -45.8786935</t>
  </si>
  <si>
    <t>-67.9151952 -45.8789773,-67.9161179 -45.8785292</t>
  </si>
  <si>
    <t>-67.9107428 -45.880501,-67.9119766 -45.880389,-67.9123414 -45.8806952,-67.9129958 -45.8809193</t>
  </si>
  <si>
    <t>-67.9137897 -45.8706112,-67.913307 -45.8712462,-67.9130816 -45.8716496,-67.9134786 -45.8724265,-67.9134142 -45.87308380000001</t>
  </si>
  <si>
    <t>-67.9140687 -45.8717093,-67.9136074 -45.8716346,-67.9136181 -45.871096800000004,-67.9138649 -45.8705888</t>
  </si>
  <si>
    <t>-67.9133713 -45.8748243,-67.9129314 -45.8751081,-67.9124272 -45.8746824,-67.9126096 -45.8741968,-67.9134893 -45.8732108,-67.9135108 -45.8728149,-67.9132533 -45.8730091</t>
  </si>
  <si>
    <t>-67.9147124 -45.8735918,-67.9146481 -45.8732631,-67.9134893 -45.874167</t>
  </si>
  <si>
    <t>-67.9128993 -45.8770876,-67.9123092 -45.8779241,-67.9113972 -45.8784843,-67.9096162 -45.8795599,-67.9116762 -45.8803665,-67.9107749 -45.88068770000001</t>
  </si>
  <si>
    <t>-67.915163 -45.8739802,-67.9151952 -45.8744657,-67.9132426 -45.8763929</t>
  </si>
  <si>
    <t>-67.9081142 -45.8724638,-67.9093158 -45.872419,-67.9095948 -45.873240700000004,-67.9077601 -45.874406,-67.906816 -45.8746824</t>
  </si>
  <si>
    <t>-67.9198515 -45.8690798,-67.919358 -45.8691545,-67.918489 -45.8696699,-67.9175985 -45.8699986</t>
  </si>
  <si>
    <t>-67.9247117 -45.8672271,-67.9251409 -45.8672644,-67.9242826 -45.8677948,-67.9240143 -45.8689378,-67.9238534 -45.8689528</t>
  </si>
  <si>
    <t>-67.9214716 -45.867951700000006,-67.9211068 -45.8680264,-67.921257 -45.8669507,-67.9234886 -45.8663156,-67.9222763 -45.8662708</t>
  </si>
  <si>
    <t>-67.9210103 -45.8688407,-67.9210854 -45.8680862,-67.9214931 -45.868004</t>
  </si>
  <si>
    <t>-67.9220402 -45.8663903,-67.9233062 -45.8663605,-67.9220939 -45.86691330000001,-67.9212034 -45.8670029,-67.9194438 -45.8683551,-67.918725 -45.8684821</t>
  </si>
  <si>
    <t>-67.912792 -45.8681833,-67.9137361 -45.8680638,-67.9160964 -45.8689304,-67.9145193 -45.8701256</t>
  </si>
  <si>
    <t>-67.9112363 -45.8712462,-67.9117727 -45.8708279,-67.9131675 -45.8703796,-67.9132104 -45.87009580000001</t>
  </si>
  <si>
    <t>-67.9061294 -45.8712014,-67.9068482 -45.871037,-67.9080069 -45.871029500000006</t>
  </si>
  <si>
    <t>-67.9032648 -45.871029500000006,-67.9040265 -45.8714105,-67.9048419 -45.8714329</t>
  </si>
  <si>
    <t>-67.9080391 -45.8724638,-67.9066336 -45.8720156,-67.9049814 -45.8720305,-67.9032111 -45.871096800000004</t>
  </si>
  <si>
    <t>-67.9082108 -45.8724937,-67.9091656 -45.8723816,-67.909745 -45.8728971,-67.9097986 -45.8720754,-67.910614 -45.87156740000001</t>
  </si>
  <si>
    <t>-67.9090476 -45.8764153,-67.90882230000001 -45.8770129,-67.9086614 -45.8765797,-67.9087579 -45.875578700000005,-67.9092085 -45.875138,-67.9094446 -45.8745031,-67.9101956 -45.87438360000001</t>
  </si>
  <si>
    <t>-67.9090476 -45.8764153,-67.908951 -45.8769979,-67.9085326 -45.87702780000001,-67.9083717 -45.8762659,-67.9078782 -45.8753845,-67.907331 -45.8753397,-67.9067516 -45.8758402,-67.9064727 -45.8764004</t>
  </si>
  <si>
    <t>-67.9048741 -45.8731884,-67.9062903 -45.8728896,-67.9075885 -45.8730689,-67.9087365 -45.87291200000001,-67.9096162 -45.8731436,-67.9096484 -45.8728597,-67.9093158 -45.872419,-67.9082108 -45.8724937</t>
  </si>
  <si>
    <t>-67.9023528 -45.8744882,-67.9017198 -45.8745629,-67.9029429 -45.8753024,-67.9027605 -45.8753397</t>
  </si>
  <si>
    <t>-67.9000354 -45.874518,-67.9017198 -45.8745629,-67.9028571 -45.8752501,-67.9027605 -45.8753397</t>
  </si>
  <si>
    <t>-67.9027498 -45.8764153,-67.9023206 -45.8766319,-67.9053462 -45.8764079,-67.9049706 -45.8759672</t>
  </si>
  <si>
    <t>-67.9065692 -45.87642280000001,-67.9066443 -45.8758626,-67.9054427 -45.876363,-67.9050243 -45.8759149</t>
  </si>
  <si>
    <t>-67.8998315 -45.8761838,-67.9001212 -45.8769457,-67.900883 -45.8771399,-67.9025674 -45.8764527</t>
  </si>
  <si>
    <t>-67.9065907 -45.8763481,-67.9067516 -45.8757356,-67.9067945 -45.8747496</t>
  </si>
  <si>
    <t>-67.9000354 -45.874518,-67.9006147 -45.8744433,-67.9023528 -45.8744882</t>
  </si>
  <si>
    <t>-67.9034686 -45.8779764,-67.9054427 -45.8768411</t>
  </si>
  <si>
    <t>-67.8927398 -45.8724638,-67.8923106 -45.8732706,-67.8908193 -45.8743537,-67.890079 -45.8746674,-67.8892422 -45.8747122</t>
  </si>
  <si>
    <t>-67.8970957 -45.8693338,-67.8969562 -45.8699688,-67.8972459 -45.8707905,-67.898823 -45.87161220000001</t>
  </si>
  <si>
    <t>-67.8968167 -45.8732108,-67.8973424 -45.8716645,-67.8965807 -45.8705066,-67.89683820000002 -45.8692143,-67.8963447 -45.8685942</t>
  </si>
  <si>
    <t>-67.8955185 -45.8706112,-67.895025 -45.8705813,-67.8944993 -45.8697073</t>
  </si>
  <si>
    <t>-67.8951538 -45.8720604,-67.8954649 -45.8713209,-67.8950679 -45.870671,-67.8955185 -45.8706112</t>
  </si>
  <si>
    <t>-67.89239650000002 -45.8687137,-67.892493 -45.8689528,-67.8931046 -45.8693861,-67.8933942 -45.8699538,-67.8931046 -45.8707307,-67.8930831 -45.8701779,-67.8929865 -45.8697222</t>
  </si>
  <si>
    <t>-67.8929007 -45.8718737,-67.8930616 -45.870812900000004,-67.8931689 -45.8701929,-67.8929007 -45.8697447</t>
  </si>
  <si>
    <t>-67.8899288 -45.8678098,-67.8895211 -45.8675184,-67.8886414 -45.8671001,-67.8869569 -45.8665398,-67.8880835 -45.86621850000001,-67.8924072 -45.8666593,-67.8915596 -45.865957</t>
  </si>
  <si>
    <t>-67.8880084 -45.8680937,-67.8885448 -45.8688706,-67.8884375 -45.8690648</t>
  </si>
  <si>
    <t>-67.8864634 -45.869655,-67.8870857 -45.8699688,-67.8875363 -45.869513100000006,-67.8877938 -45.8694608</t>
  </si>
  <si>
    <t>-67.8870857 -45.868527,-67.8868926 -45.869274000000004,-67.8871608 -45.8698866,-67.8868604 -45.870140600000006,-67.8855407 -45.8697297,-67.8858733 -45.870402000000006</t>
  </si>
  <si>
    <t>-67.886163 -45.8670702,-67.8874183 -45.867623</t>
  </si>
  <si>
    <t>-67.8851974 -45.86648,-67.8856158 -45.8667191</t>
  </si>
  <si>
    <t>-67.8840494 -45.8677052,-67.8836095 -45.867608100000005,-67.8840923 -45.8673018,-67.8841245 -45.8667788,-67.8834486 -45.8665622,-67.882601 -45.8659496</t>
  </si>
  <si>
    <t>-67.8840494 -45.8677052,-67.883631 -45.8676753,-67.8828692 -45.8680937</t>
  </si>
  <si>
    <t>-67.8821719 -45.8672495,-67.8820753 -45.8679144,-67.8828049 -45.8678173,-67.8828692 -45.8680937</t>
  </si>
  <si>
    <t>-67.8823006 -45.8672345,-67.8820753 -45.8679144,-67.8836095 -45.867608100000005,-67.8840494 -45.8677052</t>
  </si>
  <si>
    <t>-67.8820217 -45.866861,-67.8810775 -45.8659421,-67.8805304 -45.8654714,-67.8806269 -45.865195,-67.8815389 -45.8649484</t>
  </si>
  <si>
    <t>-67.8794253 -45.8652025,-67.8813779 -45.8643508,-67.8805947 -45.8648065,-67.8801227 -45.8652622,-67.8801119 -45.8658151,-67.8798544 -45.8661513</t>
  </si>
  <si>
    <t>-67.881968 -45.8668087,-67.881099 -45.866046700000005,-67.879715 -45.8662036</t>
  </si>
  <si>
    <t>-67.8768289 -45.8696027,-67.8777409 -45.8695952,-67.8787816 -45.8695952,-67.8806162 -45.8690125,-67.88154960000001 -45.8685643,-67.8823006 -45.8672345,-67.8819466 -45.8669507</t>
  </si>
  <si>
    <t>-67.8740609 -45.8679218,-67.8740501 -45.8676828,-67.8730416 -45.867115,-67.8732347 -45.8667639,-67.8746724 -45.8662783,-67.8754556 -45.865591,-67.876035 -45.8638054,-67.8748977 -45.8643134</t>
  </si>
  <si>
    <t>-67.8773224 -45.8682132,-67.8784168 -45.867951700000006,-67.8779125 -45.8684373,-67.8788459 -45.8681609</t>
  </si>
  <si>
    <t>-67.8773439 -45.8681385,-67.878288 -45.8679816,-67.8767216 -45.8696102</t>
  </si>
  <si>
    <t>-67.8773224 -45.8682132,-67.8784168 -45.867951700000006,-67.8792751 -45.866988</t>
  </si>
  <si>
    <t>-67.8858733 -45.8704767,-67.8852832 -45.869655,-67.8847575 -45.8695056</t>
  </si>
  <si>
    <t>-67.8848326 -45.8722098,-67.8848219 -45.8712163,-67.8845108 -45.87091,-67.8840923 -45.870671,-67.883395 -45.8705216</t>
  </si>
  <si>
    <t>-67.8894353 -45.8722098,-67.8878689 -45.8713657,-67.8875148 -45.8703348,-67.8869784 -45.8701779,-67.88698910000001 -45.8699613,-67.8864634 -45.869655</t>
  </si>
  <si>
    <t>-67.886678 -45.8720231,-67.8879547 -45.8720903,-67.8881586 -45.8718811,-67.8881264 -45.8713806,-67.889092 -45.8708652</t>
  </si>
  <si>
    <t>-67.888577 -45.8727551,-67.887826 -45.8726879,-67.8874612 -45.8724265,-67.8859162 -45.87245630000001</t>
  </si>
  <si>
    <t>-67.8895426 -45.8722024,-67.888298 -45.8715525,-67.8881264 -45.8713806,-67.8885341 -45.8711117,-67.8891778 -45.8709175</t>
  </si>
  <si>
    <t>-67.8892636 -45.8736217,-67.8885555 -45.8735395,-67.8873646 -45.8730764,-67.8860557 -45.8734723</t>
  </si>
  <si>
    <t>-67.8882122 -45.8744882,-67.8876328 -45.874084800000006,-67.8872359 -45.8736814,-67.8863347 -45.8736067</t>
  </si>
  <si>
    <t>-67.8855407 -45.8747869,-67.8848219 -45.8745703,-67.8843713 -45.8743089,-67.8840923 -45.8735395,-67.8836632 -45.8741296</t>
  </si>
  <si>
    <t>-67.8836632 -45.8741296,-67.884264 -45.8734723,-67.8839421 -45.8733229,-67.8833306 -45.8736515,-67.8822899 -45.87404,-67.8816032 -45.8749737,-67.8808522 -45.875153,-67.8791678 -45.8762809,-67.8782129 -45.8766021,-67.8774083 -45.8765572</t>
  </si>
  <si>
    <t>-67.8834808 -45.8695056,-67.8813672 -45.8695205,-67.8813672 -45.869655,-67.8819144 -45.8699912</t>
  </si>
  <si>
    <t>-67.882247 -45.8723592,-67.8814638 -45.8716272,-67.8803694 -45.8708503,-67.8809702 -45.87029,-67.8811526 -45.8706411,-67.8815925 -45.8707307,-67.8819358 -45.8705739</t>
  </si>
  <si>
    <t>-67.8821182 -45.8730091,-67.8811526 -45.8734872,-67.8808308 -45.8739429,-67.8810239 -45.8745255,-67.8805304 -45.87466</t>
  </si>
  <si>
    <t>-67.8772473 -45.875646,-67.87714 -45.874899,-67.8760457 -45.8739578,-67.8750265 -45.8733005,-67.8741574 -45.8732108,-67.8737283 -45.8741819</t>
  </si>
  <si>
    <t>-67.8773654 -45.8733901,-67.8790176 -45.87315110000001</t>
  </si>
  <si>
    <t>-67.8787923 -45.8745778,-67.8791034 -45.8739578,-67.8786206 -45.8735843,-67.8772581 -45.8734723</t>
  </si>
  <si>
    <t>-67.8735888 -45.8741744,-67.8739643 -45.8739055,-67.8744149 -45.8726132,-67.8760242 -45.8715599</t>
  </si>
  <si>
    <t>-67.8763676 -45.8733901,-67.8744149 -45.8729195,-67.8739214 -45.873240700000004,-67.8715611 -45.8732108,-67.8690612 -45.8723443</t>
  </si>
  <si>
    <t>-67.8761208 -45.8715749,-67.8764534 -45.8707606,-67.87552 -45.8713134,-67.8740287 -45.8717317,-67.8731167 -45.8714105</t>
  </si>
  <si>
    <t>-67.8788781 -45.8716421,-67.877934 -45.8716421,-67.8773654 -45.871291</t>
  </si>
  <si>
    <t>-67.87638900000002 -45.8699314,-67.8751016 -45.8709026</t>
  </si>
  <si>
    <t>-67.8755951 -45.8690125,-67.8751016 -45.8692815,-67.8764427 -45.8695952</t>
  </si>
  <si>
    <t>-67.8756273 -45.8690723,-67.8742969 -45.8694757,-67.8722155 -45.8697745,-67.8714752 -45.8706784</t>
  </si>
  <si>
    <t>-67.8756273 -45.8690723,-67.8744364 -45.8694832,-67.8724837 -45.8696774,-67.8717971 -45.8696625</t>
  </si>
  <si>
    <t>-67.8735942 -45.8680488,-67.8724301 -45.8682281,-67.8724086 -45.8686689,-67.8764427 -45.8695952</t>
  </si>
  <si>
    <t>-67.8757668 -45.8670029,-67.8741574 -45.86790690000001</t>
  </si>
  <si>
    <t>-67.8699839 -45.8693413,-67.8700376 -45.8699389,-67.8703916 -45.8701929,-67.8709173 -45.8699239,-67.8707349 -45.8692815,-67.8712177 -45.8686166,-67.8731596 -45.8681236</t>
  </si>
  <si>
    <t>-67.8809917 -45.8619301,-67.8822792 -45.8616611,-67.8835666 -45.8617507,-67.8845859 -45.8612277,-67.8843284 -45.8612427</t>
  </si>
  <si>
    <t>-67.8809702 -45.8619973,-67.8816998 -45.8617059,-67.8840065 -45.8620421</t>
  </si>
  <si>
    <t>-67.8800154 -45.8627071,-67.880863 -45.8635887,-67.8814101 -45.8638502,-67.881496 -45.8643508,-67.8795862 -45.8651352</t>
  </si>
  <si>
    <t>-67.8776658 -45.8646496,-67.876035 -45.8642312,-67.8759491 -45.8638278,-67.8749514 -45.864380600000004</t>
  </si>
  <si>
    <t>-67.87849190000001 -45.8641416,-67.8785133 -45.863499,-67.8778052 -45.8630732</t>
  </si>
  <si>
    <t>-67.8765821 -45.8616835,-67.8769684 -45.861803,-67.877183 -45.8627295</t>
  </si>
  <si>
    <t>-67.86368 -45.85522,-67.8630209 -45.8555229,-67.8621894 -45.85634,-67.8624201 -45.8551867,-67.86302 -45.8547869,-67.8643781 -45.8545739,-67.8666472 -45.85338,-67.8692436 -45.8529262,-67.86554 -45.85259,-67.8643191 -45.85327,-67.86202 -45.8545478</t>
  </si>
  <si>
    <t>-67.8614438 -45.8566475,-67.8599739 -45.856244,-67.8593087 -45.8560273,-67.8586972 -45.8553548,-67.8582466 -45.8557209</t>
  </si>
  <si>
    <t>-67.86569240000001 -45.8580522,-67.8639007 -45.8583661,-67.8627205 -45.8587621,-67.85964130000002 -45.8584707</t>
  </si>
  <si>
    <t>-67.8688037 -45.8592029,-67.8687608 -45.8588144,-67.8664434 -45.858963800000005,-67.8654027 -45.859457,-67.8655529 -45.8602116</t>
  </si>
  <si>
    <t>-67.87273050000002 -45.8603909,-67.8713894 -45.86060760000001,-67.8696728 -45.8603312,-67.8687501 -45.8600248,-67.868396 -45.859329900000006,-67.8688145 -45.8588667,-67.8688037 -45.8592029</t>
  </si>
  <si>
    <t>-67.8762281 -45.861026,-67.8764856 -45.8608841,-67.8761208 -45.8599501,-67.8737497 -45.8604133</t>
  </si>
  <si>
    <t>-67.8752303 -45.8614743,-67.8739107 -45.862087</t>
  </si>
  <si>
    <t>-67.8765821 -45.8616835,-67.8765392 -45.8625801,-67.8756702 -45.8635887,-67.8746188 -45.8632151,-67.8734815 -45.8629387</t>
  </si>
  <si>
    <t>-67.8702521 -45.8689304,-67.8711855 -45.8677874,-67.8714645 -45.8664651,-67.8723657 -45.866046700000005</t>
  </si>
  <si>
    <t>-67.8665292 -45.8704394,-67.8664756 -45.8701107,-67.8674197 -45.8697073,-67.8698659 -45.8700883,-67.8700376 -45.8699389,-67.8700268 -45.8692964</t>
  </si>
  <si>
    <t>-67.8668725 -45.8688706,-67.8667974 -45.868646500000004,-67.8676665 -45.8677127,-67.867012 -45.86727940000001</t>
  </si>
  <si>
    <t>-67.8665292 -45.8705589,-67.866143 -45.8710594,-67.8657889 -45.8704767,-67.8668725 -45.8688706</t>
  </si>
  <si>
    <t>-67.8775477 -45.8859232,-67.87784810000001 -45.8854153,-67.8789425 -45.8862742,-67.879554 -45.8862667,-67.8829443 -45.8844743,-67.8806055 -45.8848253</t>
  </si>
  <si>
    <t>-67.8660572 -45.8945035,-67.8649414 -45.8945185,-67.8640723 -45.8941302,-67.8626239 -45.893936,-67.8611112 -45.8934058,-67.8592336 -45.8931445,-67.8576779 -45.8937045</t>
  </si>
  <si>
    <t>-67.86816 -45.8950113,-67.8676021 -45.8944886,-67.866143 -45.8944961</t>
  </si>
  <si>
    <t>-67.8727734 -45.8946678,-67.8694153 -45.8954742,-67.8682566 -45.89504860000001</t>
  </si>
  <si>
    <t>-67.8732026 -45.8945633,-67.872076 -45.8946753,-67.8709388 -45.89427200000001,-67.8709924 -45.8932789</t>
  </si>
  <si>
    <t>-67.8799939 -45.8961761,-67.8810668 -45.8968855,-67.881496 -45.8974007</t>
  </si>
  <si>
    <t>-67.8765607 -45.8939958,-67.8749728 -45.8950561,-67.8745329 -45.895832600000006,-67.8753376 -45.896079</t>
  </si>
  <si>
    <t>-67.8782558 -45.8919497,-67.8778267 -45.8923828,-67.8780413 -45.8938315,-67.8791893 -45.8953398</t>
  </si>
  <si>
    <t>-67.8789854 -45.8901127,-67.8777838 -45.8901052,-67.8751981 -45.8927935,-67.8739536 -45.8942571</t>
  </si>
  <si>
    <t>-67.8803694 -45.8936299,-67.8794038 -45.8940256,-67.8790176 -45.8951009,-67.8792751 -45.8953174</t>
  </si>
  <si>
    <t>-67.877419 -45.893361,-67.8777194 -45.8924724,-67.8782558 -45.8919497</t>
  </si>
  <si>
    <t>-67.8756487 -45.8907699,-67.8751016 -45.891875</t>
  </si>
  <si>
    <t>-67.8788996 -45.8901426,-67.877934 -45.8900903,-67.8774834 -45.8904786,-67.8777945 -45.8925098,-67.8783524 -45.8919348</t>
  </si>
  <si>
    <t>-67.8765285 -45.89045620000001,-67.877773 -45.8901799,-67.8803802 -45.8880143,-67.8783846 -45.8885519</t>
  </si>
  <si>
    <t>-67.8792322 -45.8901127,-67.877934 -45.8900903,-67.8765285 -45.89045620000001</t>
  </si>
  <si>
    <t>-67.8783846 -45.8885519,-67.8803802 -45.8880143,-67.8826654 -45.8868044,-67.8823113 -45.8868119</t>
  </si>
  <si>
    <t>-67.8838027 -45.88608,-67.882483 -45.8868716</t>
  </si>
  <si>
    <t>-67.8847039 -45.885542300000004,-67.8854334 -45.8851465</t>
  </si>
  <si>
    <t>-67.8897142 -45.8868418,-67.8891993 -45.8870658,-67.88837310000001 -45.8892465,-67.8877509 -45.8880665</t>
  </si>
  <si>
    <t>-67.8877938 -45.885251,-67.8862166 -45.8849523</t>
  </si>
  <si>
    <t>-67.8886521 -45.8849672,-67.8892422 -45.88701350000001,-67.8898752 -45.8867522</t>
  </si>
  <si>
    <t>-67.8916669 -45.8851316,-67.891463 -45.8853332,-67.8890061 -45.8855946,-67.8886521 -45.8849672</t>
  </si>
  <si>
    <t>-67.895658 -45.88465360000001,-67.8955078 -45.8872675,-67.89402720000001 -45.888186,-67.89313670000001 -45.8879097,-67.8935552 -45.8866999,-67.891624 -45.8850718</t>
  </si>
  <si>
    <t>-67.8978574 -45.8860277,-67.8978038 -45.8853407,-67.8963983 -45.8851017,-67.89562580000002 -45.8861472,-67.8956044 -45.8845341</t>
  </si>
  <si>
    <t>-67.9100668 -45.8930624,-67.90882230000001 -45.8924799,-67.9064727 -45.8916734,-67.9044127 -45.8911507,-67.9037046 -45.8911806</t>
  </si>
  <si>
    <t>-67.9020846 -45.8894257,-67.9013014 -45.8899484,-67.8996277 -45.8906877,-67.899971 -45.8910611,-67.9025245 -45.8912403</t>
  </si>
  <si>
    <t>-67.9022241 -45.8892913,-67.9030609 -45.889239,-67.9032218 -45.8889477,-67.9028785 -45.8877678,-67.9034686 -45.8869165,-67.9039729 -45.8871629</t>
  </si>
  <si>
    <t>-67.9052174 -45.8898887,-67.9046273 -45.8890523,-67.9033613 -45.8891643,-67.9021382 -45.8893659</t>
  </si>
  <si>
    <t>-67.908082 -45.8906056,-67.9061723 -45.8899111</t>
  </si>
  <si>
    <t>-67.9066443 -45.8844071,-67.9062474 -45.8852585,-67.908833 -45.885968,-67.9091012 -45.8864012</t>
  </si>
  <si>
    <t>-67.90882230000001 -45.8881039,-67.9103136 -45.8860053,-67.9097342 -45.8853631</t>
  </si>
  <si>
    <t>-67.9052818 -45.8875736,-67.90654780000001 -45.8882084,-67.9074919 -45.8882756</t>
  </si>
  <si>
    <t>-67.9039729 -45.8871629,-67.9034686 -45.8869165,-67.9041123 -45.886192,-67.9042947 -45.8847656,-67.90316820000001 -45.883637900000004</t>
  </si>
  <si>
    <t>-67.8995955 -45.8843175,-67.9000247 -45.8851988,-67.8988981 -45.8863563</t>
  </si>
  <si>
    <t>-67.896452 -45.8842129,-67.8972995 -45.8841607,-67.8987801 -45.8833839,-67.8993165 -45.8836304</t>
  </si>
  <si>
    <t>-67.90316820000001 -45.883637900000004,-67.9026854 -45.8831823,-67.9021275 -45.8832794,-67.900722 -45.8842279,-67.9001105 -45.8851465,-67.8995955 -45.8843175</t>
  </si>
  <si>
    <t>-67.9017198 -45.886319,-67.9029 -45.8860352,-67.9032969 -45.8855124,-67.9032862 -45.8836304</t>
  </si>
  <si>
    <t>-67.8584611 -45.8624008,-67.8585362 -45.8613996,-67.8556395 -45.863768,-67.8529358 -45.8640818,-67.8488266 -45.8634094,-67.8467131 -45.8636335,-67.841531 -45.865030600000004</t>
  </si>
  <si>
    <t>-67.8585577 -45.8624232,-67.8585577 -45.86128,-67.8564978 -45.8629238,-67.8545773 -45.8632899</t>
  </si>
  <si>
    <t>-67.860285 -45.8606225,-67.8606606 -45.8601892,-67.8585577 -45.86128,-67.8585577 -45.8624232</t>
  </si>
  <si>
    <t>-67.8623772 -45.8601145,-67.8618085 -45.8597185,-67.8601241 -45.8605852</t>
  </si>
  <si>
    <t>-67.8623772 -45.8601145,-67.8619158 -45.8597185,-67.86181930000001 -45.8591954,-67.8608966 -45.8592179</t>
  </si>
  <si>
    <t>-67.8632784 -45.8615042,-67.863096 -45.86128,-67.8622055 -45.8610559,-67.861948 -45.8605105</t>
  </si>
  <si>
    <t>-67.8653276 -45.8635663,-67.8648341 -45.8637904,-67.8645015 -45.8630059,-67.8653491 -45.8606898,-67.8640616 -45.8614295</t>
  </si>
  <si>
    <t>-67.8624094 -45.863118,-67.8626776 -45.8630433,-67.8629673 -45.8618852</t>
  </si>
  <si>
    <t>-67.8675377 -45.8613772,-67.8664112 -45.8605329</t>
  </si>
  <si>
    <t>-67.8701234 -45.8635663,-67.8698123 -45.86132490000001,-67.8679776 -45.8603237,-67.8670549 -45.8588966,-67.8654027 -45.859457,-67.8654563 -45.8601518,-67.8656709 -45.8602639</t>
  </si>
  <si>
    <t>-67.8682029 -45.8666817,-67.8692436 -45.8661961,-67.8702307 -45.8647318,-67.8701663 -45.8642088</t>
  </si>
  <si>
    <t>-67.8701127 -45.8670179,-67.8692544 -45.8674736,-67.8676772 -45.8678322,-67.86919 -45.8662484,-67.8682029 -45.8666817</t>
  </si>
  <si>
    <t>-67.8639328 -45.8659271,-67.8645658 -45.8647542,-67.8655207 -45.8635513</t>
  </si>
  <si>
    <t>-67.8602636 -45.865718,-67.861079 -45.8639473,-67.8626132 -45.863499,-67.8626776 -45.8631255,-67.8624094 -45.863118</t>
  </si>
  <si>
    <t>-67.853086 -45.8660317,-67.8572381 -45.8657329,-67.8595984 -45.8650979,-67.8609931 -45.8638801,-67.8599846 -45.8641864</t>
  </si>
  <si>
    <t>-67.8601348 -45.8658151,-67.8619587 -45.8654266</t>
  </si>
  <si>
    <t>-67.8526247 -45.8697596,-67.8538263 -45.8702526,-67.8549314 -45.8699538,-67.8559613 -45.868639,-67.8556073 -45.8677276,-67.8560793 -45.8663007,-67.8592122 -45.8657703</t>
  </si>
  <si>
    <t>-67.855854 -45.8696998,-67.8556073 -45.870275,-67.8546309 -45.8708279,-67.853837 -45.870656</t>
  </si>
  <si>
    <t>-67.84911630000002 -45.8712163,-67.8486764 -45.8703498,-67.847507 -45.8695728,-67.8454363 -45.8689453,-67.8478396 -45.868908</t>
  </si>
  <si>
    <t>-67.8596199 -45.8687586,-67.8587186 -45.8681983,-67.8581715 -45.8685643,-67.8581393 -45.8690648,-67.8568625 -45.8704618</t>
  </si>
  <si>
    <t>-67.8622591 -45.8680488,-67.8610682 -45.868273,-67.860167 -45.8680414,-67.8590083 -45.8671897,-67.8573239 -45.8674587,-67.8566694 -45.868885600000006</t>
  </si>
  <si>
    <t>-67.8642762 -45.866988,-67.8632355 -45.8676828</t>
  </si>
  <si>
    <t>-67.8659713 -45.8654266,-67.8650701 -45.8654864,-67.864598 -45.8658599</t>
  </si>
  <si>
    <t>-67.8640509 -45.869035,-67.8651345 -45.867384,-67.8649521 -45.8657329,-67.8658748 -45.8655237</t>
  </si>
  <si>
    <t>-67.8668189 -45.8667639,-67.8664005 -45.866988,-67.8663254 -45.8676305</t>
  </si>
  <si>
    <t>-67.8639972 -45.8691171,-67.8657031 -45.8680713</t>
  </si>
  <si>
    <t>-67.8629243 -45.869513100000006,-67.8615403 -45.8694533,-67.8604352 -45.8694384,-67.8601027 -45.8691993</t>
  </si>
  <si>
    <t>-67.8593409 -45.8716048,-67.85971640000001 -45.8705365,-67.8614008 -45.870529,-67.861948 -45.8698268,-67.8630531 -45.8694832</t>
  </si>
  <si>
    <t>-67.8532469 -45.8720604,-67.8551781 -45.8718737,-67.85598280000002 -45.8712238</t>
  </si>
  <si>
    <t>-67.8592658 -45.8717019,-67.8558862 -45.8723891,-67.8532469 -45.8723144</t>
  </si>
  <si>
    <t>-67.857635 -45.8744807,-67.8541696 -45.874152,-67.8588581 -45.8727103,-67.8593409 -45.8716048</t>
  </si>
  <si>
    <t>-67.8687286 -45.87223970000001,-67.8671408 -45.8717542,-67.8661752 -45.8712611,-67.8662395 -45.8705888</t>
  </si>
  <si>
    <t>-67.864598 -45.874533,-67.864759 -45.8743612,-67.8640401 -45.873898,-67.8634608 -45.8736366,-67.8635681 -45.8724713</t>
  </si>
  <si>
    <t>-67.864598 -45.874533,-67.864759 -45.8743612,-67.8643191 -45.8741445,-67.8635144 -45.8745106,-67.8626132 -45.8753322,-67.8611112 -45.8754517,-67.859695 -45.8748542,-67.8597271 -45.8745404</t>
  </si>
  <si>
    <t>-67.8665078 -45.8740698,-67.8660035 -45.87375610000001,-67.8652632 -45.8735619</t>
  </si>
  <si>
    <t>-67.8665078 -45.8740698,-67.8656816 -45.8748542,-67.8647482 -45.8745031</t>
  </si>
  <si>
    <t>-67.8666043 -45.8740773,-67.8655958 -45.8758999,-67.8658319 -45.8761464</t>
  </si>
  <si>
    <t>-67.8695548 -45.8743686,-67.8680742 -45.87486160000001,-67.8681386 -45.874279,-67.8692007 -45.8739354,-67.8701556 -45.8730988,-67.8689218 -45.872351800000004</t>
  </si>
  <si>
    <t>-67.8686213 -45.87223970000001,-67.8679776 -45.8725012,-67.867173 -45.87342</t>
  </si>
  <si>
    <t>-67.8661001 -45.8724788,-67.8660786 -45.8739279,-67.8666043 -45.8740773</t>
  </si>
  <si>
    <t>-67.8690398 -45.8759074,-67.8681815 -45.8748691,-67.8664434 -45.8762585</t>
  </si>
  <si>
    <t>-67.869662 -45.8743537,-67.8680742 -45.87486160000001,-67.8664756 -45.876124</t>
  </si>
  <si>
    <t>-67.8721726 -45.8748019,-67.868793 -45.8753024,-67.8683639 -45.8750633,-67.8691471 -45.8759522</t>
  </si>
  <si>
    <t>-67.8699946 -45.8787458,-67.8712606 -45.8782677,-67.8715182 -45.8764788,-67.8724194 -45.8748094</t>
  </si>
  <si>
    <t>-67.8692007 -45.87702780000001,-67.8669155 -45.8759447,-67.8666151 -45.8760792</t>
  </si>
  <si>
    <t>-67.84873010000001 -45.87312860000001,-67.8543305 -45.8741595,-67.857635 -45.8744807</t>
  </si>
  <si>
    <t>-67.8564656 -45.8801798,-67.855736 -45.8808595,-67.8561974 -45.8788727,-67.8546631 -45.8788802</t>
  </si>
  <si>
    <t>-67.8573883 -45.8816587,-67.8575063 -45.8811433,-67.8592443 -45.8804114,-67.8593087 -45.8795599,-67.8584397 -45.8786113,-67.8589547 -45.8770502,-67.8599954 -45.87787190000001</t>
  </si>
  <si>
    <t>-67.8574526 -45.8818977,-67.8570664 -45.8807624,-67.8556824 -45.8812367,-67.8564656 -45.8801798</t>
  </si>
  <si>
    <t>-67.8607678 -45.8799333,-67.8613579 -45.8799707,-67.861197 -45.8783424</t>
  </si>
  <si>
    <t>-67.8614116 -45.8855274,-67.862978 -45.884788,-67.8635466 -45.8831599,-67.8632355 -45.8817483,-67.86391140000002 -45.8815093,-67.8628063 -45.8810537,-67.8623772 -45.8814346</t>
  </si>
  <si>
    <t>-67.8609717 -45.8856767,-67.862817 -45.8848403,-67.8617656 -45.8854826,-67.8616369 -45.886192,-67.8618944 -45.8867671</t>
  </si>
  <si>
    <t>-67.8608537 -45.8799333,-67.8613579 -45.8799707,-67.8611863 -45.8784545,-67.86092880000001 -45.8783424</t>
  </si>
  <si>
    <t>-67.8622806 -45.8814346,-67.8628922 -45.8810985,-67.8613365 -45.8799035,-67.8605962 -45.879896</t>
  </si>
  <si>
    <t>-67.8603172 -45.8804114,-67.8601778 -45.8810238,-67.8611326 -45.8820022</t>
  </si>
  <si>
    <t>-67.8633642 -45.8805981,-67.8613579 -45.8799707,-67.8608108 -45.8798811</t>
  </si>
  <si>
    <t>-67.8637505 -45.8804562,-67.863214 -45.8799035</t>
  </si>
  <si>
    <t>-67.8661644 -45.8809417,-67.8650057 -45.8806205,-67.8644371 -45.8807923</t>
  </si>
  <si>
    <t>-67.8695655 -45.881584,-67.8685892 -45.8817483,-67.8646624 -45.8818006,-67.8628922 -45.8810985,-67.8623772 -45.8814346,-67.8620982 -45.8813898</t>
  </si>
  <si>
    <t>-67.8726017 -45.880389,-67.8697157 -45.8828462,-67.8706813 -45.8831001,-67.8686643 -45.8830254</t>
  </si>
  <si>
    <t>-67.8772688 -45.8789101,-67.8749835 -45.8790146,-67.87362100000001 -45.8797765</t>
  </si>
  <si>
    <t>-67.8762603 -45.8779017,-67.8751016 -45.8782379</t>
  </si>
  <si>
    <t>-67.8797901 -45.8776627,-67.8789103 -45.8780735,-67.8760564 -45.8775283,-67.87532690000002 -45.8768411,-67.8744793 -45.8775656,-67.874136 -45.877588</t>
  </si>
  <si>
    <t>-67.8797901 -45.8776627,-67.8789961 -45.8782677,-67.8770435 -45.8780959</t>
  </si>
  <si>
    <t>-67.8797901 -45.8776627,-67.8792536 -45.87817810000001,-67.8798115 -45.8793806</t>
  </si>
  <si>
    <t>-67.8785026 -45.8788802,-67.8798115 -45.8793806</t>
  </si>
  <si>
    <t>-67.8837168 -45.877461,-67.8834486 -45.8776926,-67.88276200000001 -45.8774237,-67.8823435 -45.87787190000001,-67.8832233 -45.8786561</t>
  </si>
  <si>
    <t>-67.8837168 -45.877461,-67.8835773 -45.8776627,-67.8827834 -45.8773191,-67.8828907 -45.8762136</t>
  </si>
  <si>
    <t>-67.8827298 -45.8748841,-67.8821611 -45.8754069,-67.8803909 -45.8760568</t>
  </si>
  <si>
    <t>-67.8803158 -45.8771847,-67.8813779 -45.8760792,-67.8823113 -45.875519,-67.8828478 -45.87486160000001</t>
  </si>
  <si>
    <t>-67.8836739 -45.8759821,-67.8838027 -45.8758402,-67.883234 -45.875631,-67.8816783 -45.8762734,-67.8803587 -45.8772818</t>
  </si>
  <si>
    <t>-67.8856909 -45.8773042,-67.88382410000001 -45.8758999,-67.8835773 -45.8759821</t>
  </si>
  <si>
    <t>-67.8858948 -45.8773341,-67.8847039 -45.8771697</t>
  </si>
  <si>
    <t>-67.88980010000002 -45.8758999,-67.8895426 -45.8756086,-67.886517 -45.875989600000004</t>
  </si>
  <si>
    <t>-67.88980010000002 -45.8758999,-67.8896391 -45.8754592,-67.8868389 -45.87464500000001</t>
  </si>
  <si>
    <t>-67.8897572 -45.8759746,-67.8899932 -45.8753472,-67.8922677 -45.8740773</t>
  </si>
  <si>
    <t>-67.88980010000002 -45.8758999,-67.8903151 -45.875578700000005</t>
  </si>
  <si>
    <t>-67.89264320000001 -45.874518,-67.8905296 -45.8754742</t>
  </si>
  <si>
    <t>-67.8926647 -45.877827,-67.8914523 -45.8771996,-67.8902185 -45.8770054,-67.8897464 -45.8764377</t>
  </si>
  <si>
    <t>-67.8939736 -45.8762809,-67.8933084 -45.8766768,-67.8930724 -45.87728920000001</t>
  </si>
  <si>
    <t>-67.896055 -45.8758476,-67.895025 -45.8752127,-67.8933728 -45.8747347</t>
  </si>
  <si>
    <t>-67.8954864 -45.8744359,-67.8949392 -45.8739429,-67.895143 -45.8733378,-67.8949499 -45.8727701</t>
  </si>
  <si>
    <t>-67.8992522 -45.8749438,-67.8973424 -45.8751455,-67.8966451 -45.875362100000004,-67.8955722 -45.8745031</t>
  </si>
  <si>
    <t>-67.8968275 -45.8739055,-67.8966451 -45.8731809</t>
  </si>
  <si>
    <t>-67.8992522 -45.8749438,-67.8973424 -45.8751455,-67.8970528 -45.8743089</t>
  </si>
  <si>
    <t>-67.8996921 -45.8744209,-67.8999817 -45.8733453</t>
  </si>
  <si>
    <t>-67.8996062 -45.8756758,-67.8981364 -45.8751081,-67.8992522 -45.8749438</t>
  </si>
  <si>
    <t>-67.8998959 -45.8771548,-67.8998315 -45.8761838</t>
  </si>
  <si>
    <t>-67.8962481 -45.8782752,-67.8968811 -45.877095,-67.8960979 -45.8766319,-67.8951645 -45.8767365</t>
  </si>
  <si>
    <t>-67.893877 -45.8799035,-67.8961515 -45.88074,-67.8972781 -45.8803665,-67.8961408 -45.8785142</t>
  </si>
  <si>
    <t>-67.8985548 -45.8811732,-67.8973854 -45.88133,-67.8962159 -45.8784171</t>
  </si>
  <si>
    <t>-67.8866458 -45.877476,-67.8866458 -45.8780437,-67.8858411 -45.8780212,-67.8857124 -45.8785142</t>
  </si>
  <si>
    <t>-67.8892422 -45.878559,-67.8872895 -45.87787190000001,-67.8866029 -45.8774162</t>
  </si>
  <si>
    <t>-67.8923535 -45.879694300000004,-67.8905511 -45.8789325</t>
  </si>
  <si>
    <t>-67.8985548 -45.8811732,-67.8975248 -45.8813076,-67.8970742 -45.8804562,-67.8961515 -45.88074,-67.893405 -45.8798064</t>
  </si>
  <si>
    <t>-67.8864312 -45.8790146,-67.8847039 -45.8811657,-67.8828692 -45.8823084,-67.8824294 -45.8835632,-67.881732 -45.8839964</t>
  </si>
  <si>
    <t>-67.886517 -45.8799408,-67.8866994 -45.8794479,-67.8872252 -45.87899970000001,-67.886796 -45.8779465,-67.8865707 -45.878447</t>
  </si>
  <si>
    <t>-67.88921 -45.8809715,-67.8856587 -45.8819873,-67.8852832 -45.8816064,-67.8859591 -45.8805981</t>
  </si>
  <si>
    <t>-67.881732 -45.8839964,-67.8825152 -45.883593100000006,-67.8827727 -45.8823981,-67.8807878 -45.8819649,-67.8819788 -45.8813674</t>
  </si>
  <si>
    <t>-67.8815174 -45.8830553,-67.8805196 -45.882174,-67.8821397 -45.8813226</t>
  </si>
  <si>
    <t>-67.8778803 -45.8828761,-67.8807127 -45.8836827,-67.8810453 -45.8834586,-67.8805625 -45.8831151</t>
  </si>
  <si>
    <t>-67.8753161 -45.8842951,-67.8736854 -45.8833242,-67.8735566 -45.8829433</t>
  </si>
  <si>
    <t>-67.8734708 -45.8823084,-67.8726876 -45.8822636</t>
  </si>
  <si>
    <t>-67.8748763 -45.8825474,-67.8737819 -45.8833541,-67.8736424 -45.8829059</t>
  </si>
  <si>
    <t>-67.8769469 -45.8829881,-67.8762281 -45.882525</t>
  </si>
  <si>
    <t>-67.8775907 -45.885744,-67.8778374 -45.8851241,-67.8766251 -45.8844594,-67.8767002 -45.8840561</t>
  </si>
  <si>
    <t>-67.8725803 -45.8840188,-67.8714108 -45.8839889,-67.8718185 -45.8845714,-67.8727949 -45.8849224,-67.8728807 -45.8853705</t>
  </si>
  <si>
    <t>-67.8685462 -45.8831151,-67.869308 -45.8829582,-67.8708422 -45.883018,-67.8705847 -45.8839366</t>
  </si>
  <si>
    <t>-67.8659606 -45.8826669,-67.8674734 -45.882771500000004</t>
  </si>
  <si>
    <t>-67.8672695 -45.88491500000001,-67.867409 -45.8861099,-67.8680742 -45.8863339,-67.8686106 -45.8860875,-67.8688896 -45.8849822,-67.870338 -45.8842577</t>
  </si>
  <si>
    <t>-67.86739830000002 -45.8868567,-67.8667223 -45.8862667,-67.8672802 -45.8848552</t>
  </si>
  <si>
    <t>-67.8769255 -45.8868343,-67.8757453 -45.887708100000005</t>
  </si>
  <si>
    <t>-67.8745329 -45.88833540000001,-67.8730309 -45.88891790000001</t>
  </si>
  <si>
    <t>-67.8694582 -45.8876409,-67.8695869 -45.887372,-67.8687179 -45.8869837</t>
  </si>
  <si>
    <t>-67.8701127 -45.8886117,-67.869705 -45.8873869,-67.8693724 -45.88761850000001</t>
  </si>
  <si>
    <t>-67.8704238 -45.8871032,-67.8687179 -45.8869837</t>
  </si>
  <si>
    <t>-67.871207 -45.8866252,-67.8706491 -45.8864609</t>
  </si>
  <si>
    <t>-67.8716683 -45.8869015,-67.8721619 -45.88708080000001</t>
  </si>
  <si>
    <t>-67.8684175 -45.8866401,-67.8696406 -45.8862369</t>
  </si>
  <si>
    <t>-67.8674626 -45.88708080000001,-67.866658 -45.886864200000005,-67.8658855 -45.887125600000005,-67.8670657 -45.8886864</t>
  </si>
  <si>
    <t>-67.86707640000002 -45.88434740000001,-67.8666902 -45.8838769,-67.8658426 -45.8837051,-67.86497350000002 -45.8841308,-67.8638363 -45.8861248,-67.8642976 -45.8867671</t>
  </si>
  <si>
    <t>-67.863847 -45.885027,-67.864995 -45.8837723,-67.8665936 -45.8838395,-67.86707640000002 -45.88434740000001</t>
  </si>
  <si>
    <t>-67.8618944 -45.8867671,-67.8616261 -45.8862443,-67.8603601 -45.88681940000001,-67.8594589 -45.8868119,-67.8584075 -45.8873347,-67.856369 -45.8871629,-67.8557789 -45.8865655</t>
  </si>
  <si>
    <t>-67.8620338 -45.8868866,-67.8616261 -45.8862443,-67.8603601 -45.8866625,-67.8589439 -45.88651320000001</t>
  </si>
  <si>
    <t>-67.8611434 -45.8856095,-67.86199090000001 -45.8851764,-67.860049 -45.885266,-67.8587615 -45.8848627,-67.8564978 -45.8850569</t>
  </si>
  <si>
    <t>-67.85825730000002 -45.8853855,-67.85964130000002 -45.8854228</t>
  </si>
  <si>
    <t>-67.8652418 -45.8907101,-67.8656602 -45.890351700000004,-67.8659928 -45.88941820000001</t>
  </si>
  <si>
    <t>-67.8640401 -45.8909939,-67.8672266 -45.8915539</t>
  </si>
  <si>
    <t>-67.86183 -45.8907101,-67.8635895 -45.8906578</t>
  </si>
  <si>
    <t>-67.8583002 -45.8906802,-67.8604245 -45.8905832</t>
  </si>
  <si>
    <t>-67.8569698 -45.8905682,-67.8562617 -45.8905682,-67.8551674 -45.8886042,-67.8555107 -45.8875214,-67.8557789 -45.88838020000001</t>
  </si>
  <si>
    <t>-67.8587294 -45.8888955,-67.8576458 -45.88857430000001,-67.8557789 -45.8865655</t>
  </si>
  <si>
    <t>-67.8587294 -45.8888955,-67.8575063 -45.8884847,-67.8571844 -45.8880441,-67.8625596 -45.8886864</t>
  </si>
  <si>
    <t>-67.8558648 -45.8883652,-67.8555107 -45.8875214,-67.8540516 -45.8893734</t>
  </si>
  <si>
    <t>-67.8587294 -45.8888955,-67.8575063 -45.8884847,-67.8558004 -45.8866177</t>
  </si>
  <si>
    <t>-67.8570557 -45.8887461,-67.8588152 -45.88891790000001</t>
  </si>
  <si>
    <t>-67.8530109 -45.886319,-67.8539872 -45.8868567,-67.8555858 -45.8874168,-67.8559721 -45.8882756</t>
  </si>
  <si>
    <t>-67.8571093 -45.8855572,-67.8559184 -45.8854378,-67.8555107 -45.884698400000005</t>
  </si>
  <si>
    <t>-67.8548133 -45.885968,-67.8544056 -45.8857215,-67.8542554 -45.8852884</t>
  </si>
  <si>
    <t>-67.8525496 -45.8855871,-67.851584 -45.885251,-67.8524101 -45.8868119,-67.8533113 -45.8874616</t>
  </si>
  <si>
    <t>-67.8525496 -45.8855871,-67.8516698 -45.8851988,-67.8510153 -45.885027,-67.84983520000002 -45.8848851</t>
  </si>
  <si>
    <t>-67.8516591 -45.8844445,-67.8505969 -45.8845789</t>
  </si>
  <si>
    <t>-67.8535903 -45.8848851,-67.8530109 -45.8845938,-67.8524315 -45.8844893</t>
  </si>
  <si>
    <t>-67.8493631 -45.8856319,-67.8480864 -45.8853183,-67.8494918 -45.8833541,-67.849642 -45.8827043,-67.8493738 -45.8815317,-67.8484726 -45.8806578,-67.8487837 -45.8803516,-67.8495455 -45.8807549</t>
  </si>
  <si>
    <t>-67.84983520000002 -45.8848851,-67.8485048 -45.8854826,-67.849406 -45.8856842</t>
  </si>
  <si>
    <t>-67.848537 -45.8862742,-67.8485477 -45.8854079,-67.8494489 -45.8856319</t>
  </si>
  <si>
    <t>-67.8500605 -45.887484,-67.8466702 -45.8865729,-67.8469384 -45.8864833</t>
  </si>
  <si>
    <t>-67.8426254 -45.8909864,-67.8430116 -45.88967960000001,-67.8451467 -45.8898812</t>
  </si>
  <si>
    <t>-67.8454471 -45.8916361,-67.8446209 -45.8900978,-67.8430331 -45.889814,-67.845093 -45.8899484</t>
  </si>
  <si>
    <t>-67.8454471 -45.8915539,-67.845372 -45.891203,-67.8470457 -45.8915166</t>
  </si>
  <si>
    <t>-67.8449535 -45.8936448,-67.8464234 -45.8935477,-67.84662720000001 -45.8927786,-67.8454471 -45.8916361</t>
  </si>
  <si>
    <t>-67.8406191 -45.8925546,-67.8415418 -45.8928458,-67.8424859 -45.8919348</t>
  </si>
  <si>
    <t>-67.8469384 -45.8864833,-67.8456509 -45.8865206,-67.8438485 -45.8877379,-67.8427005 -45.8909267</t>
  </si>
  <si>
    <t>-67.8507471 -45.87878310000001,-67.851643 -45.8793134,-67.8513211 -45.8804636,-67.8522384 -45.8811919,-67.8556824 -45.8812367,-67.856546 -45.8801873</t>
  </si>
  <si>
    <t>-67.8527158 -45.879586,-67.8528607 -45.878936200000005,-67.8513801 -45.8780735,-67.8490144 -45.877969,-67.8485101 -45.8775843,-67.8507954 -45.877532</t>
  </si>
  <si>
    <t>-67.8534776 -45.8786225,-67.852689 -45.8781818,-67.8508437 -45.8775395</t>
  </si>
  <si>
    <t>-67.8556287 -45.8843698,-67.853719 -45.8831001,-67.8518629 -45.8825923,-67.8500605 -45.8812329</t>
  </si>
  <si>
    <t>-67.8467023 -45.8799558,-67.849052 -45.8790819</t>
  </si>
  <si>
    <t>-67.8494382 -45.880628,-67.84873010000001 -45.8802396,-67.8461766 -45.8806653,-67.8457046 -45.880515900000006</t>
  </si>
  <si>
    <t>-67.8474855 -45.8837723,-67.8486228 -45.8829657,-67.8481615 -45.880613,-67.8488159 -45.8804039,-67.8493094 -45.8806354</t>
  </si>
  <si>
    <t>-67.842443 -45.8796122,-67.8389347 -45.8810612,-67.8383017 -45.8819499,-67.8395998 -45.8826445,-67.8392565 -45.8820246,-67.8403294 -45.8816064</t>
  </si>
  <si>
    <t>-67.8489339 -45.8731324,-67.8501302 -45.8733565,-67.8485316 -45.8736739,-67.8459191 -45.8729942,-67.84549 -45.8723406,-67.8449106 -45.8726842</t>
  </si>
  <si>
    <t>-67.8464448 -45.8713396,-67.8465736 -45.871657000000006,-67.84484620000002 -45.8726692</t>
  </si>
  <si>
    <t>-67.8433174 -45.8702414,-67.8424054 -45.8705701,-67.8442401 -45.8712014,-67.8457582 -45.8705029,-67.8468794 -45.8714778,-67.8465736 -45.871657000000006,-67.8464073 -45.8713396</t>
  </si>
  <si>
    <t>-67.847904 -45.8759074,-67.8490949 -45.8742491,-67.8510368 -45.8734349,-67.8488266 -45.8731585</t>
  </si>
  <si>
    <t>-67.847904 -45.8759074,-67.8480005 -45.8756161,-67.8463054 -45.8747421</t>
  </si>
  <si>
    <t>-67.9150343 -45.8614892,-67.913146 -45.8618778,-67.9108071 -45.8602041,-67.9057002 -45.8618628,-67.905314 -45.860757,-67.9069448 -45.8603386</t>
  </si>
  <si>
    <t>-67.9179096 -45.8569314,-67.917974 -45.8555117,-67.9220295 -45.8569464</t>
  </si>
  <si>
    <t>-67.8929329 -45.86721210000001,-67.894392 -45.8695056</t>
  </si>
  <si>
    <t>-67.8927183 -45.8669805,-67.8903902 -45.8663978,-67.8887057 -45.8658973</t>
  </si>
  <si>
    <t>-67.8994882 -45.8693338,-67.8977072 -45.8699986,-67.8991663 -45.8716197</t>
  </si>
  <si>
    <t>-67.8478396 -45.8688557,-67.8458226 -45.8688034,-67.8432369 -45.868004</t>
  </si>
  <si>
    <t>-67.8358877 -45.8689827,-67.8371322 -45.8686091,-67.8391171 -45.8671001,-67.8367031 -45.8674885</t>
  </si>
  <si>
    <t>-67.8439128 -45.8674288,-67.8437948 -45.8670851,-67.8423679 -45.8669432,-67.8399754 -45.8693711,-67.8398359 -45.8691395</t>
  </si>
  <si>
    <t>-67.8432369 -45.868004,-67.8457797 -45.8688706,-67.8430974 -45.8688034,-67.84118770000002 -45.8704842,-67.843312 -45.8702825</t>
  </si>
  <si>
    <t>-67.8252983 -45.8592029,-67.8248048 -45.854674800000005</t>
  </si>
  <si>
    <t>-67.8434944 -45.861818,-67.8401899 -45.8621318,-67.8426361 -45.8613473,-67.8426254 -45.8601294,-67.842797 -45.8591058,-67.841928 -45.8586351,-67.8397501 -45.8591282,-67.8376687 -45.8590012</t>
  </si>
  <si>
    <t>-67.8511226 -45.8587172,-67.8489661 -45.8581942,-67.8504252 -45.8565952</t>
  </si>
  <si>
    <t>-67.8492987 -45.8598679,-67.8513372 -45.8591133,-67.848022 -45.8590161,-67.8489661 -45.8582615,-67.8510582 -45.8585977</t>
  </si>
  <si>
    <t>-67.8547168 -45.8600622,-67.8545237 -45.8589862,-67.8537083 -45.858508,-67.852335 -45.8585529</t>
  </si>
  <si>
    <t>-67.8480113 -45.860376,-67.8467989 -45.86128,-67.8443742 -45.8622663,-67.8429365 -45.86190760000001</t>
  </si>
  <si>
    <t>-67.8412199 -45.8655013,-67.8405225 -45.8663007,-67.8390419 -45.8670926,-67.8367031 -45.8674885</t>
  </si>
  <si>
    <t>-67.8412628 -45.8653818,-67.8414774 -45.8649783,-67.8398144 -45.8656208,-67.8377545 -45.8658599,-67.83780810000002 -45.8661886</t>
  </si>
  <si>
    <t>-67.8403401 -45.8715002,-67.8396213 -45.8713059,-67.8401256 -45.8706859,-67.8424323 -45.8705216,-67.8432369 -45.8702153</t>
  </si>
  <si>
    <t>-67.8404045 -45.871440400000004,-67.8396642 -45.8713657,-67.8393745 -45.8705216,-67.8371751 -45.8699314,-67.8344822 -45.8697969,-67.8345251 -45.8700584,-67.8363597 -45.8707606</t>
  </si>
  <si>
    <t>-67.8404903 -45.8714255,-67.8396213 -45.8713059,-67.8404903 -45.870417,-67.8394604 -45.8697073,-67.8398144 -45.8690798</t>
  </si>
  <si>
    <t>-67.8371 -45.8587098,-67.8367245 -45.8583661,-67.8377759 -45.8572004,-67.8377545 -45.8567372,-67.8374755 -45.8565279</t>
  </si>
  <si>
    <t>-67.8372502 -45.8563785,-67.8336024 -45.85664,-67.8271651 -45.8571481,-67.8248692 -45.8544506</t>
  </si>
  <si>
    <t>-67.8296006 -45.867115,-67.8335702 -45.8650157</t>
  </si>
  <si>
    <t>-67.8351688 -45.8689603,-67.8335595 -45.8685718</t>
  </si>
  <si>
    <t>-67.8297186 -45.867257,-67.8344929 -45.8679144,-67.8335059 -45.8670478</t>
  </si>
  <si>
    <t>-67.8280556 -45.869543,-67.8296864 -45.870275,-67.8344822 -45.8697969,-67.8311992 -45.8683103,-67.8300941 -45.8685046,-67.8299439 -45.8694533,-67.8304803 -45.8697222,-67.8315318 -45.8693562</t>
  </si>
  <si>
    <t>-67.8373897 -45.873786,-67.8401792 -45.8734274,-67.8390205 -45.8729643</t>
  </si>
  <si>
    <t>-67.8467345 -45.87813330000001,-67.8463697 -45.8770502,-67.8451788 -45.8768261,-67.84484620000002 -45.8755264,-67.8427005 -45.8748318</t>
  </si>
  <si>
    <t>-67.8503072 -45.877095,-67.8495133 -45.8766394,-67.8481615 -45.87637800000001</t>
  </si>
  <si>
    <t>-67.8467667 -45.8780212,-67.846477 -45.87698300000001,-67.8477967 -45.8764751</t>
  </si>
  <si>
    <t>-67.8467989 -45.878081,-67.8463697 -45.8770502,-67.8443956 -45.8768859</t>
  </si>
  <si>
    <t>-67.842561 -45.8794628,-67.8420246 -45.8792462,-67.8431511 -45.8775283,-67.8462946 -45.877095,-67.8445137 -45.8768261</t>
  </si>
  <si>
    <t>-67.8455973 -45.8806504,-67.8449214 -45.8812852,-67.8420246 -45.8795972,-67.8425181 -45.87953</t>
  </si>
  <si>
    <t>-67.844696 -45.8825549,-67.8449643 -45.8831001,-67.8465521 -45.8834437,-67.8478181 -45.8828313,-67.8471851 -45.881905100000004,-67.8455544 -45.8805234</t>
  </si>
  <si>
    <t>-67.8418744 -45.8837275,-67.8411126 -45.8830703,-67.839793 -45.8826221,-67.8392565 -45.8819126,-67.8402436 -45.8815616</t>
  </si>
  <si>
    <t>-67.8400719 -45.8789325,-67.841295 -45.8786487,-67.8416598 -45.8782453</t>
  </si>
  <si>
    <t>-67.8388381 -45.8793059,-67.8380656 -45.8795375,-67.8406405 -45.8772519,-67.8405118 -45.8769083</t>
  </si>
  <si>
    <t>-67.8388596 -45.8793582,-67.8365421 -45.8801649,-67.8342998 -45.88042630000001,-67.8343749 -45.8798736</t>
  </si>
  <si>
    <t>-67.8404582 -45.876744,-67.8387737 -45.8754144</t>
  </si>
  <si>
    <t>-67.8336775 -45.8711416,-67.8347933 -45.8711117,-67.83674600000002 -45.8719708,-67.8379047 -45.8729195,-67.8385592 -45.8729643</t>
  </si>
  <si>
    <t>-67.8363276 -45.8710445,-67.8348899 -45.87091,-67.8336024 -45.8710221</t>
  </si>
  <si>
    <t>-67.8347504 -45.8724041,-67.8345788 -45.8717915,-67.8335381 -45.8712686</t>
  </si>
  <si>
    <t>-67.8368962 -45.8743761,-67.8363168 -45.8740101,-67.8365743 -45.8734723,-67.8358126 -45.8726879</t>
  </si>
  <si>
    <t>-67.8369284 -45.8751679,-67.8384304 -45.875317300000006</t>
  </si>
  <si>
    <t>-67.8362739 -45.8749812,-67.8353405 -45.875362100000004</t>
  </si>
  <si>
    <t>-67.8326046 -45.8712686,-67.8287637 -45.8718438,-67.8266931 -45.8718811,-67.8259957 -45.8715076</t>
  </si>
  <si>
    <t>-67.8299439 -45.8712312,-67.8326476 -45.8711864</t>
  </si>
  <si>
    <t>-67.8308666 -45.8729195,-67.8266716 -45.8728373</t>
  </si>
  <si>
    <t>-67.835952 -45.87464500000001,-67.8341711 -45.8731585,-67.8321648 -45.8729195</t>
  </si>
  <si>
    <t>-67.8340852 -45.8751231,-67.8342354 -45.8742566,-67.8322077 -45.8732855,-67.8288817 -45.8737262</t>
  </si>
  <si>
    <t>-67.8335059 -45.8778196,-67.8327549 -45.8771548,-67.8312957 -45.87698300000001,-67.8297937 -45.8764153</t>
  </si>
  <si>
    <t>-67.8307486 -45.8796794,-67.8301477 -45.8783872,-67.8277981 -45.8770353,-67.8279376 -45.8756833,-67.8294718 -45.8754816,-67.8314137 -45.8757431</t>
  </si>
  <si>
    <t>-67.8357589 -45.8794553,-67.8374755 -45.877700100000006,-67.8373468 -45.8775656</t>
  </si>
  <si>
    <t>-67.8334415 -45.8779241,-67.8319824 -45.877588</t>
  </si>
  <si>
    <t>-67.83642410000002 -45.8773117,-67.8357589 -45.877349,-67.8347933 -45.8779316</t>
  </si>
  <si>
    <t>-67.8369606 -45.8841158,-67.8364992 -45.8833615,-67.8356302 -45.8809865,-67.834847 -45.880247,-67.8365421 -45.8801649,-67.8370464 -45.881345</t>
  </si>
  <si>
    <t>-67.8344929 -45.8798512,-67.834214 -45.88047110000001,-67.8320682 -45.880613,-67.8315103 -45.8803068</t>
  </si>
  <si>
    <t>-67.8369606 -45.8813898,-67.8369713 -45.880247,-67.8353834 -45.8801051,-67.8342998 -45.88042630000001,-67.8344929 -45.8798512</t>
  </si>
  <si>
    <t>-67.9591995 -45.8759074,-67.9568285 -45.8769158,-67.9579389 -45.8758215,-67.9586363 -45.8748728,-67.9576385 -45.8754219</t>
  </si>
  <si>
    <t>-67.8369606 -45.8841158,-67.8303623 -45.882726700000006,-67.8300083 -45.8820022,-67.8309417 -45.8814346,-67.832315 -45.8817334</t>
  </si>
  <si>
    <t>-67.826339 -45.88047110000001,-67.8268003 -45.8811956,-67.8233886 -45.8829433</t>
  </si>
  <si>
    <t>-67.826339 -45.88047110000001,-67.8268754 -45.8811284,-67.8273153 -45.8802321,-67.8244936 -45.8781408,-67.8228843 -45.8780212,-67.8223586 -45.8783947,-67.8233027 -45.8768411,-67.8215861 -45.8781258</t>
  </si>
  <si>
    <t>-67.8244615 -45.8810313,-67.8250515 -45.8799259,-67.8256953 -45.8798288</t>
  </si>
  <si>
    <t>-67.8286564 -45.8805981,-67.8285921 -45.8817184</t>
  </si>
  <si>
    <t>-67.8282809 -45.8789624,-67.8290534 -45.8802919,-67.8286672 -45.88047110000001</t>
  </si>
  <si>
    <t>-67.8308344 -45.8797018,-67.8306949 -45.8790819,-67.8334415 -45.8781258,-67.8319824 -45.877588</t>
  </si>
  <si>
    <t>-67.8282809 -45.8789624,-67.8289354 -45.8793806,-67.83077000000002 -45.8797541</t>
  </si>
  <si>
    <t>-67.8270793 -45.8784321,-67.8256309 -45.8782005,-67.8233027 -45.8768411,-67.821511 -45.878081</t>
  </si>
  <si>
    <t>-67.821511 -45.878081,-67.8234959 -45.8768037,-67.8260922 -45.8734274,-67.8288066 -45.8736889</t>
  </si>
  <si>
    <t>-67.8114688 -45.8591357,-67.8119624 -45.8609662,-67.813797 -45.8622887,-67.8121018 -45.8621019,-67.8104067 -45.8629835,-67.8099024 -45.8625427,-67.8102565 -45.8612203</t>
  </si>
  <si>
    <t>-67.8138077 -45.8564532,-67.814548 -45.8566699,-67.813561 -45.8597484,-67.8137219 -45.8605777</t>
  </si>
  <si>
    <t>-67.8170907 -45.857589,-67.8185821 -45.8575068,-67.821908 -45.8556462,-67.8207815 -45.8559825</t>
  </si>
  <si>
    <t>-67.8064156 -45.8608093,-67.8091943 -45.8595391,-67.8096342 -45.86060760000001</t>
  </si>
  <si>
    <t>-67.8064263 -45.8608841,-67.808733 -45.8613996</t>
  </si>
  <si>
    <t>-67.8034222 -45.8623485,-67.8042591 -45.8620421,-67.8063405 -45.8608317</t>
  </si>
  <si>
    <t>-67.8003752 -45.857843,-67.80172710000001 -45.8582839,-67.8009009 -45.8599426</t>
  </si>
  <si>
    <t>-67.8039265 -45.857252700000004,-67.803551 -45.8568866,-67.8034329 -45.8565877,-67.8040016 -45.85531,-67.8023601 -45.8556387</t>
  </si>
  <si>
    <t>-67.800976 -45.85995760000001,-67.8034759 -45.8568717,-67.8038406 -45.85732</t>
  </si>
  <si>
    <t>-67.8079927 -45.8589788,-67.8088081 -45.8589563,-67.8109431 -45.8570659,-67.8101277 -45.85677450000001</t>
  </si>
  <si>
    <t>-67.8022742 -45.8555864,-67.8041196 -45.8551755,-67.8052676 -45.8539873,-67.8064048 -45.853539</t>
  </si>
  <si>
    <t>-67.8020167 -45.855975,-67.8003323 -45.857716</t>
  </si>
  <si>
    <t>-67.7962983 -45.8572826,-67.7982295 -45.8570211,-67.798723 -45.8555192</t>
  </si>
  <si>
    <t>-67.7940667 -45.8616088,-67.7937341 -45.8612726,-67.795279 -45.8586948,-67.7936375 -45.8581942,-67.7898824 -45.858777,-67.7897644 -45.859442,-67.79073 -45.859636300000005,-67.7921677 -45.8594196</t>
  </si>
  <si>
    <t>-67.7968347 -45.8603984,-67.7961588 -45.8604208,-67.7951074 -45.8577982</t>
  </si>
  <si>
    <t>-67.818743 -45.8634467,-67.8184748 -45.8625278,-67.8150737 -45.8617806</t>
  </si>
  <si>
    <t>-67.8219616 -45.8641789,-67.8248692 -45.8628565,-67.8246653 -45.8626025,-67.8189468 -45.8634916,-67.8188503 -45.8644778,-67.8182173 -45.8647617,-67.8182173 -45.864545</t>
  </si>
  <si>
    <t>-67.8280449 -45.8651352,-67.8276157 -45.8646197,-67.8262317 -45.8647766,-67.8248799 -45.8653145</t>
  </si>
  <si>
    <t>-67.8295791 -45.8671673,-67.8291285 -45.8657628,-67.8280771 -45.86528460000001</t>
  </si>
  <si>
    <t>-67.8260171 -45.8673092,-67.8273904 -45.8671897,-67.8286672 -45.8675334</t>
  </si>
  <si>
    <t>-67.8236783 -45.8675633,-67.8205454 -45.8682207,-67.8219295 -45.8676529</t>
  </si>
  <si>
    <t>-67.8240538 -45.8675707,-67.8247404 -45.8675782</t>
  </si>
  <si>
    <t>-67.8270578 -45.8693039,-67.8260493 -45.8686091,-67.8237748 -45.869655,-67.8224552 -45.8689453,-67.8236353 -45.8676305</t>
  </si>
  <si>
    <t>-67.8260922 -45.8716048,-67.8265107 -45.8718513,-67.8220475 -45.8717168,-67.8213286 -45.8718064,-67.8198588 -45.8704394</t>
  </si>
  <si>
    <t>-67.8233564 -45.8708503,-67.8244293 -45.8708652,-67.8251266 -45.8711117</t>
  </si>
  <si>
    <t>-67.8198588 -45.8704394,-67.8205025 -45.8713881,-67.8184104 -45.8706411,-67.8168118 -45.8706859</t>
  </si>
  <si>
    <t>-67.8182173 -45.868004,-67.8160286 -45.8663455,-67.8181314 -45.8648065,-67.8182173 -45.864545</t>
  </si>
  <si>
    <t>-67.819097 -45.8668461,-67.8186357 -45.8670552,-67.8192151 -45.868385,-67.81829240000002 -45.8680713</t>
  </si>
  <si>
    <t>-67.8187859 -45.8699314,-67.8176165 -45.8689677,-67.8157818 -45.8684597</t>
  </si>
  <si>
    <t>-67.8222084 -45.867638,-67.8207171 -45.86819080000001,-67.8187966 -45.8682506,-67.81829240000002 -45.8680713</t>
  </si>
  <si>
    <t>-67.8182173 -45.868004,-67.8163826 -45.8667415,-67.8134429 -45.8668909</t>
  </si>
  <si>
    <t>-67.8052998 -45.8674138,-67.8072202 -45.8675707,-67.8138506 -45.8674437,-67.8132284 -45.8669058</t>
  </si>
  <si>
    <t>-67.7900434 -45.8684747,-67.7931333 -45.868512,-67.7993453 -45.8672345,-67.8052139 -45.8670926,-67.8061044 -45.8674811,-67.8052998 -45.8674138</t>
  </si>
  <si>
    <t>-67.7884984 -45.8575367,-67.7912343 -45.8565653</t>
  </si>
  <si>
    <t>-67.7882946 -45.8575292,-67.7884769 -45.8570286,-67.7888632 -45.8566475,-67.7880478 -45.8561095,-67.7868354 -45.8560796</t>
  </si>
  <si>
    <t>-67.7886701 -45.8585529,-67.7898288 -45.8586351,-67.7897644 -45.859352400000006,-67.790612 -45.8596736,-67.7921569 -45.859352400000006</t>
  </si>
  <si>
    <t>-67.7862132 -45.8584258,-67.7890134 -45.8589713,-67.7900219 -45.8586276,-67.788595 -45.8585155</t>
  </si>
  <si>
    <t>-67.7860093 -45.858396,-67.7880263 -45.8588293,-67.7877045 -45.859965</t>
  </si>
  <si>
    <t>-67.7824259 -45.8594121,-67.7837563 -45.8592702,-67.7851295 -45.8585379</t>
  </si>
  <si>
    <t>-67.7944744 -45.8548541,-67.7952468 -45.855108200000004,-67.79841180000001 -45.8550858,-67.7985942 -45.8553996</t>
  </si>
  <si>
    <t>-67.7941418 -45.8525227,-67.7941847 -45.8544432</t>
  </si>
  <si>
    <t>-67.7944744 -45.8548541,-67.794764 -45.8551755,-67.7924466 -45.8554519,-67.7921462 -45.8562515</t>
  </si>
  <si>
    <t>-67.7904189 -45.8542638,-67.7896571 -45.8548392,-67.7902043 -45.8554445,-67.795043 -45.8550783,-67.794292 -45.8548317</t>
  </si>
  <si>
    <t>-67.7786493 -45.8561767,-67.7760208 -45.8575666,-67.7736604 -45.8573723,-67.7729845 -45.8565877,-67.7733386 -45.8538528</t>
  </si>
  <si>
    <t>-67.7767611 -45.8515811,-67.7748406 -45.85155120000001,-67.7744758 -45.8503855,-67.7750123 -45.8494887,-67.7702379 -45.8498848,-67.7723086 -45.8511776,-67.7737248 -45.8528216,-67.7731884 -45.8531878</t>
  </si>
  <si>
    <t>-67.7803338 -45.8509385,-67.777555 -45.8505499,-67.7752268 -45.8494812,-67.77437930000002 -45.8504154,-67.7747762 -45.851484,-67.7768147 -45.8515139</t>
  </si>
  <si>
    <t>-67.7787888 -45.8561394,-67.7776301 -45.8566849,-67.7747977 -45.8568119,-67.7742505 -45.8563486,-67.7771044 -45.85499610000001,-67.7780807 -45.8538454,-67.7789712 -45.8537482</t>
  </si>
  <si>
    <t>-67.7787888 -45.8561394,-67.7778769 -45.8566176,-67.776643 -45.8579402</t>
  </si>
  <si>
    <t>-67.7824903 -45.8564233,-67.7802157 -45.8580149,-67.7796257 -45.8571108,-67.7786064 -45.8565802,-67.7779841 -45.85664,-67.7787888 -45.8561394</t>
  </si>
  <si>
    <t>-67.7830482 -45.8531654,-67.7812994 -45.854204,-67.779969 -45.8559451</t>
  </si>
  <si>
    <t>-67.7872217 -45.8538753,-67.7837884 -45.8561618,-67.7830803 -45.8561095</t>
  </si>
  <si>
    <t>-67.7932727 -45.8519249,-67.790097 -45.851768,-67.7882087 -45.8523583,-67.7874362 -45.8529785</t>
  </si>
  <si>
    <t>-67.8017056 -45.8526423,-67.8015232 -45.8523658,-67.79962420000001 -45.8525451,-67.7978754 -45.8519772,-67.7946138 -45.8521416</t>
  </si>
  <si>
    <t>-67.7998281 -45.8509609,-67.7995062 -45.8512748,-67.7991307 -45.8505872,-67.7971566 -45.8503332</t>
  </si>
  <si>
    <t>-67.801491 -45.8553623,-67.8006971 -45.855168,-67.7993989 -45.855706,-67.7995384 -45.8553399,-67.7986372 -45.8555715</t>
  </si>
  <si>
    <t>-67.8014696 -45.8535315,-67.799592 -45.8552801,-67.7985406 -45.8554818</t>
  </si>
  <si>
    <t>-67.8014696 -45.8535315,-67.7997422 -45.8537482,-67.7984655 -45.8529038</t>
  </si>
  <si>
    <t>-67.8015983 -45.8534942,-67.8011584 -45.8539649,-67.801491 -45.8553623</t>
  </si>
  <si>
    <t>-67.8040767 -45.8510805,-67.8027248 -45.8530309,-67.8023279 -45.8529561</t>
  </si>
  <si>
    <t>-67.7998281 -45.8509609,-67.7995491 -45.8515811,-67.8006542 -45.8517979,-67.8019416 -45.8517306,-67.8034651 -45.8522612,-67.8040767 -45.8510805</t>
  </si>
  <si>
    <t>-67.8064048 -45.853539,-67.8089046 -45.854361,-67.8103852 -45.8542265,-67.8098702 -45.8539126</t>
  </si>
  <si>
    <t>-67.805289 -45.8529487,-67.8034651 -45.8522612,-67.8028214 -45.85306820000001,-67.8021669 -45.8529711</t>
  </si>
  <si>
    <t>-67.8067052 -45.8553548,-67.8072202 -45.8551381,-67.8064048 -45.853539</t>
  </si>
  <si>
    <t>-67.809999 -45.85395,-67.81053540000002 -45.8542265,-67.8125417 -45.8543386</t>
  </si>
  <si>
    <t>-67.8093982 -45.8548467,-67.8103423 -45.8545851,-67.808851 -45.8544506,-67.8103101 -45.854219,-67.8097093 -45.8539126</t>
  </si>
  <si>
    <t>-67.807982 -45.8550559,-67.8067052 -45.8553548</t>
  </si>
  <si>
    <t>-67.8098595 -45.8560647,-67.809999 -45.8550036,-67.8090441 -45.8548691</t>
  </si>
  <si>
    <t>-67.8125632 -45.8568492,-67.810396 -45.8571033,-67.8101599 -45.8566923</t>
  </si>
  <si>
    <t>-67.8125632 -45.8568492,-67.8106642 -45.857036,-67.8093016 -45.8567969</t>
  </si>
  <si>
    <t>-67.8138828 -45.856371,-67.8149986 -45.8564981,-67.816329 -45.8556985</t>
  </si>
  <si>
    <t>-67.8119838 -45.8516783,-67.8118229 -45.8524256,-67.8138614 -45.8534792,-67.8134108 -45.8536361,-67.8115761 -45.85313550000001</t>
  </si>
  <si>
    <t>-67.816329 -45.8519921,-67.8167796 -45.8511701,-67.8158462 -45.8513121,-67.8150415 -45.8533148,-67.8138399 -45.8541293</t>
  </si>
  <si>
    <t>-67.8096986 -45.8499446,-67.8098917 -45.85053490000001,-67.8108895 -45.8507965,-67.8091085 -45.8510879</t>
  </si>
  <si>
    <t>-67.8122091 -45.8515064,-67.8108895 -45.8507965,-67.8091085 -45.8510879</t>
  </si>
  <si>
    <t>-67.8118765 -45.8513943,-67.8110504 -45.8507367,-67.80982730000001 -45.8504453,-67.8095698 -45.8499147</t>
  </si>
  <si>
    <t>-67.81491280000002 -45.8497428,-67.8147411 -45.8504154,-67.8117263 -45.8494738</t>
  </si>
  <si>
    <t>-67.816329 -45.8519921,-67.8166401 -45.8513868,-67.8157926 -45.8512224,-67.8148592 -45.8503481,-67.81491280000002 -45.8497428</t>
  </si>
  <si>
    <t>-67.8185713 -45.8505798,-67.816962 -45.851073,-67.8161895 -45.8523658</t>
  </si>
  <si>
    <t>-67.8223801 -45.8515886,-67.8209639 -45.8504751,-67.8196657 -45.8504079</t>
  </si>
  <si>
    <t>-67.8239679 -45.8545553,-67.8218329 -45.8556089,-67.8208029 -45.8559227</t>
  </si>
  <si>
    <t>-67.8237963 -45.8544656,-67.8208137 -45.8531728,-67.8202987 -45.8532401</t>
  </si>
  <si>
    <t>-67.8186142 -45.8634617,-67.8183568 -45.8624605,-67.8160179 -45.8615565,-67.8143764 -45.8610559</t>
  </si>
  <si>
    <t>-67.824043 -45.8544731,-67.8235924 -45.8545553,-67.8224766 -45.8545702</t>
  </si>
  <si>
    <t>-67.8244078 -45.8540994,-67.8225088 -45.8518801</t>
  </si>
  <si>
    <t>-67.8277767 -45.8550036,-67.8251696 -45.8547271,-67.824676 -45.8544207</t>
  </si>
  <si>
    <t>-67.8278625 -45.8530159,-67.8283346 -45.8533746,-67.826457 -45.8530981,-67.8259313 -45.8540098,-67.8245151 -45.8543684</t>
  </si>
  <si>
    <t>-67.827884 -45.8549737,-67.8272939 -45.8545179,-67.8284204 -45.8532027,-67.8276908 -45.8528889</t>
  </si>
  <si>
    <t>-67.8319716 -45.855437,-67.8292787 -45.855108200000004</t>
  </si>
  <si>
    <t>-67.8376579 -45.8544656,-67.8367245 -45.854361,-67.8344822 -45.8559601,-67.8328514 -45.8556387</t>
  </si>
  <si>
    <t>-67.8371108 -45.8561767,-67.8326368 -45.8556313</t>
  </si>
  <si>
    <t>-67.8438699 -45.85566860000001,-67.8412628 -45.856244,-67.840426 -45.855168,-67.8376579 -45.8544656</t>
  </si>
  <si>
    <t>-67.8438914 -45.8557508,-67.8414237 -45.8563262,-67.8377545 -45.8563187</t>
  </si>
  <si>
    <t>-67.8480864 -45.8556163,-67.846477 -45.8561992,-67.8452325 -45.8556537</t>
  </si>
  <si>
    <t>-67.8511119 -45.85853040000001,-67.8491807 -45.8584034,-67.8498244 -45.857589,-67.8517985 -45.8571332,-67.8547812 -45.8585603,-67.8545344 -45.8579028</t>
  </si>
  <si>
    <t>-67.851541 -45.8561394,-67.8511119 -45.8555416,-67.8497386 -45.8553249,-67.8490841 -45.8555341</t>
  </si>
  <si>
    <t>-67.8492665 -45.8569763,-67.8504896 -45.8564383</t>
  </si>
  <si>
    <t>-67.8585362 -45.8586425,-67.8550065 -45.858381,-67.8544593 -45.8579701</t>
  </si>
  <si>
    <t>-67.8545344 -45.8579028,-67.8552103 -45.8590236,-67.8565836 -45.8591805,-67.8549635 -45.8605179</t>
  </si>
  <si>
    <t>-67.8585362 -45.8586425,-67.8567231 -45.8591431,-67.8550386 -45.8605852</t>
  </si>
  <si>
    <t>-67.8602314 -45.85924030000001,-67.8568411 -45.8591506,-67.8585362 -45.8586425</t>
  </si>
  <si>
    <t>-67.8586757 -45.8600771,-67.860167 -45.859315</t>
  </si>
  <si>
    <t>-67.8617334 -45.8580597,-67.8595233 -45.8583362</t>
  </si>
  <si>
    <t>-67.8622591 -45.8563038,-67.8636539 -45.8551829</t>
  </si>
  <si>
    <t>-67.8761101 -45.86104100000001,-67.8766465 -45.8610185,-67.8767216 -45.8614071</t>
  </si>
  <si>
    <t>-67.8763461 -45.8610185,-67.8791785 -45.859636300000005,-67.8791463 -45.8601892</t>
  </si>
  <si>
    <t>-67.8759491 -45.8590983,-67.8764319 -45.8599501,-67.87655 -45.8609588,-67.8760779 -45.8611231</t>
  </si>
  <si>
    <t>-67.8801924 -45.8590908,-67.8804821 -45.8589563,-67.8813028 -45.8593598</t>
  </si>
  <si>
    <t>-67.8819573 -45.8589713,-67.8808415 -45.8591357,-67.880863 -45.8587322,-67.8817642 -45.858239,-67.880466 -45.8582689,-67.8791356 -45.85732</t>
  </si>
  <si>
    <t>-67.8791785 -45.8602564,-67.8792751 -45.8595167,-67.879833 -45.8598455</t>
  </si>
  <si>
    <t>-67.8850043 -45.8580522,-67.8858519 -45.8571556,-67.8847897 -45.8575666,-67.8816998 -45.856909</t>
  </si>
  <si>
    <t>-67.8804874 -45.8568642,-67.8787923 -45.8561469,-67.8767753 -45.8558554</t>
  </si>
  <si>
    <t>-67.875917 -45.8590236,-67.8765607 -45.8587098,-67.8784597 -45.8588443</t>
  </si>
  <si>
    <t>-67.8758311 -45.8590012,-67.8755307 -45.858777,-67.8718829 -45.8588144,-67.8721619 -45.8576637,-67.8733528 -45.857462,-67.8739536 -45.8579028</t>
  </si>
  <si>
    <t>-67.875917 -45.8590236,-67.876507 -45.8586575,-67.8763676 -45.8580597</t>
  </si>
  <si>
    <t>-67.8743291 -45.8564159,-67.8760457 -45.8568941,-67.8756917 -45.8576936</t>
  </si>
  <si>
    <t>-67.8721619 -45.8576637,-67.8734279 -45.8573798,-67.8740823 -45.8579103</t>
  </si>
  <si>
    <t>-67.8669798 -45.8557135,-67.865231 -45.8550708</t>
  </si>
  <si>
    <t>-67.8693402 -45.8558779,-67.8677523 -45.8566699,-67.8656816 -45.8564682,-67.8649521 -45.8569613,-67.86551 -45.8577833</t>
  </si>
  <si>
    <t>-67.8696942 -45.8557434,-67.86828880000002 -45.8556612</t>
  </si>
  <si>
    <t>-67.8710139 -45.8575441,-67.8706169 -45.8573573,-67.8709602 -45.8560348</t>
  </si>
  <si>
    <t>-67.8694689 -45.8577534,-67.8702736 -45.8579402,-67.8698766 -45.8584483,-67.8689003 -45.8587696</t>
  </si>
  <si>
    <t>-67.8694689 -45.8577534,-67.8703272 -45.8578879,-67.8705525 -45.8574694,-67.8710139 -45.8575441</t>
  </si>
  <si>
    <t>-67.8630531 -45.8577608,-67.8614652 -45.8569165</t>
  </si>
  <si>
    <t>-67.8618944 -45.8580074,-67.8614438 -45.8568642</t>
  </si>
  <si>
    <t>-67.8630531 -45.8577608,-67.8618944 -45.8580074</t>
  </si>
  <si>
    <t>-67.8655958 -45.85783560000001,-67.8642118 -45.8570435</t>
  </si>
  <si>
    <t>-67.8666258 -45.8579551,-67.8677523 -45.8588443,-67.8689218 -45.8588293,-67.8688896 -45.8591954</t>
  </si>
  <si>
    <t>-67.8666365 -45.8577982,-67.8680527 -45.857716</t>
  </si>
  <si>
    <t>-67.9211712 -45.8555117,-67.9218364 -45.8559302,-67.9229522 -45.8549887,-67.9218578 -45.850505,-67.9239392 -45.8501015,-67.9237676 -45.8492047,-67.9217291 -45.849683,-67.9197335 -45.8492346,-67.9171371 -45.8506993,-67.9142833 -45.8512972,-67.915206 -45.8521042,-67.9147553 -45.8556462,-67.9135323 -45.8561543</t>
  </si>
  <si>
    <t>-67.9044342 -45.868273,-67.9057431 -45.8668087,-67.9061723 -45.8665771</t>
  </si>
  <si>
    <t>-67.8962696 -45.8632899,-67.8974175 -45.8625203,-67.8984583 -45.8622177</t>
  </si>
  <si>
    <t>-67.8961945 -45.8632674,-67.8952932 -45.8629985,-67.8948426 -45.8620347</t>
  </si>
  <si>
    <t>-67.8966719 -45.8656246,-67.8973478 -45.865632,-67.8958136 -45.8660392</t>
  </si>
  <si>
    <t>-67.8970045 -45.8653145,-67.897777 -45.8655125,-67.8966343 -45.8656657</t>
  </si>
  <si>
    <t>-67.8894031 -45.8649634,-67.8913772 -45.8647617,-67.89289 -45.8643732</t>
  </si>
  <si>
    <t>-67.8892636 -45.8649634,-67.8907979 -45.8643732</t>
  </si>
  <si>
    <t>-67.8914094 -45.8658749,-67.893244 -45.8652249</t>
  </si>
  <si>
    <t>-67.8926325 -45.866988,-67.8906047 -45.8664053,-67.8895426 -45.86593460000001,-67.8895962 -45.86530710000001</t>
  </si>
  <si>
    <t>-67.8926647 -45.8667714,-67.8914416 -45.865972</t>
  </si>
  <si>
    <t>-67.9033828 -45.8649634,-67.9018271 -45.8641266,-67.8992522 -45.8645824,-67.898072 -45.8652473,-67.8973961 -45.8649186,-67.8977931 -45.8640818</t>
  </si>
  <si>
    <t>-67.8952932 -45.8669357,-67.8946173 -45.86648</t>
  </si>
  <si>
    <t>-67.9039782 -45.8680115,-67.9046971 -45.8680638,-67.9045093 -45.8683477</t>
  </si>
  <si>
    <t>-67.9023314 -45.868766,-67.9041338 -45.8684149</t>
  </si>
  <si>
    <t>-67.9066014 -45.86902,-67.9037046 -45.8694533,-67.9020095 -45.8688258</t>
  </si>
  <si>
    <t>-67.906301 -45.8666145,-67.9073524 -45.8671075,-67.90793180000001 -45.8677874,-67.9074168 -45.8685793</t>
  </si>
  <si>
    <t>-67.8961086 -45.86814600000001,-67.8931689 -45.8669282</t>
  </si>
  <si>
    <t>-67.8971064 -45.8687063,-67.897085 -45.8680787,-67.8974926 -45.8676155</t>
  </si>
  <si>
    <t>-67.8979433 -45.8688258,-67.8980505 -45.8673541</t>
  </si>
  <si>
    <t>-67.8997886 -45.8679667,-67.89790030000002 -45.8689154</t>
  </si>
  <si>
    <t>-67.8980505 -45.8673541,-67.8966343 -45.8681385</t>
  </si>
  <si>
    <t>-67.8981793 -45.8672719,-67.898705 -45.8670926,-67.8996062 -45.8666966</t>
  </si>
  <si>
    <t>-67.9010761 -45.8657478,-67.9006255 -45.8656731,-67.8978789 -45.8672495</t>
  </si>
  <si>
    <t>-67.9012585 -45.865703,-67.9007864 -45.8655237,-67.8961837 -45.8667863</t>
  </si>
  <si>
    <t>-67.8976858 -45.8642051,-67.8974819 -45.8651053,-67.8980184 -45.8652772,-67.8996921 -45.8643956,-67.8979111 -45.8654976,-67.8969455 -45.8653743</t>
  </si>
  <si>
    <t>-67.8993487 -45.8636634,-67.8988981 -45.8636933,-67.89861920000001 -45.8635215</t>
  </si>
  <si>
    <t>-67.903533 -45.8667116,-67.9017627 -45.8675035,-67.9002507 -45.8689297</t>
  </si>
  <si>
    <t>-67.9038763 -45.8652174,-67.9047024 -45.865195,-67.9042947 -45.8648663</t>
  </si>
  <si>
    <t>-67.9039943 -45.8644255,-67.9028034 -45.8637381,-67.8999174 -45.8635812</t>
  </si>
  <si>
    <t>-67.9037476 -45.866353,-67.9032755 -45.8658001,-67.9014087 -45.8646347</t>
  </si>
  <si>
    <t>-67.903887 -45.8663231,-67.9039836 -45.8658524,-67.9035652 -45.86530710000001</t>
  </si>
  <si>
    <t>-67.9061723 -45.8665771,-67.905035 -45.8664202,-67.9036188 -45.866734</t>
  </si>
  <si>
    <t>-67.9061723 -45.8665771,-67.9053247 -45.8663679,-67.9037261 -45.8652697</t>
  </si>
  <si>
    <t>-67.906419 -45.86626330000001,-67.9050887 -45.8652025,-67.9043591 -45.864814</t>
  </si>
  <si>
    <t>-67.9108179 -45.86391,-67.9094768 -45.8638353,-67.9077816 -45.8657329,-67.9066443 -45.8662484</t>
  </si>
  <si>
    <t>-67.9101741 -45.8673317,-67.9092944 -45.8661737,-67.9094982 -45.864380600000004</t>
  </si>
  <si>
    <t>-67.914927 -45.8677874,-67.912792 -45.8681833</t>
  </si>
  <si>
    <t>-67.9147553 -45.8672868,-67.9154098 -45.8676977</t>
  </si>
  <si>
    <t>-67.9110271 -45.86621850000001,-67.9131621 -45.8664613,-67.9139614 -45.8669058</t>
  </si>
  <si>
    <t>-67.911644 -45.8674213,-67.9121912 -45.8666145,-67.9106033 -45.8662932</t>
  </si>
  <si>
    <t>-67.91358590000002 -45.8659197,-67.9131353 -45.8663829,-67.9140258 -45.8668535</t>
  </si>
  <si>
    <t>-67.9100454 -45.8663754,-67.9094982 -45.8663306,-67.909627 -45.86429100000001</t>
  </si>
  <si>
    <t>-67.9100668 -45.8647318,-67.9098523 -45.8659197,-67.9103565 -45.8661513</t>
  </si>
  <si>
    <t>-67.9122448 -45.8649709,-67.911129 -45.8644105,-67.9103887 -45.8645226</t>
  </si>
  <si>
    <t>-67.9164934 -45.8652398,-67.9147875 -45.8642536,-67.9133606 -45.865322,-67.9120409 -45.8651352</t>
  </si>
  <si>
    <t>-67.9163539 -45.8654191,-67.9149592 -45.864335800000006,-67.9146588 -45.8658599</t>
  </si>
  <si>
    <t>-67.916311 -45.8655461,-67.9159248 -45.8671524,-67.9227054 -45.8666817,-67.9221368 -45.8664501</t>
  </si>
  <si>
    <t>-67.9187572 -45.8661064,-67.9176843 -45.8663679,-67.9172981 -45.8656657</t>
  </si>
  <si>
    <t>-67.92151450000001 -45.8648214,-67.9209244 -45.864687,-67.9176092 -45.8656881,-67.9171693 -45.8655984</t>
  </si>
  <si>
    <t>-67.9224908 -45.8663306,-67.9191971 -45.8656582</t>
  </si>
  <si>
    <t>-67.9258382 -45.86658460000001,-67.9220402 -45.8663903</t>
  </si>
  <si>
    <t>-67.925849 -45.8668984,-67.9255056 -45.867257,-67.9271686 -45.8676305</t>
  </si>
  <si>
    <t>-67.925849 -45.8667938,-67.9245508 -45.8671822</t>
  </si>
  <si>
    <t>-67.9266429 -45.8657927,-67.9259992 -45.8665696</t>
  </si>
  <si>
    <t>-67.92822 -45.8655835,-67.9257631 -45.8646496,-67.9248297 -45.8653668,-67.9234779 -45.8651726</t>
  </si>
  <si>
    <t>-67.9284239 -45.8655835,-67.9270077 -45.8655162</t>
  </si>
  <si>
    <t>-67.9237998 -45.8649111,-67.9216969 -45.86498580000001</t>
  </si>
  <si>
    <t>-67.92678240000001 -45.8637904,-67.9255807 -45.8643433</t>
  </si>
  <si>
    <t>-67.9213965 -45.8633944,-67.9242182 -45.8627967</t>
  </si>
  <si>
    <t>-67.9216111 -45.8649036,-67.9219007 -45.8648289,-67.9221582 -45.8638726</t>
  </si>
  <si>
    <t>-67.920903 -45.864119200000005,-67.92119260000001 -45.8646197,-67.9214394 -45.8648887</t>
  </si>
  <si>
    <t>-67.9195297 -45.8639025,-67.9203665 -45.8649335,-67.9209244 -45.864687,-67.9208171 -45.8640743</t>
  </si>
  <si>
    <t>-67.9168367 -45.8639772,-67.914294 -45.8631778</t>
  </si>
  <si>
    <t>-67.9182851 -45.8625352,-67.9178131 -45.863753100000004</t>
  </si>
  <si>
    <t>-67.9196048 -45.8623709,-67.9195297 -45.8639025</t>
  </si>
  <si>
    <t>-67.9194546 -45.86234100000001,-67.9182208 -45.863118,-67.918371 -45.8624979</t>
  </si>
  <si>
    <t>-67.9222012 -45.8610335,-67.9194975 -45.8620496</t>
  </si>
  <si>
    <t>-67.9219651 -45.8610335,-67.9157424 -45.8609887</t>
  </si>
  <si>
    <t>-67.9235315 -45.8601219,-67.9222655 -45.8604731</t>
  </si>
  <si>
    <t>-67.9008508 -45.8548093,-67.8990161 -45.8545403,-67.898823 -45.8538678,-67.8965485 -45.8545553</t>
  </si>
  <si>
    <t>-67.9153347 -45.8605702,-67.9157317 -45.8599725,-67.9146159 -45.859457</t>
  </si>
  <si>
    <t>-67.9186606 -45.8599277,-67.9196692 -45.8609364,-67.9196477 -45.86190760000001</t>
  </si>
  <si>
    <t>-67.9067945 -45.8637456,-67.9088545 -45.8624008,-67.9106784 -45.8620646</t>
  </si>
  <si>
    <t>-67.9063332 -45.8638801,-67.9038227 -45.8634542,-67.9066551 -45.8644404</t>
  </si>
  <si>
    <t>-67.9022992 -45.8629536,-67.9038548 -45.8635364,-67.9065692 -45.8645375</t>
  </si>
  <si>
    <t>-67.902385 -45.8628117,-67.9039085 -45.86340190000001,-67.9065263 -45.8638427</t>
  </si>
  <si>
    <t>-67.9014838 -45.8622364,-67.9013121 -45.862722,-67.9019237 -45.8627594</t>
  </si>
  <si>
    <t>-67.9044235 -45.8629088,-67.9052603 -45.8632077,-67.9067302 -45.8626996</t>
  </si>
  <si>
    <t>-67.9030716 -45.8617209,-67.9028249 -45.8625427,-67.9043055 -45.8629013</t>
  </si>
  <si>
    <t>-67.9079533 -45.8582615,-67.9074919 -45.8604283</t>
  </si>
  <si>
    <t>-67.9078352 -45.8581045,-67.9073846 -45.8584483,-67.9069555 -45.8585454,-67.9064834 -45.8596438,-67.9046488 -45.8606001</t>
  </si>
  <si>
    <t>-67.9025352 -45.8597782,-67.9034257 -45.8594794,-67.9021811 -45.8617657</t>
  </si>
  <si>
    <t>-67.9030502 -45.8613174,-67.9044557 -45.8590236</t>
  </si>
  <si>
    <t>-67.9020095 -45.8600547,-67.9041553 -45.8591282,-67.9030502 -45.8613174</t>
  </si>
  <si>
    <t>-67.8961086 -45.8601668,-67.8949714 -45.8618927</t>
  </si>
  <si>
    <t>-67.8961086 -45.8601668,-67.895658 -45.8619824</t>
  </si>
  <si>
    <t>-67.8962159 -45.8601668,-67.8965592 -45.8611904,-67.8973639 -45.8616984</t>
  </si>
  <si>
    <t>-67.8974497 -45.8609662,-67.897085 -45.8604582,-67.8981364 -45.8596662,-67.8985012 -45.8593897</t>
  </si>
  <si>
    <t>-67.8992736 -45.860772,-67.8986514 -45.8606225,-67.8984046 -45.859173</t>
  </si>
  <si>
    <t>-67.9020095 -45.8600547,-67.9017949 -45.8604059,-67.9007757 -45.8604881</t>
  </si>
  <si>
    <t>-67.8991556 -45.8593897,-67.9000247 -45.8598679,-67.902385 -45.8591207,-67.902149 -45.8597409</t>
  </si>
  <si>
    <t>-67.8973317 -45.8572229,-67.8979647 -45.8575666,-67.8980827 -45.8587696</t>
  </si>
  <si>
    <t>-67.8972539 -45.8581325,-67.8976831 -45.8592309,-67.8962669 -45.8583268,-67.8960952 -45.8598436</t>
  </si>
  <si>
    <t>-67.9008293 -45.8554744,-67.8979325 -45.8574844,-67.8973317 -45.8572229</t>
  </si>
  <si>
    <t>-67.8997135 -45.8583885,-67.8986514 -45.8567147,-67.8979325 -45.8565578,-67.8963768 -45.8546599</t>
  </si>
  <si>
    <t>-67.9008186 -45.855564,-67.898984 -45.8569539,-67.8996921 -45.8583287</t>
  </si>
  <si>
    <t>-67.9046702 -45.8564981,-67.9013228 -45.8572976,-67.9006684 -45.856924</t>
  </si>
  <si>
    <t>-67.9045093 -45.8564233,-67.9023314 -45.8567073</t>
  </si>
  <si>
    <t>-67.904284 -45.8564084,-67.9033184 -45.8552726,-67.9019022 -45.8551232</t>
  </si>
  <si>
    <t>-67.9136825 -45.8566101,-67.9137468 -45.8570062,-67.9131997 -45.8572154,-67.9106033 -45.8554071,-67.9130602 -45.855026</t>
  </si>
  <si>
    <t>-67.9083502 -45.8549588,-67.9095411 -45.8548766,-67.9106033 -45.8553174,-67.9131997 -45.8549065</t>
  </si>
  <si>
    <t>-67.9050136 -45.85618800000001,-67.9078192 -45.8550708</t>
  </si>
  <si>
    <t>-67.90773330000002 -45.8580522,-67.9073417 -45.8579177,-67.9068965 -45.8568567,-67.9053408 -45.8563822</t>
  </si>
  <si>
    <t>-67.908715 -45.858183,-67.9106194 -45.8578393</t>
  </si>
  <si>
    <t>-67.9102653 -45.8586986,-67.9081625 -45.8581195</t>
  </si>
  <si>
    <t>-67.9112792 -45.8592776,-67.9102921 -45.8588293,-67.9105067 -45.8586425</t>
  </si>
  <si>
    <t>-67.9145408 -45.8594047,-67.9124916 -45.858777,-67.9112792 -45.8592776</t>
  </si>
  <si>
    <t>-67.9144549 -45.859061,-67.9143155 -45.8581942,-67.9133499 -45.8573275,-67.9139614 -45.8569389,-67.9136825 -45.8566101</t>
  </si>
  <si>
    <t>-67.9145837 -45.8591058,-67.9144228 -45.8582615,-67.9161072 -45.8582839,-67.9157209 -45.8576936</t>
  </si>
  <si>
    <t>-67.9182637 -45.857462,-67.9179955 -45.8590535</t>
  </si>
  <si>
    <t>-67.9202163 -45.858963800000005,-67.9188108 -45.8570659,-67.918371 -45.8571108</t>
  </si>
  <si>
    <t>-67.9237354 -45.8596662,-67.922287 -45.8586052,-67.9212356 -45.8589414</t>
  </si>
  <si>
    <t>-67.9253769 -45.8604208,-67.92240500000001 -45.8586799,-67.9212785 -45.8587546</t>
  </si>
  <si>
    <t>-67.9253769 -45.8604208,-67.9236388 -45.8595317,-67.9233384 -45.8597857</t>
  </si>
  <si>
    <t>-67.9344535 -45.858127,-67.9361486 -45.857641300000004</t>
  </si>
  <si>
    <t>-67.9312778 -45.8588667,-67.9324687 -45.8587845,-67.9337132 -45.8580597</t>
  </si>
  <si>
    <t>-67.9379511 -45.8508488,-67.9340887 -45.8510132,-67.9318786 -45.851768,-67.9309022 -45.8511328,-67.9310954 -45.8522686</t>
  </si>
  <si>
    <t>-67.9350543 -45.851685800000006,-67.9345393 -45.8509983,-67.9379833 -45.8509011</t>
  </si>
  <si>
    <t>-67.9313636 -45.8522761,-67.9309022 -45.8511926,-67.9317391 -45.8517754,-67.9345393 -45.8509983,-67.9352582 -45.8516036</t>
  </si>
  <si>
    <t>-67.9244971 -45.8543161,-67.9239607 -45.8526497,-67.9270506 -45.8518203,-67.9288852 -45.8523882,-67.9308057 -45.8510879,-67.9312563 -45.8523135</t>
  </si>
  <si>
    <t>-67.9275548 -45.8557135,-67.9274797 -45.8551306,-67.929486 -45.8552128,-67.9292607 -45.8543983</t>
  </si>
  <si>
    <t>-67.9241967 -45.8567969,-67.924701 -45.8556761,-67.9241431 -45.854488</t>
  </si>
  <si>
    <t>-67.9236388 -45.8571407,-67.9227161 -45.8570659</t>
  </si>
  <si>
    <t>-67.9257202 -45.8606599,-67.9255271 -45.861085800000005,-67.9269326 -45.8609513,-67.9270506 -45.8613025</t>
  </si>
  <si>
    <t>-67.9274476 -45.8598455,-67.9277694 -45.8609139,-67.9253554 -45.8608542</t>
  </si>
  <si>
    <t>-67.930795 -45.8589115,-67.9290783 -45.859442,-67.9272544 -45.8596288,-67.9275012 -45.8597558</t>
  </si>
  <si>
    <t>-67.9288638 -45.8589265,-67.9306984 -45.8588144</t>
  </si>
  <si>
    <t>-67.9284239 -45.8577608,-67.9278553 -45.858792</t>
  </si>
  <si>
    <t>-67.9283702 -45.8576637,-67.9275548 -45.8572154,-67.9269218 -45.8575143,-67.9259026 -45.8575367,-67.9241967 -45.8567969</t>
  </si>
  <si>
    <t>-67.9283917 -45.857574,-67.9275548 -45.8572154,-67.9260099 -45.8581643</t>
  </si>
  <si>
    <t>-67.9281986 -45.8576637,-67.9276729 -45.8572378,-67.9277158 -45.8558779</t>
  </si>
  <si>
    <t>-67.9309988 -45.8565279,-67.9294109 -45.8566176,-67.9285955 -45.8575143</t>
  </si>
  <si>
    <t>-67.9338741 -45.8553324,-67.9329085 -45.85672970000001,-67.9318249 -45.8585902</t>
  </si>
  <si>
    <t>-67.9352367 -45.8546599,-67.9346144 -45.8547794,-67.9340136 -45.8552128</t>
  </si>
  <si>
    <t>-67.9352367 -45.8545328,-67.933563 -45.8546898,-67.9313636 -45.8564457</t>
  </si>
  <si>
    <t>-67.9390132 -45.8553324,-67.9377794 -45.8546898,-67.9357088 -45.8545104</t>
  </si>
  <si>
    <t>-67.9418778 -45.8559601,-67.9390132 -45.8553324</t>
  </si>
  <si>
    <t>-67.9460728 -45.8560198,-67.9448712 -45.8559601</t>
  </si>
  <si>
    <t>-67.9455793 -45.8575815,-67.9450536 -45.857207900000006,-67.9460621 -45.8560946</t>
  </si>
  <si>
    <t>-67.9455793 -45.8575815,-67.9449892 -45.8573947,-67.9450321 -45.8569464,-67.9437447 -45.8569987,-67.9429507 -45.8566475</t>
  </si>
  <si>
    <t>-67.9454827 -45.8575591,-67.9450428 -45.8573125,-67.9437983 -45.8579999,-67.9424357 -45.8576786</t>
  </si>
  <si>
    <t>-67.95038580000002 -45.8584109,-67.9492486 -45.8582839,-67.9486799 -45.8563934,-67.9455793 -45.8575815</t>
  </si>
  <si>
    <t>-67.9449248 -45.859397200000004,-67.9457188 -45.8600622</t>
  </si>
  <si>
    <t>-67.95038580000002 -45.8584109,-67.9497528 -45.8585828,-67.9489696 -45.8577459,-67.944957 -45.8592552</t>
  </si>
  <si>
    <t>-67.9507828 -45.8583212,-67.9516089 -45.8579402,-67.9516411 -45.85759650000001</t>
  </si>
  <si>
    <t>-67.95038580000002 -45.8584109,-67.9494524 -45.8589115,-67.9482615 -45.859397200000004</t>
  </si>
  <si>
    <t>-67.95038580000002 -45.8584109,-67.9494953 -45.8590086,-67.9490232 -45.8588144</t>
  </si>
  <si>
    <t>-67.9553854 -45.86132490000001,-67.955879 -45.8610634,-67.9528213 -45.8598305</t>
  </si>
  <si>
    <t>-67.9555678 -45.8613846,-67.9561257 -45.8610783,-67.9546344 -45.860503,-67.9551816 -45.8604059</t>
  </si>
  <si>
    <t>-67.9311061 -45.8667116,-67.9320073 -45.8678247,-67.9316211 -45.8686316</t>
  </si>
  <si>
    <t>-67.9312563 -45.8666892,-67.9306877 -45.8669805,-67.9292071 -45.866338,-67.9283273 -45.867257</t>
  </si>
  <si>
    <t>-67.9346037 -45.8674587,-67.9359341 -45.8661886</t>
  </si>
  <si>
    <t>-67.9287672 -45.8654191,-67.93122410000001 -45.8642985</t>
  </si>
  <si>
    <t>-67.92887450000002 -45.8655984,-67.929647 -45.8660093,-67.9311919 -45.8652622</t>
  </si>
  <si>
    <t>-67.9313958 -45.8666145,-67.9308701 -45.8667265,-67.9287565 -45.86563580000001</t>
  </si>
  <si>
    <t>-67.9317927 -45.8665099,-67.9313958 -45.8663156,-67.9318678 -45.8652174</t>
  </si>
  <si>
    <t>-67.9313529 -45.8667714,-67.9330587 -45.867608100000005,-67.9338741 -45.8675633</t>
  </si>
  <si>
    <t>-67.9318464 -45.8631853,-67.9324257 -45.862849,-67.9313636 -45.862326,-67.9303551 -45.8630209</t>
  </si>
  <si>
    <t>-67.934196 -45.8650755,-67.9339492 -45.8648887,-67.9318678 -45.8652174</t>
  </si>
  <si>
    <t>-67.9336596 -45.8642536,-67.9329193 -45.8632973,-67.9313529 -45.8641117</t>
  </si>
  <si>
    <t>-67.9337561 -45.8642163,-67.9329836 -45.8631404,-67.9337668 -45.8626324,-67.9340994 -45.8628939</t>
  </si>
  <si>
    <t>-67.9319108 -45.863245,-67.9326832 -45.8629686,-67.9330802 -45.8633272,-67.9316318 -45.8640594</t>
  </si>
  <si>
    <t>-67.9317713 -45.8622364,-67.9315996 -45.8623933,-67.9323292 -45.8628266,-67.9318464 -45.8631853</t>
  </si>
  <si>
    <t>-67.9315782 -45.8622663,-67.9304624 -45.8628789,-67.93016200000001 -45.8629013</t>
  </si>
  <si>
    <t>-67.9307091 -45.86097370000001,-67.9287457 -45.8609588,-67.9288423 -45.860757</t>
  </si>
  <si>
    <t>-67.9540229 -45.8774984,-67.9559112 -45.8773639,-67.9570377 -45.8767664,-67.9581749 -45.8755115,-67.9592478 -45.87404,-67.960149 -45.8733229,-67.961179 -45.8736441,-67.9631639 -45.8743836,-67.9648268 -45.8746973</t>
  </si>
  <si>
    <t>-67.934314 -45.861564,-67.9336488 -45.861676,-67.9336488 -45.8626548,-67.93396 -45.8629686</t>
  </si>
  <si>
    <t>-67.9331338 -45.8600622,-67.9334557 -45.8607346,-67.9345715 -45.8606674</t>
  </si>
  <si>
    <t>-67.9343569 -45.8614145,-67.9335523 -45.861549,-67.9334021 -45.8611381,-67.9309666 -45.8609214</t>
  </si>
  <si>
    <t>-67.9314387 -45.8619301,-67.9318357 -45.8610335,-67.930795 -45.8609961</t>
  </si>
  <si>
    <t>-67.9345179 -45.8607346,-67.9318786 -45.8609662,-67.9327154 -45.86017420000001</t>
  </si>
  <si>
    <t>-67.9333913 -45.8599352,-67.9326832 -45.8600771</t>
  </si>
  <si>
    <t>-67.9349685 -45.8595989,-67.9336059 -45.8598455</t>
  </si>
  <si>
    <t>-67.9348075 -45.8606001,-67.9353011 -45.8596736</t>
  </si>
  <si>
    <t>-67.934314 -45.8614668,-67.9336488 -45.8615341,-67.93349860000001 -45.8611979,-67.9346895 -45.8607645</t>
  </si>
  <si>
    <t>-67.9468453 -45.8713059,-67.9463303 -45.8714703,-67.9469955 -45.8717467,-67.9473495 -45.8720903,-67.9485619 -45.8727701</t>
  </si>
  <si>
    <t>-67.9375219 -45.8620421,-67.9357517 -45.861085800000005,-67.9346144 -45.8614519</t>
  </si>
  <si>
    <t>-67.9388309 -45.8607794,-67.938112 -45.8611007,-67.9377472 -45.860899,-67.9362881 -45.8614743,-67.9374897 -45.8619749</t>
  </si>
  <si>
    <t>-67.9406118 -45.8607346,-67.9402256 -45.8595616,-67.9415345 -45.8588592</t>
  </si>
  <si>
    <t>-67.9404509 -45.8607122,-67.93858410000001 -45.8598305,-67.9376185 -45.8606001,-67.9381227 -45.8610185,-67.9388309 -45.8607794</t>
  </si>
  <si>
    <t>-67.9403543 -45.8608019,-67.9402256 -45.8604656,-67.9411912 -45.8599202</t>
  </si>
  <si>
    <t>-67.9564154 -45.8626174,-67.9549938 -45.8630807,-67.9579872 -45.8623373,-67.9596877 -45.8632674</t>
  </si>
  <si>
    <t>-67.94085860000001 -45.8628677,-67.9404294 -45.860772</t>
  </si>
  <si>
    <t>-67.9389811 -45.8623559,-67.9389596 -45.8618329,-67.9381979 -45.8610783,-67.9390669 -45.8607794</t>
  </si>
  <si>
    <t>-67.955879 -45.8636111,-67.9576546 -45.8622999,-67.9598272 -45.8631628</t>
  </si>
  <si>
    <t>-67.952832 -45.8634169,-67.95479 -45.86299100000001,-67.9563618 -45.8626025</t>
  </si>
  <si>
    <t>-67.9529715 -45.8634467,-67.9549241 -45.863118,-67.9559863 -45.8637008</t>
  </si>
  <si>
    <t>-67.9413307 -45.8588667,-67.9403222 -45.8591133,-67.9393995 -45.8579775</t>
  </si>
  <si>
    <t>-67.9520595 -45.8627594,-67.953347 -45.8623485,-67.9552031 -45.8614668</t>
  </si>
  <si>
    <t>-67.95192 -45.8629761,-67.9497743 -45.8637232,-67.9510617 -45.8642985,-67.952714 -45.8635738</t>
  </si>
  <si>
    <t>-67.9517913 -45.8629088,-67.9498279 -45.8631554,-67.948873 -45.864022</t>
  </si>
  <si>
    <t>-67.9452789 -45.8642312,-67.9498494 -45.8625128,-67.9518986 -45.8627818</t>
  </si>
  <si>
    <t>-67.9477841 -45.861549,-67.9509008 -45.8613996</t>
  </si>
  <si>
    <t>-67.9479718 -45.8615453,-67.9493934 -45.8606973,-67.9489589 -45.8606599</t>
  </si>
  <si>
    <t>-67.9483044 -45.861911400000004,-67.9473495 -45.8614183</t>
  </si>
  <si>
    <t>-67.9469097 -45.8620944,-67.9481596 -45.8620048</t>
  </si>
  <si>
    <t>-67.9427254 -45.8635364,-67.9464859 -45.8623447,-67.9469097 -45.862016</t>
  </si>
  <si>
    <t>-67.9427254 -45.8635364,-67.9445654 -45.863047,-67.94562220000002 -45.8635738</t>
  </si>
  <si>
    <t>-67.9452038 -45.8642219,-67.9464403 -45.8647635</t>
  </si>
  <si>
    <t>-67.9408479 -45.8630807,-67.9406708 -45.8622513,-67.9434443 -45.8616013</t>
  </si>
  <si>
    <t>-67.9407942 -45.8630844,-67.9403758 -45.8621878,-67.9386914 -45.8624792</t>
  </si>
  <si>
    <t>-67.9343301 -45.8650792,-67.933858 -45.864335800000006</t>
  </si>
  <si>
    <t>-67.9364544 -45.8650082,-67.9343033 -45.8651128</t>
  </si>
  <si>
    <t>-67.9374468 -45.8637643,-67.93648120000002 -45.8648999</t>
  </si>
  <si>
    <t>-67.9407513 -45.863103100000004,-67.9403973 -45.8622551,-67.93757020000001 -45.8636746</t>
  </si>
  <si>
    <t>-67.940526 -45.8606599,-67.9383802 -45.8597857,-67.9380262 -45.8585902</t>
  </si>
  <si>
    <t>-67.9412395 -45.8636896,-67.94085860000001 -45.8628677</t>
  </si>
  <si>
    <t>-67.9413575 -45.8643508,-67.94191 -45.8638801,-67.9413092 -45.8637717</t>
  </si>
  <si>
    <t>-67.939437 -45.8659907,-67.9410034 -45.8642985</t>
  </si>
  <si>
    <t>-67.9383588 -45.8674437,-67.9380101 -45.8666929,-67.9392922 -45.8661064</t>
  </si>
  <si>
    <t>-67.87341041 -45.89436037</t>
  </si>
  <si>
    <t>-67.99368661 -45.85421012</t>
  </si>
  <si>
    <t>-67.96318212 -45.85768148</t>
  </si>
  <si>
    <t>-67.97281444 -45.86743547</t>
  </si>
  <si>
    <t>-68.01040698 -45.8700971</t>
  </si>
  <si>
    <t>-67.95148205 -45.90120852</t>
  </si>
  <si>
    <t>-67.91917275 -45.87137731</t>
  </si>
  <si>
    <t>-67.93136442 -45.86503342</t>
  </si>
  <si>
    <t>-67.8603755 -45.88015149</t>
  </si>
  <si>
    <t>-67.88415765 -45.87720382</t>
  </si>
  <si>
    <t>-67.91654461 -45.91083551</t>
  </si>
  <si>
    <t>-67.92372487 -45.89591332</t>
  </si>
  <si>
    <t>-67.88187997 -45.85932758</t>
  </si>
  <si>
    <t>-67.92227067 -45.86056251</t>
  </si>
  <si>
    <t>-67.98363908 -45.85977498</t>
  </si>
  <si>
    <t>-67.97819127 -45.8524776</t>
  </si>
  <si>
    <t>-67.87564264 -45.88457694</t>
  </si>
  <si>
    <t>-67.83708996 -45.87117918</t>
  </si>
  <si>
    <t>-67.96323499 -45.89245918</t>
  </si>
  <si>
    <t>-67.90025071 -45.86892969</t>
  </si>
  <si>
    <t>-67.84200516 -45.87769064</t>
  </si>
  <si>
    <t>-67.85950939 -45.86435873</t>
  </si>
  <si>
    <t>-67.79816686 -45.85539755</t>
  </si>
  <si>
    <t>-67.9051089 -45.85631758</t>
  </si>
  <si>
    <t>-67.89141038 -45.8640028</t>
  </si>
  <si>
    <t>-67.80163738 -45.85317593</t>
  </si>
  <si>
    <t>-67.90349351 -45.866579</t>
  </si>
  <si>
    <t>-67.94024697 -45.87073179</t>
  </si>
  <si>
    <t>-67.97675155 -45.87272098</t>
  </si>
  <si>
    <t>-67.99269489 -45.86416635</t>
  </si>
  <si>
    <t>-67.93622894 -45.87916447</t>
  </si>
  <si>
    <t>-67.96737761 -45.88207859</t>
  </si>
  <si>
    <t>-67.99341436 -45.8759168</t>
  </si>
  <si>
    <t>-67.87595595 -45.89574623</t>
  </si>
  <si>
    <t>-67.88160091 -45.89744303</t>
  </si>
  <si>
    <t>-67.861565 -45.88703035</t>
  </si>
  <si>
    <t>-67.85763219 -45.89022741</t>
  </si>
  <si>
    <t>-67.88891304 -45.91429092</t>
  </si>
  <si>
    <t>-67.89600441 -45.91890796</t>
  </si>
  <si>
    <t>-67.85421626 -45.85740256</t>
  </si>
  <si>
    <t>-67.97732421 -45.88175802</t>
  </si>
  <si>
    <t>-67.99267605 -45.87189611</t>
  </si>
  <si>
    <t>-67.87939859 -45.8679931</t>
  </si>
  <si>
    <t>-67.87304157 -45.87450152</t>
  </si>
  <si>
    <t>-67.87656396 -45.86986039</t>
  </si>
  <si>
    <t>-67.93827779 -45.85839637</t>
  </si>
  <si>
    <t>-67.96531006 -45.86034768</t>
  </si>
  <si>
    <t>-67.90444137 -45.85888927</t>
  </si>
  <si>
    <t>-67.84968095 -45.88065621</t>
  </si>
  <si>
    <t>-68.00595671 -45.86694578</t>
  </si>
  <si>
    <t>-67.95186149 -45.86770393</t>
  </si>
  <si>
    <t>-67.94817121 -45.85928573</t>
  </si>
  <si>
    <t>-67.91237974 -45.86839648</t>
  </si>
  <si>
    <t>-67.83512551 -45.87954084</t>
  </si>
  <si>
    <t>-67.77942114 -45.85606676</t>
  </si>
  <si>
    <t>-67.79565686 -45.8573644</t>
  </si>
  <si>
    <t>-67.95166561 -45.91895544</t>
  </si>
  <si>
    <t>-67.95222526 -45.88071409</t>
  </si>
  <si>
    <t>-67.94739678 -45.88538781</t>
  </si>
  <si>
    <t>-67.93692341 -45.88842179</t>
  </si>
  <si>
    <t>-67.94949163 -45.89882989</t>
  </si>
  <si>
    <t>-67.90418347 -45.90144315</t>
  </si>
  <si>
    <t>-67.8974761 -45.9099993</t>
  </si>
  <si>
    <t>-67.82912898 -45.86716269</t>
  </si>
  <si>
    <t>-67.81743628 -45.86793206</t>
  </si>
  <si>
    <t>-67.92761049 -45.85976749</t>
  </si>
  <si>
    <t>-67.88839387 -45.86271724</t>
  </si>
  <si>
    <t>-67.87594948 -45.89046648</t>
  </si>
  <si>
    <t>-67.87020937 -45.88621117</t>
  </si>
  <si>
    <t>-67.89589599 -45.88421601</t>
  </si>
  <si>
    <t>-68.00906766 -45.86098757</t>
  </si>
  <si>
    <t>-67.99681954 -45.85941984</t>
  </si>
  <si>
    <t>-67.95950245 -45.87113306</t>
  </si>
  <si>
    <t>-67.92598252 -45.87021059</t>
  </si>
  <si>
    <t>-67.9157542 -45.8910201</t>
  </si>
  <si>
    <t>-67.8770778 -45.8936427</t>
  </si>
  <si>
    <t>-67.8498001 -45.8868796</t>
  </si>
  <si>
    <t>-679043691 -45.9184915</t>
  </si>
  <si>
    <t>-67.8603842 -45.8618174</t>
  </si>
  <si>
    <t>-67.9763267 -45.8886531</t>
  </si>
  <si>
    <t>-67.9650532 -45.8675944</t>
  </si>
  <si>
    <t>-67.989413 -45.8683125</t>
  </si>
  <si>
    <t>-67.9847718 -45.8565268</t>
  </si>
  <si>
    <t>-67.8717545 -45.8721004</t>
  </si>
  <si>
    <t>-67.9322921 -45.860725</t>
  </si>
  <si>
    <t>-67.9676009 -45.8592271</t>
  </si>
  <si>
    <t>-67.8967774 -45.8614786</t>
  </si>
  <si>
    <t>-67.8604177 -45.879451</t>
  </si>
  <si>
    <t>-68.0091501 -45.8708301</t>
  </si>
  <si>
    <t>-67.9467993 -45.8625901</t>
  </si>
  <si>
    <t>-67.9067668 -45.8736498</t>
  </si>
  <si>
    <t>-67.8367338 -45.8750253</t>
  </si>
  <si>
    <t>-678066514 -45.8540285</t>
  </si>
  <si>
    <t>-679650532 -45.8875553</t>
  </si>
  <si>
    <t>-67.9380534 -45.9232702</t>
  </si>
  <si>
    <t>-67.9897057 -45.8754949</t>
  </si>
  <si>
    <t>-67.9382733 -45.8788078</t>
  </si>
  <si>
    <t>-67.9362263 -45.8946385</t>
  </si>
  <si>
    <t>-67.9170539 -45.9124395</t>
  </si>
  <si>
    <t>-678182409 -45.863287</t>
  </si>
  <si>
    <t>-67.86946 -45.8582488</t>
  </si>
  <si>
    <t>-67.9210204 -45.8582232</t>
  </si>
  <si>
    <t>-67.8917107 -45.864917</t>
  </si>
  <si>
    <t>-67.8710118 -45.8825121</t>
  </si>
  <si>
    <t>-67.894625 -45.8747196</t>
  </si>
  <si>
    <t>-67.9985248 -45.8605881</t>
  </si>
  <si>
    <t>-67.9471054 -45.8740371</t>
  </si>
  <si>
    <t>-67.9276494 -45.8675098</t>
  </si>
  <si>
    <t>-67.9782945 -45.8594299</t>
  </si>
  <si>
    <t>-67.918411 -45.8824099</t>
  </si>
  <si>
    <t>-67.9665849 -45.879558</t>
  </si>
  <si>
    <t>-67.9692714 -45.8652056</t>
  </si>
  <si>
    <t>-67.93698488 -45.90944013</t>
  </si>
  <si>
    <t>-68.0093366 -45.87286665</t>
  </si>
  <si>
    <t>-67.87194698 -45.88587956</t>
  </si>
  <si>
    <t>-67.88090548 -45.88706075</t>
  </si>
  <si>
    <t>-67.87924252 -45.88503369</t>
  </si>
  <si>
    <t>-67.87581719 -45.8840104</t>
  </si>
  <si>
    <t>-67.95131727 -45.87411285</t>
  </si>
  <si>
    <t>-67.9735183 -45.87030526</t>
  </si>
  <si>
    <t>-67.97170451 -45.86764851</t>
  </si>
  <si>
    <t>-67.97549555 -45.86754474</t>
  </si>
  <si>
    <t>-67.96225639 -45.85951472</t>
  </si>
  <si>
    <t>-67.9307734 -45.86689836</t>
  </si>
  <si>
    <t>-67.9397787 -45.86446671</t>
  </si>
  <si>
    <t>-67.95423318 -45.86162426</t>
  </si>
  <si>
    <t>-67.89956807 -45.87344883</t>
  </si>
  <si>
    <t>-67.9661051 -45.85896591</t>
  </si>
  <si>
    <t>-67.92528362 -45.8779844</t>
  </si>
  <si>
    <t>-67.94261424 -45.86169222</t>
  </si>
  <si>
    <t>-67.91777485 -45.87443865</t>
  </si>
  <si>
    <t>-68.00601835 -45.8652672</t>
  </si>
  <si>
    <t>-67.97746123 -45.86525028</t>
  </si>
  <si>
    <t>-67.91185362 -45.87334554</t>
  </si>
  <si>
    <t>-67.93491943 -45.86627952</t>
  </si>
  <si>
    <t>-67.95082673 -45.87123588</t>
  </si>
  <si>
    <t>-67.90168597 -45.87110164</t>
  </si>
  <si>
    <t>-67.9773795 -45.87092197</t>
  </si>
  <si>
    <t>-67.94655091 -45.86160389</t>
  </si>
  <si>
    <t>-67.91010429 -45.87155616</t>
  </si>
  <si>
    <t>-67.91546223 -45.87287307</t>
  </si>
  <si>
    <t>-67.91806494 -45.87158971</t>
  </si>
  <si>
    <t>-67.93505 -45.86998225</t>
  </si>
  <si>
    <t>-67.89743364 -45.88164943</t>
  </si>
  <si>
    <t>-67.96207279 -45.85789473</t>
  </si>
  <si>
    <t>-67.94783094 -45.87286777</t>
  </si>
  <si>
    <t>-67.96250387 -45.87218883</t>
  </si>
  <si>
    <t>-67.96619834 -45.86562036</t>
  </si>
  <si>
    <t>-67.85276267 -45.87922955</t>
  </si>
  <si>
    <t>-67.95436473 -45.87255367</t>
  </si>
  <si>
    <t>-67.97405033 -45.86498498</t>
  </si>
  <si>
    <t>-67.91188203 -45.87683257</t>
  </si>
  <si>
    <t>-67.94944114 -45.87896309</t>
  </si>
  <si>
    <t>-67.94453448 -45.86385281</t>
  </si>
  <si>
    <t>-67.97179299 -45.87266973</t>
  </si>
  <si>
    <t>-67.87217927 -45.88023868</t>
  </si>
  <si>
    <t>-67.87598229 -45.86175617</t>
  </si>
  <si>
    <t>-67.97564136 -45.8729339</t>
  </si>
  <si>
    <t>-67.92352474 -45.87385141</t>
  </si>
  <si>
    <t>-67.86851887 -45.87876662</t>
  </si>
  <si>
    <t>-67.92978725 -45.87284116</t>
  </si>
  <si>
    <t>-67.92659338 -45.87208103</t>
  </si>
  <si>
    <t>-67.93187364 -45.8708609</t>
  </si>
  <si>
    <t>-67.92270363 -45.87121385</t>
  </si>
  <si>
    <t>-67.89478887 -45.88442779</t>
  </si>
  <si>
    <t>-67.90475618 -45.89004619</t>
  </si>
  <si>
    <t>-67.90880421 -45.88517949</t>
  </si>
  <si>
    <t>-67.88302674 -45.91253107</t>
  </si>
  <si>
    <t>-67.92210109 -45.88545145</t>
  </si>
  <si>
    <t>-67.92838162 -45.88770662</t>
  </si>
  <si>
    <t>-67.89074334 -45.91287444</t>
  </si>
  <si>
    <t>-67.94851142 -45.88940859</t>
  </si>
  <si>
    <t>-67.87762038 -45.91909728</t>
  </si>
  <si>
    <t>-67.88819101 -45.92363236</t>
  </si>
  <si>
    <t>-67.95907137 -45.88750469</t>
  </si>
  <si>
    <t>-67.90362098 -45.8874036</t>
  </si>
  <si>
    <t>-67.9118619 -45.88916575</t>
  </si>
  <si>
    <t>-67.89855752 -45.91238198</t>
  </si>
  <si>
    <t>-67.91297029 -45.88620425</t>
  </si>
  <si>
    <t>-67.98007424 -45.88464396</t>
  </si>
  <si>
    <t>-67.90201018 -45.89143448</t>
  </si>
  <si>
    <t>-67.90372312 -45.89680061</t>
  </si>
  <si>
    <t>-67.98086798 -45.88739413</t>
  </si>
  <si>
    <t>-67.97648439 -45.89266109</t>
  </si>
  <si>
    <t>-67.91833856 -45.88592331</t>
  </si>
  <si>
    <t>-67.93195275 -45.88880085</t>
  </si>
  <si>
    <t>-67.93808121 -45.89103139</t>
  </si>
  <si>
    <t>-67.88780562 -45.91450171</t>
  </si>
  <si>
    <t>-67.88690397 -45.90593083</t>
  </si>
  <si>
    <t>-67.88676403 -45.88778688</t>
  </si>
  <si>
    <t>-67.96354703 -45.89869944</t>
  </si>
  <si>
    <t>-67.95749776 -45.92122866</t>
  </si>
  <si>
    <t>-67.94414165 -45.89228087</t>
  </si>
  <si>
    <t>-67.89636841 -45.9102103</t>
  </si>
  <si>
    <t>-67.90264953 -45.90994683</t>
  </si>
  <si>
    <t>-67.95220821 -45.8890951</t>
  </si>
  <si>
    <t>-67.91497939 -45.88844903</t>
  </si>
  <si>
    <t>-67.96939983 -45.89469974</t>
  </si>
  <si>
    <t>-67.97751751 -45.89013616</t>
  </si>
  <si>
    <t>-67.93665996 -45.91286222</t>
  </si>
  <si>
    <t>-67.91464614 -45.89123186</t>
  </si>
  <si>
    <t>-67.97300504 -45.89135</t>
  </si>
  <si>
    <t>-67.9767136 -45.8807484</t>
  </si>
  <si>
    <t>-67.96290254 -45.88863388</t>
  </si>
  <si>
    <t>-67.96980563 -45.90670646</t>
  </si>
  <si>
    <t>-67.97698555 -45.88678202</t>
  </si>
  <si>
    <t>-67.91162615 -45.89729001</t>
  </si>
  <si>
    <t>-67.94446932 -45.89965711</t>
  </si>
  <si>
    <t>-67.93404442 -45.8909633</t>
  </si>
  <si>
    <t>-67.92909659 -45.90983142</t>
  </si>
  <si>
    <t>-67.94342733 -45.89494583</t>
  </si>
  <si>
    <t>-67.88552167 -45.89738087</t>
  </si>
  <si>
    <t>-67.81049477 -45.85888588</t>
  </si>
  <si>
    <t>-67.96617069 -45.87961383</t>
  </si>
  <si>
    <t>-67.97664473 -45.87540708</t>
  </si>
  <si>
    <t>-67.81902598 -45.85622201</t>
  </si>
  <si>
    <t>-67.79364074 -45.86184884</t>
  </si>
  <si>
    <t>-67.79142618 -45.85906776</t>
  </si>
  <si>
    <t>-67.79632552 -45.86021528</t>
  </si>
  <si>
    <t>-67.79068399 -45.85671662</t>
  </si>
  <si>
    <t>-67.81540703 -45.85832712</t>
  </si>
  <si>
    <t>-67.82609588 -45.85288331</t>
  </si>
  <si>
    <t>-67.81224182 -45.85671416</t>
  </si>
  <si>
    <t>-67.79455437 -45.85757604</t>
  </si>
  <si>
    <t>-67.79352993 -45.85472019</t>
  </si>
  <si>
    <t>-67.87265641 -45.8623332</t>
  </si>
  <si>
    <t>-67.86132409 -45.86532856</t>
  </si>
  <si>
    <t>-67.81537995 -45.85550384</t>
  </si>
  <si>
    <t>-67.80268557 -45.85781053</t>
  </si>
  <si>
    <t>-67.81800483 -45.85079524</t>
  </si>
  <si>
    <t>-67.79860937 -45.85802352</t>
  </si>
  <si>
    <t>-67.79294152 -45.85225742</t>
  </si>
  <si>
    <t>-67.7970643 -45.85560927</t>
  </si>
  <si>
    <t>-67.86513556 -45.86046435</t>
  </si>
  <si>
    <t>-67.85692916 -45.86285007</t>
  </si>
  <si>
    <t>-67.96957173 -45.88031211</t>
  </si>
  <si>
    <t>-67.80847992 -45.85663136</t>
  </si>
  <si>
    <t>-67.81425888 -45.84968896</t>
  </si>
  <si>
    <t>-67.80089696 -45.85587052</t>
  </si>
  <si>
    <t>-67.82163737 -45.8516816</t>
  </si>
  <si>
    <t>-67.864423 -45.86337238</t>
  </si>
  <si>
    <t>-67.8613425 -45.86055445</t>
  </si>
  <si>
    <t>-67.80486959 -45.85565241</t>
  </si>
  <si>
    <t>-67.97973452 -45.85686561</t>
  </si>
  <si>
    <t>-67.79555457 -45.85028232</t>
  </si>
  <si>
    <t>-67.86065193 -45.86323966</t>
  </si>
  <si>
    <t>-67.81217316 -45.85421245</t>
  </si>
  <si>
    <t>-67.81497943 -45.85259887</t>
  </si>
  <si>
    <t>-67.81045979 -45.84922896</t>
  </si>
  <si>
    <t>-67.79929116 -45.85082718</t>
  </si>
  <si>
    <t>-67.79656279 -45.85297829</t>
  </si>
  <si>
    <t>-67.80813131 -45.85419968</t>
  </si>
  <si>
    <t>-67.94257964 -45.87928521</t>
  </si>
  <si>
    <t>-67.98898969 -45.87224246</t>
  </si>
  <si>
    <t>-67.97326725 -45.88463616</t>
  </si>
  <si>
    <t>-67.9226841 -45.8797625</t>
  </si>
  <si>
    <t>-67.81172912 -45.8516909</t>
  </si>
  <si>
    <t>-67.80300362 -45.85086721</t>
  </si>
  <si>
    <t>-67.80053473 -45.85338776</t>
  </si>
  <si>
    <t>-67.80727764 -45.85143246</t>
  </si>
  <si>
    <t>-67.97943667 -45.87631688</t>
  </si>
  <si>
    <t>-67.83154193 -45.85548135</t>
  </si>
  <si>
    <t>-67.81868892 -45.85363062</t>
  </si>
  <si>
    <t>-67.82760578 -45.8552439</t>
  </si>
  <si>
    <t>-67.80441533 -45.8533642</t>
  </si>
  <si>
    <t>-67.90705336 -45.88840606</t>
  </si>
  <si>
    <t>-67.96531388 -45.89614529</t>
  </si>
  <si>
    <t>-67.96564342 -45.89329615</t>
  </si>
  <si>
    <t>-67.95045121 -45.89176951</t>
  </si>
  <si>
    <t>-67.92471714 -45.8874919</t>
  </si>
  <si>
    <t>-67.9695987 -45.89181892</t>
  </si>
  <si>
    <t>-67.92058042 -45.88840717</t>
  </si>
  <si>
    <t>-67.94205735 -45.90980155</t>
  </si>
  <si>
    <t>-67.95602222 -45.88970885</t>
  </si>
  <si>
    <t>-67.91840225 -45.89042054</t>
  </si>
  <si>
    <t>-67.93482704 -45.9074612</t>
  </si>
  <si>
    <t>-67.92627892 -45.88983168</t>
  </si>
  <si>
    <t>-67.9000528 -45.91010719</t>
  </si>
  <si>
    <t>-67.99633616 -45.88747617</t>
  </si>
  <si>
    <t>-67.98442531 -45.88655141</t>
  </si>
  <si>
    <t>-67.94070253 -45.90708056</t>
  </si>
  <si>
    <t>-67.94772631 -45.89344095</t>
  </si>
  <si>
    <t>-67.97417558 -45.88870119</t>
  </si>
  <si>
    <t>-67.95185094 -45.89446535</t>
  </si>
  <si>
    <t>-67.94716669 -45.90342424</t>
  </si>
  <si>
    <t>-67.96494419 -45.89086279</t>
  </si>
  <si>
    <t>-67.91506756 -45.89602857</t>
  </si>
  <si>
    <t>-67.91900661 -45.90044035</t>
  </si>
  <si>
    <t>-67.91657701 -45.89351753</t>
  </si>
  <si>
    <t>-67.92052611 -45.89317192</t>
  </si>
  <si>
    <t>-67.95958813 -45.89007642</t>
  </si>
  <si>
    <t>-67.96212496 -45.89267136</t>
  </si>
  <si>
    <t>-67.94838203 -45.89904174</t>
  </si>
  <si>
    <t>-67.94188659 -45.8972671</t>
  </si>
  <si>
    <t>-67.94634029 -45.89666725</t>
  </si>
  <si>
    <t>-67.95040398 -45.89665634</t>
  </si>
  <si>
    <t>-67.93002857 -45.89099999</t>
  </si>
  <si>
    <t>-67.92256482 -45.89065032</t>
  </si>
  <si>
    <t>-67.96134496 -45.89515932</t>
  </si>
  <si>
    <t>-67.95956637 -45.89743693</t>
  </si>
  <si>
    <t>-67.95251927 -45.89886364</t>
  </si>
  <si>
    <t>-67.95408006 -45.89657201</t>
  </si>
  <si>
    <t>-67.93749101 -45.92107433</t>
  </si>
  <si>
    <t>-67.9433277 -45.92278492</t>
  </si>
  <si>
    <t>-67.95625453 -45.89884007</t>
  </si>
  <si>
    <t>-67.97327478 -45.88212301</t>
  </si>
  <si>
    <t>-67.90181467 -45.89910477</t>
  </si>
  <si>
    <t>-67.90953741 -45.89946636</t>
  </si>
  <si>
    <t>-67.96941864 -45.88923867</t>
  </si>
  <si>
    <t>-67.95037233 -45.90142031</t>
  </si>
  <si>
    <t>-67.95418299 -45.89226319</t>
  </si>
  <si>
    <t>-67.95753705 -45.89518861</t>
  </si>
  <si>
    <t>-67.9330123 -45.90989279</t>
  </si>
  <si>
    <t>-67.91895387 -45.89557581</t>
  </si>
  <si>
    <t>-67.92384314 -45.89325701</t>
  </si>
  <si>
    <t>-67.97329407 -45.88474005</t>
  </si>
  <si>
    <t>-67.98995293 -45.87688436</t>
  </si>
  <si>
    <t>-67.98271688 -45.87795249</t>
  </si>
  <si>
    <t>-67.98576241 -45.87363767</t>
  </si>
  <si>
    <t>-67.94940532 -45.88416419</t>
  </si>
  <si>
    <t>-67.80865568 -45.86112229</t>
  </si>
  <si>
    <t>-67.85135619 -45.86956645</t>
  </si>
  <si>
    <t>-67.93028301 -45.90068278</t>
  </si>
  <si>
    <t>-67.92819602 -45.89300211</t>
  </si>
  <si>
    <t>-67.91670226 -45.8983995</t>
  </si>
  <si>
    <t>-67.92261639 -45.89612501</t>
  </si>
  <si>
    <t>-67.82716871 -45.873948</t>
  </si>
  <si>
    <t>-67.98281025 -45.88038134</t>
  </si>
  <si>
    <t>-67.89119881 -45.85678635</t>
  </si>
  <si>
    <t>-67.86509618 -45.85797591</t>
  </si>
  <si>
    <t>-67.9066489 -45.9028322</t>
  </si>
  <si>
    <t>-67.90575154 -45.89995116</t>
  </si>
  <si>
    <t>-67.85705926 -45.8713673</t>
  </si>
  <si>
    <t>-67.84740418 -45.86920331</t>
  </si>
  <si>
    <t>-67.88485253 -45.86038085</t>
  </si>
  <si>
    <t>-67.88079329 -45.86488873</t>
  </si>
  <si>
    <t>-67.91707962 -45.85731555</t>
  </si>
  <si>
    <t>-67.95803335 -45.89252311</t>
  </si>
  <si>
    <t>-67.91930941 -45.88137118</t>
  </si>
  <si>
    <t>-67.95803039 -45.90137444</t>
  </si>
  <si>
    <t>-67.95594313 -45.90408308</t>
  </si>
  <si>
    <t>-67.8706459 -45.91110153</t>
  </si>
  <si>
    <t>-67.92293507 -45.9000609</t>
  </si>
  <si>
    <t>-67.92657392 -45.89559691</t>
  </si>
  <si>
    <t>-67.84336962 -45.87289033</t>
  </si>
  <si>
    <t>-67.857019 -45.87438052</t>
  </si>
  <si>
    <t>-67.90079758 -45.860041</t>
  </si>
  <si>
    <t>-67.89694738 -45.86180693</t>
  </si>
  <si>
    <t>-67.83207382 -45.86856631</t>
  </si>
  <si>
    <t>-67.91210808 -45.8814063</t>
  </si>
  <si>
    <t>-67.83800526 -45.87298803</t>
  </si>
  <si>
    <t>-67.89587578 -45.8572858</t>
  </si>
  <si>
    <t>-67.90400196 -45.85653031</t>
  </si>
  <si>
    <t>-67.89149655 -45.8594789</t>
  </si>
  <si>
    <t>-67.88831641 -45.86099544</t>
  </si>
  <si>
    <t>-67.85190247 -45.87223245</t>
  </si>
  <si>
    <t>-67.90964669 -45.85881191</t>
  </si>
  <si>
    <t>-67.82626659 -45.86542128</t>
  </si>
  <si>
    <t>-67.90307567 -45.90165448</t>
  </si>
  <si>
    <t>-67.92046749 -45.89809236</t>
  </si>
  <si>
    <t>-67.91255273 -45.8841995</t>
  </si>
  <si>
    <t>-67.94048121 -45.90255833</t>
  </si>
  <si>
    <t>-67.95417314 -45.90131869</t>
  </si>
  <si>
    <t>-67.92776392 -45.91634643</t>
  </si>
  <si>
    <t>-67.95055552 -45.91916669</t>
  </si>
  <si>
    <t>-67.91781996 -45.92567691</t>
  </si>
  <si>
    <t>-67.93676614 -45.92727049</t>
  </si>
  <si>
    <t>-67.91006087 -45.92075561</t>
  </si>
  <si>
    <t>-67.90949828 -45.91775832</t>
  </si>
  <si>
    <t>-67.91720195 -45.91773172</t>
  </si>
  <si>
    <t>-67.91149535 -45.91548088</t>
  </si>
  <si>
    <t>-67.91606663 -45.88550592</t>
  </si>
  <si>
    <t>-67.91570725 -45.91509215</t>
  </si>
  <si>
    <t>-67.91936766 -45.91518342</t>
  </si>
  <si>
    <t>-67.91361731 -45.91301639</t>
  </si>
  <si>
    <t>-67.91754846 -45.91327537</t>
  </si>
  <si>
    <t>-67.91156522 -45.91091836</t>
  </si>
  <si>
    <t>-67.91938339 -45.91141146</t>
  </si>
  <si>
    <t>-67.91369343 -45.90879139</t>
  </si>
  <si>
    <t>-67.92757118 -45.89816726</t>
  </si>
  <si>
    <t>-67.93575465 -45.89835849</t>
  </si>
  <si>
    <t>-67.93839722 -45.89565726</t>
  </si>
  <si>
    <t>-67.93203261 -45.89325144</t>
  </si>
  <si>
    <t>-67.9360062 -45.89335158</t>
  </si>
  <si>
    <t>-67.826373 -45.86949438</t>
  </si>
  <si>
    <t>-67.82802493 -45.86737435</t>
  </si>
  <si>
    <t>-67.8317805 -45.86708884</t>
  </si>
  <si>
    <t>-67.84837128 -45.87186322</t>
  </si>
  <si>
    <t>-67.93154138 -45.89790478</t>
  </si>
  <si>
    <t>-67.93016171 -45.89557307</t>
  </si>
  <si>
    <t>-67.91969836 -45.9064769</t>
  </si>
  <si>
    <t>-67.91543612 -45.91104667</t>
  </si>
  <si>
    <t>-67.92132124 -45.90950332</t>
  </si>
  <si>
    <t>-67.91573771 -45.90642661</t>
  </si>
  <si>
    <t>-67.92360702 -45.90642337</t>
  </si>
  <si>
    <t>-67.84458226 -45.87132178</t>
  </si>
  <si>
    <t>-67.8339131 -45.87269245</t>
  </si>
  <si>
    <t>-67.90355562 -45.86115196</t>
  </si>
  <si>
    <t>-67.93321811 -45.8864192</t>
  </si>
  <si>
    <t>-67.90707943 -45.8582017</t>
  </si>
  <si>
    <t>-67.78840893 -45.86897142</t>
  </si>
  <si>
    <t>-67.91281638 -45.91851579</t>
  </si>
  <si>
    <t>-67.99439359 -45.86914058</t>
  </si>
  <si>
    <t>-67.85311138 -45.85761476</t>
  </si>
  <si>
    <t>-67.85689782 -45.85626757</t>
  </si>
  <si>
    <t>-67.83960525 -45.86573027</t>
  </si>
  <si>
    <t>-67.83646133 -45.86663548</t>
  </si>
  <si>
    <t>-67.84266503 -45.8702826</t>
  </si>
  <si>
    <t>-67.83999726 -45.87142467</t>
  </si>
  <si>
    <t>-67.83004808 -45.86933225</t>
  </si>
  <si>
    <t>-67.82435527 -45.87146335</t>
  </si>
  <si>
    <t>-67.83053849 -45.87304743</t>
  </si>
  <si>
    <t>-67.96179383 -45.87786748</t>
  </si>
  <si>
    <t>-67.83849471 -45.86912892</t>
  </si>
  <si>
    <t>-67.83426888 -45.86898782</t>
  </si>
  <si>
    <t>-67.87189621 -45.88590604</t>
  </si>
  <si>
    <t>-68.00246507 -45.85757617</t>
  </si>
  <si>
    <t>-67.88336322 -45.86270393</t>
  </si>
  <si>
    <t>-67.89593684 -45.869071</t>
  </si>
  <si>
    <t>-67.90616229 -45.86044696</t>
  </si>
  <si>
    <t>-67.89083776 -45.86211025</t>
  </si>
  <si>
    <t>-67.90599291 -45.86472957</t>
  </si>
  <si>
    <t>-67.90319984 -45.86293935</t>
  </si>
  <si>
    <t>-67.88877281 -45.86858617</t>
  </si>
  <si>
    <t>-67.90947109 -45.86641003</t>
  </si>
  <si>
    <t>-67.91412974 -45.86109479</t>
  </si>
  <si>
    <t>-67.95259869 -45.87994501</t>
  </si>
  <si>
    <t>-67.82813055 -45.87141801</t>
  </si>
  <si>
    <t>-67.83598551 -45.8713908</t>
  </si>
  <si>
    <t>-68.01710778 -45.86130472</t>
  </si>
  <si>
    <t>-67.98674554 -45.85999273</t>
  </si>
  <si>
    <t>-67.87529512 -45.86884053</t>
  </si>
  <si>
    <t>-67.88379206 -45.86651714</t>
  </si>
  <si>
    <t>-67.92872835 -45.86311228</t>
  </si>
  <si>
    <t>-67.92617947 -45.86596757</t>
  </si>
  <si>
    <t>-67.90888009 -45.88310666</t>
  </si>
  <si>
    <t>-67.90593482 -45.8627285</t>
  </si>
  <si>
    <t>-67.91774956 -45.8661538</t>
  </si>
  <si>
    <t>-67.91127227 -45.86860891</t>
  </si>
  <si>
    <t>-67.90869072 -45.86438156</t>
  </si>
  <si>
    <t>-67.9915376 -45.85145307</t>
  </si>
  <si>
    <t>-67.95999034 -45.8880059</t>
  </si>
  <si>
    <t>-67.91712918 -45.86851117</t>
  </si>
  <si>
    <t>-67.92313135 -45.86736612</t>
  </si>
  <si>
    <t>-67.91275437 -45.86359269</t>
  </si>
  <si>
    <t>-67.91631145 -45.86423466</t>
  </si>
  <si>
    <t>-67.92330206 -45.86280001</t>
  </si>
  <si>
    <t>-67.92316538 -45.86501695</t>
  </si>
  <si>
    <t>-67.92069068 -45.86664171</t>
  </si>
  <si>
    <t>-67.9143801 -45.8679855</t>
  </si>
  <si>
    <t>-67.96291589 -45.88644251</t>
  </si>
  <si>
    <t>-67.96828667 -45.88589528</t>
  </si>
  <si>
    <t>-67.89388895 -45.87722227</t>
  </si>
  <si>
    <t>-67.91747464 -45.88372353</t>
  </si>
  <si>
    <t>-67.94551078 -45.85628848</t>
  </si>
  <si>
    <t>-67.97079424 -45.85669528</t>
  </si>
  <si>
    <t>-67.89468537 -45.87097799</t>
  </si>
  <si>
    <t>-67.90565529 -45.8665856</t>
  </si>
  <si>
    <t>-67.96272405 -45.8837163</t>
  </si>
  <si>
    <t>-67.90323768 -45.86872225</t>
  </si>
  <si>
    <t>-67.90238643 -45.86679139</t>
  </si>
  <si>
    <t>-67.90314798 -45.8648888</t>
  </si>
  <si>
    <t>-67.89853722 -45.86802334</t>
  </si>
  <si>
    <t>-67.8975525 -45.86346654</t>
  </si>
  <si>
    <t>-67.89265327 -45.86524891</t>
  </si>
  <si>
    <t>-67.89369378 -45.862107</t>
  </si>
  <si>
    <t>-67.88982897 -45.86617984</t>
  </si>
  <si>
    <t>-67.88757931 -45.8655684</t>
  </si>
  <si>
    <t>-67.88728748 -45.86292961</t>
  </si>
  <si>
    <t>-67.96615149 -45.88487087</t>
  </si>
  <si>
    <t>-67.88286864 -45.86153258</t>
  </si>
  <si>
    <t>-67.89914085 -45.85856281</t>
  </si>
  <si>
    <t>-67.89633441 -45.86762629</t>
  </si>
  <si>
    <t>-67.90019361 -45.86598642</t>
  </si>
  <si>
    <t>-67.89030385 -45.86421516</t>
  </si>
  <si>
    <t>-67.8946526 -45.86372426</t>
  </si>
  <si>
    <t>-67.97799347 -45.84918412</t>
  </si>
  <si>
    <t>-67.96959092 -45.88342639</t>
  </si>
  <si>
    <t>-67.86075305 -45.85668169</t>
  </si>
  <si>
    <t>-67.82374114 -45.85959135</t>
  </si>
  <si>
    <t>-67.81720169 -45.86444747</t>
  </si>
  <si>
    <t>-67.81519977 -45.87062969</t>
  </si>
  <si>
    <t>-67.8325778 -45.86478078</t>
  </si>
  <si>
    <t>-67.83204724 -45.87132308</t>
  </si>
  <si>
    <t>-67.84287871 -45.86187221</t>
  </si>
  <si>
    <t>-67.84359994 -45.85582912</t>
  </si>
  <si>
    <t>-67.85137139 -45.86613445</t>
  </si>
  <si>
    <t>-67.96626762 -45.88229113</t>
  </si>
  <si>
    <t>-67.85696472 -45.86036724</t>
  </si>
  <si>
    <t>-67.96284278 -45.88109503</t>
  </si>
  <si>
    <t>-67.93426973 -45.89592184</t>
  </si>
  <si>
    <t>-67.91762346 -45.90873512</t>
  </si>
  <si>
    <t>-67.9576575 -45.90959388</t>
  </si>
  <si>
    <t>-67.80374237 -45.86758628</t>
  </si>
  <si>
    <t>-67.81282229 -45.86107452</t>
  </si>
  <si>
    <t>-67.77191639 -45.85370252</t>
  </si>
  <si>
    <t>-67.82322995 -45.85451391</t>
  </si>
  <si>
    <t>-67.95937836 -45.87978501</t>
  </si>
  <si>
    <t>-67.82310921 -45.86764419</t>
  </si>
  <si>
    <t>-67.8530764 -45.89473524</t>
  </si>
  <si>
    <t>-67.97981782 -45.86729192</t>
  </si>
  <si>
    <t>-67.99318449 -45.88123246</t>
  </si>
  <si>
    <t>-67.87230402 -45.89457162</t>
  </si>
  <si>
    <t>-67.90662102 -45.87275785</t>
  </si>
  <si>
    <t>-67.92270003 -45.88530946</t>
  </si>
  <si>
    <t>-67.91979942 -45.8736741</t>
  </si>
  <si>
    <t>-67.9095676 -45.89358013</t>
  </si>
  <si>
    <t>-67.90001144 -45.88678026</t>
  </si>
  <si>
    <t>-67.89558527 -45.86513668</t>
  </si>
  <si>
    <t>-67.88603951 -45.86849586</t>
  </si>
  <si>
    <t>-67.8916483 -45.86848221</t>
  </si>
  <si>
    <t>-67.9229362 -45.88248116</t>
  </si>
  <si>
    <t>-67.90694983 -45.86872445</t>
  </si>
  <si>
    <t>-67.91316355 -45.8704339</t>
  </si>
  <si>
    <t>-67.91939628 -45.86930878</t>
  </si>
  <si>
    <t>-67.926612 -45.86917392</t>
  </si>
  <si>
    <t>-67.92587724 -45.86386085</t>
  </si>
  <si>
    <t>-67.93267509 -45.86451672</t>
  </si>
  <si>
    <t>-67.92260289 -45.87981886</t>
  </si>
  <si>
    <t>-67.93236585 -45.8600798</t>
  </si>
  <si>
    <t>-67.9328218 -45.85546946</t>
  </si>
  <si>
    <t>-67.92637591 -45.85599089</t>
  </si>
  <si>
    <t>-67.89483427 -45.85484841</t>
  </si>
  <si>
    <t>-67.90067511 -45.8549717</t>
  </si>
  <si>
    <t>-67.90709456 -45.85517561</t>
  </si>
  <si>
    <t>-67.91249816 -45.85524895</t>
  </si>
  <si>
    <t>-67.91994281 -45.85547953</t>
  </si>
  <si>
    <t>-67.92001872 -45.85910034</t>
  </si>
  <si>
    <t>-67.92012334 -45.86396532</t>
  </si>
  <si>
    <t>-67.9155214 -45.88269531</t>
  </si>
  <si>
    <t>-67.92650257 -45.85998033</t>
  </si>
  <si>
    <t>-67.93921257 -45.87804782</t>
  </si>
  <si>
    <t>-67.94825316 -45.86451588</t>
  </si>
  <si>
    <t>-67.84286672 -45.87711998</t>
  </si>
  <si>
    <t>-67.85051371 -45.8587379</t>
  </si>
  <si>
    <t>-67.84227495 -45.86775723</t>
  </si>
  <si>
    <t>-67.97595558 -45.88889979</t>
  </si>
  <si>
    <t>-67.95773843 -45.85672753</t>
  </si>
  <si>
    <t>-67.91347499 -45.85938782</t>
  </si>
  <si>
    <t>-67.91313138 -45.86597312</t>
  </si>
  <si>
    <t>-67.86520975 -45.8764158</t>
  </si>
  <si>
    <t>-67.86318723 -45.87488497</t>
  </si>
  <si>
    <t>-67.86601994 -45.87390747</t>
  </si>
  <si>
    <t>-67.86272802 -45.87245003</t>
  </si>
  <si>
    <t>-67.97707898 -45.88346111</t>
  </si>
  <si>
    <t>-67.86235431 -45.86962035</t>
  </si>
  <si>
    <t>-67.86164041 -45.86812078</t>
  </si>
  <si>
    <t>-67.85866168 -45.86600634</t>
  </si>
  <si>
    <t>-67.86498939 -45.86808329</t>
  </si>
  <si>
    <t>-67.86542164 -45.86561862</t>
  </si>
  <si>
    <t>-67.86821501 -45.85959306</t>
  </si>
  <si>
    <t>-67.86895092 -45.86422008</t>
  </si>
  <si>
    <t>-67.8690889 -45.866808</t>
  </si>
  <si>
    <t>-67.92643307 -45.88670535</t>
  </si>
  <si>
    <t>-67.89914372 -45.86914198</t>
  </si>
  <si>
    <t>-67.83638415 -45.88416747</t>
  </si>
  <si>
    <t>-67.89202466 -45.88006668</t>
  </si>
  <si>
    <t>-67.88875156 -45.88121859</t>
  </si>
  <si>
    <t>-67.88524237 -45.88041708</t>
  </si>
  <si>
    <t>-67.88159325 -45.88135603</t>
  </si>
  <si>
    <t>-67.9390525 -45.88084754</t>
  </si>
  <si>
    <t>-67.87875862 -45.87975391</t>
  </si>
  <si>
    <t>-67.87551597 -45.87817057</t>
  </si>
  <si>
    <t>-67.87224499 -45.87757028</t>
  </si>
  <si>
    <t>-67.86877282 -45.87598303</t>
  </si>
  <si>
    <t>-67.88793012 -45.85896742</t>
  </si>
  <si>
    <t>-67.88841236 -45.8628748</t>
  </si>
  <si>
    <t>-67.89192781 -45.86428661</t>
  </si>
  <si>
    <t>-67.89112374 -45.86105529</t>
  </si>
  <si>
    <t>-67.89506126 -45.86022417</t>
  </si>
  <si>
    <t>-67.8947314 -45.86235365</t>
  </si>
  <si>
    <t>-67.95587565 -45.8814008</t>
  </si>
  <si>
    <t>-67.8894167 -45.88643746</t>
  </si>
  <si>
    <t>-67.89919663 -45.86089728</t>
  </si>
  <si>
    <t>-67.90333441 -45.85910192</t>
  </si>
  <si>
    <t>-67.90974283 -45.86211417</t>
  </si>
  <si>
    <t>-67.90063766 -45.86227487</t>
  </si>
  <si>
    <t>-67.89867893 -45.86374335</t>
  </si>
  <si>
    <t>-67.88474587 -45.86417589</t>
  </si>
  <si>
    <t>-67.88077392 -45.85953999</t>
  </si>
  <si>
    <t>-67.87953211 -45.86222027</t>
  </si>
  <si>
    <t>-67.8812861 -45.86565945</t>
  </si>
  <si>
    <t>-67.87816911 -45.86559299</t>
  </si>
  <si>
    <t>-67.87446619 -45.85953534</t>
  </si>
  <si>
    <t>-67.87427088 -45.86403168</t>
  </si>
  <si>
    <t>-67.87214197 -45.86308448</t>
  </si>
  <si>
    <t>-67.87222449 -45.86588111</t>
  </si>
  <si>
    <t>-67.87530111 -45.86709441</t>
  </si>
  <si>
    <t>-67.87829248 -45.86820523</t>
  </si>
  <si>
    <t>-67.91902285 -45.88401169</t>
  </si>
  <si>
    <t>-67.83635942 -45.85907747</t>
  </si>
  <si>
    <t>-67.87226293 -45.87472228</t>
  </si>
  <si>
    <t>-67.96952973 -45.8860392</t>
  </si>
  <si>
    <t>-67.86552841 -45.87071955</t>
  </si>
  <si>
    <t>-67.88144361 -45.87053172</t>
  </si>
  <si>
    <t>-67.86579177 -45.86273642</t>
  </si>
  <si>
    <t>-67.85885791 -45.8690787</t>
  </si>
  <si>
    <t>-67.88170428 -45.86859863</t>
  </si>
  <si>
    <t>-67.88841067 -45.86540133</t>
  </si>
  <si>
    <t>-67.88470426 -45.86702267</t>
  </si>
  <si>
    <t>-67.85256287 -45.8708015</t>
  </si>
  <si>
    <t>-67.8588935 -45.87443129</t>
  </si>
  <si>
    <t>-67.86891343 -45.86940172</t>
  </si>
  <si>
    <t>-67.92604563 -45.88125368</t>
  </si>
  <si>
    <t>-67.87208955 -45.86852274</t>
  </si>
  <si>
    <t>-67.87545792 -45.87007243</t>
  </si>
  <si>
    <t>-67.87582696 -45.87362031</t>
  </si>
  <si>
    <t>-67.88129225 -45.87285669</t>
  </si>
  <si>
    <t>-67.88511415 -45.8749264</t>
  </si>
  <si>
    <t>-67.88504521 -45.87210725</t>
  </si>
  <si>
    <t>-67.89520646 -45.86559589</t>
  </si>
  <si>
    <t>-67.90551413 -45.86397475</t>
  </si>
  <si>
    <t>-67.90917641 -45.86476613</t>
  </si>
  <si>
    <t>-67.91006247 -45.86780539</t>
  </si>
  <si>
    <t>-67.92968482 -45.88517223</t>
  </si>
  <si>
    <t>-68.00782215 -45.88210561</t>
  </si>
  <si>
    <t>-67.8988753 -45.86669805</t>
  </si>
  <si>
    <t>-67.90629828 -45.866507</t>
  </si>
  <si>
    <t>-67.90241486 -45.86534688</t>
  </si>
  <si>
    <t>-67.89860307 -45.87190083</t>
  </si>
  <si>
    <t>-67.90812369 -45.87647166</t>
  </si>
  <si>
    <t>-67.90200809 -45.87637167</t>
  </si>
  <si>
    <t>-67.93991701 -45.8861</t>
  </si>
  <si>
    <t>-67.86803091 -45.87230485</t>
  </si>
  <si>
    <t>-67.87820614 -45.87156852</t>
  </si>
  <si>
    <t>-67.85882935 -45.87179542</t>
  </si>
  <si>
    <t>-67.87914983 -45.87497448</t>
  </si>
  <si>
    <t>-67.85651325 -45.88220843</t>
  </si>
  <si>
    <t>-67.90237631 -45.86810374</t>
  </si>
  <si>
    <t>-67.8849917 -45.86963722</t>
  </si>
  <si>
    <t>-67.88880717 -45.86815467</t>
  </si>
  <si>
    <t>-67.89194102 -45.86726393</t>
  </si>
  <si>
    <t>-67.94972726 -45.88693813</t>
  </si>
  <si>
    <t>-67.89524242 -45.86823309</t>
  </si>
  <si>
    <t>-67.88223082 -45.87915583</t>
  </si>
  <si>
    <t>-67.87897854 -45.87766371</t>
  </si>
  <si>
    <t>-67.87580898 -45.87623664</t>
  </si>
  <si>
    <t>-67.87209583 -45.87128047</t>
  </si>
  <si>
    <t>-67.90528029 -45.87486338</t>
  </si>
  <si>
    <t>-67.88842641 -45.87090404</t>
  </si>
  <si>
    <t>-67.89457873 -45.87060162</t>
  </si>
  <si>
    <t>-67.89156488 -45.86968492</t>
  </si>
  <si>
    <t>-67.88220216 -45.87628794</t>
  </si>
  <si>
    <t>-67.95650174 -45.8868325</t>
  </si>
  <si>
    <t>-67.89202706 -45.87769743</t>
  </si>
  <si>
    <t>-67.88515558 -45.87764642</t>
  </si>
  <si>
    <t>-67.88853976 -45.87880407</t>
  </si>
  <si>
    <t>-67.89527775 -45.87861112</t>
  </si>
  <si>
    <t>-67.89866753 -45.87754301</t>
  </si>
  <si>
    <t>-67.96454201 -45.85308005</t>
  </si>
  <si>
    <t>-67.95934777 -45.88250641</t>
  </si>
  <si>
    <t>-68.00717724 -45.85866785</t>
  </si>
  <si>
    <t>-68.0107975 -45.86298645</t>
  </si>
  <si>
    <t>-67.958393 -45.87134586</t>
  </si>
  <si>
    <t>-67.95650202 -45.87386891</t>
  </si>
  <si>
    <t>-67.895268 -45.8734552</t>
  </si>
  <si>
    <t>-67.8917361 -45.87226753</t>
  </si>
  <si>
    <t>-67.94925313 -45.88174808</t>
  </si>
  <si>
    <t>-67.88085052 -45.88709026</t>
  </si>
  <si>
    <t>-67.88841142 -45.87365221</t>
  </si>
  <si>
    <t>-67.8887044 -45.87631529</t>
  </si>
  <si>
    <t>-67.89863672 -45.87485225</t>
  </si>
  <si>
    <t>-67.89526896 -45.87625984</t>
  </si>
  <si>
    <t>-67.96214261 -45.87344787</t>
  </si>
  <si>
    <t>-67.95227562 -45.86697916</t>
  </si>
  <si>
    <t>-67.95439059 -45.86991779</t>
  </si>
  <si>
    <t>-67.99396112 -45.86239555</t>
  </si>
  <si>
    <t>-68.00076769 -45.86389961</t>
  </si>
  <si>
    <t>-67.99188036 -45.86445311</t>
  </si>
  <si>
    <t>-67.94607409 -45.88311995</t>
  </si>
  <si>
    <t>-67.99675186 -45.864425</t>
  </si>
  <si>
    <t>-67.9979117 -45.86191133</t>
  </si>
  <si>
    <t>-67.94258106 -45.87928487</t>
  </si>
  <si>
    <t>-67.94507114 -45.87733356</t>
  </si>
  <si>
    <t>-67.9617211 -45.86900579</t>
  </si>
  <si>
    <t>-67.9553409 -45.86276168</t>
  </si>
  <si>
    <t>-67.89196251 -45.8748794</t>
  </si>
  <si>
    <t>-67.94983615 -45.87396079</t>
  </si>
  <si>
    <t>-67.9535176 -45.87268033</t>
  </si>
  <si>
    <t>-67.93935418 -45.88340612</t>
  </si>
  <si>
    <t>-67.92053462 -45.87127057</t>
  </si>
  <si>
    <t>-67.91863427 -45.86235477</t>
  </si>
  <si>
    <t>-67.94974928 -45.87213834</t>
  </si>
  <si>
    <t>-67.96809601 -45.87220924</t>
  </si>
  <si>
    <t>-67.96434159 -45.87098249</t>
  </si>
  <si>
    <t>-68.00795638 -45.86120116</t>
  </si>
  <si>
    <t>-68.00518813 -45.86312362</t>
  </si>
  <si>
    <t>-67.95878257 -45.86340838</t>
  </si>
  <si>
    <t>-67.95011093 -45.86936834</t>
  </si>
  <si>
    <t>-67.94255555 -45.88454697</t>
  </si>
  <si>
    <t>-67.94574259 -45.87317924</t>
  </si>
  <si>
    <t>-67.94652784 -45.87046003</t>
  </si>
  <si>
    <t>-67.96149476 -45.85576589</t>
  </si>
  <si>
    <t>-67.96276308 -45.86655556</t>
  </si>
  <si>
    <t>-67.97129586 -45.86961889</t>
  </si>
  <si>
    <t>-67.97572674 -45.86647737</t>
  </si>
  <si>
    <t>-67.97199203 -45.86791002</t>
  </si>
  <si>
    <t>-67.94277872 -45.87009226</t>
  </si>
  <si>
    <t>-67.94628753 -45.88560005</t>
  </si>
  <si>
    <t>-67.94220009 -45.8727053</t>
  </si>
  <si>
    <t>-67.93353649 -45.86088532</t>
  </si>
  <si>
    <t>-67.93913831 -45.87094442</t>
  </si>
  <si>
    <t>-67.92204432 -45.86025045</t>
  </si>
  <si>
    <t>-67.98595338 -45.86279052</t>
  </si>
  <si>
    <t>-67.98206338 -45.86352335</t>
  </si>
  <si>
    <t>-67.97781889 -45.86412305</t>
  </si>
  <si>
    <t>-67.96758022 -45.86979473</t>
  </si>
  <si>
    <t>-67.95278475 -45.8854059</t>
  </si>
  <si>
    <t>-67.9492551 -45.87687451</t>
  </si>
  <si>
    <t>-67.96258505 -45.87617321</t>
  </si>
  <si>
    <t>-67.90218867 -45.8834673</t>
  </si>
  <si>
    <t>-67.93851665 -45.87356253</t>
  </si>
  <si>
    <t>-67.95630644 -45.88424642</t>
  </si>
  <si>
    <t>-67.98364252 -45.86827111</t>
  </si>
  <si>
    <t>-67.96572509 -45.87368099</t>
  </si>
  <si>
    <t>-67.98265584 -45.85532812</t>
  </si>
  <si>
    <t>-67.96323333 -45.86473674</t>
  </si>
  <si>
    <t>-67.93569762 -45.8717591</t>
  </si>
  <si>
    <t>-68.01815056 -45.86463869</t>
  </si>
  <si>
    <t>-67.97157481 -45.86531756</t>
  </si>
  <si>
    <t>-67.93297197 -45.88384007</t>
  </si>
  <si>
    <t>-67.94026881 -45.86394522</t>
  </si>
  <si>
    <t>-67.93638614 -45.8639203</t>
  </si>
  <si>
    <t>-67.92420465 -45.86240366</t>
  </si>
  <si>
    <t>-67.93322311 -45.86539389</t>
  </si>
  <si>
    <t>-67.99023202 -45.86204363</t>
  </si>
  <si>
    <t>-67.99921594 -45.85895007</t>
  </si>
  <si>
    <t>-67.99220337 -45.86057361</t>
  </si>
  <si>
    <t>-67.98446148 -45.86119753</t>
  </si>
  <si>
    <t>-68.02637643 -45.8649761</t>
  </si>
  <si>
    <t>-68.02341066 -45.86606207</t>
  </si>
  <si>
    <t>-67.93272836 -45.88104226</t>
  </si>
  <si>
    <t>-67.98485316 -45.85947976</t>
  </si>
  <si>
    <t>-67.98136482 -45.85869227</t>
  </si>
  <si>
    <t>-67.9459034 -45.88040255</t>
  </si>
  <si>
    <t>-67.95259842 -45.87763583</t>
  </si>
  <si>
    <t>-67.95927005 -45.87758334</t>
  </si>
  <si>
    <t>-67.97291164 -45.87520301</t>
  </si>
  <si>
    <t>-67.97987219 -45.87199291</t>
  </si>
  <si>
    <t>-67.92497823 -45.87123842</t>
  </si>
  <si>
    <t>-67.933282 -45.87018527</t>
  </si>
  <si>
    <t>-67.93623372 -45.88237227</t>
  </si>
  <si>
    <t>-67.94016816 -45.86304785</t>
  </si>
  <si>
    <t>-67.93652197 -45.86222667</t>
  </si>
  <si>
    <t>-67.9330831 -45.86325505</t>
  </si>
  <si>
    <t>-67.91655014 -45.868493</t>
  </si>
  <si>
    <t>-67.98720029 -45.85224357</t>
  </si>
  <si>
    <t>-67.97991539 -45.85426196</t>
  </si>
  <si>
    <t>-67.97344645 -45.85619364</t>
  </si>
  <si>
    <t>-67.90669842 -45.86068564</t>
  </si>
  <si>
    <t>-67.93031205 -45.86224229</t>
  </si>
  <si>
    <t>-67.94250973 -45.88184313</t>
  </si>
  <si>
    <t>-67.87931365 -45.88515467</t>
  </si>
  <si>
    <t>-67.96888425 -45.85562391</t>
  </si>
  <si>
    <t>-67.97657227 -45.85465436</t>
  </si>
  <si>
    <t>-67.98345012 -45.85310949</t>
  </si>
  <si>
    <t>-67.88934482 -45.88367092</t>
  </si>
  <si>
    <t>-68.02162287 -45.86491535</t>
  </si>
  <si>
    <t>-67.97806312 -45.86131529</t>
  </si>
  <si>
    <t>-67.97805617 -45.85962835</t>
  </si>
  <si>
    <t>-67.97543611 -45.85876585</t>
  </si>
  <si>
    <t>-67.97062811 -45.85914674</t>
  </si>
  <si>
    <t>-67.95285891 -45.88298809</t>
  </si>
  <si>
    <t>-67.96827866 -45.86435695</t>
  </si>
  <si>
    <t>-67.97905112 -45.87422359</t>
  </si>
  <si>
    <t>-67.98373685 -45.87031681</t>
  </si>
  <si>
    <t>-67.98895281 -45.86742251</t>
  </si>
  <si>
    <t>-67.99912755 -45.86739172</t>
  </si>
  <si>
    <t>-67.9957088 -45.85963337</t>
  </si>
  <si>
    <t>-67.93965509 -45.86091672</t>
  </si>
  <si>
    <t>-67.9427223 -45.8615141</t>
  </si>
  <si>
    <t>-67.97128185 -45.85431383</t>
  </si>
  <si>
    <t>-67.99553138 -45.86789753</t>
  </si>
  <si>
    <t>-67.94569946 -45.86221924</t>
  </si>
  <si>
    <t>-67.92916705 -45.87686758</t>
  </si>
  <si>
    <t>-67.92362471 -45.87663197</t>
  </si>
  <si>
    <t>-67.9207597 -45.87774644</t>
  </si>
  <si>
    <t>-67.93043012 -45.86889664</t>
  </si>
  <si>
    <t>-67.98846782 -45.8602303</t>
  </si>
  <si>
    <t>-67.88498361 -45.90140982</t>
  </si>
  <si>
    <t>-67.94483649 -45.8845247</t>
  </si>
  <si>
    <t>-67.9546167 -45.88506443</t>
  </si>
  <si>
    <t>-67.95495587 -45.8875866</t>
  </si>
  <si>
    <t>-67.94007097 -45.88448059</t>
  </si>
  <si>
    <t>-67.93895804 -45.88204116</t>
  </si>
  <si>
    <t>-67.8729107 -45.86822856</t>
  </si>
  <si>
    <t>-67.98073146 -45.85218722</t>
  </si>
  <si>
    <t>-67.85775764 -45.89691246</t>
  </si>
  <si>
    <t>-67.87401 -45.90242679</t>
  </si>
  <si>
    <t>-67.87749311 -45.90223614</t>
  </si>
  <si>
    <t>-67.9688479 -45.86924263</t>
  </si>
  <si>
    <t>-67.88111477 -45.88873169</t>
  </si>
  <si>
    <t>-67.88335575 -45.89262218</t>
  </si>
  <si>
    <t>-67.86456115 -45.89914262</t>
  </si>
  <si>
    <t>-67.86208039 -45.89761271</t>
  </si>
  <si>
    <t>-67.88283131 -45.8994995</t>
  </si>
  <si>
    <t>-67.86778786 -45.90024848</t>
  </si>
  <si>
    <t>-67.92477777 -45.86902425</t>
  </si>
  <si>
    <t>-67.87136842 -45.90083234</t>
  </si>
  <si>
    <t>-67.9341534 -45.87731816</t>
  </si>
  <si>
    <t>-67.95178221 -45.88666191</t>
  </si>
  <si>
    <t>-67.93588554 -45.8836543</t>
  </si>
  <si>
    <t>-67.85948859 -45.89472907</t>
  </si>
  <si>
    <t>-67.85521863 -45.89409907</t>
  </si>
  <si>
    <t>-67.86618307 -45.89684928</t>
  </si>
  <si>
    <t>-67.87638486 -45.90010492</t>
  </si>
  <si>
    <t>-67.86988086 -45.90270091</t>
  </si>
  <si>
    <t>-67.93326477 -45.86771282</t>
  </si>
  <si>
    <t>-67.8559321 -45.89402021</t>
  </si>
  <si>
    <t>-67.87600509 -45.90013168</t>
  </si>
  <si>
    <t>-67.88069709 -45.8911118</t>
  </si>
  <si>
    <t>-67.8694366 -45.89824775</t>
  </si>
  <si>
    <t>-67.94746568 -45.88694764</t>
  </si>
  <si>
    <t>-67.88049412 -45.89765426</t>
  </si>
  <si>
    <t>-67.86301998 -45.89560501</t>
  </si>
  <si>
    <t>-67.90260909 -45.92466322</t>
  </si>
  <si>
    <t>-67.87284534 -45.89882294</t>
  </si>
  <si>
    <t>-67.88126058 -45.90229604</t>
  </si>
  <si>
    <t>-67.93025055 -45.864455</t>
  </si>
  <si>
    <t>-67.87813787 -45.88993585</t>
  </si>
  <si>
    <t>-67.86797017 -45.89505687</t>
  </si>
  <si>
    <t>-67.88155956 -45.89544783</t>
  </si>
  <si>
    <t>-67.87162467 -45.89615328</t>
  </si>
  <si>
    <t>-67.86504739 -45.89456671</t>
  </si>
  <si>
    <t>-67.87660436 -45.89789111</t>
  </si>
  <si>
    <t>-67.87768072 -45.89180609</t>
  </si>
  <si>
    <t>-67.86962065 -45.89326713</t>
  </si>
  <si>
    <t>-67.93803519 -45.88653092</t>
  </si>
  <si>
    <t>-67.94198922 -45.88653728</t>
  </si>
  <si>
    <t>-67.92427633 -45.86463606</t>
  </si>
  <si>
    <t>-67.94030264 -45.89356218</t>
  </si>
  <si>
    <t>-67.8703009 -45.89288745</t>
  </si>
  <si>
    <t>-67.87350417 -45.89236821</t>
  </si>
  <si>
    <t>-67.86269634 -45.8576934</t>
  </si>
  <si>
    <t>-67.86008744 -45.85498404</t>
  </si>
  <si>
    <t>-67.8799303 -45.89359628</t>
  </si>
  <si>
    <t>-67.87484942 -45.89595746</t>
  </si>
  <si>
    <t>-67.97210028 -45.88946166</t>
  </si>
  <si>
    <t>-67.94165257 -45.89056773</t>
  </si>
  <si>
    <t>-67.90344271 -45.8805672</t>
  </si>
  <si>
    <t>-67.86151916 -45.89254163</t>
  </si>
  <si>
    <t>-67.85093028 -45.88433862</t>
  </si>
  <si>
    <t>-67.92758265 -45.88993498</t>
  </si>
  <si>
    <t>-67.93992923 -45.88854577</t>
  </si>
  <si>
    <t>-67.8632243 -45.85544803</t>
  </si>
  <si>
    <t>-67.87597121 -45.89385401</t>
  </si>
  <si>
    <t>-67.90753763 -45.89070583</t>
  </si>
  <si>
    <t>-67.94463084 -45.88987356</t>
  </si>
  <si>
    <t>-67.86687975 -45.89168688</t>
  </si>
  <si>
    <t>-67.94785101 -45.85914312</t>
  </si>
  <si>
    <t>-67.84957451 -45.88786751</t>
  </si>
  <si>
    <t>-67.96633372 -45.88873533</t>
  </si>
  <si>
    <t>-67.89164408 -45.91850265</t>
  </si>
  <si>
    <t>-67.93581454 -45.88863383</t>
  </si>
  <si>
    <t>-67.82277878 -45.88156147</t>
  </si>
  <si>
    <t>-67.84840449 -45.87890923</t>
  </si>
  <si>
    <t>-67.78652873 -45.86028133</t>
  </si>
  <si>
    <t>-67.85994544 -45.89074459</t>
  </si>
  <si>
    <t>-67.85772472 -45.89223385</t>
  </si>
  <si>
    <t>-67.90418073 -45.92703668</t>
  </si>
  <si>
    <t>-68.01976448 -45.86648518</t>
  </si>
  <si>
    <t>-67.87112696 -45.88890334</t>
  </si>
  <si>
    <t>-67.91406535 -45.92603076</t>
  </si>
  <si>
    <t>-67.86819029 -45.88904792</t>
  </si>
  <si>
    <t>-67.85313424 -45.8900104</t>
  </si>
  <si>
    <t>-67.86328043 -45.89089136</t>
  </si>
  <si>
    <t>-67.90777463 -45.92772469</t>
  </si>
  <si>
    <t>-67.8698153 -45.88712675</t>
  </si>
  <si>
    <t>-67.86520231 -45.88917465</t>
  </si>
  <si>
    <t>-67.84470942 -45.89025472</t>
  </si>
  <si>
    <t>-67.89415644 -45.91643339</t>
  </si>
  <si>
    <t>-67.95745782 -45.85967194</t>
  </si>
  <si>
    <t>-67.86201513 -45.88564989</t>
  </si>
  <si>
    <t>-67.85652652 -45.89043864</t>
  </si>
  <si>
    <t>-67.85259134 -45.88819644</t>
  </si>
  <si>
    <t>-67.96788172 -45.87830256</t>
  </si>
  <si>
    <t>-67.85493998 -45.88481908</t>
  </si>
  <si>
    <t>-67.86653014 -45.86909111</t>
  </si>
  <si>
    <t>-67.84298046 -45.89354323</t>
  </si>
  <si>
    <t>-67.84894709 -45.88576073</t>
  </si>
  <si>
    <t>-67.94723827 -45.87671973</t>
  </si>
  <si>
    <t>-67.95502272 -45.87715106</t>
  </si>
  <si>
    <t>-67.95061828 -45.8577165</t>
  </si>
  <si>
    <t>-67.92974857 -45.92193359</t>
  </si>
  <si>
    <t>-67.95174739 -45.91238069</t>
  </si>
  <si>
    <t>-67.8948966 -45.91911867</t>
  </si>
  <si>
    <t>-67.83699693 -45.85446351</t>
  </si>
  <si>
    <t>-68.01021322 -45.86894548</t>
  </si>
  <si>
    <t>-67.86188362 -45.88914946</t>
  </si>
  <si>
    <t>-68.00967177 -45.86346603</t>
  </si>
  <si>
    <t>-68.00353282 -45.873189</t>
  </si>
  <si>
    <t>-67.86685323 -45.88712476</t>
  </si>
  <si>
    <t>-67.85537987 -45.88855243</t>
  </si>
  <si>
    <t>-67.93504583 -45.85773193</t>
  </si>
  <si>
    <t>-67.87842608 -45.89585515</t>
  </si>
  <si>
    <t>-67.83919425 -45.89240966</t>
  </si>
  <si>
    <t>-67.85159293 -45.88612644</t>
  </si>
  <si>
    <t>-68.0129057 -45.86088542</t>
  </si>
  <si>
    <t>-67.95292515 -45.85167118</t>
  </si>
  <si>
    <t>-67.85908094 -45.88593849</t>
  </si>
  <si>
    <t>-67.99449118 -45.87306247</t>
  </si>
  <si>
    <t>-67.88710398 -45.86944729</t>
  </si>
  <si>
    <t>-67.99035969 -45.8762868</t>
  </si>
  <si>
    <t>-67.96566938 -45.87791891</t>
  </si>
  <si>
    <t>-67.93237205 -45.87663838</t>
  </si>
  <si>
    <t>-67.91830981 -45.86407906</t>
  </si>
  <si>
    <t>-67.83473207 -45.86735073</t>
  </si>
  <si>
    <t>-67.89021297 -45.86073174</t>
  </si>
  <si>
    <t>-67.86071597 -45.88116865</t>
  </si>
  <si>
    <t>-67.82495429 -45.87300849</t>
  </si>
  <si>
    <t>-67.85112203 -45.88017373</t>
  </si>
  <si>
    <t>-67.92068032 -45.86801505</t>
  </si>
  <si>
    <t>-67.87937774 -45.85979027</t>
  </si>
  <si>
    <t>-67.9130059 -45.86729039</t>
  </si>
  <si>
    <t>-67.88408746 -45.89018223</t>
  </si>
  <si>
    <t>-67.96587392 -45.87543336</t>
  </si>
  <si>
    <t>-67.8693122 -45.8842458</t>
  </si>
  <si>
    <t>-67.96997539 -45.88417497</t>
  </si>
  <si>
    <t>-67.96902539 -45.88194449</t>
  </si>
  <si>
    <t>-68.01664295 -45.87109696</t>
  </si>
  <si>
    <t>-68.0018717 -45.87149491</t>
  </si>
  <si>
    <t>-67.85821176 -45.88888764</t>
  </si>
  <si>
    <t>-67.85399644 -45.88640005</t>
  </si>
  <si>
    <t>-67.87507141 -45.85623923</t>
  </si>
  <si>
    <t>-67.98143626 -45.87223808</t>
  </si>
  <si>
    <t>-67.98266886 -45.87140175</t>
  </si>
  <si>
    <t>-67.98361748 -45.87237905</t>
  </si>
  <si>
    <t>-67.96844422 -45.85339307</t>
  </si>
  <si>
    <t>-67.93055226 -45.86360952</t>
  </si>
  <si>
    <t>-67.93120681 -45.86225885</t>
  </si>
  <si>
    <t>-67.86649364 -45.8559971</t>
  </si>
  <si>
    <t>-67.99707801 -45.87306235</t>
  </si>
  <si>
    <t>-67.9979566 -45.87205389</t>
  </si>
  <si>
    <t>-67.99743076 -45.87213204</t>
  </si>
  <si>
    <t>-67.92161749 -45.86392509</t>
  </si>
  <si>
    <t>-67.8072436 -45.85498762</t>
  </si>
  <si>
    <t>-67.93392737 -45.859992</t>
  </si>
  <si>
    <t>-67.98225566 -45.86574518</t>
  </si>
  <si>
    <t>-67.92776314 -45.87008827</t>
  </si>
  <si>
    <t>-67.96714914 -45.87702669</t>
  </si>
  <si>
    <t>-67.90022567 -45.85540767</t>
  </si>
  <si>
    <t>-68.00047272 -45.85351329</t>
  </si>
  <si>
    <t>-67.84140349 -45.89173196</t>
  </si>
  <si>
    <t>-67.89334262 -45.86982277</t>
  </si>
  <si>
    <t>-67.96360451 -45.86231558</t>
  </si>
  <si>
    <t>-67.95694256 -45.85847796</t>
  </si>
  <si>
    <t>-67.95155064 -45.87647635</t>
  </si>
  <si>
    <t>-67.94031229 -45.85896585</t>
  </si>
  <si>
    <t>-67.846446 -45.89181519</t>
  </si>
  <si>
    <t>-68.00170055 -45.8618692</t>
  </si>
  <si>
    <t>-67.92973166 -45.86112334</t>
  </si>
  <si>
    <t>-67.97266803 -45.88068484</t>
  </si>
  <si>
    <t>-67.97160221 -45.88330453</t>
  </si>
  <si>
    <t>-67.97418542 -45.8833102</t>
  </si>
  <si>
    <t>-67.97103212 -45.86191282</t>
  </si>
  <si>
    <t>-67.95095172 -45.88235468</t>
  </si>
  <si>
    <t>-67.95111591 -45.88092653</t>
  </si>
  <si>
    <t>-67.954584 -45.88309233</t>
  </si>
  <si>
    <t>-67.95319339 -45.88166748</t>
  </si>
  <si>
    <t>-67.87624464 -45.86324951</t>
  </si>
  <si>
    <t>-67.98446825 -45.86532339</t>
  </si>
  <si>
    <t>-67.88514566 -45.86306402</t>
  </si>
  <si>
    <t>-67.89332389 -45.86624388</t>
  </si>
  <si>
    <t>-67.90097274 -45.86851399</t>
  </si>
  <si>
    <t>-67.88161815 -45.85881773</t>
  </si>
  <si>
    <t>-67.85703554 -45.88670822</t>
  </si>
  <si>
    <t>-67.88934436 -45.86899335</t>
  </si>
  <si>
    <t>-67.86329779 -45.87363814</t>
  </si>
  <si>
    <t>-67.89779792 -45.86312838</t>
  </si>
  <si>
    <t>-67.95789863 -45.9184072</t>
  </si>
  <si>
    <t>-67.96260538 -45.87628504</t>
  </si>
  <si>
    <t>-67.93045899 -45.87199061</t>
  </si>
  <si>
    <t>-67.89747947 -45.85914201</t>
  </si>
  <si>
    <t>-67.98595749 -45.86942688</t>
  </si>
  <si>
    <t>-67.96020228 -45.87662649</t>
  </si>
  <si>
    <t>-67.95749384 -45.8768117</t>
  </si>
  <si>
    <t>-67.9272817 -45.85903741</t>
  </si>
  <si>
    <t>-67.86919632 -45.85619455</t>
  </si>
  <si>
    <t>-67.86365229 -45.88726949</t>
  </si>
  <si>
    <t>-68.0025946 -45.86781564</t>
  </si>
  <si>
    <t>-68.00080119 -45.86808139</t>
  </si>
  <si>
    <t>-67.96782021 -45.87637267</t>
  </si>
  <si>
    <t>-67.93029002 -45.86668754</t>
  </si>
  <si>
    <t>-67.99256365 -45.87036853</t>
  </si>
  <si>
    <t>-67.92686952 -45.90727478</t>
  </si>
  <si>
    <t>-67.9981803 -45.86938806</t>
  </si>
  <si>
    <t>-67.99918954 -45.86902534</t>
  </si>
  <si>
    <t>-68.00444366 -45.86928644</t>
  </si>
  <si>
    <t>-67.92882882 -45.92622679</t>
  </si>
  <si>
    <t>-67.98384319 -45.86921114</t>
  </si>
  <si>
    <t>-68.00484544 -45.86715916</t>
  </si>
  <si>
    <t>-67.88068351 -45.8834823</t>
  </si>
  <si>
    <t>-67.87121461 -45.8823951</t>
  </si>
  <si>
    <t>-68.0127725 -45.86728974</t>
  </si>
  <si>
    <t>-67.95347139 -45.87628758</t>
  </si>
  <si>
    <t>-68.0106323 -45.86038668</t>
  </si>
  <si>
    <t>-67.89665012 -45.86917164</t>
  </si>
  <si>
    <t>-67.97135035 -45.8817522</t>
  </si>
  <si>
    <t>-67.86331328 -45.86669187</t>
  </si>
  <si>
    <t>-67.90071017 -45.92674612</t>
  </si>
  <si>
    <t>-67.86703039 -45.88312685</t>
  </si>
  <si>
    <t>-67.82044095 -45.86465432</t>
  </si>
  <si>
    <t>-67.88574793 -45.85866319</t>
  </si>
  <si>
    <t>-67.95608568 -45.8759708</t>
  </si>
  <si>
    <t>-67.91545261 -45.87849861</t>
  </si>
  <si>
    <t>-67.92178415 -45.91276334</t>
  </si>
  <si>
    <t>-67.82727683 -45.88061818</t>
  </si>
  <si>
    <t>-67.97621382 -45.88197066</t>
  </si>
  <si>
    <t>-67.99283378 -45.87361601</t>
  </si>
  <si>
    <t>-67.89466992 -45.91293356</t>
  </si>
  <si>
    <t>-68.0077433 -45.86293047</t>
  </si>
  <si>
    <t>-67.91766783 -45.92199874</t>
  </si>
  <si>
    <t>-67.89682175 -45.86120855</t>
  </si>
  <si>
    <t>-67.90098858 -45.88903898</t>
  </si>
  <si>
    <t>-67.91575239 -45.86551598</t>
  </si>
  <si>
    <t>-67.90629113 -45.88017886</t>
  </si>
  <si>
    <t>-67.95701502 -45.86620044</t>
  </si>
  <si>
    <t>-67.8854527 -45.92167413</t>
  </si>
  <si>
    <t>-67.8972875 -45.92186977</t>
  </si>
  <si>
    <t>-67.92440714 -45.89809857</t>
  </si>
  <si>
    <t>-67.92696483 -45.91132509</t>
  </si>
  <si>
    <t>-67.96898996 -45.86789944</t>
  </si>
  <si>
    <t>-67.95866674 -45.87595626</t>
  </si>
  <si>
    <t>-67.99842402 -45.86757817</t>
  </si>
  <si>
    <t>-67.85862453 -45.86123384</t>
  </si>
  <si>
    <t>-67.84371933 -45.8921183</t>
  </si>
  <si>
    <t>-67.91191949 -45.87938061</t>
  </si>
  <si>
    <t>-67.98373313 -45.89220254</t>
  </si>
  <si>
    <t>-67.97468706 -45.8747209</t>
  </si>
  <si>
    <t>-67.81380528 -45.86885432</t>
  </si>
  <si>
    <t>-67.8187144 -45.86699435</t>
  </si>
  <si>
    <t>-67.96522239 -45.87643672</t>
  </si>
  <si>
    <t>-67.97739898 -45.85391408</t>
  </si>
  <si>
    <t>-67.91006671 -45.91285318</t>
  </si>
  <si>
    <t>-67.91425265 -45.85778817</t>
  </si>
  <si>
    <t>-67.89545197 -45.86858326</t>
  </si>
  <si>
    <t>-67.88589584 -45.85818603</t>
  </si>
  <si>
    <t>-67.98621539 -45.86906201</t>
  </si>
  <si>
    <t>-67.9680531 -45.85437396</t>
  </si>
  <si>
    <t>-67.92568273 -45.86555172</t>
  </si>
  <si>
    <t>-67.82303608 -45.86543176</t>
  </si>
  <si>
    <t>-67.97168684 -45.8946769</t>
  </si>
  <si>
    <t>-67.86252974 -45.86187269</t>
  </si>
  <si>
    <t>-67.94614101 -45.86156482</t>
  </si>
  <si>
    <t>-67.90364689 -45.86131038</t>
  </si>
  <si>
    <t>-67.92009355 -45.86527701</t>
  </si>
  <si>
    <t>-67.96800036 -45.91297351</t>
  </si>
  <si>
    <t>-67.96815064 -45.91289687</t>
  </si>
  <si>
    <t>-67.97501847 -45.88066514</t>
  </si>
  <si>
    <t>-67.99243725 -45.86880414</t>
  </si>
  <si>
    <t>-67.97764389 -45.88001208</t>
  </si>
  <si>
    <t>-67.91093971 -45.86527418</t>
  </si>
  <si>
    <t>-67.97095233 -45.87590105</t>
  </si>
  <si>
    <t>-67.82073586 -45.8548351</t>
  </si>
  <si>
    <t>-67.99266633 -45.87485032</t>
  </si>
  <si>
    <t>-67.99214095 -45.87494375</t>
  </si>
  <si>
    <t>-67.98716236 -45.8744899</t>
  </si>
  <si>
    <t>-67.98435581 -45.87488606</t>
  </si>
  <si>
    <t>-67.98406205 -45.87459084</t>
  </si>
  <si>
    <t>-67.82495492 -45.88019856</t>
  </si>
  <si>
    <t>-67.99907754 -45.8692598</t>
  </si>
  <si>
    <t>-67.88329735 -45.86202468</t>
  </si>
  <si>
    <t>-67.95720623 -45.87256309</t>
  </si>
  <si>
    <t>-67.95416096 -45.89058835</t>
  </si>
  <si>
    <t>-68.0009024 -45.8670472</t>
  </si>
  <si>
    <t>-67.93938002 -45.87863178</t>
  </si>
  <si>
    <t>-67.89970971 -45.85679315</t>
  </si>
  <si>
    <t>-67.94741116 -45.89163645</t>
  </si>
  <si>
    <t>-67.99347074 -45.87229992</t>
  </si>
  <si>
    <t>-67.86045923 -45.88724171</t>
  </si>
  <si>
    <t>-67.9612454 -45.87560985</t>
  </si>
  <si>
    <t>-67.92478129 -45.86687146</t>
  </si>
  <si>
    <t>-67.93049613 -45.88305859</t>
  </si>
  <si>
    <t>-67.86752908 -45.85773082</t>
  </si>
  <si>
    <t>-67.95269672 -45.88342498</t>
  </si>
  <si>
    <t>-67.87242565 -45.85686269</t>
  </si>
  <si>
    <t>-67.99019767 -45.87347021</t>
  </si>
  <si>
    <t>-67.91957453 -45.87370778</t>
  </si>
  <si>
    <t>-67.92487446 -45.8704231</t>
  </si>
  <si>
    <t>-67.92519429 -45.90948979</t>
  </si>
  <si>
    <t>-67.98197943 -45.89056257</t>
  </si>
  <si>
    <t>-67.9462724 -45.87137334</t>
  </si>
  <si>
    <t>-67.94780419 -45.86081977</t>
  </si>
  <si>
    <t>-67.90106153 -45.92208325</t>
  </si>
  <si>
    <t>-67.859516 -45.87831444</t>
  </si>
  <si>
    <t>-67.93820898 -45.86621382</t>
  </si>
  <si>
    <t>-67.96414173 -45.87523514</t>
  </si>
  <si>
    <t>-67.87319628 -45.86441938</t>
  </si>
  <si>
    <t>-67.88072073 -45.86731686</t>
  </si>
  <si>
    <t>-67.90293219 -45.8836944</t>
  </si>
  <si>
    <t>-67.9868367 -45.87077375</t>
  </si>
  <si>
    <t>-67.99024475 -45.86974641</t>
  </si>
  <si>
    <t>-67.81633269 -45.86814359</t>
  </si>
  <si>
    <t>-67.94548221 -45.86646278</t>
  </si>
  <si>
    <t>-67.86537325 -45.87244509</t>
  </si>
  <si>
    <t>-68.00265219 -45.87027578</t>
  </si>
  <si>
    <t>-67.8734457 -45.87858353</t>
  </si>
  <si>
    <t>-67.96510786 -45.86668966</t>
  </si>
  <si>
    <t>-67.91549706 -45.88009996</t>
  </si>
  <si>
    <t>-67.88480383 -45.87512166</t>
  </si>
  <si>
    <t>-67.96948958 -45.89363794</t>
  </si>
  <si>
    <t>-67.97886335 -45.8939859</t>
  </si>
  <si>
    <t>-67.81334205 -45.86189156</t>
  </si>
  <si>
    <t>-67.99983351 -45.87214046</t>
  </si>
  <si>
    <t>-68.01888103 -45.86869015</t>
  </si>
  <si>
    <t>-68.01323141 -45.86984796</t>
  </si>
  <si>
    <t>-67.95489871 -45.86403265</t>
  </si>
  <si>
    <t>-67.86881569 -45.87427013</t>
  </si>
  <si>
    <t>-67.82151826 -45.86746063</t>
  </si>
  <si>
    <t>-67.98746766 -45.87309869</t>
  </si>
  <si>
    <t>-67.91179123 -45.87012197</t>
  </si>
  <si>
    <t>-67.92885189 -45.87112842</t>
  </si>
  <si>
    <t>-67.96108026 -45.87118338</t>
  </si>
  <si>
    <t>-67.95188123 -45.87007275</t>
  </si>
  <si>
    <t>-67.92126103 -45.87456356</t>
  </si>
  <si>
    <t>-67.98816032 -45.8579739</t>
  </si>
  <si>
    <t>-67.99102058 -45.85840943</t>
  </si>
  <si>
    <t>-67.84737753 -45.85568862</t>
  </si>
  <si>
    <t>-67.95610675 -45.87170205</t>
  </si>
  <si>
    <t>-67.94942594 -45.85854239</t>
  </si>
  <si>
    <t>-67.8368979 -45.88451241</t>
  </si>
  <si>
    <t>-67.98529724 -45.86913902</t>
  </si>
  <si>
    <t>-67.96785643 -45.85463471</t>
  </si>
  <si>
    <t>-67.93809539 -45.86091501</t>
  </si>
  <si>
    <t>-67.9260095 -45.86162722</t>
  </si>
  <si>
    <t>-67.95625312 -45.85439402</t>
  </si>
  <si>
    <t>-67.97584426 -45.86120753</t>
  </si>
  <si>
    <t>-67.96133359 -45.86691756</t>
  </si>
  <si>
    <t>-67.95075242 -45.86791677</t>
  </si>
  <si>
    <t>-67.9672039 -45.87497495</t>
  </si>
  <si>
    <t>-67.99174523 -45.8677107</t>
  </si>
  <si>
    <t>-67.8687612 -45.87722815</t>
  </si>
  <si>
    <t>-67.81826245 -45.87021787</t>
  </si>
  <si>
    <t>-67.93530582 -45.86512992</t>
  </si>
  <si>
    <t>-67.94406948 -45.86804899</t>
  </si>
  <si>
    <t>-67.9454304 -45.86503525</t>
  </si>
  <si>
    <t>-67.94752321 -45.86904962</t>
  </si>
  <si>
    <t>-67.98302503 -45.87238646</t>
  </si>
  <si>
    <t>-67.94261331 -45.86192442</t>
  </si>
  <si>
    <t>-67.94101534 -45.86696087</t>
  </si>
  <si>
    <t>-67.94071409 -45.86713913</t>
  </si>
  <si>
    <t>-67.87142456 -45.86246894</t>
  </si>
  <si>
    <t>-67.86119926 -45.8582863</t>
  </si>
  <si>
    <t>-67.85800456 -45.85865306</t>
  </si>
  <si>
    <t>-67.87179317 -45.86271981</t>
  </si>
  <si>
    <t>-67.9092137 -45.86206261</t>
  </si>
  <si>
    <t>-67.89678245 -45.86416931</t>
  </si>
  <si>
    <t>-67.90598587 -45.86111723</t>
  </si>
  <si>
    <t>-67.90094134 -45.86284774</t>
  </si>
  <si>
    <t>-67.90615926 -45.88197567</t>
  </si>
  <si>
    <t>-67.90205676 -45.86168943</t>
  </si>
  <si>
    <t>-67.89073352 -45.8622881</t>
  </si>
  <si>
    <t>-67.8924736 -45.86523062</t>
  </si>
  <si>
    <t>-67.87444477 -45.86135588</t>
  </si>
  <si>
    <t>-67.99112206 -45.85320916</t>
  </si>
  <si>
    <t>-67.87737119 -45.8572649</t>
  </si>
  <si>
    <t>-67.99038725 -45.85109132</t>
  </si>
  <si>
    <t>-67.87501635 -45.91679399</t>
  </si>
  <si>
    <t>-67.93432411 -45.87252478</t>
  </si>
  <si>
    <t>-67.96267485 -45.89061558</t>
  </si>
  <si>
    <t>-67.93224696 -45.87887217</t>
  </si>
  <si>
    <t>-67.92339949 -45.91107871</t>
  </si>
  <si>
    <t>-67.86141953 -45.88002175</t>
  </si>
  <si>
    <t>-67.9210664 -45.87704706</t>
  </si>
  <si>
    <t>-67.96836168 -45.85192469</t>
  </si>
  <si>
    <t>-67.86795859 -45.88799202</t>
  </si>
  <si>
    <t>-67.92639145 -45.87349162</t>
  </si>
  <si>
    <t>-67.91608259 -45.87031786</t>
  </si>
  <si>
    <t>-68.00209717 -45.85425326</t>
  </si>
  <si>
    <t>-67.97750972 -45.857618</t>
  </si>
  <si>
    <t>-67.98563539 -45.85778804</t>
  </si>
  <si>
    <t>-67.91867661 -45.87916361</t>
  </si>
  <si>
    <t>-67.90749935 -45.87117618</t>
  </si>
  <si>
    <t>-67.90157634 -45.87835903</t>
  </si>
  <si>
    <t>-67.899083 -45.87328051</t>
  </si>
  <si>
    <t>-67.98023252 -45.89201679</t>
  </si>
  <si>
    <t>-68.00013115 -45.87419939</t>
  </si>
  <si>
    <t>-68.00387521 -45.87218355</t>
  </si>
  <si>
    <t>-67.98130167 -45.87065913</t>
  </si>
  <si>
    <t>-67.95357352 -45.86811546</t>
  </si>
  <si>
    <t>-67.9578705 -45.86779037</t>
  </si>
  <si>
    <t>-67.91624678 -45.87867996</t>
  </si>
  <si>
    <t>-67.90891537 -45.88072557</t>
  </si>
  <si>
    <t>-67.89805175 -45.8762384</t>
  </si>
  <si>
    <t>-67.86910326 -45.88642264</t>
  </si>
  <si>
    <t>-67.86960757 -45.87106047</t>
  </si>
  <si>
    <t>-67.99437986 -45.8677879</t>
  </si>
  <si>
    <t>-67.99897388 -45.87088721</t>
  </si>
  <si>
    <t>-67.99564785 -45.87171297</t>
  </si>
  <si>
    <t>-67.97942451 -45.87251324</t>
  </si>
  <si>
    <t>-67.88292455 -45.86962503</t>
  </si>
  <si>
    <t>-67.89489679 -45.87455424</t>
  </si>
  <si>
    <t>-67.87602778 -45.91201315</t>
  </si>
  <si>
    <t>-67.96760714 -45.86770099</t>
  </si>
  <si>
    <t>-67.91076944 -45.87927096</t>
  </si>
  <si>
    <t>-67.89009239 -45.87601642</t>
  </si>
  <si>
    <t>-67.87204222 -45.86584557</t>
  </si>
  <si>
    <t>-67.8876967 -45.87477047</t>
  </si>
  <si>
    <t>-67.95993517 -45.89286656</t>
  </si>
  <si>
    <t>-67.96375293 -45.89458506</t>
  </si>
  <si>
    <t>-67.87327595 -45.87129886</t>
  </si>
  <si>
    <t>-67.89952052 -45.86070544</t>
  </si>
  <si>
    <t>-67.89573099 -45.86503534</t>
  </si>
  <si>
    <t>-68.01100811 -45.86775293</t>
  </si>
  <si>
    <t>-67.92759808 -45.86788307</t>
  </si>
  <si>
    <t>-68.00680603 -45.86786519</t>
  </si>
  <si>
    <t>-68.01073989 -45.86786738</t>
  </si>
  <si>
    <t>-67.99672021 -45.86740128</t>
  </si>
  <si>
    <t>-67.92209124 -45.86928836</t>
  </si>
  <si>
    <t>-67.80810998 -45.84984063</t>
  </si>
  <si>
    <t>-67.91214619 -45.88124859</t>
  </si>
  <si>
    <t>-67.84750746 -45.85754506</t>
  </si>
  <si>
    <t>-67.88421848 -45.87259067</t>
  </si>
  <si>
    <t>-67.87193558 -45.87471338</t>
  </si>
  <si>
    <t>-68.00014886 -45.86303483</t>
  </si>
  <si>
    <t>-67.96594097 -45.87738085</t>
  </si>
  <si>
    <t>-68.00295033 -45.86344176</t>
  </si>
  <si>
    <t>-67.90201967 -45.87467843</t>
  </si>
  <si>
    <t>-67.90446792 -45.8715682</t>
  </si>
  <si>
    <t>-67.93089091 -45.85239801</t>
  </si>
  <si>
    <t>-67.87098033 -45.88751838</t>
  </si>
  <si>
    <t>-67.87661058 -45.88889945</t>
  </si>
  <si>
    <t>-67.9980546 -45.85260837</t>
  </si>
  <si>
    <t>-67.99485241 -45.85109353</t>
  </si>
  <si>
    <t>-67.92158978 -45.85720014</t>
  </si>
  <si>
    <t>-67.8789511 -45.87665185</t>
  </si>
  <si>
    <t>-67.97404757 -45.85313584</t>
  </si>
  <si>
    <t>-68.00533143 -45.85441605</t>
  </si>
  <si>
    <t>-67.9316989 -45.86033267</t>
  </si>
  <si>
    <t>-67.96981728 -45.87481078</t>
  </si>
  <si>
    <t>-67.92510847 -45.89172158</t>
  </si>
  <si>
    <t>-67.91314953 -45.89274698</t>
  </si>
  <si>
    <t>-67.97353981 -45.85482131</t>
  </si>
  <si>
    <t>-67.95541372 -45.86777019</t>
  </si>
  <si>
    <t>-67.85840415 -45.86457077</t>
  </si>
  <si>
    <t>-67.89002697 -45.87580247</t>
  </si>
  <si>
    <t>-67.9198102 -45.91487479</t>
  </si>
  <si>
    <t>-67.97275807 -45.86073448</t>
  </si>
  <si>
    <t>-67.87856511 -45.87324435</t>
  </si>
  <si>
    <t>-67.8771611 -45.87467147</t>
  </si>
  <si>
    <t>-67.88196942 -45.87464989</t>
  </si>
  <si>
    <t>-67.92142151 -45.87273947</t>
  </si>
  <si>
    <t>-67.98732981 -45.86783242</t>
  </si>
  <si>
    <t>-68.00288598 -45.86648631</t>
  </si>
  <si>
    <t>-67.88533919 -45.87880887</t>
  </si>
  <si>
    <t>-67.90107375 -45.85681401</t>
  </si>
  <si>
    <t>-67.88540731 -45.87073185</t>
  </si>
  <si>
    <t>-67.84644226 -45.87649326</t>
  </si>
  <si>
    <t>-67.96844139 -45.86011917</t>
  </si>
  <si>
    <t>-67.9887123 -45.8520648</t>
  </si>
  <si>
    <t>-67.96747113 -45.89098947</t>
  </si>
  <si>
    <t>-67.88880073 -45.87886841</t>
  </si>
  <si>
    <t>-67.87563056 -45.87167842</t>
  </si>
  <si>
    <t>-67.86709737 -45.86162055</t>
  </si>
  <si>
    <t>-67.85979998 -45.85959279</t>
  </si>
  <si>
    <t>-67.88304639 -45.88588109</t>
  </si>
  <si>
    <t>-67.89923257 -45.9242339</t>
  </si>
  <si>
    <t>-67.87227986 -45.85836679</t>
  </si>
  <si>
    <t>-67.88291817 -45.86822032</t>
  </si>
  <si>
    <t>-67.92746283 -45.879252</t>
  </si>
  <si>
    <t>-67.96977407 -45.85827673</t>
  </si>
  <si>
    <t>-67.84992667 -45.85649082</t>
  </si>
  <si>
    <t>-67.94586231 -45.91962676</t>
  </si>
  <si>
    <t>-67.97500117 -45.89011334</t>
  </si>
  <si>
    <t>-68.00310693 -45.85560933</t>
  </si>
  <si>
    <t>-67.87378622 -45.88828128</t>
  </si>
  <si>
    <t>-67.94130344 -45.85654017</t>
  </si>
  <si>
    <t>-67.93301538 -45.85782922</t>
  </si>
  <si>
    <t>-67.97574817 -45.86928588</t>
  </si>
  <si>
    <t>-67.84090038 -45.8779021</t>
  </si>
  <si>
    <t>-68.01649563 -45.86722639</t>
  </si>
  <si>
    <t>-67.80907829 -45.8565264</t>
  </si>
  <si>
    <t>-67.90493501 -45.87690763</t>
  </si>
  <si>
    <t>-67.91353665 -45.87940202</t>
  </si>
  <si>
    <t>-67.88477363 -45.87646395</t>
  </si>
  <si>
    <t>-67.8816957 -45.8704776</t>
  </si>
  <si>
    <t>-67.88103676 -45.87046125</t>
  </si>
  <si>
    <t>-67.86635342 -45.86702056</t>
  </si>
  <si>
    <t>-67.93705641 -45.8512776</t>
  </si>
  <si>
    <t>-67.89906919 -45.86505046</t>
  </si>
  <si>
    <t>-67.89435641 -45.86698558</t>
  </si>
  <si>
    <t>-68.00256673 -45.86791229</t>
  </si>
  <si>
    <t>-67.95683155 -45.87783685</t>
  </si>
  <si>
    <t>-67.886694 -45.86797279</t>
  </si>
  <si>
    <t>-67.96366566 -45.87726262</t>
  </si>
  <si>
    <t>-67.95991706 -45.86934575</t>
  </si>
  <si>
    <t>-67.87841593 -45.86693979</t>
  </si>
  <si>
    <t>-67.83004564 -45.87782593</t>
  </si>
  <si>
    <t>-67.83082337 -45.87570095</t>
  </si>
  <si>
    <t>-67.87711554 -45.86436098</t>
  </si>
  <si>
    <t>-67.9246059 -45.85873723</t>
  </si>
  <si>
    <t>-67.8703524 -45.87036538</t>
  </si>
  <si>
    <t>-67.98898306 -45.8695469</t>
  </si>
  <si>
    <t>-67.88725199 -45.88498287</t>
  </si>
  <si>
    <t>-67.93542287 -45.86514387</t>
  </si>
  <si>
    <t>-67.97627935 -45.8561703</t>
  </si>
  <si>
    <t>-67.82148856 -45.87077309</t>
  </si>
  <si>
    <t>-67.98715669 -45.86146692</t>
  </si>
  <si>
    <t>-67.89600657 -45.8580812</t>
  </si>
  <si>
    <t>-67.93025624 -45.86524613</t>
  </si>
  <si>
    <t>-67.93015362 -45.85669955</t>
  </si>
  <si>
    <t>-67.87898985 -45.8916515</t>
  </si>
  <si>
    <t>-67.94727301 -45.86217176</t>
  </si>
  <si>
    <t>-68.01607205 -45.87282562</t>
  </si>
  <si>
    <t>-67.94551194 -45.86495899</t>
  </si>
  <si>
    <t>-67.94291358 -45.86901813</t>
  </si>
  <si>
    <t>-67.96127805 -45.85636175</t>
  </si>
  <si>
    <t>-67.87096608 -45.88965855</t>
  </si>
  <si>
    <t>-67.87433589 -45.88262032</t>
  </si>
  <si>
    <t>-67.95063617 -45.85750498</t>
  </si>
  <si>
    <t>-67.98281428 -45.87644776</t>
  </si>
  <si>
    <t>-67.9900866 -45.8710699</t>
  </si>
  <si>
    <t>-67.87205981 -45.88418147</t>
  </si>
  <si>
    <t>-67.87630061 -45.88642699</t>
  </si>
  <si>
    <t>-67.99575168 -45.87505796</t>
  </si>
  <si>
    <t>-67.8858912 -45.86209946</t>
  </si>
  <si>
    <t>-67.94786319 -45.89467988</t>
  </si>
  <si>
    <t>-67.99962925 -45.85564065</t>
  </si>
  <si>
    <t>-67.87684672 -45.87887091</t>
  </si>
  <si>
    <t>-67.95229069 -45.85600448</t>
  </si>
  <si>
    <t>-67.95778502 -45.86936617</t>
  </si>
  <si>
    <t>-67.93449334 -45.85185974</t>
  </si>
  <si>
    <t>-67.94248451 -45.87146009</t>
  </si>
  <si>
    <t>-67.90902811 -45.88062544</t>
  </si>
  <si>
    <t>-67.94121642 -45.86914222</t>
  </si>
  <si>
    <t>-67.99230343 -45.87612978</t>
  </si>
  <si>
    <t>-67.99873824 -45.86925692</t>
  </si>
  <si>
    <t>-67.86568201 -45.88111505</t>
  </si>
  <si>
    <t>-67.92996431 -45.85892348</t>
  </si>
  <si>
    <t>-67.96103638 -45.85651367</t>
  </si>
  <si>
    <t>-67.98983116 -45.86834263</t>
  </si>
  <si>
    <t>-67.93453745 -45.8597358</t>
  </si>
  <si>
    <t>-67.86589689 -45.88477956</t>
  </si>
  <si>
    <t>-67.87453634 -45.88478851</t>
  </si>
  <si>
    <t>-67.88832586 -45.91746828</t>
  </si>
  <si>
    <t>-67.96868281 -45.86655436</t>
  </si>
  <si>
    <t>-67.9891512 -45.8775056</t>
  </si>
  <si>
    <t>-67.91328396 -45.8717097</t>
  </si>
  <si>
    <t>-67.98114688 -45.87340705</t>
  </si>
  <si>
    <t>-67.90820636 -45.8677318</t>
  </si>
  <si>
    <t>-67.92562891 -45.86384385</t>
  </si>
  <si>
    <t>-67.95232956 -45.91635992</t>
  </si>
  <si>
    <t>-67.99541214 -45.85331974</t>
  </si>
  <si>
    <t>-68.00730092 -45.86935665</t>
  </si>
  <si>
    <t>-67.97831905 -45.85548339</t>
  </si>
  <si>
    <t>-67.96422765 -45.8567735</t>
  </si>
  <si>
    <t>-67.89973057 -45.86484856</t>
  </si>
  <si>
    <t>-67.9822642 -45.8747531</t>
  </si>
  <si>
    <t>-67.87734368 -45.86061501</t>
  </si>
  <si>
    <t>-67.91527195 -45.88036892</t>
  </si>
  <si>
    <t>-67.82420567 -45.8676006</t>
  </si>
  <si>
    <t>-67.91058213 -45.85962973</t>
  </si>
  <si>
    <t>-67.91626521 -45.86408272</t>
  </si>
  <si>
    <t>-67.91757646 -45.86239315</t>
  </si>
  <si>
    <t>-67.91710731 -45.85967629</t>
  </si>
  <si>
    <t>-67.91412632 -45.86124365</t>
  </si>
  <si>
    <t>-68.0166456 -45.8671424</t>
  </si>
  <si>
    <t>-67.92472033 -45.86078317</t>
  </si>
  <si>
    <t>-67.96929873 -45.86235432</t>
  </si>
  <si>
    <t>-67.92827234 -45.86082887</t>
  </si>
  <si>
    <t>-67.90960802 -45.85792473</t>
  </si>
  <si>
    <t>-67.89062946 -45.86210121</t>
  </si>
  <si>
    <t>-67.87484305 -45.89067788</t>
  </si>
  <si>
    <t>-67.93749455 -45.86270022</t>
  </si>
  <si>
    <t>-67.95792371 -45.89252328</t>
  </si>
  <si>
    <t>-67.9103128 -45.86211169</t>
  </si>
  <si>
    <t>-67.90690597 -45.86062114</t>
  </si>
  <si>
    <t>-67.89177843 -45.86436433</t>
  </si>
  <si>
    <t>-67.9674538 -45.86158535</t>
  </si>
  <si>
    <t>-67.98576388 -45.8735568</t>
  </si>
  <si>
    <t>-67.97210325 -45.8786421</t>
  </si>
  <si>
    <t>-68.00775213 -45.8691424</t>
  </si>
  <si>
    <t>-67.99549567 -45.87207438</t>
  </si>
  <si>
    <t>-67.95198192 -45.85974752</t>
  </si>
  <si>
    <t>-67.93551008 -45.87004015</t>
  </si>
  <si>
    <t>-67.97397058 -45.85339515</t>
  </si>
  <si>
    <t>-67.87925842 -45.88321822</t>
  </si>
  <si>
    <t>-67.98085184 -45.87099564</t>
  </si>
  <si>
    <t>-67.85510089 -45.86964857</t>
  </si>
  <si>
    <t>-67.97161551 -45.8965517</t>
  </si>
  <si>
    <t>-67.96420059 -45.86056087</t>
  </si>
  <si>
    <t>-67.96764913 -45.89786174</t>
  </si>
  <si>
    <t>-67.86423323 -45.88274094</t>
  </si>
  <si>
    <t>-67.99156523 -45.87210921</t>
  </si>
  <si>
    <t>-67.97335438 -45.87681514</t>
  </si>
  <si>
    <t>-67.99560794 -45.87399247</t>
  </si>
  <si>
    <t>-68.01486524 -45.86743232</t>
  </si>
  <si>
    <t>-67.78070545 -45.85980557</t>
  </si>
  <si>
    <t>-67.88289949 -45.86309075</t>
  </si>
  <si>
    <t>-67.89419804 -45.86596436</t>
  </si>
  <si>
    <t>-67.89415942 -45.86593151</t>
  </si>
  <si>
    <t>-68.02627641 -45.86865418</t>
  </si>
  <si>
    <t>-67.94368981 -45.85953108</t>
  </si>
  <si>
    <t>-67.90594775 -45.88423937</t>
  </si>
  <si>
    <t>-67.90591516 -45.88446218</t>
  </si>
  <si>
    <t>-68.01092133 -45.86224071</t>
  </si>
  <si>
    <t>-67.9929406 -45.85837438</t>
  </si>
  <si>
    <t>-67.97432341 -45.86124202</t>
  </si>
  <si>
    <t>-67.95977833 -45.85857686</t>
  </si>
  <si>
    <t>-67.99269707 -45.87372619</t>
  </si>
  <si>
    <t>-67.95286057 -45.85575024</t>
  </si>
  <si>
    <t>-67.89880782 -45.86085494</t>
  </si>
  <si>
    <t>-67.98648535 -45.85242886</t>
  </si>
  <si>
    <t>-67.87992186 -45.88445386</t>
  </si>
  <si>
    <t>-67.96402882 -45.85314926</t>
  </si>
  <si>
    <t>-67.98625578 -45.85389626</t>
  </si>
  <si>
    <t>-67.98635896 -45.85411328</t>
  </si>
  <si>
    <t>-67.99771431 -45.86216142</t>
  </si>
  <si>
    <t>-67.84711722 -45.87310355</t>
  </si>
  <si>
    <t>-67.84141979 -45.86801361</t>
  </si>
  <si>
    <t>-68.00292482 -45.87296382</t>
  </si>
  <si>
    <t>-67.96961317 -45.88291315</t>
  </si>
  <si>
    <t>-67.93512028 -45.8793768</t>
  </si>
  <si>
    <t>-67.93588984 -45.88149225</t>
  </si>
  <si>
    <t>-68.03326987 -45.8645095</t>
  </si>
  <si>
    <t>-67.97634703 -45.87537427</t>
  </si>
  <si>
    <t>-67.97655627 -45.87727895</t>
  </si>
  <si>
    <t>-67.98216983 -45.87482855</t>
  </si>
  <si>
    <t>-67.98591945 -45.87583057</t>
  </si>
  <si>
    <t>-68.00923032 -45.8676059</t>
  </si>
  <si>
    <t>-67.98904006 -45.87741924</t>
  </si>
  <si>
    <t>-67.98572542 -45.87151547</t>
  </si>
  <si>
    <t>-67.9887932 -45.86963366</t>
  </si>
  <si>
    <t>-67.99919655 -45.8737358</t>
  </si>
  <si>
    <t>-68.00126819 -45.86832361</t>
  </si>
  <si>
    <t>-68.00648441 -45.86693574</t>
  </si>
  <si>
    <t>-68.0128757 -45.86719302</t>
  </si>
  <si>
    <t>-67.89811074 -45.88424629</t>
  </si>
  <si>
    <t>-67.89717503 -45.88637298</t>
  </si>
  <si>
    <t>-68.01419288 -45.85902531</t>
  </si>
  <si>
    <t>-67.88986813 -45.88509226</t>
  </si>
  <si>
    <t>-67.86055548 -45.88254148</t>
  </si>
  <si>
    <t>-67.96784171 -45.85362119</t>
  </si>
  <si>
    <t>-67.97146891 -45.85432856</t>
  </si>
  <si>
    <t>-67.97708143 -45.85269116</t>
  </si>
  <si>
    <t>-67.855851 -45.88011934</t>
  </si>
  <si>
    <t>-67.86269956 -45.88077691</t>
  </si>
  <si>
    <t>-67.85655105 -45.88556448</t>
  </si>
  <si>
    <t>-67.84708796 -45.88650563</t>
  </si>
  <si>
    <t>-67.85284989 -45.88522411</t>
  </si>
  <si>
    <t>-67.98377504 -45.85099113</t>
  </si>
  <si>
    <t>-68.00193937 -45.87306723</t>
  </si>
  <si>
    <t>-68.00733484 -45.87467048</t>
  </si>
  <si>
    <t>-67.96945132 -45.87727986</t>
  </si>
  <si>
    <t>-67.96661757 -45.87943084</t>
  </si>
  <si>
    <t>-67.96227296 -45.88062248</t>
  </si>
  <si>
    <t>-67.95757859 -45.87973217</t>
  </si>
  <si>
    <t>-67.95567193 -45.88166569</t>
  </si>
  <si>
    <t>-67.95317349 -45.87974335</t>
  </si>
  <si>
    <t>-67.91541483 -45.88231338</t>
  </si>
  <si>
    <t>-67.90970498 -45.88326091</t>
  </si>
  <si>
    <t>-67.98595926 -45.87085917</t>
  </si>
  <si>
    <t>-67.85926992 -45.88036306</t>
  </si>
  <si>
    <t>-67.86888403 -45.88165484</t>
  </si>
  <si>
    <t>-67.87627959 -45.88310638</t>
  </si>
  <si>
    <t>-67.8457185 -45.88408276</t>
  </si>
  <si>
    <t>-67.84921346 -45.88477072</t>
  </si>
  <si>
    <t>-68.02227322 -45.8681232</t>
  </si>
  <si>
    <t>-68.01537745 -45.86936976</t>
  </si>
  <si>
    <t>-68.01099049 -45.87259461</t>
  </si>
  <si>
    <t>-68.00449906 -45.86852742</t>
  </si>
  <si>
    <t>-68.00311043 -45.87074425</t>
  </si>
  <si>
    <t>-67.91569194 -45.88029914</t>
  </si>
  <si>
    <t>-67.98553301 -45.8737875</t>
  </si>
  <si>
    <t>-67.98225287 -45.88041758</t>
  </si>
  <si>
    <t>-67.97925867 -45.87857444</t>
  </si>
  <si>
    <t>-67.83197793 -45.88195242</t>
  </si>
  <si>
    <t>-67.9757414 -45.87911165</t>
  </si>
  <si>
    <t>-67.93288041 -45.88347512</t>
  </si>
  <si>
    <t>-68.00524993 -45.86266209</t>
  </si>
  <si>
    <t>-68.00660247 -45.85987417</t>
  </si>
  <si>
    <t>-67.98677491 -45.86342245</t>
  </si>
  <si>
    <t>-67.93274512 -45.8580778</t>
  </si>
  <si>
    <t>-67.96560815 -45.86309333</t>
  </si>
  <si>
    <t>-68.00290781 -45.86119572</t>
  </si>
  <si>
    <t>-67.99882481 -45.85386089</t>
  </si>
  <si>
    <t>-67.99158422 -45.86437969</t>
  </si>
  <si>
    <t>-67.98252887 -45.85998837</t>
  </si>
  <si>
    <t>-67.99257609 -45.85442377</t>
  </si>
  <si>
    <t>-67.96158281 -45.8618607</t>
  </si>
  <si>
    <t>-67.99515095 -45.86288824</t>
  </si>
  <si>
    <t>-67.98422803 -45.86529103</t>
  </si>
  <si>
    <t>-67.99960904 -45.87080973</t>
  </si>
  <si>
    <t>-67.92761571 -45.86576064</t>
  </si>
  <si>
    <t>-67.9783578 -45.88149778</t>
  </si>
  <si>
    <t>-67.99065028 -45.86028514</t>
  </si>
  <si>
    <t>-67.87889297 -45.8626014</t>
  </si>
  <si>
    <t>-67.95541683 -45.85914066</t>
  </si>
  <si>
    <t>-67.82738854 -45.88198827</t>
  </si>
  <si>
    <t>-67.99931829 -45.86009184</t>
  </si>
  <si>
    <t>-67.93716946 -45.85860936</t>
  </si>
  <si>
    <t>-67.91233725 -45.85657461</t>
  </si>
  <si>
    <t>-67.97410575 -45.86125796</t>
  </si>
  <si>
    <t>-67.88865987 -45.92044285</t>
  </si>
  <si>
    <t>-68.01624065 -45.87002946</t>
  </si>
  <si>
    <t>-67.88117117 -45.860714</t>
  </si>
  <si>
    <t>-67.84751224 -45.86039212</t>
  </si>
  <si>
    <t>-67.93296538 -45.8868619</t>
  </si>
  <si>
    <t>-67.96240452 -45.86550599</t>
  </si>
  <si>
    <t>-67.92327551 -45.85450965</t>
  </si>
  <si>
    <t>-67.99589052 -45.85546859</t>
  </si>
  <si>
    <t>-67.95856225 -45.86042181</t>
  </si>
  <si>
    <t>-67.98809621 -45.86492869</t>
  </si>
  <si>
    <t>-67.96999638 -45.86075838</t>
  </si>
  <si>
    <t>-67.94116334 -45.85759913</t>
  </si>
  <si>
    <t>-67.99627751 -45.86960923</t>
  </si>
  <si>
    <t>-67.94075734 -45.8671739</t>
  </si>
  <si>
    <t>-67.99496681 -45.86045139</t>
  </si>
  <si>
    <t>-67.84082989 -45.87475713</t>
  </si>
  <si>
    <t>-67.96992116 -45.87035971</t>
  </si>
  <si>
    <t>-67.96793825 -45.90348141</t>
  </si>
  <si>
    <t>-67.87029294 -45.85782787</t>
  </si>
  <si>
    <t>-67.94706246 -45.85949879</t>
  </si>
  <si>
    <t>-67.88305116 -45.8774157</t>
  </si>
  <si>
    <t>-67.87167835 -45.87465065</t>
  </si>
  <si>
    <t>-67.98563419 -45.87640922</t>
  </si>
  <si>
    <t>-68.00183228 -45.85216191</t>
  </si>
  <si>
    <t>-67.94659694 -45.86764093</t>
  </si>
  <si>
    <t>-67.90388535 -45.87594679</t>
  </si>
  <si>
    <t>-67.91213626 -45.87472176</t>
  </si>
  <si>
    <t>-67.94002007 -45.86002619</t>
  </si>
  <si>
    <t>-67.96738506 -45.86316959</t>
  </si>
  <si>
    <t>-67.88976887 -45.87571783</t>
  </si>
  <si>
    <t>-67.96313922 -45.85555735</t>
  </si>
  <si>
    <t>-67.96419792 -45.86877502</t>
  </si>
  <si>
    <t>-67.8485758 -45.88086765</t>
  </si>
  <si>
    <t>-67.9891328 -45.87500418</t>
  </si>
  <si>
    <t>-67.91362407 -45.87400466</t>
  </si>
  <si>
    <t>-67.87463577 -45.85800361</t>
  </si>
  <si>
    <t>-67.9697519 -45.86484806</t>
  </si>
  <si>
    <t>-67.89781334 -45.87614703</t>
  </si>
  <si>
    <t>-67.89420174 -45.8725767</t>
  </si>
  <si>
    <t>-67.97316911 -45.89352066</t>
  </si>
  <si>
    <t>-67.89331653 -45.87602286</t>
  </si>
  <si>
    <t>-67.93332777 -45.86169272</t>
  </si>
  <si>
    <t>-67.90948466 -45.8742829</t>
  </si>
  <si>
    <t>-67.89004406 -45.86439266</t>
  </si>
  <si>
    <t>-67.99900055 -45.87377745</t>
  </si>
  <si>
    <t>-67.88472455 -45.86475921</t>
  </si>
  <si>
    <t>-67.90134205 -45.87570554</t>
  </si>
  <si>
    <t>-67.88007662 -45.85706707</t>
  </si>
  <si>
    <t>-67.89160827 -45.86854588</t>
  </si>
  <si>
    <t>-67.90587404 -45.87465377</t>
  </si>
  <si>
    <t>-67.93657519 -45.87287387</t>
  </si>
  <si>
    <t>-67.8844417 -45.8738576</t>
  </si>
  <si>
    <t>-67.88581092 -45.85597227</t>
  </si>
  <si>
    <t>-67.94042654 -45.87182779</t>
  </si>
  <si>
    <t>-67.90299782 -45.8733268</t>
  </si>
  <si>
    <t>-68.00411062 -45.86047451</t>
  </si>
  <si>
    <t>-67.88809317 -45.872722</t>
  </si>
  <si>
    <t>-67.90617252 -45.86893311</t>
  </si>
  <si>
    <t>-67.92116295 -45.86077528</t>
  </si>
  <si>
    <t>-67.89162305 -45.87383375</t>
  </si>
  <si>
    <t>-67.84367135 -45.88205633</t>
  </si>
  <si>
    <t>-67.92745639 -45.85783394</t>
  </si>
  <si>
    <t>-67.89611117 -45.87416671</t>
  </si>
  <si>
    <t>-67.97160775 -45.8632236</t>
  </si>
  <si>
    <t>-67.84953817 -45.87734102</t>
  </si>
  <si>
    <t>-67.95161951 -45.86368341</t>
  </si>
  <si>
    <t>-67.97298836 -45.87944896</t>
  </si>
  <si>
    <t>-67.98026531 -45.86300386</t>
  </si>
  <si>
    <t>-67.97006529 -45.85794699</t>
  </si>
  <si>
    <t>-67.84518194 -45.88032275</t>
  </si>
  <si>
    <t>-67.97692655 -45.86298292</t>
  </si>
  <si>
    <t>-67.96640837 -45.85703895</t>
  </si>
  <si>
    <t>-67.96531707 -45.85809194</t>
  </si>
  <si>
    <t>-67.92272998 -45.85731085</t>
  </si>
  <si>
    <t>-67.84474086 -45.87514762</t>
  </si>
  <si>
    <t>-67.95937016 -45.86539571</t>
  </si>
  <si>
    <t>-67.88402968 -45.85834964</t>
  </si>
  <si>
    <t>-67.97594782 -45.87782472</t>
  </si>
  <si>
    <t>-67.97565115 -45.88292201</t>
  </si>
  <si>
    <t>-67.8758872 -45.88413516</t>
  </si>
  <si>
    <t>-67.98601299 -45.87893058</t>
  </si>
  <si>
    <t>-67.97932522 -45.87631183</t>
  </si>
  <si>
    <t>-68.00929547 -45.87031042</t>
  </si>
  <si>
    <t>-67.98257485 -45.87765379</t>
  </si>
  <si>
    <t>-67.98943394 -45.8722328</t>
  </si>
  <si>
    <t>-67.99553288 -45.87226112</t>
  </si>
  <si>
    <t>-67.96063061 -45.86023444</t>
  </si>
  <si>
    <t>-67.94827454 -45.86749255</t>
  </si>
  <si>
    <t>-67.99104122 -45.85896778</t>
  </si>
  <si>
    <t>-67.97067338 -45.85178783</t>
  </si>
  <si>
    <t>-67.97934342 -45.87920812</t>
  </si>
  <si>
    <t>-67.98000949 -45.88192468</t>
  </si>
  <si>
    <t>-67.98040649 -45.88457225</t>
  </si>
  <si>
    <t>-67.9539623 -45.85805836</t>
  </si>
  <si>
    <t>-67.96164681 -45.86022119</t>
  </si>
  <si>
    <t>-67.99921407 -45.87121751</t>
  </si>
  <si>
    <t>-68.00620422 -45.86892139</t>
  </si>
  <si>
    <t>-67.94195299 -45.86749024</t>
  </si>
  <si>
    <t>-67.93292309 -45.87290945</t>
  </si>
  <si>
    <t>-67.97716227 -45.85688391</t>
  </si>
  <si>
    <t>-67.93822649 -45.86645361</t>
  </si>
  <si>
    <t>-67.95450405 -45.86064457</t>
  </si>
  <si>
    <t>-67.96694532 -45.85813582</t>
  </si>
  <si>
    <t>-67.95709848 -45.86769228</t>
  </si>
  <si>
    <t>-67.95123788 -45.85994168</t>
  </si>
  <si>
    <t>-67.88477851 -45.88530377</t>
  </si>
  <si>
    <t>-67.95757011 -45.86176587</t>
  </si>
  <si>
    <t>-67.92608202 -45.88391758</t>
  </si>
  <si>
    <t>-67.92926139 -45.87980166</t>
  </si>
  <si>
    <t>-67.95002838 -45.88971808</t>
  </si>
  <si>
    <t>-67.95958113 -45.88533853</t>
  </si>
  <si>
    <t>-67.95083587 -45.86305697</t>
  </si>
  <si>
    <t>-67.92972985 -45.88255921</t>
  </si>
  <si>
    <t>-67.93811495 -45.85827079</t>
  </si>
  <si>
    <t>-67.93784211 -45.85566073</t>
  </si>
  <si>
    <t>-67.94127839 -45.85682198</t>
  </si>
  <si>
    <t>-67.94451337 -45.85788474</t>
  </si>
  <si>
    <t>-67.99253557 -45.87053256</t>
  </si>
  <si>
    <t>-67.99554948 -45.86642106</t>
  </si>
  <si>
    <t>-67.96110217 -45.86291525</t>
  </si>
  <si>
    <t>-67.97373127 -45.8629674</t>
  </si>
  <si>
    <t>-68.01223482 -45.86912312</t>
  </si>
  <si>
    <t>-68.01946696 -45.87390669</t>
  </si>
  <si>
    <t>-67.94465853 -45.86034605</t>
  </si>
  <si>
    <t>-67.9436167 -45.85609645</t>
  </si>
  <si>
    <t>-67.9836378 -45.86318145</t>
  </si>
  <si>
    <t>-68.0093466 -45.8759347</t>
  </si>
  <si>
    <t>-68.00284674 -45.87040916</t>
  </si>
  <si>
    <t>-67.936352 -45.88515172</t>
  </si>
  <si>
    <t>-67.98045336 -45.86512174</t>
  </si>
  <si>
    <t>-67.966944 -45.86563196</t>
  </si>
  <si>
    <t>-68.01270309 -45.87171227</t>
  </si>
  <si>
    <t>-67.87263059 -45.88283868</t>
  </si>
  <si>
    <t>-68.00605381 -45.87173811</t>
  </si>
  <si>
    <t>-67.9411456 -45.85898141</t>
  </si>
  <si>
    <t>-67.92833845 -45.85447924</t>
  </si>
  <si>
    <t>-67.94569058 -45.87050836</t>
  </si>
  <si>
    <t>-67.94986397 -45.86139841</t>
  </si>
  <si>
    <t>-67.97752558 -45.86902372</t>
  </si>
  <si>
    <t>-67.94908828 -45.88407626</t>
  </si>
  <si>
    <t>-67.98085648 -45.8609192</t>
  </si>
  <si>
    <t>-67.94775246 -45.8589819</t>
  </si>
  <si>
    <t>-67.93184093 -45.88869985</t>
  </si>
  <si>
    <t>-67.83577147 -45.88194228</t>
  </si>
  <si>
    <t>-67.87771797 -45.85914466</t>
  </si>
  <si>
    <t>-67.82808689 -45.87641712</t>
  </si>
  <si>
    <t>-67.8336787 -45.87548722</t>
  </si>
  <si>
    <t>-67.84627973 -45.87829114</t>
  </si>
  <si>
    <t>-67.83977572 -45.88161766</t>
  </si>
  <si>
    <t>-67.83709911 -45.87528907</t>
  </si>
  <si>
    <t>-67.83319238 -45.87800268</t>
  </si>
  <si>
    <t>-67.8408227 -45.88408969</t>
  </si>
  <si>
    <t>-67.82018891 -45.8787842</t>
  </si>
  <si>
    <t>-67.84221298 -45.87973382</t>
  </si>
  <si>
    <t>-67.78639604 -45.85350214</t>
  </si>
  <si>
    <t>-67.83972408 -45.87683377</t>
  </si>
  <si>
    <t>-67.77831934 -45.85627828</t>
  </si>
  <si>
    <t>-67.83580083 -45.87760123</t>
  </si>
  <si>
    <t>-67.83022822 -45.88021021</t>
  </si>
  <si>
    <t>-67.78546845 -45.85590683</t>
  </si>
  <si>
    <t>-67.8221127 -45.88349304</t>
  </si>
  <si>
    <t>-67.96509059 -45.85586365</t>
  </si>
  <si>
    <t>-67.77501943 -45.85836753</t>
  </si>
  <si>
    <t>-67.82657673 -45.87879537</t>
  </si>
  <si>
    <t>-67.77612134 -45.8514783</t>
  </si>
  <si>
    <t>-67.85301014 -45.86326405</t>
  </si>
  <si>
    <t>-67.8383257 -45.87925524</t>
  </si>
  <si>
    <t>-67.80177062 -45.8626168</t>
  </si>
  <si>
    <t>-67.784266 -45.85856607</t>
  </si>
  <si>
    <t>-67.77840492 -45.85358135</t>
  </si>
  <si>
    <t>-67.78733078 -45.85824489</t>
  </si>
  <si>
    <t>-67.80442046 -45.86096433</t>
  </si>
  <si>
    <t>-67.93504928 -45.86995948</t>
  </si>
  <si>
    <t>-67.81175633 -45.86687163</t>
  </si>
  <si>
    <t>-67.78248056 -45.85294029</t>
  </si>
  <si>
    <t>-67.78170238 -45.85610146</t>
  </si>
  <si>
    <t>-67.83402097 -45.87975218</t>
  </si>
  <si>
    <t>-67.85325633 -45.86047853</t>
  </si>
  <si>
    <t>-67.77982732 -45.85094494</t>
  </si>
  <si>
    <t>-67.78976634 -45.85425385</t>
  </si>
  <si>
    <t>-67.80068739 -45.8602105</t>
  </si>
  <si>
    <t>-67.80665538 -45.85865673</t>
  </si>
  <si>
    <t>-67.94408065 -45.87303587</t>
  </si>
  <si>
    <t>-67.93449161 -45.85473418</t>
  </si>
  <si>
    <t>-67.96993071 -45.87922522</t>
  </si>
  <si>
    <t>-67.88908638 -45.86356466</t>
  </si>
  <si>
    <t>-67.96252944 -45.88086376</t>
  </si>
  <si>
    <t>-67.81033656 -45.85331184</t>
  </si>
  <si>
    <t>-67.93584321 -45.92709528</t>
  </si>
  <si>
    <t>-67.93408269 -45.91003836</t>
  </si>
  <si>
    <t>-67.87115039 -45.89914762</t>
  </si>
  <si>
    <t>-67.8724445 -45.87988188</t>
  </si>
  <si>
    <t>-67.87597578 -45.88674947</t>
  </si>
  <si>
    <t>-67.9527778 -45.91750003</t>
  </si>
  <si>
    <t>-67.80747585 -45.86124583</t>
  </si>
  <si>
    <t>-67.90968983 -45.85881808</t>
  </si>
  <si>
    <t>-67.87901673 -45.85929479</t>
  </si>
  <si>
    <t>-67.83653581 -45.85644197</t>
  </si>
  <si>
    <t>-67.87238238 -45.86053745</t>
  </si>
  <si>
    <t>-67.8366923 -45.875026</t>
  </si>
  <si>
    <t>-67.9477358 -45.9069124</t>
  </si>
  <si>
    <t>-67.8905296 -45.8572453</t>
  </si>
  <si>
    <t>-67.938863 -45.8702228</t>
  </si>
  <si>
    <t>-67.9748368 -45.8593972</t>
  </si>
  <si>
    <t>-67.9400271 -45.8665472</t>
  </si>
  <si>
    <t>Coordenada</t>
  </si>
  <si>
    <t>DATOS DE ENTRADA</t>
  </si>
  <si>
    <t>%</t>
  </si>
  <si>
    <t>MODELO ACTUAL</t>
  </si>
  <si>
    <t>MODELO PROPUESTO</t>
  </si>
  <si>
    <t>Distancia total recorrida (km)</t>
  </si>
  <si>
    <t>Tiempo total de traslados (min)</t>
  </si>
  <si>
    <t>Distancia promedio por recorrido (km)</t>
  </si>
  <si>
    <t>Tiempo promedio por recorrido (min)</t>
  </si>
  <si>
    <t>Pozos realizados por día</t>
  </si>
  <si>
    <t>Medición de gas entrecolumna con merla</t>
  </si>
  <si>
    <t>Empaqueta y acondiciona boca de pozo</t>
  </si>
  <si>
    <t>Descripcion Estado</t>
  </si>
  <si>
    <t>Column</t>
  </si>
  <si>
    <t>Bruta</t>
  </si>
  <si>
    <t>Neta</t>
  </si>
  <si>
    <t>IF</t>
  </si>
  <si>
    <t>Ingreso</t>
  </si>
  <si>
    <t>Costos directos</t>
  </si>
  <si>
    <t>Margen sin Pull</t>
  </si>
  <si>
    <t>Costos pull</t>
  </si>
  <si>
    <t>Margen con Pull</t>
  </si>
  <si>
    <t>Margen Acu</t>
  </si>
  <si>
    <t>Corte</t>
  </si>
  <si>
    <t>Planta</t>
  </si>
  <si>
    <t>IF BES</t>
  </si>
  <si>
    <t>En prod</t>
  </si>
  <si>
    <t>Central</t>
  </si>
  <si>
    <t>Sur</t>
  </si>
  <si>
    <t>La Petiza</t>
  </si>
  <si>
    <t>Oeste</t>
  </si>
  <si>
    <t>Norte</t>
  </si>
  <si>
    <t>PQ1010</t>
  </si>
  <si>
    <t>PQ1003</t>
  </si>
  <si>
    <t>S.a-922</t>
  </si>
  <si>
    <t>PQ1006</t>
  </si>
  <si>
    <t>S.a-807</t>
  </si>
  <si>
    <t>PQ1007</t>
  </si>
  <si>
    <t>PQO.x1001</t>
  </si>
  <si>
    <t>S2481B</t>
  </si>
  <si>
    <t>PQ1005</t>
  </si>
  <si>
    <t>PQO1002</t>
  </si>
  <si>
    <t>Fuera del total</t>
  </si>
  <si>
    <t/>
  </si>
  <si>
    <t>PQ1008</t>
  </si>
  <si>
    <t>SPQ1009</t>
  </si>
  <si>
    <t>LT1002</t>
  </si>
  <si>
    <t>LT1006</t>
  </si>
  <si>
    <t>LT.a2</t>
  </si>
  <si>
    <t>LT1009</t>
  </si>
  <si>
    <t>LT.x1</t>
  </si>
  <si>
    <t>S2170B</t>
  </si>
  <si>
    <t>LTS.x1</t>
  </si>
  <si>
    <t>PQ1004</t>
  </si>
  <si>
    <t>Línea 1</t>
  </si>
  <si>
    <t>Línea 2</t>
  </si>
  <si>
    <t>Línea 3</t>
  </si>
  <si>
    <t>Línea 4</t>
  </si>
  <si>
    <t>Línea 5</t>
  </si>
  <si>
    <t>Línea 6</t>
  </si>
  <si>
    <t>Línea 7</t>
  </si>
  <si>
    <t>Línea 8</t>
  </si>
  <si>
    <t>Línea 9</t>
  </si>
  <si>
    <t>Línea 10</t>
  </si>
  <si>
    <t>Línea 13</t>
  </si>
  <si>
    <t>Línea 14</t>
  </si>
  <si>
    <t>Línea 15</t>
  </si>
  <si>
    <t>Línea 16</t>
  </si>
  <si>
    <t>Línea 17</t>
  </si>
  <si>
    <t>Línea 18</t>
  </si>
  <si>
    <t>Línea 19</t>
  </si>
  <si>
    <t>Línea 20</t>
  </si>
  <si>
    <t>Línea 21</t>
  </si>
  <si>
    <t>Línea 22</t>
  </si>
  <si>
    <t>Línea 23</t>
  </si>
  <si>
    <t>Línea 24</t>
  </si>
  <si>
    <t>Línea 25</t>
  </si>
  <si>
    <t>Línea 26</t>
  </si>
  <si>
    <t>Línea 27</t>
  </si>
  <si>
    <t>Línea 28</t>
  </si>
  <si>
    <t>Línea 29</t>
  </si>
  <si>
    <t>Línea 30</t>
  </si>
  <si>
    <t>Línea 31</t>
  </si>
  <si>
    <t>Línea 32</t>
  </si>
  <si>
    <t>Línea 33</t>
  </si>
  <si>
    <t>Línea 34</t>
  </si>
  <si>
    <t>Línea 36</t>
  </si>
  <si>
    <t>Línea 37</t>
  </si>
  <si>
    <t>Línea 38</t>
  </si>
  <si>
    <t>Línea 39</t>
  </si>
  <si>
    <t>Línea 40</t>
  </si>
  <si>
    <t>Línea 41</t>
  </si>
  <si>
    <t>Línea 42</t>
  </si>
  <si>
    <t>Línea 43</t>
  </si>
  <si>
    <t>Línea 44</t>
  </si>
  <si>
    <t>Línea 45</t>
  </si>
  <si>
    <t>Línea 46</t>
  </si>
  <si>
    <t>Línea 47</t>
  </si>
  <si>
    <t>Línea 48</t>
  </si>
  <si>
    <t>Línea 49</t>
  </si>
  <si>
    <t>Línea 50</t>
  </si>
  <si>
    <t>Línea 51</t>
  </si>
  <si>
    <t>Línea 52</t>
  </si>
  <si>
    <t>Línea 53</t>
  </si>
  <si>
    <t>Línea 54</t>
  </si>
  <si>
    <t>Línea 55</t>
  </si>
  <si>
    <t>Línea 56</t>
  </si>
  <si>
    <t>Línea 57</t>
  </si>
  <si>
    <t>Línea 58</t>
  </si>
  <si>
    <t>Línea 59</t>
  </si>
  <si>
    <t>Línea 60</t>
  </si>
  <si>
    <t>Línea 61</t>
  </si>
  <si>
    <t>Línea 62</t>
  </si>
  <si>
    <t>Línea 63</t>
  </si>
  <si>
    <t>Línea 64</t>
  </si>
  <si>
    <t>Línea 65</t>
  </si>
  <si>
    <t>Línea 66</t>
  </si>
  <si>
    <t>Línea 67</t>
  </si>
  <si>
    <t>Línea 68</t>
  </si>
  <si>
    <t>Línea 69</t>
  </si>
  <si>
    <t>Línea 70</t>
  </si>
  <si>
    <t>Línea 71</t>
  </si>
  <si>
    <t>Línea 72</t>
  </si>
  <si>
    <t>Línea 73</t>
  </si>
  <si>
    <t>Línea 74</t>
  </si>
  <si>
    <t>Línea 75</t>
  </si>
  <si>
    <t>Línea 76</t>
  </si>
  <si>
    <t>Línea 77</t>
  </si>
  <si>
    <t>Línea 78</t>
  </si>
  <si>
    <t>Línea 79</t>
  </si>
  <si>
    <t>Línea 80</t>
  </si>
  <si>
    <t>Línea 81</t>
  </si>
  <si>
    <t>Línea 82</t>
  </si>
  <si>
    <t>Línea 83</t>
  </si>
  <si>
    <t>Línea 84</t>
  </si>
  <si>
    <t>Línea 85</t>
  </si>
  <si>
    <t>Línea 86</t>
  </si>
  <si>
    <t>Línea 87</t>
  </si>
  <si>
    <t>Línea 88</t>
  </si>
  <si>
    <t>Línea 89</t>
  </si>
  <si>
    <t>Línea 90</t>
  </si>
  <si>
    <t>Línea 91</t>
  </si>
  <si>
    <t>Línea 92</t>
  </si>
  <si>
    <t>Línea 93</t>
  </si>
  <si>
    <t>Línea 94</t>
  </si>
  <si>
    <t>Línea 95</t>
  </si>
  <si>
    <t>Línea 96</t>
  </si>
  <si>
    <t>Línea 97</t>
  </si>
  <si>
    <t>Línea 98</t>
  </si>
  <si>
    <t>Línea 99</t>
  </si>
  <si>
    <t>Línea 100</t>
  </si>
  <si>
    <t>Línea 101</t>
  </si>
  <si>
    <t>Línea 102</t>
  </si>
  <si>
    <t>Línea 103</t>
  </si>
  <si>
    <t>Línea 104</t>
  </si>
  <si>
    <t>Línea 105</t>
  </si>
  <si>
    <t>Línea 106</t>
  </si>
  <si>
    <t>Línea 107</t>
  </si>
  <si>
    <t>Línea 108</t>
  </si>
  <si>
    <t>Línea 109</t>
  </si>
  <si>
    <t>Línea 110</t>
  </si>
  <si>
    <t>Línea 111</t>
  </si>
  <si>
    <t>Línea 112</t>
  </si>
  <si>
    <t>Línea 113</t>
  </si>
  <si>
    <t>Línea 114</t>
  </si>
  <si>
    <t>Línea 115</t>
  </si>
  <si>
    <t>Línea 116</t>
  </si>
  <si>
    <t>Línea 117</t>
  </si>
  <si>
    <t>Línea 118</t>
  </si>
  <si>
    <t>Línea 119</t>
  </si>
  <si>
    <t>Línea 120</t>
  </si>
  <si>
    <t>Línea 121</t>
  </si>
  <si>
    <t>Línea 122</t>
  </si>
  <si>
    <t>Línea 123</t>
  </si>
  <si>
    <t>Línea 124</t>
  </si>
  <si>
    <t>Línea 125</t>
  </si>
  <si>
    <t>Línea 126</t>
  </si>
  <si>
    <t>Línea 127</t>
  </si>
  <si>
    <t>Línea 128</t>
  </si>
  <si>
    <t>Línea 129</t>
  </si>
  <si>
    <t>Línea 130</t>
  </si>
  <si>
    <t>Línea 131</t>
  </si>
  <si>
    <t>Línea 132</t>
  </si>
  <si>
    <t>Línea 133</t>
  </si>
  <si>
    <t>Línea 134</t>
  </si>
  <si>
    <t>Línea 135</t>
  </si>
  <si>
    <t>Línea 136</t>
  </si>
  <si>
    <t>Línea 137</t>
  </si>
  <si>
    <t>Línea 138</t>
  </si>
  <si>
    <t>Línea 139</t>
  </si>
  <si>
    <t>Línea 140</t>
  </si>
  <si>
    <t>Línea 141</t>
  </si>
  <si>
    <t>Línea 142</t>
  </si>
  <si>
    <t>Línea 143</t>
  </si>
  <si>
    <t>Línea 144</t>
  </si>
  <si>
    <t>Línea 145</t>
  </si>
  <si>
    <t>Línea 146</t>
  </si>
  <si>
    <t>Línea 147</t>
  </si>
  <si>
    <t>Línea 148</t>
  </si>
  <si>
    <t>Línea 149</t>
  </si>
  <si>
    <t>Línea 150</t>
  </si>
  <si>
    <t>Línea 151</t>
  </si>
  <si>
    <t>Línea 152</t>
  </si>
  <si>
    <t>Línea 153</t>
  </si>
  <si>
    <t>Línea 154</t>
  </si>
  <si>
    <t>Línea 155</t>
  </si>
  <si>
    <t>Línea 156</t>
  </si>
  <si>
    <t>Línea 157</t>
  </si>
  <si>
    <t>Línea 158</t>
  </si>
  <si>
    <t>Línea 159</t>
  </si>
  <si>
    <t>Línea 160</t>
  </si>
  <si>
    <t>Línea 161</t>
  </si>
  <si>
    <t>Línea 162</t>
  </si>
  <si>
    <t>Línea 163</t>
  </si>
  <si>
    <t>Línea 164</t>
  </si>
  <si>
    <t>Línea 165</t>
  </si>
  <si>
    <t>Línea 166</t>
  </si>
  <si>
    <t>Línea 167</t>
  </si>
  <si>
    <t>Línea 168</t>
  </si>
  <si>
    <t>Línea 169</t>
  </si>
  <si>
    <t>Línea 170</t>
  </si>
  <si>
    <t>Línea 171</t>
  </si>
  <si>
    <t>Línea 172</t>
  </si>
  <si>
    <t>Línea 173</t>
  </si>
  <si>
    <t>Línea 174</t>
  </si>
  <si>
    <t>Línea 175</t>
  </si>
  <si>
    <t>Línea 176</t>
  </si>
  <si>
    <t>Línea 177</t>
  </si>
  <si>
    <t>Línea 178</t>
  </si>
  <si>
    <t>Línea 179</t>
  </si>
  <si>
    <t>Línea 180</t>
  </si>
  <si>
    <t>Línea 181</t>
  </si>
  <si>
    <t>Línea 182</t>
  </si>
  <si>
    <t>Línea 183</t>
  </si>
  <si>
    <t>Línea 184</t>
  </si>
  <si>
    <t>Línea 185</t>
  </si>
  <si>
    <t>Línea 186</t>
  </si>
  <si>
    <t>Línea 187</t>
  </si>
  <si>
    <t>Línea 188</t>
  </si>
  <si>
    <t>Línea 189</t>
  </si>
  <si>
    <t>Línea 190</t>
  </si>
  <si>
    <t>Línea 191</t>
  </si>
  <si>
    <t>Línea 192</t>
  </si>
  <si>
    <t>Línea 193</t>
  </si>
  <si>
    <t>Línea 194</t>
  </si>
  <si>
    <t>Línea 195</t>
  </si>
  <si>
    <t>Línea 196</t>
  </si>
  <si>
    <t>Línea 197</t>
  </si>
  <si>
    <t>Línea 198</t>
  </si>
  <si>
    <t>Línea 199</t>
  </si>
  <si>
    <t>Línea 200</t>
  </si>
  <si>
    <t>Línea 201</t>
  </si>
  <si>
    <t>Línea 202</t>
  </si>
  <si>
    <t>Línea 203</t>
  </si>
  <si>
    <t>Línea 204</t>
  </si>
  <si>
    <t>Línea 205</t>
  </si>
  <si>
    <t>Línea 206</t>
  </si>
  <si>
    <t>Línea 207</t>
  </si>
  <si>
    <t>Línea 208</t>
  </si>
  <si>
    <t>Línea 209</t>
  </si>
  <si>
    <t>Línea 210</t>
  </si>
  <si>
    <t>Línea 211</t>
  </si>
  <si>
    <t>Línea 212</t>
  </si>
  <si>
    <t>Línea 213</t>
  </si>
  <si>
    <t>Línea 214</t>
  </si>
  <si>
    <t>Línea 215</t>
  </si>
  <si>
    <t>Línea 216</t>
  </si>
  <si>
    <t>Línea 217</t>
  </si>
  <si>
    <t>Línea 218</t>
  </si>
  <si>
    <t>Línea 219</t>
  </si>
  <si>
    <t>Línea 220</t>
  </si>
  <si>
    <t>Línea 221</t>
  </si>
  <si>
    <t>Línea 222</t>
  </si>
  <si>
    <t>Línea 223</t>
  </si>
  <si>
    <t>Línea 224</t>
  </si>
  <si>
    <t>Línea 225</t>
  </si>
  <si>
    <t>Línea 226</t>
  </si>
  <si>
    <t>Línea 227</t>
  </si>
  <si>
    <t>Línea 228</t>
  </si>
  <si>
    <t>Línea 229</t>
  </si>
  <si>
    <t>Línea 230</t>
  </si>
  <si>
    <t>Línea 231</t>
  </si>
  <si>
    <t>Línea 232</t>
  </si>
  <si>
    <t>Línea 233</t>
  </si>
  <si>
    <t>Línea 234</t>
  </si>
  <si>
    <t>Línea 235</t>
  </si>
  <si>
    <t>Línea 236</t>
  </si>
  <si>
    <t>Línea 237</t>
  </si>
  <si>
    <t>Línea 238</t>
  </si>
  <si>
    <t>Línea 239</t>
  </si>
  <si>
    <t>Línea 240</t>
  </si>
  <si>
    <t>Línea 241</t>
  </si>
  <si>
    <t>Línea 242</t>
  </si>
  <si>
    <t>Línea 243</t>
  </si>
  <si>
    <t>Línea 244</t>
  </si>
  <si>
    <t>Línea 245</t>
  </si>
  <si>
    <t>Línea 246</t>
  </si>
  <si>
    <t>Línea 247</t>
  </si>
  <si>
    <t>Línea 248</t>
  </si>
  <si>
    <t>Línea 249</t>
  </si>
  <si>
    <t>Línea 250</t>
  </si>
  <si>
    <t>Línea 251</t>
  </si>
  <si>
    <t>Línea 252</t>
  </si>
  <si>
    <t>Línea 253</t>
  </si>
  <si>
    <t>Línea 254</t>
  </si>
  <si>
    <t>Línea 255</t>
  </si>
  <si>
    <t>Línea 256</t>
  </si>
  <si>
    <t>Línea 257</t>
  </si>
  <si>
    <t>Línea 258</t>
  </si>
  <si>
    <t>Línea 259</t>
  </si>
  <si>
    <t>Línea 260</t>
  </si>
  <si>
    <t>Línea 261</t>
  </si>
  <si>
    <t>Línea 262</t>
  </si>
  <si>
    <t>Línea 263</t>
  </si>
  <si>
    <t>Línea 264</t>
  </si>
  <si>
    <t>Línea 265</t>
  </si>
  <si>
    <t>Línea 266</t>
  </si>
  <si>
    <t>Línea 267</t>
  </si>
  <si>
    <t>Línea 268</t>
  </si>
  <si>
    <t>Línea 269</t>
  </si>
  <si>
    <t>Línea 270</t>
  </si>
  <si>
    <t>Línea 271</t>
  </si>
  <si>
    <t>Línea 272</t>
  </si>
  <si>
    <t>Línea 273</t>
  </si>
  <si>
    <t>Línea 274</t>
  </si>
  <si>
    <t>Línea 275</t>
  </si>
  <si>
    <t>Línea 276</t>
  </si>
  <si>
    <t>Línea 277</t>
  </si>
  <si>
    <t>Línea 278</t>
  </si>
  <si>
    <t>Línea 279</t>
  </si>
  <si>
    <t>Línea 280</t>
  </si>
  <si>
    <t>Línea 281</t>
  </si>
  <si>
    <t>Línea 282</t>
  </si>
  <si>
    <t>Línea 283</t>
  </si>
  <si>
    <t>Línea 284</t>
  </si>
  <si>
    <t>Línea 285</t>
  </si>
  <si>
    <t>Línea 286</t>
  </si>
  <si>
    <t>Línea 287</t>
  </si>
  <si>
    <t>Línea 288</t>
  </si>
  <si>
    <t>Línea 289</t>
  </si>
  <si>
    <t>Línea 290</t>
  </si>
  <si>
    <t>Línea 291</t>
  </si>
  <si>
    <t>Línea 292</t>
  </si>
  <si>
    <t>Línea 293</t>
  </si>
  <si>
    <t>Línea 294</t>
  </si>
  <si>
    <t>Línea 295</t>
  </si>
  <si>
    <t>Línea 296</t>
  </si>
  <si>
    <t>Línea 297</t>
  </si>
  <si>
    <t>Línea 298</t>
  </si>
  <si>
    <t>Línea 299</t>
  </si>
  <si>
    <t>Línea 300</t>
  </si>
  <si>
    <t>Línea 301</t>
  </si>
  <si>
    <t>Línea 302</t>
  </si>
  <si>
    <t>Línea 303</t>
  </si>
  <si>
    <t>Línea 304</t>
  </si>
  <si>
    <t>Línea 305</t>
  </si>
  <si>
    <t>Línea 306</t>
  </si>
  <si>
    <t>Línea 307</t>
  </si>
  <si>
    <t>Línea 308</t>
  </si>
  <si>
    <t>Línea 309</t>
  </si>
  <si>
    <t>Línea 310</t>
  </si>
  <si>
    <t>Línea 311</t>
  </si>
  <si>
    <t>Línea 312</t>
  </si>
  <si>
    <t>Línea 313</t>
  </si>
  <si>
    <t>Línea 314</t>
  </si>
  <si>
    <t>Línea 315</t>
  </si>
  <si>
    <t>Línea 316</t>
  </si>
  <si>
    <t>Línea 317</t>
  </si>
  <si>
    <t>Línea 318</t>
  </si>
  <si>
    <t>Línea 319</t>
  </si>
  <si>
    <t>Línea 320</t>
  </si>
  <si>
    <t>Línea 321</t>
  </si>
  <si>
    <t>Línea 322</t>
  </si>
  <si>
    <t>Línea 323</t>
  </si>
  <si>
    <t>Línea 324</t>
  </si>
  <si>
    <t>Línea 325</t>
  </si>
  <si>
    <t>Línea 326</t>
  </si>
  <si>
    <t>Línea 327</t>
  </si>
  <si>
    <t>Línea 328</t>
  </si>
  <si>
    <t>Línea 329</t>
  </si>
  <si>
    <t>Línea 330</t>
  </si>
  <si>
    <t>Línea 331</t>
  </si>
  <si>
    <t>Línea 332</t>
  </si>
  <si>
    <t>Línea 333</t>
  </si>
  <si>
    <t>Línea 334</t>
  </si>
  <si>
    <t>Línea 335</t>
  </si>
  <si>
    <t>Línea 336</t>
  </si>
  <si>
    <t>Línea 337</t>
  </si>
  <si>
    <t>Línea 338</t>
  </si>
  <si>
    <t>Línea 339</t>
  </si>
  <si>
    <t>Línea 340</t>
  </si>
  <si>
    <t>Línea 341</t>
  </si>
  <si>
    <t>Línea 342</t>
  </si>
  <si>
    <t>Línea 343</t>
  </si>
  <si>
    <t>Línea 344</t>
  </si>
  <si>
    <t>Línea 345</t>
  </si>
  <si>
    <t>Línea 346</t>
  </si>
  <si>
    <t>Línea 347</t>
  </si>
  <si>
    <t>Línea 348</t>
  </si>
  <si>
    <t>Línea 349</t>
  </si>
  <si>
    <t>Línea 350</t>
  </si>
  <si>
    <t>Línea 351</t>
  </si>
  <si>
    <t>Línea 352</t>
  </si>
  <si>
    <t>Línea 353</t>
  </si>
  <si>
    <t>Línea 354</t>
  </si>
  <si>
    <t>Línea 355</t>
  </si>
  <si>
    <t>Línea 356</t>
  </si>
  <si>
    <t>Línea 357</t>
  </si>
  <si>
    <t>Línea 358</t>
  </si>
  <si>
    <t>Línea 359</t>
  </si>
  <si>
    <t>Línea 360</t>
  </si>
  <si>
    <t>Línea 361</t>
  </si>
  <si>
    <t>Línea 362</t>
  </si>
  <si>
    <t>Línea 363</t>
  </si>
  <si>
    <t>Línea 364</t>
  </si>
  <si>
    <t>Línea 365</t>
  </si>
  <si>
    <t>Línea 366</t>
  </si>
  <si>
    <t>Línea 367</t>
  </si>
  <si>
    <t>Línea 368</t>
  </si>
  <si>
    <t>Línea 369</t>
  </si>
  <si>
    <t>Línea 370</t>
  </si>
  <si>
    <t>Línea 371</t>
  </si>
  <si>
    <t>Línea 372</t>
  </si>
  <si>
    <t>Línea 373</t>
  </si>
  <si>
    <t>Línea 374</t>
  </si>
  <si>
    <t>Línea 375</t>
  </si>
  <si>
    <t>Línea 376</t>
  </si>
  <si>
    <t>Línea 377</t>
  </si>
  <si>
    <t>Línea 378</t>
  </si>
  <si>
    <t>Línea 379</t>
  </si>
  <si>
    <t>Línea 380</t>
  </si>
  <si>
    <t>Línea 381</t>
  </si>
  <si>
    <t>Línea 382</t>
  </si>
  <si>
    <t>Línea 383</t>
  </si>
  <si>
    <t>Línea 384</t>
  </si>
  <si>
    <t>Línea 385</t>
  </si>
  <si>
    <t>Línea 386</t>
  </si>
  <si>
    <t>Línea 387</t>
  </si>
  <si>
    <t>Línea 388</t>
  </si>
  <si>
    <t>Línea 389</t>
  </si>
  <si>
    <t>Línea 390</t>
  </si>
  <si>
    <t>Línea 391</t>
  </si>
  <si>
    <t>Línea 392</t>
  </si>
  <si>
    <t>Línea 393</t>
  </si>
  <si>
    <t>Línea 394</t>
  </si>
  <si>
    <t>Línea 395</t>
  </si>
  <si>
    <t>Línea 396</t>
  </si>
  <si>
    <t>Línea 397</t>
  </si>
  <si>
    <t>Línea 398</t>
  </si>
  <si>
    <t>Línea 399</t>
  </si>
  <si>
    <t>Línea 400</t>
  </si>
  <si>
    <t>Línea 401</t>
  </si>
  <si>
    <t>Línea 402</t>
  </si>
  <si>
    <t>Línea 403</t>
  </si>
  <si>
    <t>Línea 404</t>
  </si>
  <si>
    <t>Línea 405</t>
  </si>
  <si>
    <t>Línea 406</t>
  </si>
  <si>
    <t>Línea 407</t>
  </si>
  <si>
    <t>Línea 408</t>
  </si>
  <si>
    <t>Línea 409</t>
  </si>
  <si>
    <t>Línea 410</t>
  </si>
  <si>
    <t>Línea 411</t>
  </si>
  <si>
    <t>Línea 412</t>
  </si>
  <si>
    <t>Línea 413</t>
  </si>
  <si>
    <t>Línea 414</t>
  </si>
  <si>
    <t>Línea 415</t>
  </si>
  <si>
    <t>Línea 416</t>
  </si>
  <si>
    <t>Línea 417</t>
  </si>
  <si>
    <t>Línea 418</t>
  </si>
  <si>
    <t>Línea 419</t>
  </si>
  <si>
    <t>Línea 420</t>
  </si>
  <si>
    <t>Línea 421</t>
  </si>
  <si>
    <t>Línea 422</t>
  </si>
  <si>
    <t>Línea 423</t>
  </si>
  <si>
    <t>Línea 424</t>
  </si>
  <si>
    <t>Línea 425</t>
  </si>
  <si>
    <t>Línea 426</t>
  </si>
  <si>
    <t>Línea 427</t>
  </si>
  <si>
    <t>Línea 428</t>
  </si>
  <si>
    <t>Línea 429</t>
  </si>
  <si>
    <t>Línea 430</t>
  </si>
  <si>
    <t>Línea 431</t>
  </si>
  <si>
    <t>Línea 432</t>
  </si>
  <si>
    <t>Línea 433</t>
  </si>
  <si>
    <t>Línea 434</t>
  </si>
  <si>
    <t>Línea 435</t>
  </si>
  <si>
    <t>Línea 436</t>
  </si>
  <si>
    <t>Línea 437</t>
  </si>
  <si>
    <t>Línea 438</t>
  </si>
  <si>
    <t>Línea 439</t>
  </si>
  <si>
    <t>Línea 440</t>
  </si>
  <si>
    <t>Línea 441</t>
  </si>
  <si>
    <t>Línea 442</t>
  </si>
  <si>
    <t>Línea 443</t>
  </si>
  <si>
    <t>Línea 444</t>
  </si>
  <si>
    <t>Línea 445</t>
  </si>
  <si>
    <t>Línea 446</t>
  </si>
  <si>
    <t>Línea 447</t>
  </si>
  <si>
    <t>Línea 448</t>
  </si>
  <si>
    <t>Línea 449</t>
  </si>
  <si>
    <t>Línea 450</t>
  </si>
  <si>
    <t>Línea 451</t>
  </si>
  <si>
    <t>Línea 452</t>
  </si>
  <si>
    <t>Línea 453</t>
  </si>
  <si>
    <t>Línea 454</t>
  </si>
  <si>
    <t>Línea 455</t>
  </si>
  <si>
    <t>Línea 456</t>
  </si>
  <si>
    <t>Línea 457</t>
  </si>
  <si>
    <t>Línea 458</t>
  </si>
  <si>
    <t>Línea 459</t>
  </si>
  <si>
    <t>Línea 460</t>
  </si>
  <si>
    <t>Línea 461</t>
  </si>
  <si>
    <t>Línea 462</t>
  </si>
  <si>
    <t>Línea 463</t>
  </si>
  <si>
    <t>Línea 464</t>
  </si>
  <si>
    <t>Línea 465</t>
  </si>
  <si>
    <t>Línea 466</t>
  </si>
  <si>
    <t>Línea 467</t>
  </si>
  <si>
    <t>Línea 468</t>
  </si>
  <si>
    <t>Línea 469</t>
  </si>
  <si>
    <t>Línea 470</t>
  </si>
  <si>
    <t>Línea 471</t>
  </si>
  <si>
    <t>Línea 472</t>
  </si>
  <si>
    <t>Línea 473</t>
  </si>
  <si>
    <t>Línea 474</t>
  </si>
  <si>
    <t>Línea 475</t>
  </si>
  <si>
    <t>Línea 476</t>
  </si>
  <si>
    <t>Línea 477</t>
  </si>
  <si>
    <t>Línea 478</t>
  </si>
  <si>
    <t>Línea 479</t>
  </si>
  <si>
    <t>Línea 480</t>
  </si>
  <si>
    <t>Línea 481</t>
  </si>
  <si>
    <t>Línea 482</t>
  </si>
  <si>
    <t>Línea 483</t>
  </si>
  <si>
    <t>Línea 484</t>
  </si>
  <si>
    <t>Línea 485</t>
  </si>
  <si>
    <t>Línea 486</t>
  </si>
  <si>
    <t>Línea 487</t>
  </si>
  <si>
    <t>Línea 488</t>
  </si>
  <si>
    <t>Línea 489</t>
  </si>
  <si>
    <t>Línea 490</t>
  </si>
  <si>
    <t>Línea 491</t>
  </si>
  <si>
    <t>Línea 492</t>
  </si>
  <si>
    <t>Línea 493</t>
  </si>
  <si>
    <t>Línea 494</t>
  </si>
  <si>
    <t>Línea 495</t>
  </si>
  <si>
    <t>Línea 496</t>
  </si>
  <si>
    <t>Línea 497</t>
  </si>
  <si>
    <t>Línea 498</t>
  </si>
  <si>
    <t>Línea 499</t>
  </si>
  <si>
    <t>Línea 500</t>
  </si>
  <si>
    <t>Línea 501</t>
  </si>
  <si>
    <t>Línea 502</t>
  </si>
  <si>
    <t>Línea 503</t>
  </si>
  <si>
    <t>Línea 504</t>
  </si>
  <si>
    <t>Línea 505</t>
  </si>
  <si>
    <t>Línea 506</t>
  </si>
  <si>
    <t>Línea 507</t>
  </si>
  <si>
    <t>Línea 508</t>
  </si>
  <si>
    <t>Línea 509</t>
  </si>
  <si>
    <t>Línea 510</t>
  </si>
  <si>
    <t>Línea 511</t>
  </si>
  <si>
    <t>Línea 512</t>
  </si>
  <si>
    <t>Línea 513</t>
  </si>
  <si>
    <t>Línea 514</t>
  </si>
  <si>
    <t>Línea 515</t>
  </si>
  <si>
    <t>Línea 516</t>
  </si>
  <si>
    <t>Línea 517</t>
  </si>
  <si>
    <t>Línea 518</t>
  </si>
  <si>
    <t>Línea 519</t>
  </si>
  <si>
    <t>Línea 520</t>
  </si>
  <si>
    <t>Línea 521</t>
  </si>
  <si>
    <t>Línea 522</t>
  </si>
  <si>
    <t>Línea 523</t>
  </si>
  <si>
    <t>Línea 524</t>
  </si>
  <si>
    <t>Línea 525</t>
  </si>
  <si>
    <t>Línea 526</t>
  </si>
  <si>
    <t>Línea 527</t>
  </si>
  <si>
    <t>Línea 528</t>
  </si>
  <si>
    <t>Línea 529</t>
  </si>
  <si>
    <t>Línea 530</t>
  </si>
  <si>
    <t>Línea 531</t>
  </si>
  <si>
    <t>Línea 532</t>
  </si>
  <si>
    <t>Línea 533</t>
  </si>
  <si>
    <t>Línea 534</t>
  </si>
  <si>
    <t>Línea 535</t>
  </si>
  <si>
    <t>Línea 536</t>
  </si>
  <si>
    <t>Línea 537</t>
  </si>
  <si>
    <t>Línea 538</t>
  </si>
  <si>
    <t>Línea 539</t>
  </si>
  <si>
    <t>Línea 540</t>
  </si>
  <si>
    <t>Línea 541</t>
  </si>
  <si>
    <t>Línea 542</t>
  </si>
  <si>
    <t>Línea 543</t>
  </si>
  <si>
    <t>Línea 544</t>
  </si>
  <si>
    <t>Línea 545</t>
  </si>
  <si>
    <t>Línea 546</t>
  </si>
  <si>
    <t>Línea 547</t>
  </si>
  <si>
    <t>Línea 548</t>
  </si>
  <si>
    <t>Línea 549</t>
  </si>
  <si>
    <t>Línea 550</t>
  </si>
  <si>
    <t>Línea 551</t>
  </si>
  <si>
    <t>Línea 552</t>
  </si>
  <si>
    <t>Línea 553</t>
  </si>
  <si>
    <t>Línea 554</t>
  </si>
  <si>
    <t>Línea 555</t>
  </si>
  <si>
    <t>Línea 556</t>
  </si>
  <si>
    <t>Línea 557</t>
  </si>
  <si>
    <t>Línea 558</t>
  </si>
  <si>
    <t>Línea 559</t>
  </si>
  <si>
    <t>Línea 560</t>
  </si>
  <si>
    <t>Línea 561</t>
  </si>
  <si>
    <t>Línea 562</t>
  </si>
  <si>
    <t>Línea 563</t>
  </si>
  <si>
    <t>Línea 564</t>
  </si>
  <si>
    <t>Línea 565</t>
  </si>
  <si>
    <t>Línea 566</t>
  </si>
  <si>
    <t>Línea 567</t>
  </si>
  <si>
    <t>Línea 568</t>
  </si>
  <si>
    <t>Línea 569</t>
  </si>
  <si>
    <t>Línea 570</t>
  </si>
  <si>
    <t>Línea 571</t>
  </si>
  <si>
    <t>Línea 572</t>
  </si>
  <si>
    <t>Línea 573</t>
  </si>
  <si>
    <t>Línea 574</t>
  </si>
  <si>
    <t>Línea 575</t>
  </si>
  <si>
    <t>Línea 576</t>
  </si>
  <si>
    <t>Línea 577</t>
  </si>
  <si>
    <t>Línea 578</t>
  </si>
  <si>
    <t>Línea 579</t>
  </si>
  <si>
    <t>Línea 580</t>
  </si>
  <si>
    <t>Línea 581</t>
  </si>
  <si>
    <t>Línea 582</t>
  </si>
  <si>
    <t>Línea 583</t>
  </si>
  <si>
    <t>Línea 584</t>
  </si>
  <si>
    <t>Línea 585</t>
  </si>
  <si>
    <t>Línea 586</t>
  </si>
  <si>
    <t>Línea 587</t>
  </si>
  <si>
    <t>Línea 588</t>
  </si>
  <si>
    <t>Línea 589</t>
  </si>
  <si>
    <t>Línea 590</t>
  </si>
  <si>
    <t>Línea 591</t>
  </si>
  <si>
    <t>Línea 592</t>
  </si>
  <si>
    <t>Línea 593</t>
  </si>
  <si>
    <t>Línea 594</t>
  </si>
  <si>
    <t>Línea 595</t>
  </si>
  <si>
    <t>Línea 596</t>
  </si>
  <si>
    <t>Línea 597</t>
  </si>
  <si>
    <t>Línea 598</t>
  </si>
  <si>
    <t>Línea 599</t>
  </si>
  <si>
    <t>Línea 600</t>
  </si>
  <si>
    <t>Línea 601</t>
  </si>
  <si>
    <t>Línea 602</t>
  </si>
  <si>
    <t>Línea 603</t>
  </si>
  <si>
    <t>Línea 604</t>
  </si>
  <si>
    <t>Línea 605</t>
  </si>
  <si>
    <t>Línea 606</t>
  </si>
  <si>
    <t>Línea 607</t>
  </si>
  <si>
    <t>Línea 608</t>
  </si>
  <si>
    <t>Línea 609</t>
  </si>
  <si>
    <t>Línea 610</t>
  </si>
  <si>
    <t>Línea 611</t>
  </si>
  <si>
    <t>Línea 612</t>
  </si>
  <si>
    <t>Línea 613</t>
  </si>
  <si>
    <t>Línea 614</t>
  </si>
  <si>
    <t>Línea 615</t>
  </si>
  <si>
    <t>Línea 616</t>
  </si>
  <si>
    <t>Línea 617</t>
  </si>
  <si>
    <t>Línea 618</t>
  </si>
  <si>
    <t>Línea 619</t>
  </si>
  <si>
    <t>Línea 620</t>
  </si>
  <si>
    <t>Línea 621</t>
  </si>
  <si>
    <t>Línea 622</t>
  </si>
  <si>
    <t>Línea 624</t>
  </si>
  <si>
    <t>Línea 625</t>
  </si>
  <si>
    <t>Línea 626</t>
  </si>
  <si>
    <t>Línea 627</t>
  </si>
  <si>
    <t>Línea 628</t>
  </si>
  <si>
    <t>Línea 629</t>
  </si>
  <si>
    <t>Línea 630</t>
  </si>
  <si>
    <t>Línea 631</t>
  </si>
  <si>
    <t>Línea 632</t>
  </si>
  <si>
    <t>Línea 633</t>
  </si>
  <si>
    <t>Línea 634</t>
  </si>
  <si>
    <t>Línea 635</t>
  </si>
  <si>
    <t>Línea 636</t>
  </si>
  <si>
    <t>Línea 637</t>
  </si>
  <si>
    <t>Línea 638</t>
  </si>
  <si>
    <t>Línea 639</t>
  </si>
  <si>
    <t>Línea 640</t>
  </si>
  <si>
    <t>Línea 641</t>
  </si>
  <si>
    <t>Línea 642</t>
  </si>
  <si>
    <t>Línea 643</t>
  </si>
  <si>
    <t>Línea 644</t>
  </si>
  <si>
    <t>Línea 645</t>
  </si>
  <si>
    <t>Línea 646</t>
  </si>
  <si>
    <t>Línea 647</t>
  </si>
  <si>
    <t>Línea 648</t>
  </si>
  <si>
    <t>Línea 649</t>
  </si>
  <si>
    <t>Línea 650</t>
  </si>
  <si>
    <t>Línea 651</t>
  </si>
  <si>
    <t>Línea 652</t>
  </si>
  <si>
    <t>Línea 653</t>
  </si>
  <si>
    <t>Línea 654</t>
  </si>
  <si>
    <t>Línea 655</t>
  </si>
  <si>
    <t>Línea 656</t>
  </si>
  <si>
    <t>Línea 657</t>
  </si>
  <si>
    <t>Línea 658</t>
  </si>
  <si>
    <t>Línea 659</t>
  </si>
  <si>
    <t>Línea 660</t>
  </si>
  <si>
    <t>Línea 661</t>
  </si>
  <si>
    <t>Línea 662</t>
  </si>
  <si>
    <t>Línea 663</t>
  </si>
  <si>
    <t>Línea 664</t>
  </si>
  <si>
    <t>Línea 665</t>
  </si>
  <si>
    <t>Línea 666</t>
  </si>
  <si>
    <t>Línea 667</t>
  </si>
  <si>
    <t>Línea 668</t>
  </si>
  <si>
    <t>Línea 669</t>
  </si>
  <si>
    <t>Línea 670</t>
  </si>
  <si>
    <t>Línea 671</t>
  </si>
  <si>
    <t>Línea 672</t>
  </si>
  <si>
    <t>Línea 673</t>
  </si>
  <si>
    <t>Línea 674</t>
  </si>
  <si>
    <t>Línea 675</t>
  </si>
  <si>
    <t>Línea 676</t>
  </si>
  <si>
    <t>Línea 677</t>
  </si>
  <si>
    <t>Línea 678</t>
  </si>
  <si>
    <t>Línea 679</t>
  </si>
  <si>
    <t>Línea 680</t>
  </si>
  <si>
    <t>Línea 681</t>
  </si>
  <si>
    <t>Línea 682</t>
  </si>
  <si>
    <t>Línea 683</t>
  </si>
  <si>
    <t>Línea 684</t>
  </si>
  <si>
    <t>Línea 685</t>
  </si>
  <si>
    <t>Línea 686</t>
  </si>
  <si>
    <t>Línea 687</t>
  </si>
  <si>
    <t>Línea 688</t>
  </si>
  <si>
    <t>Línea 689</t>
  </si>
  <si>
    <t>Línea 690</t>
  </si>
  <si>
    <t>Línea 691</t>
  </si>
  <si>
    <t>Línea 692</t>
  </si>
  <si>
    <t>Línea 693</t>
  </si>
  <si>
    <t>Línea 694</t>
  </si>
  <si>
    <t>Línea 695</t>
  </si>
  <si>
    <t>Línea 696</t>
  </si>
  <si>
    <t>Línea 697</t>
  </si>
  <si>
    <t>Línea 698</t>
  </si>
  <si>
    <t>Línea 699</t>
  </si>
  <si>
    <t>Línea 700</t>
  </si>
  <si>
    <t>Línea 701</t>
  </si>
  <si>
    <t>Línea 702</t>
  </si>
  <si>
    <t>Línea 703</t>
  </si>
  <si>
    <t>Línea 704</t>
  </si>
  <si>
    <t>Línea 705</t>
  </si>
  <si>
    <t>Línea 706</t>
  </si>
  <si>
    <t>Línea 707</t>
  </si>
  <si>
    <t>Línea 708</t>
  </si>
  <si>
    <t>Línea 709</t>
  </si>
  <si>
    <t>Línea 710</t>
  </si>
  <si>
    <t>Línea 711</t>
  </si>
  <si>
    <t>Línea 712</t>
  </si>
  <si>
    <t>Línea 713</t>
  </si>
  <si>
    <t>Línea 714</t>
  </si>
  <si>
    <t>Línea 715</t>
  </si>
  <si>
    <t>Línea 716</t>
  </si>
  <si>
    <t>Línea 717</t>
  </si>
  <si>
    <t>Línea 718</t>
  </si>
  <si>
    <t>Línea 719</t>
  </si>
  <si>
    <t>Línea 720</t>
  </si>
  <si>
    <t>Línea 721</t>
  </si>
  <si>
    <t>Línea 722</t>
  </si>
  <si>
    <t>Línea 723</t>
  </si>
  <si>
    <t>Línea 724</t>
  </si>
  <si>
    <t>Línea 725</t>
  </si>
  <si>
    <t>Línea 726</t>
  </si>
  <si>
    <t>Línea 727</t>
  </si>
  <si>
    <t>Línea 728</t>
  </si>
  <si>
    <t>Línea 729</t>
  </si>
  <si>
    <t>Línea 730</t>
  </si>
  <si>
    <t>Línea 731</t>
  </si>
  <si>
    <t>Línea 732</t>
  </si>
  <si>
    <t>Línea 733</t>
  </si>
  <si>
    <t>Línea 734</t>
  </si>
  <si>
    <t>Línea 735</t>
  </si>
  <si>
    <t>Línea 736</t>
  </si>
  <si>
    <t>Línea 737</t>
  </si>
  <si>
    <t>Línea 738</t>
  </si>
  <si>
    <t>Línea 739</t>
  </si>
  <si>
    <t>Línea 740</t>
  </si>
  <si>
    <t>Línea 741</t>
  </si>
  <si>
    <t>Línea 742</t>
  </si>
  <si>
    <t>Línea 743</t>
  </si>
  <si>
    <t>Línea 744</t>
  </si>
  <si>
    <t>Línea 745</t>
  </si>
  <si>
    <t>Línea 746</t>
  </si>
  <si>
    <t>Línea 747</t>
  </si>
  <si>
    <t>Línea 748</t>
  </si>
  <si>
    <t>Línea 749</t>
  </si>
  <si>
    <t>Línea 750</t>
  </si>
  <si>
    <t>Línea 751</t>
  </si>
  <si>
    <t>Línea 752</t>
  </si>
  <si>
    <t>Línea 753</t>
  </si>
  <si>
    <t>Línea 754</t>
  </si>
  <si>
    <t>Línea 755</t>
  </si>
  <si>
    <t>Línea 756</t>
  </si>
  <si>
    <t>Línea 757</t>
  </si>
  <si>
    <t>Línea 758</t>
  </si>
  <si>
    <t>Línea 759</t>
  </si>
  <si>
    <t>Línea 760</t>
  </si>
  <si>
    <t>Línea 761</t>
  </si>
  <si>
    <t>Línea 762</t>
  </si>
  <si>
    <t>Línea 763</t>
  </si>
  <si>
    <t>Línea 764</t>
  </si>
  <si>
    <t>Línea 765</t>
  </si>
  <si>
    <t>Línea 766</t>
  </si>
  <si>
    <t>Línea 767</t>
  </si>
  <si>
    <t>Línea 768</t>
  </si>
  <si>
    <t>Línea 769</t>
  </si>
  <si>
    <t>Línea 770</t>
  </si>
  <si>
    <t>Línea 771</t>
  </si>
  <si>
    <t>Línea 772</t>
  </si>
  <si>
    <t>Línea 773</t>
  </si>
  <si>
    <t>Línea 774</t>
  </si>
  <si>
    <t>Línea 775</t>
  </si>
  <si>
    <t>Línea 776</t>
  </si>
  <si>
    <t>Línea 777</t>
  </si>
  <si>
    <t>Línea 778</t>
  </si>
  <si>
    <t>Línea 779</t>
  </si>
  <si>
    <t>Línea 780</t>
  </si>
  <si>
    <t>Línea 781</t>
  </si>
  <si>
    <t>Línea 782</t>
  </si>
  <si>
    <t>Línea 783</t>
  </si>
  <si>
    <t>Línea 784</t>
  </si>
  <si>
    <t>Línea 785</t>
  </si>
  <si>
    <t>Línea 786</t>
  </si>
  <si>
    <t>Línea 787</t>
  </si>
  <si>
    <t>Línea 788</t>
  </si>
  <si>
    <t>Línea 789</t>
  </si>
  <si>
    <t>Línea 790</t>
  </si>
  <si>
    <t>Línea 791</t>
  </si>
  <si>
    <t>Línea 792</t>
  </si>
  <si>
    <t>Línea 793</t>
  </si>
  <si>
    <t>Línea 794</t>
  </si>
  <si>
    <t>Línea 795</t>
  </si>
  <si>
    <t>Línea 796</t>
  </si>
  <si>
    <t>Línea 797</t>
  </si>
  <si>
    <t>Línea 798</t>
  </si>
  <si>
    <t>Línea 799</t>
  </si>
  <si>
    <t>Línea 800</t>
  </si>
  <si>
    <t>Línea 801</t>
  </si>
  <si>
    <t>Línea 802</t>
  </si>
  <si>
    <t>Línea 803</t>
  </si>
  <si>
    <t>Línea 804</t>
  </si>
  <si>
    <t>Línea 805</t>
  </si>
  <si>
    <t>Línea 806</t>
  </si>
  <si>
    <t>Línea 807</t>
  </si>
  <si>
    <t>Línea 808</t>
  </si>
  <si>
    <t>Línea 809</t>
  </si>
  <si>
    <t>Línea 810</t>
  </si>
  <si>
    <t>Línea 811</t>
  </si>
  <si>
    <t>Línea 812</t>
  </si>
  <si>
    <t>Línea 813</t>
  </si>
  <si>
    <t>Línea 814</t>
  </si>
  <si>
    <t>Línea 815</t>
  </si>
  <si>
    <t>Línea 816</t>
  </si>
  <si>
    <t>Línea 817</t>
  </si>
  <si>
    <t>Línea 818</t>
  </si>
  <si>
    <t>Línea 819</t>
  </si>
  <si>
    <t>Línea 820</t>
  </si>
  <si>
    <t>Línea 821</t>
  </si>
  <si>
    <t>Línea 822</t>
  </si>
  <si>
    <t>Línea 823</t>
  </si>
  <si>
    <t>Línea 824</t>
  </si>
  <si>
    <t>Línea 825</t>
  </si>
  <si>
    <t>Línea 826</t>
  </si>
  <si>
    <t>Línea 827</t>
  </si>
  <si>
    <t>Línea 828</t>
  </si>
  <si>
    <t>Línea 829</t>
  </si>
  <si>
    <t>Línea 830</t>
  </si>
  <si>
    <t>Línea 831</t>
  </si>
  <si>
    <t>Línea 832</t>
  </si>
  <si>
    <t>Línea 833</t>
  </si>
  <si>
    <t>Línea 834</t>
  </si>
  <si>
    <t>Línea 835</t>
  </si>
  <si>
    <t>Línea 836</t>
  </si>
  <si>
    <t>Línea 837</t>
  </si>
  <si>
    <t>Línea 838</t>
  </si>
  <si>
    <t>Línea 839</t>
  </si>
  <si>
    <t>Línea 840</t>
  </si>
  <si>
    <t>Línea 841</t>
  </si>
  <si>
    <t>Línea 842</t>
  </si>
  <si>
    <t>Línea 843</t>
  </si>
  <si>
    <t>Línea 844</t>
  </si>
  <si>
    <t>Línea 845</t>
  </si>
  <si>
    <t>Línea 846</t>
  </si>
  <si>
    <t>Línea 847</t>
  </si>
  <si>
    <t>Línea 848</t>
  </si>
  <si>
    <t>Línea 849</t>
  </si>
  <si>
    <t>Línea 850</t>
  </si>
  <si>
    <t>Línea 851</t>
  </si>
  <si>
    <t>Línea 852</t>
  </si>
  <si>
    <t>Línea 853</t>
  </si>
  <si>
    <t>Línea 854</t>
  </si>
  <si>
    <t>Línea 855</t>
  </si>
  <si>
    <t>Línea 856</t>
  </si>
  <si>
    <t>Línea 857</t>
  </si>
  <si>
    <t>Línea 858</t>
  </si>
  <si>
    <t>Línea 859</t>
  </si>
  <si>
    <t>Línea 860</t>
  </si>
  <si>
    <t>Línea 861</t>
  </si>
  <si>
    <t>Línea 862</t>
  </si>
  <si>
    <t>Línea 863</t>
  </si>
  <si>
    <t>Línea 864</t>
  </si>
  <si>
    <t>Línea 865</t>
  </si>
  <si>
    <t>Línea 866</t>
  </si>
  <si>
    <t>Línea 867</t>
  </si>
  <si>
    <t>Línea 868</t>
  </si>
  <si>
    <t>Línea 869</t>
  </si>
  <si>
    <t>Línea 870</t>
  </si>
  <si>
    <t>Línea 871</t>
  </si>
  <si>
    <t>Línea 872</t>
  </si>
  <si>
    <t>Línea 873</t>
  </si>
  <si>
    <t>Línea 874</t>
  </si>
  <si>
    <t>Línea 875</t>
  </si>
  <si>
    <t>Línea 876</t>
  </si>
  <si>
    <t>Línea 877</t>
  </si>
  <si>
    <t>Línea 878</t>
  </si>
  <si>
    <t>Línea 879</t>
  </si>
  <si>
    <t>Línea 880</t>
  </si>
  <si>
    <t>Línea 881</t>
  </si>
  <si>
    <t>Línea 882</t>
  </si>
  <si>
    <t>Línea 883</t>
  </si>
  <si>
    <t>Línea 884</t>
  </si>
  <si>
    <t>Línea 885</t>
  </si>
  <si>
    <t>Línea 886</t>
  </si>
  <si>
    <t>Línea 887</t>
  </si>
  <si>
    <t>Línea 888</t>
  </si>
  <si>
    <t>Línea 889</t>
  </si>
  <si>
    <t>Línea 890</t>
  </si>
  <si>
    <t>Línea 891</t>
  </si>
  <si>
    <t>Línea 892</t>
  </si>
  <si>
    <t>Línea 893</t>
  </si>
  <si>
    <t>Línea 894</t>
  </si>
  <si>
    <t>Línea 895</t>
  </si>
  <si>
    <t>Línea 896</t>
  </si>
  <si>
    <t>Línea 897</t>
  </si>
  <si>
    <t>Línea 898</t>
  </si>
  <si>
    <t>Línea 899</t>
  </si>
  <si>
    <t>Línea 900</t>
  </si>
  <si>
    <t>Línea 901</t>
  </si>
  <si>
    <t>Línea 902</t>
  </si>
  <si>
    <t>Línea 903</t>
  </si>
  <si>
    <t>Línea 904</t>
  </si>
  <si>
    <t>Línea 905</t>
  </si>
  <si>
    <t>Línea 906</t>
  </si>
  <si>
    <t>Línea 907</t>
  </si>
  <si>
    <t>Línea 908</t>
  </si>
  <si>
    <t>Línea 909</t>
  </si>
  <si>
    <t>Línea 910</t>
  </si>
  <si>
    <t>Línea 911</t>
  </si>
  <si>
    <t>Línea 912</t>
  </si>
  <si>
    <t>Línea 913</t>
  </si>
  <si>
    <t>Línea 914</t>
  </si>
  <si>
    <t>Línea 915</t>
  </si>
  <si>
    <t>Línea 916</t>
  </si>
  <si>
    <t>Línea 917</t>
  </si>
  <si>
    <t>Línea 918</t>
  </si>
  <si>
    <t>Línea 919</t>
  </si>
  <si>
    <t>Línea 920</t>
  </si>
  <si>
    <t>Línea 921</t>
  </si>
  <si>
    <t>Línea 922</t>
  </si>
  <si>
    <t>Línea 923</t>
  </si>
  <si>
    <t>Línea 924</t>
  </si>
  <si>
    <t>Línea 925</t>
  </si>
  <si>
    <t>Línea 926</t>
  </si>
  <si>
    <t>Línea 927</t>
  </si>
  <si>
    <t>Línea 928</t>
  </si>
  <si>
    <t>Línea 929</t>
  </si>
  <si>
    <t>Línea 930</t>
  </si>
  <si>
    <t>Línea 931</t>
  </si>
  <si>
    <t>Línea 932</t>
  </si>
  <si>
    <t>Línea 933</t>
  </si>
  <si>
    <t>Línea 934</t>
  </si>
  <si>
    <t>Línea 935</t>
  </si>
  <si>
    <t>Línea 936</t>
  </si>
  <si>
    <t>Línea 937</t>
  </si>
  <si>
    <t>Línea 938</t>
  </si>
  <si>
    <t>Línea 939</t>
  </si>
  <si>
    <t>Línea 940</t>
  </si>
  <si>
    <t>Línea 941</t>
  </si>
  <si>
    <t>Línea 942</t>
  </si>
  <si>
    <t>Línea 943</t>
  </si>
  <si>
    <t>Línea 944</t>
  </si>
  <si>
    <t>Línea 945</t>
  </si>
  <si>
    <t>Línea 946</t>
  </si>
  <si>
    <t>Línea 947</t>
  </si>
  <si>
    <t>Línea 948</t>
  </si>
  <si>
    <t>Línea 949</t>
  </si>
  <si>
    <t>Línea 950</t>
  </si>
  <si>
    <t>Línea 951</t>
  </si>
  <si>
    <t>Línea 952</t>
  </si>
  <si>
    <t>Línea 953</t>
  </si>
  <si>
    <t>Línea 954</t>
  </si>
  <si>
    <t>Línea 955</t>
  </si>
  <si>
    <t>Línea 956</t>
  </si>
  <si>
    <t>Línea 957</t>
  </si>
  <si>
    <t>Línea 958</t>
  </si>
  <si>
    <t>Línea 959</t>
  </si>
  <si>
    <t>Línea 960</t>
  </si>
  <si>
    <t>Línea 961</t>
  </si>
  <si>
    <t>Línea 962</t>
  </si>
  <si>
    <t>Línea 963</t>
  </si>
  <si>
    <t>Línea 964</t>
  </si>
  <si>
    <t>Línea 965</t>
  </si>
  <si>
    <t>Línea 966</t>
  </si>
  <si>
    <t>Línea 967</t>
  </si>
  <si>
    <t>Línea 968</t>
  </si>
  <si>
    <t>Línea 969</t>
  </si>
  <si>
    <t>Línea 970</t>
  </si>
  <si>
    <t>Línea 971</t>
  </si>
  <si>
    <t>Línea 972</t>
  </si>
  <si>
    <t>Línea 973</t>
  </si>
  <si>
    <t>Línea 974</t>
  </si>
  <si>
    <t>Línea 975</t>
  </si>
  <si>
    <t>Línea 976</t>
  </si>
  <si>
    <t>Línea 977</t>
  </si>
  <si>
    <t>Línea 978</t>
  </si>
  <si>
    <t>Línea 979</t>
  </si>
  <si>
    <t>Línea 980</t>
  </si>
  <si>
    <t>Línea 981</t>
  </si>
  <si>
    <t>Línea 982</t>
  </si>
  <si>
    <t>Línea 983</t>
  </si>
  <si>
    <t>Línea 984</t>
  </si>
  <si>
    <t>Línea 985</t>
  </si>
  <si>
    <t>Línea 986</t>
  </si>
  <si>
    <t>Línea 987</t>
  </si>
  <si>
    <t>Línea 988</t>
  </si>
  <si>
    <t>Línea 989</t>
  </si>
  <si>
    <t>Línea 990</t>
  </si>
  <si>
    <t>Línea 991</t>
  </si>
  <si>
    <t>Línea 992</t>
  </si>
  <si>
    <t>Línea 993</t>
  </si>
  <si>
    <t>Línea 994</t>
  </si>
  <si>
    <t>Línea 995</t>
  </si>
  <si>
    <t>Línea 996</t>
  </si>
  <si>
    <t>Línea 997</t>
  </si>
  <si>
    <t>Línea 998</t>
  </si>
  <si>
    <t>Línea 999</t>
  </si>
  <si>
    <t>Línea 1000</t>
  </si>
  <si>
    <t>Línea 1001</t>
  </si>
  <si>
    <t>Línea 1002</t>
  </si>
  <si>
    <t>Línea 1003</t>
  </si>
  <si>
    <t>Línea 1004</t>
  </si>
  <si>
    <t>Línea 1005</t>
  </si>
  <si>
    <t>Línea 1006</t>
  </si>
  <si>
    <t>Línea 1007</t>
  </si>
  <si>
    <t>Línea 1008</t>
  </si>
  <si>
    <t>Línea 1009</t>
  </si>
  <si>
    <t>Línea 1010</t>
  </si>
  <si>
    <t>Línea 1011</t>
  </si>
  <si>
    <t>Línea 1012</t>
  </si>
  <si>
    <t>Línea 1013</t>
  </si>
  <si>
    <t>Línea 1014</t>
  </si>
  <si>
    <t>Línea 1015</t>
  </si>
  <si>
    <t>Línea 1016</t>
  </si>
  <si>
    <t>Línea 1017</t>
  </si>
  <si>
    <t>Línea 1018</t>
  </si>
  <si>
    <t>Línea 1019</t>
  </si>
  <si>
    <t>Línea 1020</t>
  </si>
  <si>
    <t>Línea 1021</t>
  </si>
  <si>
    <t>Línea 1022</t>
  </si>
  <si>
    <t>Línea 1023</t>
  </si>
  <si>
    <t>Línea 1024</t>
  </si>
  <si>
    <t>Línea 1025</t>
  </si>
  <si>
    <t>Línea 1026</t>
  </si>
  <si>
    <t>Línea 1027</t>
  </si>
  <si>
    <t>Línea 1028</t>
  </si>
  <si>
    <t>Línea 1029</t>
  </si>
  <si>
    <t>Línea 1030</t>
  </si>
  <si>
    <t>Línea 1031</t>
  </si>
  <si>
    <t>Línea 1032</t>
  </si>
  <si>
    <t>Línea 1033</t>
  </si>
  <si>
    <t>Línea 1034</t>
  </si>
  <si>
    <t>Línea 1035</t>
  </si>
  <si>
    <t>Línea 1036</t>
  </si>
  <si>
    <t>Línea 1037</t>
  </si>
  <si>
    <t>Línea 1038</t>
  </si>
  <si>
    <t>Línea 1039</t>
  </si>
  <si>
    <t>Línea 1040</t>
  </si>
  <si>
    <t>Línea 1041</t>
  </si>
  <si>
    <t>Línea 1042</t>
  </si>
  <si>
    <t>Línea 1043</t>
  </si>
  <si>
    <t>Línea 1044</t>
  </si>
  <si>
    <t>Línea 1045</t>
  </si>
  <si>
    <t>Línea 1046</t>
  </si>
  <si>
    <t>Línea 1047</t>
  </si>
  <si>
    <t>Línea 1048</t>
  </si>
  <si>
    <t>Línea 1049</t>
  </si>
  <si>
    <t>Línea 1050</t>
  </si>
  <si>
    <t>Línea 1051</t>
  </si>
  <si>
    <t>Línea 1052</t>
  </si>
  <si>
    <t>Línea 1053</t>
  </si>
  <si>
    <t>Línea 1054</t>
  </si>
  <si>
    <t>Línea 1055</t>
  </si>
  <si>
    <t>Línea 1056</t>
  </si>
  <si>
    <t>Línea 1057</t>
  </si>
  <si>
    <t>Línea 1058</t>
  </si>
  <si>
    <t>Línea 1059</t>
  </si>
  <si>
    <t>Línea 1060</t>
  </si>
  <si>
    <t>Línea 1061</t>
  </si>
  <si>
    <t>Línea 1062</t>
  </si>
  <si>
    <t>Línea 1063</t>
  </si>
  <si>
    <t>Línea 1064</t>
  </si>
  <si>
    <t>Línea 1065</t>
  </si>
  <si>
    <t>Línea 1066</t>
  </si>
  <si>
    <t>Línea 1067</t>
  </si>
  <si>
    <t>Línea 1068</t>
  </si>
  <si>
    <t>Línea 1069</t>
  </si>
  <si>
    <t>Línea 1070</t>
  </si>
  <si>
    <t>Línea 1071</t>
  </si>
  <si>
    <t>Línea 1072</t>
  </si>
  <si>
    <t>Línea 1073</t>
  </si>
  <si>
    <t>Línea 1074</t>
  </si>
  <si>
    <t>Línea 1075</t>
  </si>
  <si>
    <t>Línea 1076</t>
  </si>
  <si>
    <t>Línea 1077</t>
  </si>
  <si>
    <t>Línea 1078</t>
  </si>
  <si>
    <t>Línea 1079</t>
  </si>
  <si>
    <t>Línea 1080</t>
  </si>
  <si>
    <t>Línea 1081</t>
  </si>
  <si>
    <t>Línea 1082</t>
  </si>
  <si>
    <t>Línea 1083</t>
  </si>
  <si>
    <t>Línea 1084</t>
  </si>
  <si>
    <t>Línea 1085</t>
  </si>
  <si>
    <t>Línea 1086</t>
  </si>
  <si>
    <t>Línea 1087</t>
  </si>
  <si>
    <t>Línea 1088</t>
  </si>
  <si>
    <t>Línea 1089</t>
  </si>
  <si>
    <t>Línea 1090</t>
  </si>
  <si>
    <t>Línea 1091</t>
  </si>
  <si>
    <t>Línea 1092</t>
  </si>
  <si>
    <t>Línea 1093</t>
  </si>
  <si>
    <t>Línea 1094</t>
  </si>
  <si>
    <t>Línea 1095</t>
  </si>
  <si>
    <t>Línea 1096</t>
  </si>
  <si>
    <t>Línea 1097</t>
  </si>
  <si>
    <t>Línea 1098</t>
  </si>
  <si>
    <t>Línea 1099</t>
  </si>
  <si>
    <t>Línea 1100</t>
  </si>
  <si>
    <t>Línea 1101</t>
  </si>
  <si>
    <t>Línea 1102</t>
  </si>
  <si>
    <t>Línea 1103</t>
  </si>
  <si>
    <t>Línea 1104</t>
  </si>
  <si>
    <t>Línea 1105</t>
  </si>
  <si>
    <t>Línea 1106</t>
  </si>
  <si>
    <t>Línea 1107</t>
  </si>
  <si>
    <t>Línea 1108</t>
  </si>
  <si>
    <t>Línea 1109</t>
  </si>
  <si>
    <t>Línea 1110</t>
  </si>
  <si>
    <t>Línea 1111</t>
  </si>
  <si>
    <t>Línea 1112</t>
  </si>
  <si>
    <t>Línea 1113</t>
  </si>
  <si>
    <t>Línea 1114</t>
  </si>
  <si>
    <t>Línea 1115</t>
  </si>
  <si>
    <t>Línea 1116</t>
  </si>
  <si>
    <t>Línea 1117</t>
  </si>
  <si>
    <t>Línea 1118</t>
  </si>
  <si>
    <t>Línea 1119</t>
  </si>
  <si>
    <t>Línea 1120</t>
  </si>
  <si>
    <t>Línea 1121</t>
  </si>
  <si>
    <t>Línea 1122</t>
  </si>
  <si>
    <t>Línea 1123</t>
  </si>
  <si>
    <t>Línea 1124</t>
  </si>
  <si>
    <t>Línea 1125</t>
  </si>
  <si>
    <t>Línea 1126</t>
  </si>
  <si>
    <t>Línea 1127</t>
  </si>
  <si>
    <t>Línea 1128</t>
  </si>
  <si>
    <t>Línea 1129</t>
  </si>
  <si>
    <t>Línea 1130</t>
  </si>
  <si>
    <t>Línea 1131</t>
  </si>
  <si>
    <t>Línea 1132</t>
  </si>
  <si>
    <t>Línea 1133</t>
  </si>
  <si>
    <t>Línea 1134</t>
  </si>
  <si>
    <t>Línea 1135</t>
  </si>
  <si>
    <t>Línea 1136</t>
  </si>
  <si>
    <t>Línea 1137</t>
  </si>
  <si>
    <t>Línea 1138</t>
  </si>
  <si>
    <t>Línea 1139</t>
  </si>
  <si>
    <t>Línea 1140</t>
  </si>
  <si>
    <t>Línea 1141</t>
  </si>
  <si>
    <t>Línea 1142</t>
  </si>
  <si>
    <t>Línea 1143</t>
  </si>
  <si>
    <t>Línea 1144</t>
  </si>
  <si>
    <t>Línea 1145</t>
  </si>
  <si>
    <t>Línea 1146</t>
  </si>
  <si>
    <t>Línea 1147</t>
  </si>
  <si>
    <t>Línea 1148</t>
  </si>
  <si>
    <t>Línea 1149</t>
  </si>
  <si>
    <t>Línea 1150</t>
  </si>
  <si>
    <t>Línea 1151</t>
  </si>
  <si>
    <t>Línea 1152</t>
  </si>
  <si>
    <t>Línea 1153</t>
  </si>
  <si>
    <t>Línea 1154</t>
  </si>
  <si>
    <t>Línea 1155</t>
  </si>
  <si>
    <t>Línea 1156</t>
  </si>
  <si>
    <t>Línea 1157</t>
  </si>
  <si>
    <t>Línea 1158</t>
  </si>
  <si>
    <t>Línea 1159</t>
  </si>
  <si>
    <t>Línea 1160</t>
  </si>
  <si>
    <t>Línea 1161</t>
  </si>
  <si>
    <t>Línea 1162</t>
  </si>
  <si>
    <t>Línea 1163</t>
  </si>
  <si>
    <t>Línea 1164</t>
  </si>
  <si>
    <t>Línea 1165</t>
  </si>
  <si>
    <t>Línea 1166</t>
  </si>
  <si>
    <t>Línea 1167</t>
  </si>
  <si>
    <t>Línea 1168</t>
  </si>
  <si>
    <t>Línea 1169</t>
  </si>
  <si>
    <t>Línea 1170</t>
  </si>
  <si>
    <t>Línea 1171</t>
  </si>
  <si>
    <t>Línea 1172</t>
  </si>
  <si>
    <t>Línea 1173</t>
  </si>
  <si>
    <t>Línea 1174</t>
  </si>
  <si>
    <t>Línea 1175</t>
  </si>
  <si>
    <t>Línea 1176</t>
  </si>
  <si>
    <t>Línea 1177</t>
  </si>
  <si>
    <t>Línea 1178</t>
  </si>
  <si>
    <t>Línea 1179</t>
  </si>
  <si>
    <t>Línea 1180</t>
  </si>
  <si>
    <t>Línea 1181</t>
  </si>
  <si>
    <t>Línea 1182</t>
  </si>
  <si>
    <t>Línea 1183</t>
  </si>
  <si>
    <t>Línea 1184</t>
  </si>
  <si>
    <t>Línea 1185</t>
  </si>
  <si>
    <t>Línea 1186</t>
  </si>
  <si>
    <t>Línea 1187</t>
  </si>
  <si>
    <t>Línea 1188</t>
  </si>
  <si>
    <t>Línea 1189</t>
  </si>
  <si>
    <t>Línea 1190</t>
  </si>
  <si>
    <t>Línea 1191</t>
  </si>
  <si>
    <t>Línea 1192</t>
  </si>
  <si>
    <t>Línea 1193</t>
  </si>
  <si>
    <t>Línea 1194</t>
  </si>
  <si>
    <t>Línea 1195</t>
  </si>
  <si>
    <t>Línea 1196</t>
  </si>
  <si>
    <t>Línea 1197</t>
  </si>
  <si>
    <t>Línea 1198</t>
  </si>
  <si>
    <t>Línea 1199</t>
  </si>
  <si>
    <t>Línea 1200</t>
  </si>
  <si>
    <t>Línea 1201</t>
  </si>
  <si>
    <t>Línea 1202</t>
  </si>
  <si>
    <t>Línea 1203</t>
  </si>
  <si>
    <t>Línea 1204</t>
  </si>
  <si>
    <t>Línea 1205</t>
  </si>
  <si>
    <t>Línea 1206</t>
  </si>
  <si>
    <t>Línea 1207</t>
  </si>
  <si>
    <t>Línea 1208</t>
  </si>
  <si>
    <t>Línea 1209</t>
  </si>
  <si>
    <t>Línea 1210</t>
  </si>
  <si>
    <t>Línea 1211</t>
  </si>
  <si>
    <t>Línea 1212</t>
  </si>
  <si>
    <t>Línea 1213</t>
  </si>
  <si>
    <t>Línea 1214</t>
  </si>
  <si>
    <t>Línea 1215</t>
  </si>
  <si>
    <t>Línea 1216</t>
  </si>
  <si>
    <t>Línea 1217</t>
  </si>
  <si>
    <t>Línea 1218</t>
  </si>
  <si>
    <t>Línea 1219</t>
  </si>
  <si>
    <t>Línea 1220</t>
  </si>
  <si>
    <t>Línea 1221</t>
  </si>
  <si>
    <t>Línea 1222</t>
  </si>
  <si>
    <t>Línea 1223</t>
  </si>
  <si>
    <t>Línea 1224</t>
  </si>
  <si>
    <t>Línea 1225</t>
  </si>
  <si>
    <t>Línea 1226</t>
  </si>
  <si>
    <t>Línea 1227</t>
  </si>
  <si>
    <t>Línea 1228</t>
  </si>
  <si>
    <t>Línea 1229</t>
  </si>
  <si>
    <t>Línea 1230</t>
  </si>
  <si>
    <t>Línea 1231</t>
  </si>
  <si>
    <t>Línea 1232</t>
  </si>
  <si>
    <t>Línea 1233</t>
  </si>
  <si>
    <t>Línea 1234</t>
  </si>
  <si>
    <t>Línea 1235</t>
  </si>
  <si>
    <t>Línea 1236</t>
  </si>
  <si>
    <t>Línea 1237</t>
  </si>
  <si>
    <t>Línea 1238</t>
  </si>
  <si>
    <t>Línea 1239</t>
  </si>
  <si>
    <t>Línea 1240</t>
  </si>
  <si>
    <t>Línea 1241</t>
  </si>
  <si>
    <t>Línea 1242</t>
  </si>
  <si>
    <t>Línea 1243</t>
  </si>
  <si>
    <t>Línea 1244</t>
  </si>
  <si>
    <t>Línea 1245</t>
  </si>
  <si>
    <t>Línea 1246</t>
  </si>
  <si>
    <t>Línea 1247</t>
  </si>
  <si>
    <t>Línea 1248</t>
  </si>
  <si>
    <t>Línea 1249</t>
  </si>
  <si>
    <t>Línea 1250</t>
  </si>
  <si>
    <t>Línea 1251</t>
  </si>
  <si>
    <t>Línea 1252</t>
  </si>
  <si>
    <t>Línea 1253</t>
  </si>
  <si>
    <t>Línea 1254</t>
  </si>
  <si>
    <t>Línea 1255</t>
  </si>
  <si>
    <t>Línea 1256</t>
  </si>
  <si>
    <t>Línea 1257</t>
  </si>
  <si>
    <t>Línea 1258</t>
  </si>
  <si>
    <t>Línea 1259</t>
  </si>
  <si>
    <t>Línea 1260</t>
  </si>
  <si>
    <t>Línea 1261</t>
  </si>
  <si>
    <t>Línea 1262</t>
  </si>
  <si>
    <t>Línea 1263</t>
  </si>
  <si>
    <t>Línea 1264</t>
  </si>
  <si>
    <t>Línea 1266</t>
  </si>
  <si>
    <t>Línea 1267</t>
  </si>
  <si>
    <t>Línea 1268</t>
  </si>
  <si>
    <t>Línea 1269</t>
  </si>
  <si>
    <t>Línea 1270</t>
  </si>
  <si>
    <t>Línea 1271</t>
  </si>
  <si>
    <t>Línea 1272</t>
  </si>
  <si>
    <t>Línea 1273</t>
  </si>
  <si>
    <t>Línea 1274</t>
  </si>
  <si>
    <t>Línea 1275</t>
  </si>
  <si>
    <t>Línea 1276</t>
  </si>
  <si>
    <t>Línea 1277</t>
  </si>
  <si>
    <t>Línea 1278</t>
  </si>
  <si>
    <t>Línea 1279</t>
  </si>
  <si>
    <t>Línea 1280</t>
  </si>
  <si>
    <t>Línea 1281</t>
  </si>
  <si>
    <t>Línea 1282</t>
  </si>
  <si>
    <t>Línea 1283</t>
  </si>
  <si>
    <t>Línea 1284</t>
  </si>
  <si>
    <t>Línea 1285</t>
  </si>
  <si>
    <t>Línea 1286</t>
  </si>
  <si>
    <t>Línea 1287</t>
  </si>
  <si>
    <t>Línea 1288</t>
  </si>
  <si>
    <t>Línea 1289</t>
  </si>
  <si>
    <t>Línea 1290</t>
  </si>
  <si>
    <t>Línea 1291</t>
  </si>
  <si>
    <t>Línea 1292</t>
  </si>
  <si>
    <t>Línea 1293</t>
  </si>
  <si>
    <t>Línea 1294</t>
  </si>
  <si>
    <t>Línea 1295</t>
  </si>
  <si>
    <t>Línea 1296</t>
  </si>
  <si>
    <t>Línea 1297</t>
  </si>
  <si>
    <t>Línea 1298</t>
  </si>
  <si>
    <t>Línea 1299</t>
  </si>
  <si>
    <t>Línea 1300</t>
  </si>
  <si>
    <t>Línea 1301</t>
  </si>
  <si>
    <t>Línea 1302</t>
  </si>
  <si>
    <t>Línea 1303</t>
  </si>
  <si>
    <t>Línea 1304</t>
  </si>
  <si>
    <t>Línea 1305</t>
  </si>
  <si>
    <t>Línea 1306</t>
  </si>
  <si>
    <t>Línea 1307</t>
  </si>
  <si>
    <t>Línea 1308</t>
  </si>
  <si>
    <t>Línea 1309</t>
  </si>
  <si>
    <t>Línea 1310</t>
  </si>
  <si>
    <t>Línea 1311</t>
  </si>
  <si>
    <t>Línea 1312</t>
  </si>
  <si>
    <t>Línea 1313</t>
  </si>
  <si>
    <t>Línea 1314</t>
  </si>
  <si>
    <t>Línea 1315</t>
  </si>
  <si>
    <t>Línea 1316</t>
  </si>
  <si>
    <t>Línea 1317</t>
  </si>
  <si>
    <t>Línea 1318</t>
  </si>
  <si>
    <t>Línea 1319</t>
  </si>
  <si>
    <t>Línea 1320</t>
  </si>
  <si>
    <t>Línea 1321</t>
  </si>
  <si>
    <t>Línea 1322</t>
  </si>
  <si>
    <t>Línea 1323</t>
  </si>
  <si>
    <t>Línea 1324</t>
  </si>
  <si>
    <t>Línea 1325</t>
  </si>
  <si>
    <t>Línea 1326</t>
  </si>
  <si>
    <t>Línea 1327</t>
  </si>
  <si>
    <t>Línea 1328</t>
  </si>
  <si>
    <t>Línea 1329</t>
  </si>
  <si>
    <t>Línea 1330</t>
  </si>
  <si>
    <t>Línea 1331</t>
  </si>
  <si>
    <t>Línea 1332</t>
  </si>
  <si>
    <t>Línea 1333</t>
  </si>
  <si>
    <t>Línea 1334</t>
  </si>
  <si>
    <t>Línea 1335</t>
  </si>
  <si>
    <t>Línea 1336</t>
  </si>
  <si>
    <t>Línea 1337</t>
  </si>
  <si>
    <t>Línea 1338</t>
  </si>
  <si>
    <t>Línea 1339</t>
  </si>
  <si>
    <t>Línea 1340</t>
  </si>
  <si>
    <t>Línea 1341</t>
  </si>
  <si>
    <t>Línea 1342</t>
  </si>
  <si>
    <t>Línea 1343</t>
  </si>
  <si>
    <t>Línea 1344</t>
  </si>
  <si>
    <t>Línea 1345</t>
  </si>
  <si>
    <t>Línea 1346</t>
  </si>
  <si>
    <t>Línea 1347</t>
  </si>
  <si>
    <t>Línea 1348</t>
  </si>
  <si>
    <t>Línea 1349</t>
  </si>
  <si>
    <t>Línea 1350</t>
  </si>
  <si>
    <t>Línea 1351</t>
  </si>
  <si>
    <t>Línea 1352</t>
  </si>
  <si>
    <t>Línea 1353</t>
  </si>
  <si>
    <t>Línea 1354</t>
  </si>
  <si>
    <t>Línea 1355</t>
  </si>
  <si>
    <t>Línea 1356</t>
  </si>
  <si>
    <t>Línea 1357</t>
  </si>
  <si>
    <t>Línea 1358</t>
  </si>
  <si>
    <t>Línea 1359</t>
  </si>
  <si>
    <t>Línea 1360</t>
  </si>
  <si>
    <t>Línea 1361</t>
  </si>
  <si>
    <t>Línea 1362</t>
  </si>
  <si>
    <t>Línea 1363</t>
  </si>
  <si>
    <t>Línea 1364</t>
  </si>
  <si>
    <t>Línea 1365</t>
  </si>
  <si>
    <t>Línea 1366</t>
  </si>
  <si>
    <t>Línea 1367</t>
  </si>
  <si>
    <t>Línea 1368</t>
  </si>
  <si>
    <t>Línea 1369</t>
  </si>
  <si>
    <t>Línea 1370</t>
  </si>
  <si>
    <t>Línea 1371</t>
  </si>
  <si>
    <t>Línea 1372</t>
  </si>
  <si>
    <t>Línea 1373</t>
  </si>
  <si>
    <t>Línea 1374</t>
  </si>
  <si>
    <t>Línea 1375</t>
  </si>
  <si>
    <t>Línea 1376</t>
  </si>
  <si>
    <t>Línea 1377</t>
  </si>
  <si>
    <t>Línea 1378</t>
  </si>
  <si>
    <t>Línea 1379</t>
  </si>
  <si>
    <t>Línea 1380</t>
  </si>
  <si>
    <t>Línea 1381</t>
  </si>
  <si>
    <t>Línea 1382</t>
  </si>
  <si>
    <t>Línea 1383</t>
  </si>
  <si>
    <t>Línea 1384</t>
  </si>
  <si>
    <t>Línea 1385</t>
  </si>
  <si>
    <t>Línea 1386</t>
  </si>
  <si>
    <t>Línea 1387</t>
  </si>
  <si>
    <t>Línea 1388</t>
  </si>
  <si>
    <t>Línea 1389</t>
  </si>
  <si>
    <t>Línea 1390</t>
  </si>
  <si>
    <t>Línea 1391</t>
  </si>
  <si>
    <t>Línea 1392</t>
  </si>
  <si>
    <t>Línea 1393</t>
  </si>
  <si>
    <t>Línea 1394</t>
  </si>
  <si>
    <t>Línea 1395</t>
  </si>
  <si>
    <t>Línea 1396</t>
  </si>
  <si>
    <t>Línea 1397</t>
  </si>
  <si>
    <t>Línea 1398</t>
  </si>
  <si>
    <t>Línea 1399</t>
  </si>
  <si>
    <t>Línea 1400</t>
  </si>
  <si>
    <t>Línea 1401</t>
  </si>
  <si>
    <t>Línea 1402</t>
  </si>
  <si>
    <t>Línea 1403</t>
  </si>
  <si>
    <t>Línea 1404</t>
  </si>
  <si>
    <t>Línea 1405</t>
  </si>
  <si>
    <t>Línea 1406</t>
  </si>
  <si>
    <t>Línea 1407</t>
  </si>
  <si>
    <t>Línea 1408</t>
  </si>
  <si>
    <t>Línea 1409</t>
  </si>
  <si>
    <t>Línea 1410</t>
  </si>
  <si>
    <t>Línea 1411</t>
  </si>
  <si>
    <t>Línea 1412</t>
  </si>
  <si>
    <t>Línea 1414</t>
  </si>
  <si>
    <t>Línea 1415</t>
  </si>
  <si>
    <t>Línea 1416</t>
  </si>
  <si>
    <t>Línea 1417</t>
  </si>
  <si>
    <t>Línea 1418</t>
  </si>
  <si>
    <t>Línea 1419</t>
  </si>
  <si>
    <t>Línea 1420</t>
  </si>
  <si>
    <t>Línea 1421</t>
  </si>
  <si>
    <t>Línea 1422</t>
  </si>
  <si>
    <t>Línea 1423</t>
  </si>
  <si>
    <t>Línea 1424</t>
  </si>
  <si>
    <t>Línea 1425</t>
  </si>
  <si>
    <t>Línea 1426</t>
  </si>
  <si>
    <t>Línea 1427</t>
  </si>
  <si>
    <t>Línea 1428</t>
  </si>
  <si>
    <t>Línea 1429</t>
  </si>
  <si>
    <t>Línea 1430</t>
  </si>
  <si>
    <t>Línea 1431</t>
  </si>
  <si>
    <t>Línea 1432</t>
  </si>
  <si>
    <t>Línea 1433</t>
  </si>
  <si>
    <t>Línea 1434</t>
  </si>
  <si>
    <t>Línea 1435</t>
  </si>
  <si>
    <t>Línea 1436</t>
  </si>
  <si>
    <t>Línea 1437</t>
  </si>
  <si>
    <t>Línea 1438</t>
  </si>
  <si>
    <t>Línea 1439</t>
  </si>
  <si>
    <t>Línea 1440</t>
  </si>
  <si>
    <t>Línea 1441</t>
  </si>
  <si>
    <t>Línea 1442</t>
  </si>
  <si>
    <t>Línea 1443</t>
  </si>
  <si>
    <t>Línea 1444</t>
  </si>
  <si>
    <t>Línea 1445</t>
  </si>
  <si>
    <t>Línea 1446</t>
  </si>
  <si>
    <t>Línea 1447</t>
  </si>
  <si>
    <t>Línea 1448</t>
  </si>
  <si>
    <t>Línea 1449</t>
  </si>
  <si>
    <t>Línea 1450</t>
  </si>
  <si>
    <t>Línea 1451</t>
  </si>
  <si>
    <t>Línea 1452</t>
  </si>
  <si>
    <t>Línea 1453</t>
  </si>
  <si>
    <t>Línea 1454</t>
  </si>
  <si>
    <t>Línea 1455</t>
  </si>
  <si>
    <t>Línea 1456</t>
  </si>
  <si>
    <t>Línea 1457</t>
  </si>
  <si>
    <t>Línea 1458</t>
  </si>
  <si>
    <t>Línea 1459</t>
  </si>
  <si>
    <t>Línea 1460</t>
  </si>
  <si>
    <t>Línea 1461</t>
  </si>
  <si>
    <t>Línea 1462</t>
  </si>
  <si>
    <t>Línea 1463</t>
  </si>
  <si>
    <t>Línea 1464</t>
  </si>
  <si>
    <t>Línea 1465</t>
  </si>
  <si>
    <t>Línea 1466</t>
  </si>
  <si>
    <t>Línea 1467</t>
  </si>
  <si>
    <t>Línea 1468</t>
  </si>
  <si>
    <t>Línea 1469</t>
  </si>
  <si>
    <t>Línea 1470</t>
  </si>
  <si>
    <t>Línea 1471</t>
  </si>
  <si>
    <t>Línea 1472</t>
  </si>
  <si>
    <t>Línea 1473</t>
  </si>
  <si>
    <t>Línea 1474</t>
  </si>
  <si>
    <t>Línea 1475</t>
  </si>
  <si>
    <t>Línea 1476</t>
  </si>
  <si>
    <t>Línea 1477</t>
  </si>
  <si>
    <t>Línea 1478</t>
  </si>
  <si>
    <t>Línea 1479</t>
  </si>
  <si>
    <t>Línea 1480</t>
  </si>
  <si>
    <t>Línea 1481</t>
  </si>
  <si>
    <t>Línea 1482</t>
  </si>
  <si>
    <t>Línea 1483</t>
  </si>
  <si>
    <t>Línea 1484</t>
  </si>
  <si>
    <t>Línea 1485</t>
  </si>
  <si>
    <t>Línea 1486</t>
  </si>
  <si>
    <t>Línea 1487</t>
  </si>
  <si>
    <t>Línea 1488</t>
  </si>
  <si>
    <t>Línea 1489</t>
  </si>
  <si>
    <t>Línea 1490</t>
  </si>
  <si>
    <t>Línea 1491</t>
  </si>
  <si>
    <t>Línea 1492</t>
  </si>
  <si>
    <t>Línea 1493</t>
  </si>
  <si>
    <t>Línea 1494</t>
  </si>
  <si>
    <t>Línea 1495</t>
  </si>
  <si>
    <t>Línea 1496</t>
  </si>
  <si>
    <t>Línea 1497</t>
  </si>
  <si>
    <t>Línea 1498</t>
  </si>
  <si>
    <t>Línea 1499</t>
  </si>
  <si>
    <t>Línea 1500</t>
  </si>
  <si>
    <t>Línea 1501</t>
  </si>
  <si>
    <t>Línea 1502</t>
  </si>
  <si>
    <t>Línea 1503</t>
  </si>
  <si>
    <t>Línea 1504</t>
  </si>
  <si>
    <t>Línea 1505</t>
  </si>
  <si>
    <t>Línea 1506</t>
  </si>
  <si>
    <t>Línea 1507</t>
  </si>
  <si>
    <t>Línea 1508</t>
  </si>
  <si>
    <t>Línea 1509</t>
  </si>
  <si>
    <t>Línea 1510</t>
  </si>
  <si>
    <t>Línea 1511</t>
  </si>
  <si>
    <t>Línea 1512</t>
  </si>
  <si>
    <t>Línea 1513</t>
  </si>
  <si>
    <t>Línea 1514</t>
  </si>
  <si>
    <t>Línea 1515</t>
  </si>
  <si>
    <t>Línea 1516</t>
  </si>
  <si>
    <t>Línea 1517</t>
  </si>
  <si>
    <t>Línea 1518</t>
  </si>
  <si>
    <t>Línea 1519</t>
  </si>
  <si>
    <t>Línea 1520</t>
  </si>
  <si>
    <t>Línea 1521</t>
  </si>
  <si>
    <t>Línea 1522</t>
  </si>
  <si>
    <t>Línea 1523</t>
  </si>
  <si>
    <t>Línea 1524</t>
  </si>
  <si>
    <t>Línea 1525</t>
  </si>
  <si>
    <t>Línea 1526</t>
  </si>
  <si>
    <t>Línea 1527</t>
  </si>
  <si>
    <t>Línea 1528</t>
  </si>
  <si>
    <t>Línea 1529</t>
  </si>
  <si>
    <t>Línea 1530</t>
  </si>
  <si>
    <t>Línea 1531</t>
  </si>
  <si>
    <t>Línea 1532</t>
  </si>
  <si>
    <t>Línea 1533</t>
  </si>
  <si>
    <t>Línea 1534</t>
  </si>
  <si>
    <t>Línea 1535</t>
  </si>
  <si>
    <t>Línea 1536</t>
  </si>
  <si>
    <t>Línea 1537</t>
  </si>
  <si>
    <t>Línea 1538</t>
  </si>
  <si>
    <t>Línea 1539</t>
  </si>
  <si>
    <t>Línea 1540</t>
  </si>
  <si>
    <t>Línea 1541</t>
  </si>
  <si>
    <t>Línea 1542</t>
  </si>
  <si>
    <t>Línea 1543</t>
  </si>
  <si>
    <t>Línea 1544</t>
  </si>
  <si>
    <t>Línea 1545</t>
  </si>
  <si>
    <t>Línea 1546</t>
  </si>
  <si>
    <t>Línea 1547</t>
  </si>
  <si>
    <t>Línea 1548</t>
  </si>
  <si>
    <t>Línea 1549</t>
  </si>
  <si>
    <t>Línea 1550</t>
  </si>
  <si>
    <t>Línea 1551</t>
  </si>
  <si>
    <t>Línea 1552</t>
  </si>
  <si>
    <t>Línea 1553</t>
  </si>
  <si>
    <t>Línea 1554</t>
  </si>
  <si>
    <t>Línea 1555</t>
  </si>
  <si>
    <t>Línea 1556</t>
  </si>
  <si>
    <t>Línea 1557</t>
  </si>
  <si>
    <t>Línea 1558</t>
  </si>
  <si>
    <t>Línea 1559</t>
  </si>
  <si>
    <t>Línea 1560</t>
  </si>
  <si>
    <t>Línea 1561</t>
  </si>
  <si>
    <t>Línea 1562</t>
  </si>
  <si>
    <t>Línea 1563</t>
  </si>
  <si>
    <t>Línea 1564</t>
  </si>
  <si>
    <t>Línea 1565</t>
  </si>
  <si>
    <t>Línea 1566</t>
  </si>
  <si>
    <t>Línea 1567</t>
  </si>
  <si>
    <t>Línea 1568</t>
  </si>
  <si>
    <t>Línea 1569</t>
  </si>
  <si>
    <t>Línea 1570</t>
  </si>
  <si>
    <t>Línea 1571</t>
  </si>
  <si>
    <t>Línea 1572</t>
  </si>
  <si>
    <t>Línea 1573</t>
  </si>
  <si>
    <t>Línea 1574</t>
  </si>
  <si>
    <t>Línea 1575</t>
  </si>
  <si>
    <t>Línea 1576</t>
  </si>
  <si>
    <t>Línea 1577</t>
  </si>
  <si>
    <t>Línea 1578</t>
  </si>
  <si>
    <t>Línea 1579</t>
  </si>
  <si>
    <t>Línea 1580</t>
  </si>
  <si>
    <t>Línea 1581</t>
  </si>
  <si>
    <t>Línea 1582</t>
  </si>
  <si>
    <t>Línea 1583</t>
  </si>
  <si>
    <t>Línea 1584</t>
  </si>
  <si>
    <t>Línea 1585</t>
  </si>
  <si>
    <t>Línea 1586</t>
  </si>
  <si>
    <t>Línea 1587</t>
  </si>
  <si>
    <t>Línea 1588</t>
  </si>
  <si>
    <t>Línea 1589</t>
  </si>
  <si>
    <t>Línea 1590</t>
  </si>
  <si>
    <t>Línea 1591</t>
  </si>
  <si>
    <t>Línea 1592</t>
  </si>
  <si>
    <t>Línea 1593</t>
  </si>
  <si>
    <t>Línea 1594</t>
  </si>
  <si>
    <t>Línea 1595</t>
  </si>
  <si>
    <t>Línea 1596</t>
  </si>
  <si>
    <t>Línea 1597</t>
  </si>
  <si>
    <t>Línea 1598</t>
  </si>
  <si>
    <t>Línea 1599</t>
  </si>
  <si>
    <t>Línea 1600</t>
  </si>
  <si>
    <t>Línea 1601</t>
  </si>
  <si>
    <t>Línea 1602</t>
  </si>
  <si>
    <t>Línea 1603</t>
  </si>
  <si>
    <t>Línea 1604</t>
  </si>
  <si>
    <t>Línea 1605</t>
  </si>
  <si>
    <t>Línea 1606</t>
  </si>
  <si>
    <t>Línea 1607</t>
  </si>
  <si>
    <t>Línea 1608</t>
  </si>
  <si>
    <t>Línea 1609</t>
  </si>
  <si>
    <t>Línea 1610</t>
  </si>
  <si>
    <t>Línea 1611</t>
  </si>
  <si>
    <t>Línea 1612</t>
  </si>
  <si>
    <t>Línea 1613</t>
  </si>
  <si>
    <t>Línea 1614</t>
  </si>
  <si>
    <t>Línea 1615</t>
  </si>
  <si>
    <t>Línea 1616</t>
  </si>
  <si>
    <t>Línea 1617</t>
  </si>
  <si>
    <t>Línea 1618</t>
  </si>
  <si>
    <t>Línea 1619</t>
  </si>
  <si>
    <t>Línea 1620</t>
  </si>
  <si>
    <t>Línea 1621</t>
  </si>
  <si>
    <t>Línea 1622</t>
  </si>
  <si>
    <t>Línea 1623</t>
  </si>
  <si>
    <t>Línea 1624</t>
  </si>
  <si>
    <t>Línea 1625</t>
  </si>
  <si>
    <t>Línea 1626</t>
  </si>
  <si>
    <t>Línea 1627</t>
  </si>
  <si>
    <t>Línea 1628</t>
  </si>
  <si>
    <t>Línea 1629</t>
  </si>
  <si>
    <t>Línea 1630</t>
  </si>
  <si>
    <t>Línea 1631</t>
  </si>
  <si>
    <t>Línea 1632</t>
  </si>
  <si>
    <t>Línea 1633</t>
  </si>
  <si>
    <t>Línea 1634</t>
  </si>
  <si>
    <t>Línea 1635</t>
  </si>
  <si>
    <t>Línea 1636</t>
  </si>
  <si>
    <t>Línea 1637</t>
  </si>
  <si>
    <t>Línea 1638</t>
  </si>
  <si>
    <t>Línea 1639</t>
  </si>
  <si>
    <t>Línea 1640</t>
  </si>
  <si>
    <t>Línea 1641</t>
  </si>
  <si>
    <t>Línea 1642</t>
  </si>
  <si>
    <t>Línea 1643</t>
  </si>
  <si>
    <t>Línea 1644</t>
  </si>
  <si>
    <t>Línea 1645</t>
  </si>
  <si>
    <t>Línea 1646</t>
  </si>
  <si>
    <t>Línea 1647</t>
  </si>
  <si>
    <t>Línea 1648</t>
  </si>
  <si>
    <t>Línea 1649</t>
  </si>
  <si>
    <t>Línea 1650</t>
  </si>
  <si>
    <t>Línea 1651</t>
  </si>
  <si>
    <t>Línea 1652</t>
  </si>
  <si>
    <t>Línea 1653</t>
  </si>
  <si>
    <t>Línea 1654</t>
  </si>
  <si>
    <t>Línea 1655</t>
  </si>
  <si>
    <t>Línea 1656</t>
  </si>
  <si>
    <t>Línea 1657</t>
  </si>
  <si>
    <t>Línea 1658</t>
  </si>
  <si>
    <t>Línea 1659</t>
  </si>
  <si>
    <t>Línea 1660</t>
  </si>
  <si>
    <t>Línea 1661</t>
  </si>
  <si>
    <t>Línea 1662</t>
  </si>
  <si>
    <t>Línea 1663</t>
  </si>
  <si>
    <t>Línea 1664</t>
  </si>
  <si>
    <t>Línea 1665</t>
  </si>
  <si>
    <t>Línea 1666</t>
  </si>
  <si>
    <t>Línea 1667</t>
  </si>
  <si>
    <t>Línea 1668</t>
  </si>
  <si>
    <t>Línea 1669</t>
  </si>
  <si>
    <t>Línea 1670</t>
  </si>
  <si>
    <t>Línea 1672</t>
  </si>
  <si>
    <t>Línea 1673</t>
  </si>
  <si>
    <t>Línea 1674</t>
  </si>
  <si>
    <t>Línea 1675</t>
  </si>
  <si>
    <t>Línea 1676</t>
  </si>
  <si>
    <t>Línea 1677</t>
  </si>
  <si>
    <t>Línea 1678</t>
  </si>
  <si>
    <t>Línea 1679</t>
  </si>
  <si>
    <t>Línea 1680</t>
  </si>
  <si>
    <t>Línea 1681</t>
  </si>
  <si>
    <t>Línea 1682</t>
  </si>
  <si>
    <t>Línea 1683</t>
  </si>
  <si>
    <t>Línea 1684</t>
  </si>
  <si>
    <t>Línea 1685</t>
  </si>
  <si>
    <t>Línea 1686</t>
  </si>
  <si>
    <t>Línea 1687</t>
  </si>
  <si>
    <t>Línea 1688</t>
  </si>
  <si>
    <t>Línea 1689</t>
  </si>
  <si>
    <t>Línea 1690</t>
  </si>
  <si>
    <t>Línea 1691</t>
  </si>
  <si>
    <t>Línea 1692</t>
  </si>
  <si>
    <t>Línea 1693</t>
  </si>
  <si>
    <t>Línea 1694</t>
  </si>
  <si>
    <t>Línea 1695</t>
  </si>
  <si>
    <t>Línea 1696</t>
  </si>
  <si>
    <t>Línea 1697</t>
  </si>
  <si>
    <t>Línea 1698</t>
  </si>
  <si>
    <t>Línea 1699</t>
  </si>
  <si>
    <t>Línea 1700</t>
  </si>
  <si>
    <t>Línea 1701</t>
  </si>
  <si>
    <t>Línea 1702</t>
  </si>
  <si>
    <t>Línea 1703</t>
  </si>
  <si>
    <t>Línea 1704</t>
  </si>
  <si>
    <t>Línea 1705</t>
  </si>
  <si>
    <t>Línea 1706</t>
  </si>
  <si>
    <t>Línea 1707</t>
  </si>
  <si>
    <t>Línea 1708</t>
  </si>
  <si>
    <t>Línea 1709</t>
  </si>
  <si>
    <t>Línea 1710</t>
  </si>
  <si>
    <t>Línea 1711</t>
  </si>
  <si>
    <t>Línea 1712</t>
  </si>
  <si>
    <t>Línea 1713</t>
  </si>
  <si>
    <t>Línea 1714</t>
  </si>
  <si>
    <t>Línea 1715</t>
  </si>
  <si>
    <t>Línea 1716</t>
  </si>
  <si>
    <t>Línea 1717</t>
  </si>
  <si>
    <t>Línea 1718</t>
  </si>
  <si>
    <t>Línea 1719</t>
  </si>
  <si>
    <t>Línea 1721</t>
  </si>
  <si>
    <t>Línea 1722</t>
  </si>
  <si>
    <t>Línea 1723</t>
  </si>
  <si>
    <t>Línea 1724</t>
  </si>
  <si>
    <t>Línea 1725</t>
  </si>
  <si>
    <t>Línea 1726</t>
  </si>
  <si>
    <t>Línea 1727</t>
  </si>
  <si>
    <t>Línea 1728</t>
  </si>
  <si>
    <t>Línea 1729</t>
  </si>
  <si>
    <t>Línea 1730</t>
  </si>
  <si>
    <t>Línea 1731</t>
  </si>
  <si>
    <t>Línea 1732</t>
  </si>
  <si>
    <t>Línea 1733</t>
  </si>
  <si>
    <t>Línea 1734</t>
  </si>
  <si>
    <t>Línea 1735</t>
  </si>
  <si>
    <t>Línea 1736</t>
  </si>
  <si>
    <t>Línea 1737</t>
  </si>
  <si>
    <t>Línea 1738</t>
  </si>
  <si>
    <t>Línea 1739</t>
  </si>
  <si>
    <t>Línea 1740</t>
  </si>
  <si>
    <t>Línea 1741</t>
  </si>
  <si>
    <t>Línea 1742</t>
  </si>
  <si>
    <t>Línea 1743</t>
  </si>
  <si>
    <t>Línea 1744</t>
  </si>
  <si>
    <t>Línea 1745</t>
  </si>
  <si>
    <t>Línea 1746</t>
  </si>
  <si>
    <t>Línea 1747</t>
  </si>
  <si>
    <t>Línea 1748</t>
  </si>
  <si>
    <t>Línea 1749</t>
  </si>
  <si>
    <t>Línea 1750</t>
  </si>
  <si>
    <t>Línea 1751</t>
  </si>
  <si>
    <t>Línea 1752</t>
  </si>
  <si>
    <t>Línea 1753</t>
  </si>
  <si>
    <t>Línea 1754</t>
  </si>
  <si>
    <t>Línea 1755</t>
  </si>
  <si>
    <t>Línea 1756</t>
  </si>
  <si>
    <t>Línea 1757</t>
  </si>
  <si>
    <t>Línea 1758</t>
  </si>
  <si>
    <t>Línea 1759</t>
  </si>
  <si>
    <t>Línea 1760</t>
  </si>
  <si>
    <t>Línea 1761</t>
  </si>
  <si>
    <t>Línea 1762</t>
  </si>
  <si>
    <t>Línea 1763</t>
  </si>
  <si>
    <t>Línea 1764</t>
  </si>
  <si>
    <t>Línea 1765</t>
  </si>
  <si>
    <t>Línea 1766</t>
  </si>
  <si>
    <t>Línea 1767</t>
  </si>
  <si>
    <t>Línea 1768</t>
  </si>
  <si>
    <t>Línea 1769</t>
  </si>
  <si>
    <t>Línea 1770</t>
  </si>
  <si>
    <t>Línea 1771</t>
  </si>
  <si>
    <t>Línea 1772</t>
  </si>
  <si>
    <t>Línea 1773</t>
  </si>
  <si>
    <t>Línea 1774</t>
  </si>
  <si>
    <t>Línea 1775</t>
  </si>
  <si>
    <t>Línea 1776</t>
  </si>
  <si>
    <t>Línea 1777</t>
  </si>
  <si>
    <t>Línea 1778</t>
  </si>
  <si>
    <t>Línea 1779</t>
  </si>
  <si>
    <t>Línea 1780</t>
  </si>
  <si>
    <t>Línea 1781</t>
  </si>
  <si>
    <t>Línea 1782</t>
  </si>
  <si>
    <t>Línea 1783</t>
  </si>
  <si>
    <t>Línea 1784</t>
  </si>
  <si>
    <t>Línea 1785</t>
  </si>
  <si>
    <t>Línea 1786</t>
  </si>
  <si>
    <t>Línea 1787</t>
  </si>
  <si>
    <t>Línea 1788</t>
  </si>
  <si>
    <t>Línea 1789</t>
  </si>
  <si>
    <t>Línea 1790</t>
  </si>
  <si>
    <t>Línea 1791</t>
  </si>
  <si>
    <t>Línea 1792</t>
  </si>
  <si>
    <t>Línea 1793</t>
  </si>
  <si>
    <t>Línea 1794</t>
  </si>
  <si>
    <t>Línea 1795</t>
  </si>
  <si>
    <t>Línea 1796</t>
  </si>
  <si>
    <t>Línea 1797</t>
  </si>
  <si>
    <t>Línea 1798</t>
  </si>
  <si>
    <t>Línea 1799</t>
  </si>
  <si>
    <t>Línea 1800</t>
  </si>
  <si>
    <t>Línea 1801</t>
  </si>
  <si>
    <t>Línea 1802</t>
  </si>
  <si>
    <t>Línea 1803</t>
  </si>
  <si>
    <t>Línea 1804</t>
  </si>
  <si>
    <t>Línea 1805</t>
  </si>
  <si>
    <t>Línea 1806</t>
  </si>
  <si>
    <t>Línea 1807</t>
  </si>
  <si>
    <t>Línea 1808</t>
  </si>
  <si>
    <t>Línea 1809</t>
  </si>
  <si>
    <t>Línea 1812</t>
  </si>
  <si>
    <t>Línea 1813</t>
  </si>
  <si>
    <t>Línea 1814</t>
  </si>
  <si>
    <t>Línea 1816</t>
  </si>
  <si>
    <t>Línea 1817</t>
  </si>
  <si>
    <t>Línea 1818</t>
  </si>
  <si>
    <t>Línea 1819</t>
  </si>
  <si>
    <t>Línea 1820</t>
  </si>
  <si>
    <t>Línea 1821</t>
  </si>
  <si>
    <t>Línea 1822</t>
  </si>
  <si>
    <t>Línea 1823</t>
  </si>
  <si>
    <t>Línea 1824</t>
  </si>
  <si>
    <t>Línea 1825</t>
  </si>
  <si>
    <t>Línea 1826</t>
  </si>
  <si>
    <t>Línea 1827</t>
  </si>
  <si>
    <t>Línea 1828</t>
  </si>
  <si>
    <t>Línea 1829</t>
  </si>
  <si>
    <t>Línea 1830</t>
  </si>
  <si>
    <t>Línea 1831</t>
  </si>
  <si>
    <t>Línea 1832</t>
  </si>
  <si>
    <t>Línea 1833</t>
  </si>
  <si>
    <t>Línea 1834</t>
  </si>
  <si>
    <t>Línea 1835</t>
  </si>
  <si>
    <t>Línea 1836</t>
  </si>
  <si>
    <t>Línea 1837</t>
  </si>
  <si>
    <t>Línea 1838</t>
  </si>
  <si>
    <t>Línea 1839</t>
  </si>
  <si>
    <t>Línea 1840</t>
  </si>
  <si>
    <t>Línea 1841</t>
  </si>
  <si>
    <t>Línea 1842</t>
  </si>
  <si>
    <t>Línea 1843</t>
  </si>
  <si>
    <t>Línea 1844</t>
  </si>
  <si>
    <t>Línea 1845</t>
  </si>
  <si>
    <t>Línea 1846</t>
  </si>
  <si>
    <t>Línea 1847</t>
  </si>
  <si>
    <t>Línea 1848</t>
  </si>
  <si>
    <t>Línea 1849</t>
  </si>
  <si>
    <t>Línea 1850</t>
  </si>
  <si>
    <t>Línea 1851</t>
  </si>
  <si>
    <t>Línea 1852</t>
  </si>
  <si>
    <t>Línea 1853</t>
  </si>
  <si>
    <t>Línea 1854</t>
  </si>
  <si>
    <t>Línea 1855</t>
  </si>
  <si>
    <t>Línea 1856</t>
  </si>
  <si>
    <t>Línea 1857</t>
  </si>
  <si>
    <t>Línea 1858</t>
  </si>
  <si>
    <t>Línea 1859</t>
  </si>
  <si>
    <t>Línea 1860</t>
  </si>
  <si>
    <t>Línea 1861</t>
  </si>
  <si>
    <t>Línea 1862</t>
  </si>
  <si>
    <t>Línea 1863</t>
  </si>
  <si>
    <t>Línea 1864</t>
  </si>
  <si>
    <t>Línea 1865</t>
  </si>
  <si>
    <t>Línea 1866</t>
  </si>
  <si>
    <t>Línea 1867</t>
  </si>
  <si>
    <t>Línea 1868</t>
  </si>
  <si>
    <t>Línea 1869</t>
  </si>
  <si>
    <t>Línea 1870</t>
  </si>
  <si>
    <t>Línea 1871</t>
  </si>
  <si>
    <t>Línea 1872</t>
  </si>
  <si>
    <t>Línea 1873</t>
  </si>
  <si>
    <t>Línea 1874</t>
  </si>
  <si>
    <t>Línea 1875</t>
  </si>
  <si>
    <t>Línea 1876</t>
  </si>
  <si>
    <t>Línea 1877</t>
  </si>
  <si>
    <t>Línea 1878</t>
  </si>
  <si>
    <t>Línea 1879</t>
  </si>
  <si>
    <t>Línea 1880</t>
  </si>
  <si>
    <t>Línea 1881</t>
  </si>
  <si>
    <t>Línea 1882</t>
  </si>
  <si>
    <t>Línea 1883</t>
  </si>
  <si>
    <t>Línea 1884</t>
  </si>
  <si>
    <t>Línea 1885</t>
  </si>
  <si>
    <t>Línea 1886</t>
  </si>
  <si>
    <t>Línea 1887</t>
  </si>
  <si>
    <t>Línea 1888</t>
  </si>
  <si>
    <t>Línea 1889</t>
  </si>
  <si>
    <t>Línea 1890</t>
  </si>
  <si>
    <t>Línea 1891</t>
  </si>
  <si>
    <t>Línea 1892</t>
  </si>
  <si>
    <t>Línea 1893</t>
  </si>
  <si>
    <t>Línea 1894</t>
  </si>
  <si>
    <t>Línea 1895</t>
  </si>
  <si>
    <t>Línea 1896</t>
  </si>
  <si>
    <t>Línea 1897</t>
  </si>
  <si>
    <t>Línea 1898</t>
  </si>
  <si>
    <t>Línea 1899</t>
  </si>
  <si>
    <t>Línea 1900</t>
  </si>
  <si>
    <t>Línea 1901</t>
  </si>
  <si>
    <t>Línea 1902</t>
  </si>
  <si>
    <t>-67.8829336 -45.8947051, -67.8827405 -45.8942496, -67.8828049 -45.8923978, -67.883749 -45.8924127</t>
  </si>
  <si>
    <t>-67.8777301 -45.9000289, -67.8775263 -45.9006635, -67.8726447 -45.9006411</t>
  </si>
  <si>
    <t>-67.9735816 -45.8606898, -67.973206 -45.8608467, -67.9731417 -45.8595167, -67.9741931 -45.8597409</t>
  </si>
  <si>
    <t>-67.9370606 -45.8725086, -67.9371357 -45.8722771, -67.9365993 -45.8722322, -67.9367495 -45.8717317</t>
  </si>
  <si>
    <t>-67.9370606 -45.8725086, -67.9373395 -45.8719857, -67.9399681 -45.871911, -67.9399037 -45.8711192, -67.9393244 -45.8707681, -67.9393351 -45.8700883</t>
  </si>
  <si>
    <t>-67.9403329 -45.8708279, -67.9393888 -45.8708652, -67.9392493 -45.8700435</t>
  </si>
  <si>
    <t>-67.9421461 -45.8692815, -67.9410303 -45.8691246, -67.941395 -45.8694608, -67.9411268 -45.8697372, -67.9393351 -45.8697969</t>
  </si>
  <si>
    <t>-67.8874397 -45.861564, -67.8883946 -45.8611157, -67.8893924 -45.859711, -67.8905833 -45.8597558, -67.8910017 -45.8595167, -67.8910661 -45.8584856</t>
  </si>
  <si>
    <t>-67.892493 -45.8607271, -67.8927398 -45.8607346, -67.8935337 -45.859584, -67.8939092 -45.8579925, -67.8936625 -45.8569015, -67.8923857 -45.8572154</t>
  </si>
  <si>
    <t>-67.9420066 -45.9072707, -67.9449141 -45.9072931, -67.9463518 -45.9076291</t>
  </si>
  <si>
    <t>-67.9576063 -45.9040904, -67.9586792 -45.9041949, -67.9598594 -45.9049266, -67.9530573 -45.9053894, -67.948916 -45.9068676</t>
  </si>
  <si>
    <t>Acu</t>
  </si>
  <si>
    <t>perc</t>
  </si>
  <si>
    <t>x2</t>
  </si>
  <si>
    <t>x1</t>
  </si>
  <si>
    <t>cat</t>
  </si>
  <si>
    <t>visitas</t>
  </si>
  <si>
    <t>cuadrilla</t>
  </si>
  <si>
    <t>pozos.trab</t>
  </si>
  <si>
    <t>t.transport</t>
  </si>
  <si>
    <t>t.pozo</t>
  </si>
  <si>
    <t>n.points</t>
  </si>
  <si>
    <t>av.time</t>
  </si>
  <si>
    <t>11</t>
  </si>
  <si>
    <t>26</t>
  </si>
  <si>
    <t>67</t>
  </si>
  <si>
    <t>112</t>
  </si>
  <si>
    <t>168</t>
  </si>
  <si>
    <t>169</t>
  </si>
  <si>
    <t>170</t>
  </si>
  <si>
    <t>27</t>
  </si>
  <si>
    <t>44</t>
  </si>
  <si>
    <t>56</t>
  </si>
  <si>
    <t>160</t>
  </si>
  <si>
    <t>171</t>
  </si>
  <si>
    <t>172</t>
  </si>
  <si>
    <t>173</t>
  </si>
  <si>
    <t>92</t>
  </si>
  <si>
    <t>106</t>
  </si>
  <si>
    <t>148</t>
  </si>
  <si>
    <t>166</t>
  </si>
  <si>
    <t>174</t>
  </si>
  <si>
    <t>175</t>
  </si>
  <si>
    <t>176</t>
  </si>
  <si>
    <t>45</t>
  </si>
  <si>
    <t>58</t>
  </si>
  <si>
    <t>93</t>
  </si>
  <si>
    <t>121</t>
  </si>
  <si>
    <t>138</t>
  </si>
  <si>
    <t>177</t>
  </si>
  <si>
    <t>178</t>
  </si>
  <si>
    <t>37</t>
  </si>
  <si>
    <t>59</t>
  </si>
  <si>
    <t>123</t>
  </si>
  <si>
    <t>129</t>
  </si>
  <si>
    <t>179</t>
  </si>
  <si>
    <t>180</t>
  </si>
  <si>
    <t>181</t>
  </si>
  <si>
    <t>2</t>
  </si>
  <si>
    <t>47</t>
  </si>
  <si>
    <t>79</t>
  </si>
  <si>
    <t>154</t>
  </si>
  <si>
    <t>167</t>
  </si>
  <si>
    <t>182</t>
  </si>
  <si>
    <t>183</t>
  </si>
  <si>
    <t>22</t>
  </si>
  <si>
    <t>60</t>
  </si>
  <si>
    <t>68</t>
  </si>
  <si>
    <t>139</t>
  </si>
  <si>
    <t>150</t>
  </si>
  <si>
    <t>161</t>
  </si>
  <si>
    <t>184</t>
  </si>
  <si>
    <t>18</t>
  </si>
  <si>
    <t>41</t>
  </si>
  <si>
    <t>69</t>
  </si>
  <si>
    <t>74</t>
  </si>
  <si>
    <t>107</t>
  </si>
  <si>
    <t>185</t>
  </si>
  <si>
    <t>186</t>
  </si>
  <si>
    <t>42</t>
  </si>
  <si>
    <t>53</t>
  </si>
  <si>
    <t>102</t>
  </si>
  <si>
    <t>187</t>
  </si>
  <si>
    <t>188</t>
  </si>
  <si>
    <t>189</t>
  </si>
  <si>
    <t>190</t>
  </si>
  <si>
    <t>70</t>
  </si>
  <si>
    <t>80</t>
  </si>
  <si>
    <t>124</t>
  </si>
  <si>
    <t>191</t>
  </si>
  <si>
    <t>192</t>
  </si>
  <si>
    <t>193</t>
  </si>
  <si>
    <t>194</t>
  </si>
  <si>
    <t>32</t>
  </si>
  <si>
    <t>62</t>
  </si>
  <si>
    <t>81</t>
  </si>
  <si>
    <t>162</t>
  </si>
  <si>
    <t>195</t>
  </si>
  <si>
    <t>196</t>
  </si>
  <si>
    <t>197</t>
  </si>
  <si>
    <t>25</t>
  </si>
  <si>
    <t>48</t>
  </si>
  <si>
    <t>97</t>
  </si>
  <si>
    <t>163</t>
  </si>
  <si>
    <t>198</t>
  </si>
  <si>
    <t>199</t>
  </si>
  <si>
    <t>200</t>
  </si>
  <si>
    <t>19</t>
  </si>
  <si>
    <t>34</t>
  </si>
  <si>
    <t>114</t>
  </si>
  <si>
    <t>151</t>
  </si>
  <si>
    <t>201</t>
  </si>
  <si>
    <t>202</t>
  </si>
  <si>
    <t>203</t>
  </si>
  <si>
    <t>75</t>
  </si>
  <si>
    <t>82</t>
  </si>
  <si>
    <t>110</t>
  </si>
  <si>
    <t>204</t>
  </si>
  <si>
    <t>205</t>
  </si>
  <si>
    <t>1</t>
  </si>
  <si>
    <t>43</t>
  </si>
  <si>
    <t>126</t>
  </si>
  <si>
    <t>20</t>
  </si>
  <si>
    <t>50</t>
  </si>
  <si>
    <t>12</t>
  </si>
  <si>
    <t>51</t>
  </si>
  <si>
    <t>117</t>
  </si>
  <si>
    <t>131</t>
  </si>
  <si>
    <t>144</t>
  </si>
  <si>
    <t>14</t>
  </si>
  <si>
    <t>28</t>
  </si>
  <si>
    <t>36</t>
  </si>
  <si>
    <t>132</t>
  </si>
  <si>
    <t>15</t>
  </si>
  <si>
    <t>66</t>
  </si>
  <si>
    <t>83</t>
  </si>
  <si>
    <t>99</t>
  </si>
  <si>
    <t>104</t>
  </si>
  <si>
    <t>16</t>
  </si>
  <si>
    <t>100</t>
  </si>
  <si>
    <t>111</t>
  </si>
  <si>
    <t>133</t>
  </si>
  <si>
    <t>91</t>
  </si>
  <si>
    <t>105</t>
  </si>
  <si>
    <t>135</t>
  </si>
  <si>
    <t>136</t>
  </si>
  <si>
    <t>157</t>
  </si>
  <si>
    <t>159</t>
  </si>
  <si>
    <t>4</t>
  </si>
  <si>
    <t>10</t>
  </si>
  <si>
    <t>39</t>
  </si>
  <si>
    <t>84</t>
  </si>
  <si>
    <t>120</t>
  </si>
  <si>
    <t>137</t>
  </si>
  <si>
    <t>153</t>
  </si>
  <si>
    <t>94</t>
  </si>
  <si>
    <t>147</t>
  </si>
  <si>
    <t>76</t>
  </si>
  <si>
    <t>122</t>
  </si>
  <si>
    <t>128</t>
  </si>
  <si>
    <t>6</t>
  </si>
  <si>
    <t>54</t>
  </si>
  <si>
    <t>63</t>
  </si>
  <si>
    <t>71</t>
  </si>
  <si>
    <t>77</t>
  </si>
  <si>
    <t>33</t>
  </si>
  <si>
    <t>64</t>
  </si>
  <si>
    <t>113</t>
  </si>
  <si>
    <t>149</t>
  </si>
  <si>
    <t>35</t>
  </si>
  <si>
    <t>40</t>
  </si>
  <si>
    <t>108</t>
  </si>
  <si>
    <t>155</t>
  </si>
  <si>
    <t>87</t>
  </si>
  <si>
    <t>109</t>
  </si>
  <si>
    <t>140</t>
  </si>
  <si>
    <t>8</t>
  </si>
  <si>
    <t>85</t>
  </si>
  <si>
    <t>57</t>
  </si>
  <si>
    <t>95</t>
  </si>
  <si>
    <t>13</t>
  </si>
  <si>
    <t>72</t>
  </si>
  <si>
    <t>86</t>
  </si>
  <si>
    <t>96</t>
  </si>
  <si>
    <t>156</t>
  </si>
  <si>
    <t>29</t>
  </si>
  <si>
    <t>46</t>
  </si>
  <si>
    <t>125</t>
  </si>
  <si>
    <t>141</t>
  </si>
  <si>
    <t>21</t>
  </si>
  <si>
    <t>30</t>
  </si>
  <si>
    <t>52</t>
  </si>
  <si>
    <t>130</t>
  </si>
  <si>
    <t>164</t>
  </si>
  <si>
    <t>9</t>
  </si>
  <si>
    <t>78</t>
  </si>
  <si>
    <t>115</t>
  </si>
  <si>
    <t>142</t>
  </si>
  <si>
    <t>152</t>
  </si>
  <si>
    <t>17</t>
  </si>
  <si>
    <t>38</t>
  </si>
  <si>
    <t>61</t>
  </si>
  <si>
    <t>165</t>
  </si>
  <si>
    <t>3</t>
  </si>
  <si>
    <t>103</t>
  </si>
  <si>
    <t>116</t>
  </si>
  <si>
    <t>127</t>
  </si>
  <si>
    <t>143</t>
  </si>
  <si>
    <t>5</t>
  </si>
  <si>
    <t>31</t>
  </si>
  <si>
    <t>98</t>
  </si>
  <si>
    <t>145</t>
  </si>
  <si>
    <t>23</t>
  </si>
  <si>
    <t>118</t>
  </si>
  <si>
    <t>146</t>
  </si>
  <si>
    <t>7</t>
  </si>
  <si>
    <t>24</t>
  </si>
  <si>
    <t>88</t>
  </si>
  <si>
    <t>119</t>
  </si>
  <si>
    <t>49</t>
  </si>
  <si>
    <t>55</t>
  </si>
  <si>
    <t>89</t>
  </si>
  <si>
    <t>101</t>
  </si>
  <si>
    <t>134</t>
  </si>
  <si>
    <t>65</t>
  </si>
  <si>
    <t>73</t>
  </si>
  <si>
    <t>90</t>
  </si>
  <si>
    <t>158</t>
  </si>
  <si>
    <t>manana</t>
  </si>
  <si>
    <t>tarde</t>
  </si>
  <si>
    <t>S2650,S909,S2180,S863,S2185</t>
  </si>
  <si>
    <t>S2485,S2476,S858,S2411,S2200</t>
  </si>
  <si>
    <t>S2460,S2520,S2083,S624,S2231</t>
  </si>
  <si>
    <t>S2062,S913,S2084</t>
  </si>
  <si>
    <t>S2550,S2020</t>
  </si>
  <si>
    <t>S2004,S2544,S714,S2001,S452</t>
  </si>
  <si>
    <t>S904,S2287,S920,S2629</t>
  </si>
  <si>
    <t>S581,S2678,S2669,S2642,S2652,S2639</t>
  </si>
  <si>
    <t>S998,S942,S2394,S2112</t>
  </si>
  <si>
    <t>S2521,S2019,S2350</t>
  </si>
  <si>
    <t>S746,S811,S754,S841,S2433</t>
  </si>
  <si>
    <t>S2463,S2380,S832,S2366,S2486,S2432,S2499</t>
  </si>
  <si>
    <t>S2689,S2694,S2692,S2507,S921,S803</t>
  </si>
  <si>
    <t>S2679,S778,S747,S745,S2628,S2667</t>
  </si>
  <si>
    <t>S2375,S2651</t>
  </si>
  <si>
    <t>S2107,S2654,S2075,S790,S2445</t>
  </si>
  <si>
    <t>S906,S2315,S2690,S924,S2702,S2709</t>
  </si>
  <si>
    <t>S2060,S894,S2501,S2593</t>
  </si>
  <si>
    <t>S2560,S2239,S961,S1008</t>
  </si>
  <si>
    <t>S2627,S940,S946</t>
  </si>
  <si>
    <t>S2490,S2439,S2181,S2171,S632,S2447</t>
  </si>
  <si>
    <t>S2685,S2699,S2674,S2705,S2704</t>
  </si>
  <si>
    <t>S2714,S948,S801</t>
  </si>
  <si>
    <t>S919,S2429,S846,S2467,S2345</t>
  </si>
  <si>
    <t>S2208,S2306,S2696,S2712,S2710,S2688</t>
  </si>
  <si>
    <t>S2441,S2304,S2623,S999</t>
  </si>
  <si>
    <t>S2045,S892,S2335,S2068,S2578,S2545</t>
  </si>
  <si>
    <t>S2698,S2303,S513,S925</t>
  </si>
  <si>
    <t>S973,S2697,S2640,S2657,S2465</t>
  </si>
  <si>
    <t>S2105,S2236,S2021</t>
  </si>
  <si>
    <t>S835,S2495,S2649,S2646,S2645</t>
  </si>
  <si>
    <t>S676,S640</t>
  </si>
  <si>
    <t>S2044,S856,S707,S2470,S639</t>
  </si>
  <si>
    <t>S937,S2687,S2264,S2655,S706</t>
  </si>
  <si>
    <t>S2006,S2289,S2087,S2143,S2285</t>
  </si>
  <si>
    <t>S2320,S2635,S2594,S2668,S2461,S2614</t>
  </si>
  <si>
    <t>S977,S820,S755,S827,S2146</t>
  </si>
  <si>
    <t>S2695,S779,S931,S2551</t>
  </si>
  <si>
    <t>S2298,S930,S2517,S2680</t>
  </si>
  <si>
    <t>S2140,S963</t>
  </si>
  <si>
    <t>S2505,S2379,S813,S2656,S2706</t>
  </si>
  <si>
    <t>S2587,S616,S1009,S2207,S993</t>
  </si>
  <si>
    <t>S859,S2693,S787,S2221,S2681</t>
  </si>
  <si>
    <t>S2073,S923,S2456,S2437</t>
  </si>
  <si>
    <t>S2280,S2387</t>
  </si>
  <si>
    <t>S2510,S2047,S510,S2023,S2296</t>
  </si>
  <si>
    <t>S2195,S2601,S419,S2348,S2156</t>
  </si>
  <si>
    <t>S2484,S2088,S2314,S2184,S2416,S1201</t>
  </si>
  <si>
    <t>S944,S847,S824,S2457,S2663,S2686</t>
  </si>
  <si>
    <t>S2367,S2160,S2451,S2572</t>
  </si>
  <si>
    <t>S168,S2652,S2660,S1024,S885</t>
  </si>
  <si>
    <t>S2637,S2707,S738,S908</t>
  </si>
  <si>
    <t>S2079,S2161,S2058,S2152,S2597</t>
  </si>
  <si>
    <t>S915,S2351,S2035,S424</t>
  </si>
  <si>
    <t>S2662,S511</t>
  </si>
  <si>
    <t>S916,S2034,S2180,S2179,S2055,S2630</t>
  </si>
  <si>
    <t>S1041,S1004,S1034,S2518,S1035</t>
  </si>
  <si>
    <t>S2556,S714,S2011,S2003,S2209,S2386</t>
  </si>
  <si>
    <t>S2192,S2318,S2544,S857,S858,S888</t>
  </si>
  <si>
    <t>S2223,S740</t>
  </si>
  <si>
    <t>S2095,S2365,S2671,S965,S2679</t>
  </si>
  <si>
    <t>S841,S2524,S2481B,S920</t>
  </si>
  <si>
    <t>S2703,S2576,S2677</t>
  </si>
  <si>
    <t>S995,S450</t>
  </si>
  <si>
    <t>S950,S855</t>
  </si>
  <si>
    <t>S2417,S2317,S2407,S2041</t>
  </si>
  <si>
    <t>S2433,S2486,S2672,S2432,S2460</t>
  </si>
  <si>
    <t>S2302,S2676,S868,S2256,S2185</t>
  </si>
  <si>
    <t>S2559,S2564</t>
  </si>
  <si>
    <t>S818,S2141</t>
  </si>
  <si>
    <t>S2702,S2644,S2650,S2696,S2713</t>
  </si>
  <si>
    <t>S2194,S778,S758,S2640,S925</t>
  </si>
  <si>
    <t>S2370,S2477,S2281,S2414,S2406</t>
  </si>
  <si>
    <t>S2002,S2462</t>
  </si>
  <si>
    <t>S2056,S2331,S2506,S2449</t>
  </si>
  <si>
    <t>S2673,S2684,S2711,S2694,S924</t>
  </si>
  <si>
    <t>S2690,S949,S2463</t>
  </si>
  <si>
    <t>S2411,S498,S452,S679,S2389</t>
  </si>
  <si>
    <t>S2522,S2487,S762,S2426,S2263</t>
  </si>
  <si>
    <t>S989,S2057</t>
  </si>
  <si>
    <t>S2461,S2639,S2123,S2107,S2689</t>
  </si>
  <si>
    <t>S2277,S2669,S2668,S2614,S2530,S953</t>
  </si>
  <si>
    <t>S636,S504,S2377,S2529,S2168</t>
  </si>
  <si>
    <t>S545,S903,S2297,S2431</t>
  </si>
  <si>
    <t>S981,S761,S2659</t>
  </si>
  <si>
    <t>S2239,S2655,S2678,S2699</t>
  </si>
  <si>
    <t>S2258,S677,S2478,S668</t>
  </si>
  <si>
    <t>S2356,S2319,S2438,S2136</t>
  </si>
  <si>
    <t>S2368,S2028,S2611</t>
  </si>
  <si>
    <t>S2343,S871</t>
  </si>
  <si>
    <t>S745,S2705,S2709,S2698,S2051</t>
  </si>
  <si>
    <t>S937,S906,S2315</t>
  </si>
  <si>
    <t>S337,S2371,S2565,S2127,S2060</t>
  </si>
  <si>
    <t>S2490,S2075,S2496,S2207,S2497</t>
  </si>
  <si>
    <t>S2484,S288,S2044,S2190</t>
  </si>
  <si>
    <t>S948,S2448,S2604</t>
  </si>
  <si>
    <t>S2200,S2004,S2545,S999,S2226</t>
  </si>
  <si>
    <t>S2704,S2693,S2710</t>
  </si>
  <si>
    <t>S2345,S847,S2344,S909,S832,S2681,S961</t>
  </si>
  <si>
    <t>S2042,S2216</t>
  </si>
  <si>
    <t>S2628,S779,S2366,S2034,S2298,S824</t>
  </si>
  <si>
    <t>S2416,S2706,S2505,S821,S738,S904</t>
  </si>
  <si>
    <t>S2465,S919,S803</t>
  </si>
  <si>
    <t>S2087,S2466,S2285,S2630</t>
  </si>
  <si>
    <t>S2045,S2224,S2068,S2582,S888,S2593</t>
  </si>
  <si>
    <t>S2001,S2501,S2276,S2296,S2556</t>
  </si>
  <si>
    <t>S2656,S820,S746,S755,S811</t>
  </si>
  <si>
    <t>S2573,S444</t>
  </si>
  <si>
    <t>S2714,S2687,S2228,S2646</t>
  </si>
  <si>
    <t>S2507,S2692,S839</t>
  </si>
  <si>
    <t>S2279,S892,S856,S2291,S2195</t>
  </si>
  <si>
    <t>S2221,S2697,S2685,S2688,S2674,S2686</t>
  </si>
  <si>
    <t>S2494,S2088,S2247,S2184</t>
  </si>
  <si>
    <t>S2707,S813,S2493,S935,S915</t>
  </si>
  <si>
    <t>S2587,S2476,S531,S2439</t>
  </si>
  <si>
    <t>S2642,S510,S2456,S2485,S2294</t>
  </si>
  <si>
    <t>S287,S2143,S2442,S2304,S2441,S2079</t>
  </si>
  <si>
    <t>S2152,S930,S2672,S846</t>
  </si>
  <si>
    <t>S676,S2256,S2654,S2318,S2571</t>
  </si>
  <si>
    <t>S2388,S2181,S2335</t>
  </si>
  <si>
    <t>S944,S2667,S2316,S2666,S2680,S2185</t>
  </si>
  <si>
    <t>S2407,S2406,S2081,S2058,S2009,S2161</t>
  </si>
  <si>
    <t>S2487,S2470,S2645,S419,S2348</t>
  </si>
  <si>
    <t>S894,S1004,S865,S2418</t>
  </si>
  <si>
    <t>S2624,S809</t>
  </si>
  <si>
    <t>S916,S2684,S2663</t>
  </si>
  <si>
    <t>S624,S2013,S2332,S2274,S634</t>
  </si>
  <si>
    <t>S825,S920,S2551,S787,S2695</t>
  </si>
  <si>
    <t>S2035,S2047,S2278,S424,S2039,S2306</t>
  </si>
  <si>
    <t>S2328,S968</t>
  </si>
  <si>
    <t>S858,S2652,S2637,S2460,S315</t>
  </si>
  <si>
    <t>S2544,S2054,S714,S1034,S2264</t>
  </si>
  <si>
    <t>S905,S2122,S2205</t>
  </si>
  <si>
    <t>S2238,S900,S901</t>
  </si>
  <si>
    <t>S2037,S715,S2262</t>
  </si>
  <si>
    <t>S2510,S2209,S2445,S2669,S2660,S2643</t>
  </si>
  <si>
    <t>S2073,S2302,S1041</t>
  </si>
  <si>
    <t>S736,S2436</t>
  </si>
  <si>
    <t>S2120,S2620</t>
  </si>
  <si>
    <t>S2525,S2305</t>
  </si>
  <si>
    <t>S925,S2644,S924,S2711,S2702</t>
  </si>
  <si>
    <t>S2287,S2689,S2713,S2703,S938</t>
  </si>
  <si>
    <t>S2317,S2281,S2528,S2319,S2477</t>
  </si>
  <si>
    <t>S881,S2004,S2545</t>
  </si>
  <si>
    <t>S1201,S2263,S2003,S2635</t>
  </si>
  <si>
    <t>S973,S2194,S2432,S2499,S2486,S841</t>
  </si>
  <si>
    <t>S2208,S2435,S2673,S2690,S2698,S2694,S2196</t>
  </si>
  <si>
    <t>S2180,S2679,S747,S908,S2414</t>
  </si>
  <si>
    <t>S1033,S168,S758</t>
  </si>
  <si>
    <t>S700,S2016</t>
  </si>
  <si>
    <t>S783,S2518,S885,S2655</t>
  </si>
  <si>
    <t>S2524,S745,S2650,S811</t>
  </si>
  <si>
    <t>S2678,S2710,S2696,S2704,S2699</t>
  </si>
  <si>
    <t>S2705,S2692,S2677,S2461,S2614</t>
  </si>
  <si>
    <t>S2384,S2581,S2309</t>
  </si>
  <si>
    <t>S778,S744,S2515,S2507,S2438</t>
  </si>
  <si>
    <t>S2171,S1009,S616,S706</t>
  </si>
  <si>
    <t>S677,S640,S2239,S2593,S679,S2389,S498</t>
  </si>
  <si>
    <t>S929,S2433,S844,S2380</t>
  </si>
  <si>
    <t>S933,S2233</t>
  </si>
  <si>
    <t>S961,S2484,S2416,S977,S2314,S288,S2044,S2190</t>
  </si>
  <si>
    <t>S2640,S2668,S795,S2594</t>
  </si>
  <si>
    <t>S2490,S2437,S2439</t>
  </si>
  <si>
    <t>S2511,S2687,S2714</t>
  </si>
  <si>
    <t>S2422,S2321,S2010</t>
  </si>
  <si>
    <t>S2200,S1001,S762,S857,S886</t>
  </si>
  <si>
    <t>S2463,S846,S2658,S2298,S2366,S832,S2517</t>
  </si>
  <si>
    <t>S803,S824,S2055,S2315,S906</t>
  </si>
  <si>
    <t>S953,S2277,S2377,S2351,S639,S2447</t>
  </si>
  <si>
    <t>S41,S945,S353,S967</t>
  </si>
  <si>
    <t>S2497,S2207,S851,S2456,S2587</t>
  </si>
  <si>
    <t>S2156,S510,S2663,S2709,S2685,S859</t>
  </si>
  <si>
    <t>S2289,S2597,S2671,S2681</t>
  </si>
  <si>
    <t>S2104,S2568</t>
  </si>
  <si>
    <t>S2172,S976</t>
  </si>
  <si>
    <t>S2465,S2345,S2540,S2179,S847,S2344</t>
  </si>
  <si>
    <t>S2695,S2628,S2505,S755,S2551</t>
  </si>
  <si>
    <t>S2495,S2285,S2152,S2466,S2365,S2058</t>
  </si>
  <si>
    <t>S2369,S44</t>
  </si>
  <si>
    <t>S845,S2446</t>
  </si>
  <si>
    <t>S2646,S2595,S2228,S2693,S2688,S2478</t>
  </si>
  <si>
    <t>S2136,S2425,S2041</t>
  </si>
  <si>
    <t>S2143,S2407,S1024,S1041</t>
  </si>
  <si>
    <t>S1034,S888,S892,S2686,S2674</t>
  </si>
  <si>
    <t>S2697,S2296,S2318,S2258</t>
  </si>
  <si>
    <t>S2045,S2527,S966,S2011,S2656</t>
  </si>
  <si>
    <t>S948,S937,S849,S2168</t>
  </si>
  <si>
    <t>S969,S999,S813,S2707,S2680</t>
  </si>
  <si>
    <t>S916,S2457,S2034,S2672,S2215,S2706</t>
  </si>
  <si>
    <t>S2286,S930,S779,S738,S935</t>
  </si>
  <si>
    <t>S2274,S2388,S2276,S419,S2645,S2660</t>
  </si>
  <si>
    <t>S2095,S2079,S2630</t>
  </si>
  <si>
    <t>S337,S2226,S2494,S2154,S872,S2127</t>
  </si>
  <si>
    <t>S2256,S2039,S2556,S2713</t>
  </si>
  <si>
    <t>S893,S2096</t>
  </si>
  <si>
    <t>S915,S825,S2123,S2637,S2003,S2192</t>
  </si>
  <si>
    <t>S2316,S944,S830,S758,S908,S2194</t>
  </si>
  <si>
    <t>S2088,S2565,S2371,S2005B,S2573,S2247</t>
  </si>
  <si>
    <t>S2290,S784,S806</t>
  </si>
  <si>
    <t>S2500,S2632,S2272</t>
  </si>
  <si>
    <t>S2317,S2477,S2414,S2356,S2319,S2406</t>
  </si>
  <si>
    <t>S2673,S2644,S2524,S2648,S2703</t>
  </si>
  <si>
    <t>S2684,S2711,S2221,S2677,S2510</t>
  </si>
  <si>
    <t>S668,S2279,S2487,S865,S1004</t>
  </si>
  <si>
    <t>S964,S868,S2294,S2291,S498</t>
  </si>
  <si>
    <t>Base,Linea 984,S2185,Linea 985,S310,Linea 1004,S178,Linea 998,S277,Linea 945,S229,Linea 943,S167,Linea 946,S2147,Linea 964,S2146,Linea 949,S31,Linea 950,S2094,Linea 1711,S33,Linea 1222,S927,Linea 1754,S115,Linea 1085,S944,Linea 1077,S2667,Linea 1078,S793,Linea 1076,S791,Linea 1221,S760,Linea 1073,S794,Linea 1297,S759,Linea 1306,S834,Linea 1307,S839,Linea 1313,S725,Linea 1310,S744,Linea 1321,S747,Linea 1324,S752,Linea 1244,S753,Linea 1323,S755,Linea 1236,S2648,Linea 1237,S2644,Linea 1238,S2524,Linea 1861,S2650;S2650,Linea 1861,S2524,Linea 1238,S2644,Linea 1237,S2648,Linea 1236,S755,Linea 1323,S753,Linea 1244,S752,Linea 1324,S747,Linea 1321,S744,Linea 1310,S725,Linea 1313,S839,Linea 1307,S834,Linea 1901,Planta Sur,Linea 1902,S778,Linea 1328,S2055,Linea 1273,S921,Linea 1129,S815,Linea 1139,S823,Linea 1144,S824,Linea 1146,S909;S909,Linea 1151,S2658,Linea 1145,S844,Linea 1135,S914,Linea 1274,S2180;S2180,Linea 1274,S914,Linea 1135,S844,Linea 1145,S2658,Linea 1152,S66,Linea 1854,S163,Linea 1092,S2724,Linea 1856,S42,Linea 1098,S2707,Linea 1088,S43,Linea 1026,S2695,Linea 1027,S36,Linea 957,S39,Linea 969,S316,Linea 970,S387,Linea 1862,S863;S863,Linea 1862,S387,Linea 968,S2465,Linea 966,S2147,Linea 946,S167,Linea 943,S229,Linea 945,S277,Linea 998,S178,Linea 1004,S310,Linea 985,S2185;S2185,Linea 984,Base</t>
  </si>
  <si>
    <t>Base,Linea 1,S176,Linea 1506,S2447,Linea 2,S993,Linea 3,S329,Linea 4,S309,Linea 10,S2195,Linea 27,S2412,Linea 33,S308,Linea 34,S2032,Linea 42,S2569,Linea 46,S2199,Linea 1847,S2200,Linea 97,S356,Linea 143,S2017,Linea 144,S690,Linea 141,S538,Linea 104,S2206,Linea 105,S763,Linea 106,S719,Linea 108,S767,Linea 112,S555,Linea 1532,S2578,Linea 142,S556,Linea 1883,S2022,Linea 902,S2001,Linea 1849,S492,Linea 1848,S1041,Linea 230,S487,Linea 229,S2291,Linea 226,S2054,Linea 220,S2458,Linea 214,S788,Linea 216,S2676,Linea 217,S2396,Linea 240,S2395,Linea 242,S2294,Linea 572,S874,Linea 571,S2485;S2485,Linea 571,S874,Linea 572,S2294,Linea 242,S2395,Linea 243,S1005,Linea 397,S543,Linea 399,S2288,Linea 247,S2418,Linea 249,S611,Linea 250,E291,Linea 252,S853,Linea 254,S851,Linea 257,S591,Linea 259,S2476;S2476,Linea 259,S591,Linea 258,S876,Linea 263,S886,Linea 264,S868,Linea 270,S869,Linea 278,S864,Linea 281,S850,Linea 1880,Q50,Linea 271,S858;S858,Linea 271,Q50,Linea 1880,S850,Linea 281,S864,Linea 278,S869,Linea 270,S868,Linea 264,S886,Linea 263,S876,Linea 258,S591,Linea 257,S851,Linea 254,S853,Linea 252,E291,Linea 250,S611,Linea 249,S2418,Linea 247,S2288,Linea 399,S543,Linea 397,S1005,Linea 243,S2395,Linea 240,S2396,Linea 217,S2676,Linea 216,S788,Linea 214,S2458,Linea 220,S2054,Linea 226,S2291,Linea 229,S487,Linea 230,S1041,Linea 1848,S492,Linea 1849,S2001,Linea 902,S2022,Linea 1883,S556,Linea 142,S2578,Linea 1821,S555,Linea 112,S767,Linea 108,S719,Linea 106,S763,Linea 105,S2206,Linea 104,S538,Linea 141,S690,Linea 144,S2017,Linea 143,S356,Linea 97,S2200,Linea 87,S2411;S2411,Linea 87,S2200;S2200,Linea 1847,S2199,Linea 46,S2569,Linea 42,S2032,Linea 34,S308,Linea 33,S2412,Linea 27,S2195,Linea 10,S309,Linea 4,S329,Linea 3,S993,Linea 2,S2447,Linea 1506,S176,Linea 1,Base</t>
  </si>
  <si>
    <t>Base,Linea 12,S2401,Linea 1510,S2249,Linea 973,S192,Linea 754,S2408,Linea 752,S370,Linea 1842,S2421,Linea 741,S980,Linea 740,S377,Linea 748,S381,Linea 747,S2572,Linea 746,S315,Linea 790,S2546,Linea 792,S2503,Linea 782,S2547,Linea 785,S2460;S2460,Linea 785,S2547,Linea 782,S2503,Linea 352,S2520;S2520,Linea 935,S315,Linea 1017,S59,Linea 1295,S2116,Linea 1293,S1,Linea 1292,S2189,Linea 797,S2095,Linea 1828,S198,Linea 805,S287,Linea 839,S312,Linea 1834,S339,Linea 1833,S2548,Linea 1678,S249,Linea 830,S285,Linea 1832,S2406,Linea 1427,S2087,Linea 1428,S2083;S2083,Linea 1428,S2087,Linea 1426,S2081,Linea 1370,S2091,Linea 1371,S325,Linea 1372,S323,Linea 1373,S2255,Linea 1421,S354,Linea 1365,S2009,Linea 1363,S2006,Linea 1361,S353,Linea 1836,S997,Linea 854,S2504,Linea 853,S2716,Linea 849,S2056,Linea 850,S2407,Linea 773,S338,Linea 764,S395,Linea 763,S2468,Linea 760,S402,Linea 759,S2417,Linea 768,S172,Linea 1211,S192,Linea 973,S2249,Linea 1816,S2401,Linea 12,Base,Linea 1,S176,Linea 1506,S2447,Linea 2,S993,Linea 3,S329,Linea 4,S309,Linea 6,S328,Linea 7,S2258,Linea 8,S326,Linea 52,S2253,Linea 57,S208,Linea 156,S2488,Linea 1548,S680,Linea 158,S246,Linea 161,S662,Linea 162,S678,Linea 164,S2510,Linea 167,S2478,Linea 168,S451,Linea 169,S691,Linea 170,S676,Linea 177,S640,Linea 180,S638,Linea 185,S516,Linea 406,S442,Linea 682,S2527,Linea 193,S625,Linea 189,S624;S624,Linea 189,S625,Linea 194,S697,Linea 681,S401,Linea 493,S2013,Linea 492,S397,Linea 490,S2036,Linea 1599,S2359,Linea 687,S440,Linea 689,S2047,Linea 688,S2278,Linea 927,S2231;S2231,Linea 1649,S236,Linea 713,S77,Linea 1647,S2334,Linea 934,S2111,Linea 931,S645,Linea 932,S78,Linea 940,S56,Linea 944,S229,Linea 945,S277,Linea 998,S178,Linea 1004,S310,Linea 985,S2185,Linea 984,Base</t>
  </si>
  <si>
    <t>Base,Linea 12,S2401,Linea 1510,S2249,Linea 973,S192,Linea 1211,S172,Linea 768,S2417,Linea 759,S402,Linea 760,S2468,Linea 763,S395,Linea 764,S338,Linea 773,S2407,Linea 850,S2056,Linea 849,S2716,Linea 853,S2504,Linea 854,S997,Linea 1836,S353,Linea 1361,S2006,Linea 1363,S2009,Linea 1365,S354,Linea 1421,S2255,Linea 1373,S323,Linea 1372,S325,Linea 1371,S2091,Linea 1370,S2081,Linea 1369,S2062;S2062,Linea 1369,S2081,Linea 1426,S2087,Linea 1427,S2406,Linea 1832,S285,Linea 830,S249,Linea 1678,S2548,Linea 1833,S339,Linea 1834,S312,Linea 839,S287,Linea 805,S198,Linea 1828,S2095,Linea 797,S2189,Linea 1292,S1,Linea 1293,S2116,Linea 1295,S59,Linea 1017,S315,Linea 1008,S962,Linea 1212,S546,Linea 1753,S2465,Linea 968,S387,Linea 970,S316,Linea 969,S39,Linea 957,S36,Linea 1027,S2695,Linea 1026,S43,Linea 1088,S2707,Linea 1098,S42,Linea 1856,S2724,Linea 1092,S163,Linea 1854,S66,Linea 1156,S63,Linea 1154,S65,Linea 1153,S47,Linea 1150,S832,Linea 1286,S2286,Linea 1285,S913;S913,Linea 1285,S2286,Linea 1286,S832,Linea 1150,S47,Linea 1153,S65,Linea 1154,S63,Linea 1156,S66,Linea 1854,S163,Linea 1092,S2724,Linea 1856,S42,Linea 1098,S2707,Linea 1088,S43,Linea 1026,S2695,Linea 1027,S36,Linea 957,S39,Linea 969,S316,Linea 970,S387,Linea 968,S2465,Linea 1715,S546,Linea 1212,S962,Linea 1008,S315,Linea 1017,S59,Linea 1295,S2116,Linea 1293,S1,Linea 1292,S2189,Linea 797,S2095,Linea 865,S134,Linea 1683,S967,Linea 863,S336,Linea 868,S2084;S2084,Linea 868,S336,Linea 863,S967,Linea 1683,S134,Linea 865,S2095,Linea 797,S2189,Linea 1292,S1,Linea 1293,S2116,Linea 1295,S59,Linea 1017,S315,Linea 746,S2572,Linea 747,S381,Linea 748,S377,Linea 740,S980,Linea 741,S2421,Linea 1842,S370,Linea 752,S2408,Linea 754,S192,Linea 973,S2249,Linea 1816,S2401,Linea 12,Base</t>
  </si>
  <si>
    <t>Base,Linea 12,S2401,Linea 1510,S2249,Linea 973,S192,Linea 754,S2408,Linea 752,S370,Linea 1842,S2421,Linea 741,S980,Linea 740,S377,Linea 748,S381,Linea 747,S2572,Linea 746,S315,Linea 790,S2546,Linea 792,S2503,Linea 782,S2547,Linea 785,S2460,Linea 784,S345,Linea 1658,S2550;S2550,Linea 1658,S345,Linea 784,S2460,Linea 785,S2547,Linea 782,S2503,Linea 792,S2546,Linea 790,S315,Linea 1008,S962,Linea 1212,S546,Linea 1753,S2465,Linea 966,S2147,Linea 946,S167,Linea 943,S229,Linea 944,S56,Linea 940,S78,Linea 932,S645,Linea 931,S2111,Linea 934,S2334,Linea 1648,S77,Linea 713,S236,Linea 1646,S2231,Linea 927,S2278,Linea 686,S2025,Linea 706,S580,Linea 692,S2020;S2020,Linea 692,S580,Linea 706,S2025,Linea 686,S2278,Linea 927,S2231,Linea 1649,S236,Linea 713,S77,Linea 1647,S2334,Linea 934,S2111,Linea 931,S645,Linea 932,S78,Linea 940,S56,Linea 944,S229,Linea 945,S277,Linea 998,S178,Linea 1004,S310,Linea 985,S2185,Linea 984,Base</t>
  </si>
  <si>
    <t>Base,Linea 14,S278,Linea 15,S2250,Linea 16,S977,Linea 17,S245,Linea 1341,S2416,Linea 69,S154,Linea 71,S155,Linea 74,S156,Linea 75,S100,Linea 76,S2252,Linea 79,S2014,Linea 82,S2004;S2004,Linea 88,S2321,Linea 409,S781,Linea 100,S551,Linea 99,S356,Linea 143,S2017,Linea 144,S690,Linea 141,S538,Linea 104,S2206,Linea 105,S763,Linea 106,S719,Linea 108,S767,Linea 112,S555,Linea 1532,S2578,Linea 142,S556,Linea 1883,S2022,Linea 902,S2001,Linea 1849,S492,Linea 1848,S1041,Linea 230,S487,Linea 229,S2291,Linea 226,S2054,Linea 222,S2544;S2544,Linea 223,S2587,Linea 225,S2665,Linea 239,S618,Linea 218,S2396,Linea 240,S2395,Linea 245,S714;S714,Linea 245,S2395,Linea 240,S2396,Linea 217,S2676,Linea 216,S788,Linea 214,S2458,Linea 220,S2054,Linea 226,S2291,Linea 229,S487,Linea 230,S1041,Linea 1848,S492,Linea 1849,S2001;S2001,Linea 902,S2022,Linea 1883,S556,Linea 142,S2578,Linea 1821,S555,Linea 118,S768,Linea 120,S2549,Linea 123,S499,Linea 122,S772,Linea 130,S496,Linea 135,S2390,Linea 136,S452;S452,Linea 136,S2390,Linea 135,S496,Linea 130,S772,Linea 128,S2389,Linea 129,S498,Linea 115,S767,Linea 108,S719,Linea 106,S763,Linea 105,S2206,Linea 104,S538,Linea 141,S690,Linea 144,S2017,Linea 143,S356,Linea 97,S2200,Linea 1847,S2199,Linea 46,S2569,Linea 42,S2032,Linea 34,S308,Linea 33,S2412,Linea 27,S2195,Linea 10,S309,Linea 4,S329,Linea 3,S993,Linea 2,S2447,Linea 1506,S176,Linea 1,Base</t>
  </si>
  <si>
    <t>Base,Linea 984,S2185,Linea 985,S310,Linea 1004,S178,Linea 998,S277,Linea 945,S229,Linea 943,S167,Linea 946,S2147,Linea 966,S2465,Linea 968,S387,Linea 970,S316,Linea 969,S39,Linea 957,S36,Linea 1025,S2725,Linea 958,S37,Linea 959,S2680,Linea 956,S2666,Linea 955,S2656,Linea 1033,S904;S904,Linea 1083,S737,Linea 1080,S818,Linea 1079,S793,Linea 1076,S791,Linea 1221,S760,Linea 1073,S794,Linea 1297,S759,Linea 1306,S834,Linea 1307,S839,Linea 1313,S725,Linea 1310,S744,Linea 1311,S2379,Linea 1302,S2519,Linea 1303,S2310,Linea 1768,S748,Linea 1263,S757,Linea 1262,S2629,Linea 1232,S812,Linea 1261,S2287;S2287,Linea 1229,S756,Linea 1226,S920;S920,Linea 1226,S756,Linea 1229,S2287,Linea 1261,S812,Linea 1232,S2629;S2629,Linea 1262,S757,Linea 1263,S748,Linea 1762,S2310,Linea 1303,S2519,Linea 1302,S2379,Linea 1311,S744,Linea 1310,S725,Linea 1313,S839,Linea 1307,S834,Linea 1306,S759,Linea 1297,S794,Linea 1073,S760,Linea 1221,S791,Linea 1076,S793,Linea 1078,S2667,Linea 1077,S944,Linea 1085,S115,Linea 1733,S927,Linea 1222,S33,Linea 1724,S2094,Linea 950,S31,Linea 949,S2146,Linea 964,S2147,Linea 946,S167,Linea 943,S229,Linea 945,S277,Linea 998,S178,Linea 1004,S310,Linea 985,S2185,Linea 984,Base</t>
  </si>
  <si>
    <t>Base,Linea 984,S2185,Linea 985,S310,Linea 1004,S178,Linea 998,S277,Linea 945,S229,Linea 944,S56,Linea 940,S78,Linea 932,S645,Linea 931,S2111,Linea 930,S2110,Linea 736,S2167,Linea 1617,S2168,Linea 584,S849,Linea 582,S938,Linea 581,S2443,Linea 578,S2132,Linea 579,S949,Linea 591,S2129,Linea 592,S2259,Linea 594,S17,Linea 596,S2293,Linea 597,S4,Linea 598,S2324,Linea 600,S2196,Linea 599,S2689,Linea 605,S581;S581,Linea 609,S2682,Linea 1623,S2678;S2678,Linea 1623,S2682,Linea 609,S581,Linea 605,S2689,Linea 599,S2196,Linea 600,S2324,Linea 598,S4,Linea 597,S2293,Linea 596,S17,Linea 735,S295,Linea 734,S3,Linea 613,Q16,Linea 1626,S2240,Linea 471,S2,Linea 1886,S13,Linea 1887,S2523,Linea 469,S26,Linea 467,S2223,Linea 466,S2621,Linea 457,S2642,Linea 450,S2645,Linea 449,S2660,Linea 1863,S2669;S2669,Linea 1863,S2660,Linea 449,S2645,Linea 450,S2642;S2642,Linea 450,S2645,Linea 448,S2652;S2652,Linea 448,S2645,Linea 450,S2642,Linea 457,S2621,Linea 466,S2223,Linea 455,S2639;S2639,Linea 455,S2223,Linea 467,S26,Linea 469,S2523,Linea 1887,S13,Linea 1886,S2,Linea 471,S2240,Linea 1593,Q16,Linea 613,S3,Linea 734,S295,Linea 735,S17,Linea 594,S2259,Linea 592,S2129,Linea 591,S949,Linea 579,S2132,Linea 578,S2443,Linea 581,S938,Linea 582,S849,Linea 584,S2168,Linea 1617,S2167,Linea 736,S2110,Linea 930,S2111,Linea 931,S645,Linea 932,S78,Linea 940,S56,Linea 944,S229,Linea 945,S277,Linea 998,S178,Linea 1004,S310,Linea 985,S2185,Linea 984,Base</t>
  </si>
  <si>
    <t>Base,Linea 12,S2401,Linea 1510,S2249,Linea 973,S192,Linea 1211,S172,Linea 768,S2417,Linea 759,S402,Linea 760,S2468,Linea 763,S395,Linea 764,S338,Linea 773,S2407,Linea 850,S2056,Linea 849,S2716,Linea 853,S2504,Linea 854,S997,Linea 859,S330,Linea 1358,S983,Linea 1357,S363,Linea 843,S119,Linea 845,S998;S998,Linea 845,S119,Linea 842,S978,Linea 841,S957,Linea 840,S287,Linea 805,S198,Linea 1828,S2095,Linea 797,S2189,Linea 1292,S1,Linea 1293,S2116,Linea 1295,S59,Linea 1017,S315,Linea 1008,S962,Linea 1212,S546,Linea 1753,S2465,Linea 968,S387,Linea 970,S316,Linea 969,S39,Linea 957,S36,Linea 1027,S2695,Linea 1028,S942;S942,Linea 1028,S2695,Linea 1027,S36,Linea 957,S39,Linea 969,S316,Linea 970,S387,Linea 968,S2465,Linea 966,S2147,Linea 946,S167,Linea 943,S229,Linea 945,S277,Linea 998,S178,Linea 1004,S310,Linea 985,S2185,Linea 984,Base,Linea 1,S176,Linea 1506,S2447,Linea 2,S993,Linea 3,S329,Linea 4,S309,Linea 10,S2195,Linea 27,S2412,Linea 33,S308,Linea 34,S2032,Linea 42,S2569,Linea 46,S2199,Linea 1847,S2200,Linea 97,S356,Linea 143,S2017,Linea 144,S690,Linea 141,S538,Linea 104,S2206,Linea 105,S763,Linea 106,S719,Linea 108,S767,Linea 112,S555,Linea 1532,S2578,Linea 142,S556,Linea 1883,S2022,Linea 902,S2001,Linea 1849,S492,Linea 1848,S1041,Linea 230,S487,Linea 236,S2386,Linea 238,S958,Linea 618,S484,Linea 1859,S2394;S2394,Linea 1859,S484,Linea 618,S958,Linea 238,S2386,Linea 236,S487,Linea 230,S1041,Linea 1848,S492,Linea 1849,S2001,Linea 902,S2022,Linea 1883,S556,Linea 142,S2578,Linea 1821,S555,Linea 112,S767,Linea 108,S719,Linea 106,S763,Linea 105,S2206,Linea 104,S538,Linea 141,S690,Linea 144,S2017,Linea 143,S356,Linea 97,S2200,Linea 1847,S2199,Linea 46,S2569,Linea 42,S2032,Linea 34,S308,Linea 33,S2412,Linea 27,S2195,Linea 10,S309,Linea 4,S329,Linea 3,S993,Linea 2,S2447,Linea 1506,S176,Linea 1,Base,Linea 12,S2401,Linea 1510,S2249,Linea 973,S192,Linea 754,S2408,Linea 752,S370,Linea 1842,S2421,Linea 741,S980,Linea 740,S377,Linea 748,S381,Linea 747,S2572,Linea 746,S315,Linea 1008,S962,Linea 1011,S2112;S2112,Linea 1011,S962,Linea 1008,S315,Linea 746,S2572,Linea 747,S381,Linea 748,S377,Linea 740,S980,Linea 741,S2421,Linea 1842,S370,Linea 752,S2408,Linea 754,S192,Linea 973,S2249,Linea 1816,S2401,Linea 12,Base</t>
  </si>
  <si>
    <t>Base,Linea 1,S176,Linea 1506,S2447,Linea 2,S993,Linea 3,S329,Linea 4,S309,Linea 6,S328,Linea 7,S2258,Linea 8,S326,Linea 52,S2253,Linea 57,S208,Linea 156,S2488,Linea 1548,S680,Linea 158,S246,Linea 161,S662,Linea 162,S678,Linea 164,S2510,Linea 167,S2478,Linea 168,S451,Linea 169,S691,Linea 170,S676,Linea 177,S640,Linea 178,S637,Linea 183,S495,Linea 186,S635,Linea 1555,S2552,Linea 211,S622,Linea 210,S633,Linea 127,S501,Linea 925,S789,Linea 923,Planta Norte,Linea 1214,S783,Linea 903,S2521;S2521,Linea 903,S783,Linea 1214,Planta Norte,Linea 923,S789,Linea 925,S501,Linea 127,S633,Linea 210,S622,Linea 912,S2387,Linea 205,S632,Linea 676,S431,Linea 1638,S692,Linea 1215,S423,Linea 653,S2019;S2019,Linea 653,S423,Linea 1215,S692,Linea 1703,S431,Linea 676,S632,Linea 203,S430,Linea 408,S2575,Linea 680,S642,Linea 679,S2035,Linea 495,S2351,Linea 494,S397,Linea 490,S2036,Linea 1599,S2359,Linea 687,S440,Linea 689,S2047,Linea 688,S2278,Linea 927,S2231,Linea 1649,S236,Linea 713,S77,Linea 1647,S2334,Linea 934,S2111,Linea 930,S2110,Linea 736,S2167,Linea 1617,S2168,Linea 584,S849,Linea 582,S938,Linea 581,S2443,Linea 578,S2132,Linea 579,S949,Linea 591,S2129,Linea 592,S2259,Linea 594,S17,Linea 596,S2293,Linea 597,S4,Linea 598,S2324,Linea 600,S2196,Linea 599,S2689,Linea 601,S2683,Linea 606,S2619,Linea 608,S2694,Linea 1336,S2711,Linea 1335,S2698,Linea 1334,S2718,Linea 1333,S2717,Linea 1330,S924,Linea 1337,S925,Linea 1256,S2350;S2350,Linea 1256,S925,Linea 1337,S924,Linea 1330,S2717,Linea 1333,S2718,Linea 1334,S2698,Linea 1335,S2711,Linea 1336,S2694,Linea 608,S2619,Linea 606,S2683,Linea 601,S2689,Linea 599,S2196,Linea 600,S2324,Linea 598,S4,Linea 597,S2293,Linea 596,S17,Linea 594,S2259,Linea 592,S2129,Linea 591,S949,Linea 579,S2132,Linea 578,S2443,Linea 581,S938,Linea 582,S849,Linea 584,S2168,Linea 1617,S2167,Linea 736,S2110,Linea 930,S2111,Linea 931,S645,Linea 932,S78,Linea 940,S56,Linea 944,S229,Linea 945,S277,Linea 998,S178,Linea 1004,S310,Linea 985,S2185,Linea 984,Base</t>
  </si>
  <si>
    <t>Base,Linea 984,S2185,Linea 985,S310,Linea 1004,S178,Linea 998,S277,Linea 945,S229,Linea 943,S167,Linea 946,S2147,Linea 964,S2146,Linea 949,S31,Linea 950,S2094,Linea 1711,S33,Linea 1222,S927,Linea 1754,S115,Linea 1085,S944,Linea 1077,S2667,Linea 1078,S793,Linea 1076,S791,Linea 1221,S760,Linea 1073,S794,Linea 1297,S759,Linea 1306,S834,Linea 1307,S839,Linea 1313,S725,Linea 1310,S744,Linea 1321,S747,Linea 1318,S746;S746,Linea 1318,S747,Linea 1324,S752,Linea 1244,S753,Linea 1323,S755,Linea 1235,S2534,Linea 1234,Q22,Linea 1233,S811;S811,Linea 1233,Q22,Linea 1758,S754;S754,Linea 1758,Q22,Linea 1234,S2534,Linea 1235,S755,Linea 1323,S753,Linea 1244,S752,Linea 1324,S747,Linea 1321,S744,Linea 1310,S725,Linea 1313,S839,Linea 1307,S834,Linea 1901,Planta Sur,Linea 1902,S778,Linea 1328,S2055,Linea 1273,S921,Linea 1129,S815,Linea 1138,S803,Linea 1110,S2194,Linea 1113,S841;S841,Linea 1115,S66,Linea 1152,S2658,Linea 1145,S844,Linea 1135,S914,Linea 1134,S2433;S2433,Linea 1134,S914,Linea 1135,S844,Linea 1145,S2658,Linea 1152,S66,Linea 1854,S163,Linea 1092,S2724,Linea 1856,S42,Linea 1098,S2707,Linea 1088,S43,Linea 1026,S2695,Linea 1027,S36,Linea 957,S39,Linea 969,S316,Linea 970,S387,Linea 968,S2465,Linea 966,S2147,Linea 946,S167,Linea 943,S229,Linea 945,S277,Linea 998,S178,Linea 1004,S310,Linea 985,S2185,Linea 984,Base</t>
  </si>
  <si>
    <t>Base,Linea 984,S2185,Linea 985,S310,Linea 1004,S178,Linea 998,S277,Linea 945,S229,Linea 943,S167,Linea 946,S2147,Linea 966,S2465,Linea 968,S387,Linea 970,S316,Linea 969,S39,Linea 957,S36,Linea 1027,S2695,Linea 1028,S942,Linea 1100,S2463;S2463,Linea 1102,S916,Linea 1099,S2707,Linea 1098,S42,Linea 1853,S2723,Linea 1118,S841,Linea 1113,S2194,Linea 1110,S803,Linea 1138,S815,Linea 1139,S823,Linea 1143,S2380;S2380,Linea 1143,S823,Linea 1144,S824,Linea 1146,S909,Linea 1151,S2658,Linea 1152,S66,Linea 1156,S63,Linea 1154,S65,Linea 1153,S47,Linea 1150,S832;S832,Linea 1286,S2286,Linea 1285,S913,Linea 1283,S2451,Linea 1278,S2366;S2366,Linea 1280,S929,Linea 1281,S2034,Linea 1276,S2486;S2486,Linea 1276,S2034,Linea 1281,S929,Linea 1279,S2432;S2432,Linea 1279,S929,Linea 1280,S2366,Linea 1277,S2499;S2499,Linea 1277,S2366,Linea 1280,S929,Linea 1281,S2034,Linea 1276,S2486,Linea 1275,S2180,Linea 1274,S914,Linea 1135,S844,Linea 1145,S2658,Linea 1152,S66,Linea 1854,S163,Linea 1092,S2724,Linea 1856,S42,Linea 1098,S2707,Linea 1088,S43,Linea 1026,S2695,Linea 1027,S36,Linea 957,S39,Linea 969,S316,Linea 970,S387,Linea 968,S2465,Linea 966,S2147,Linea 946,S167,Linea 943,S229,Linea 945,S277,Linea 998,S178,Linea 1004,S310,Linea 985,S2185,Linea 984,Base</t>
  </si>
  <si>
    <t>Base,Linea 984,S2185,Linea 985,S310,Linea 1004,S178,Linea 998,S277,Linea 945,S229,Linea 944,S56,Linea 940,S78,Linea 932,S645,Linea 931,S2111,Linea 930,S2110,Linea 736,S2167,Linea 1617,S2168,Linea 584,S849,Linea 582,S938,Linea 581,S2443,Linea 578,S2132,Linea 579,S949,Linea 591,S2129,Linea 592,S2259,Linea 594,S17,Linea 596,S2293,Linea 597,S4,Linea 598,S2324,Linea 600,S2196,Linea 599,S2689;S2689,Linea 601,S2683,Linea 606,S2619,Linea 608,S2694;S2694,Linea 1336,S2711,Linea 1335,S2698,Linea 1334,S2718,Linea 1333,S2717,Linea 1330,S924,Linea 1337,S925,Linea 1260,S2657,Linea 1247,S2627,Linea 1246,S2640,Linea 1326,S752,Linea 1244,S753,Linea 1241,S2292,Linea 1242,S2692;S2692,Linea 1242,S2292,Linea 1241,S753,Linea 1240,S2449,Linea 1239,S2507;S2507,Linea 1239,S2449,Linea 1240,S753,Linea 1244,S752,Linea 1324,S747,Linea 1321,S744,Linea 1310,S725,Linea 1313,S839,Linea 1307,S834,Linea 1901,Planta Sur,Linea 1902,S778,Linea 1328,S2055,Linea 1273,S921;S921,Linea 1129,S815,Linea 1138,S803;S803,Linea 1110,S2194,Linea 1113,S841,Linea 1118,S2723,Linea 1853,S42,Linea 1098,S2707,Linea 1088,S43,Linea 1026,S2695,Linea 1027,S36,Linea 957,S39,Linea 969,S316,Linea 970,S387,Linea 968,S2465,Linea 966,S2147,Linea 946,S167,Linea 943,S229,Linea 945,S277,Linea 998,S178,Linea 1004,S310,Linea 985,S2185,Linea 984,Base</t>
  </si>
  <si>
    <t>Base,Linea 984,S2185,Linea 985,S310,Linea 1004,S178,Linea 998,S277,Linea 945,S229,Linea 943,S167,Linea 946,S2147,Linea 966,S2465,Linea 968,S387,Linea 970,S316,Linea 969,S39,Linea 957,S36,Linea 1025,S2725,Linea 958,S37,Linea 959,S2680,Linea 956,S2666,Linea 955,S2656,Linea 1033,S904,Linea 1084,S736,Linea 1032,S926,Linea 1031,S902,Linea 1865,S2679;S2679,Linea 1865,S902,Linea 1104,S820,Linea 1108,S831,Linea 1109,S803,Linea 1138,S815,Linea 1129,S921,Linea 1273,S2055,Linea 1328,S778;S778,Linea 1902,Planta Sur,Linea 1901,S834,Linea 1307,S839,Linea 1313,S725,Linea 1310,S744,Linea 1321,S747;S747,Linea 1319,S745;S745,Linea 1319,S747,Linea 1321,S744,Linea 1311,S2379,Linea 1301,S903,Linea 1266,S802,Linea 1850,S912,Linea 1268,S842,Linea 1299,S597,Linea 1270,S2628;S2628,Linea 1270,S597,Linea 1271,S908,Linea 1272,S2055,Linea 1273,S921,Linea 1129,S815,Linea 1138,S803,Linea 1109,S831,Linea 1108,S820,Linea 1104,S902,Linea 1031,S926,Linea 1032,S736,Linea 1082,S737,Linea 1080,S818,Linea 1079,S793,Linea 1078,S2667;S2667,Linea 1077,S944,Linea 1085,S115,Linea 1733,S927,Linea 1222,S33,Linea 1724,S2094,Linea 950,S31,Linea 949,S2146,Linea 964,S2147,Linea 946,S167,Linea 943,S229,Linea 945,S277,Linea 998,S178,Linea 1004,S310,Linea 985,S2185,Linea 984,Base</t>
  </si>
  <si>
    <t>Base,Linea 984,S2185,Linea 985,S310,Linea 1004,S178,Linea 998,S277,Linea 945,S229,Linea 944,S56,Linea 940,S78,Linea 932,S645,Linea 931,S2111,Linea 930,S2110,Linea 736,S2167,Linea 1617,S2168,Linea 584,S849,Linea 582,S938,Linea 581,S2443,Linea 578,S2132,Linea 579,S949,Linea 591,S2129,Linea 592,S2259,Linea 594,S17,Linea 735,S295,Linea 734,S3,Linea 613,Q16,Linea 1626,S2240,Linea 471,S2,Linea 1886,S13,Linea 1887,S2523,Linea 469,S26,Linea 467,S2223,Linea 466,S2621,Linea 463,S2375;S2375,Linea 463,S2621,Linea 457,S2642,Linea 450,S2645,Linea 449,S2660,Linea 1863,S2669,Linea 1864,S2651;S2651,Linea 1864,S2669,Linea 1863,S2660,Linea 449,S2645,Linea 450,S2642,Linea 457,S2621,Linea 466,S2223,Linea 467,S26,Linea 469,S2523,Linea 1887,S13,Linea 1886,S2,Linea 471,S2240,Linea 1593,Q16,Linea 613,S3,Linea 734,S295,Linea 735,S17,Linea 594,S2259,Linea 592,S2129,Linea 591,S949,Linea 579,S2132,Linea 578,S2443,Linea 581,S938,Linea 582,S849,Linea 584,S2168,Linea 1617,S2167,Linea 736,S2110,Linea 930,S2111,Linea 931,S645,Linea 932,S78,Linea 940,S56,Linea 944,S229,Linea 945,S277,Linea 998,S178,Linea 1004,S310,Linea 985,S2185,Linea 984,Base</t>
  </si>
  <si>
    <t>Base,Linea 984,S2185,Linea 985,S310,Linea 1004,S178,Linea 998,S277,Linea 945,S229,Linea 944,S56,Linea 940,S78,Linea 932,S645,Linea 931,S2111,Linea 930,S2110,Linea 736,S2167,Linea 1617,S2168,Linea 584,S849,Linea 582,S938,Linea 581,S2443,Linea 578,S2132,Linea 579,S949,Linea 591,S2129,Linea 592,S2259,Linea 594,S17,Linea 735,S295,Linea 734,S3,Linea 613,Q16,Linea 1626,S2240,Linea 471,S2,Linea 1886,S13,Linea 473,S2245,Linea 472,S2107;S2107,Linea 472,S2245,Linea 473,S13,Linea 1887,S2523,Linea 1888,S2606,Linea 526,S2614,Linea 451,S2122,Linea 439,S2635,Linea 420,S2040,Linea 418,S2007,Linea 419,S2654;S2654,Linea 419,S2007,Linea 378,S1028,Linea 416,S1036,Linea 376,S1033,Linea 1496,S1020,Linea 350,S2470,Linea 349,S1029,Linea 343,S1018,Linea 346,S2518,Linea 347,S2075;S2075,Linea 347,S2518,Linea 346,S1018,Linea 343,S1029,Linea 342,S790;S790,Linea 361,S1039,Linea 366,Planta La Petiza,Linea 368,S721,Linea 369,S613,Linea 370,S687,Linea 392,S709,Linea 393,S710,Linea 413,S722,Linea 414,S774,Linea 415,S2151,Linea 531,S773,Linea 546,S437,Linea 549,S529,Linea 551,S525,Linea 552,S2273,Linea 615,S2634,Linea 614,S469,Linea 616,S460,Linea 632,S2720,Linea 662,S2445;S2445,Linea 628,S2262,Linea 627,S2560,Linea 626,S958,Linea 238,S2386,Linea 236,S487,Linea 230,S1041,Linea 1848,S492,Linea 1849,S2001,Linea 902,S2022,Linea 1883,S556,Linea 142,S2578,Linea 1821,S555,Linea 112,S767,Linea 108,S719,Linea 106,S763,Linea 105,S2206,Linea 104,S538,Linea 141,S690,Linea 144,S2017,Linea 143,S356,Linea 97,S2200,Linea 1847,S2199,Linea 46,S2569,Linea 42,S2032,Linea 34,S308,Linea 33,S2412,Linea 27,S2195,Linea 10,S309,Linea 4,S329,Linea 3,S993,Linea 2,S2447,Linea 1506,S176,Linea 1,Base</t>
  </si>
  <si>
    <t>Base,Linea 984,S2185,Linea 985,S310,Linea 1004,S178,Linea 998,S277,Linea 945,S229,Linea 944,S56,Linea 940,S78,Linea 932,S645,Linea 931,S2111,Linea 930,S2110,Linea 736,S2167,Linea 1617,S2168,Linea 584,S849,Linea 582,S938,Linea 587,S2511,Linea 586,S948,Linea 585,S2662,Linea 1051,S911,Linea 1218,S2315,Linea 1217,S906;S906,Linea 1217,S2315;S2315,Linea 1218,S911,Linea 1051,S2662,Linea 585,S948,Linea 586,S2511,Linea 587,S938,Linea 581,S2443,Linea 578,S2132,Linea 579,S949,Linea 591,S2129,Linea 592,S2259,Linea 594,S17,Linea 596,S2293,Linea 597,S4,Linea 598,S2324,Linea 600,S2196,Linea 599,S2689,Linea 601,S2683,Linea 606,S2619,Linea 608,S2694,Linea 1336,S2711,Linea 1335,S2698,Linea 1334,S2718,Linea 1333,S2717,Linea 1332,S2690;S2690,Linea 1331,S924;S924,Linea 1330,S2717,Linea 1333,S2718,Linea 1334,S2698,Linea 1772,S2702;S2702,Linea 1772,S2698,Linea 1893,S2709;S2709,Linea 1893,S2698,Linea 1335,S2711,Linea 1336,S2694,Linea 608,S2619,Linea 606,S2683,Linea 601,S2689,Linea 599,S2196,Linea 600,S2324,Linea 598,S4,Linea 597,S2293,Linea 596,S17,Linea 594,S2259,Linea 592,S2129,Linea 591,S949,Linea 579,S2132,Linea 578,S2443,Linea 581,S938,Linea 582,S849,Linea 584,S2168,Linea 1617,S2167,Linea 736,S2110,Linea 930,S2111,Linea 931,S645,Linea 932,S78,Linea 940,S56,Linea 944,S229,Linea 945,S277,Linea 998,S178,Linea 1004,S310,Linea 985,S2185,Linea 984,Base</t>
  </si>
  <si>
    <t>Base,Linea 14,S278,Linea 15,S2250,Linea 16,S977,Linea 17,S245,Linea 1341,S2416,Linea 69,S154,Linea 70,S2060;S2060,Linea 70,S154,Linea 71,S155,Linea 74,S156,Linea 75,S100,Linea 77,S558,Linea 78,S2227,Linea 85,S549,Linea 86,S2200,Linea 97,S356,Linea 143,S2017,Linea 144,S690,Linea 141,S538,Linea 104,S2206,Linea 105,S763,Linea 106,S719,Linea 108,S767,Linea 112,S555,Linea 1532,S2578,Linea 142,S556,Linea 1883,S2022,Linea 902,S2001,Linea 1849,S492,Linea 1848,S1041,Linea 230,S487,Linea 229,S2291,Linea 226,S2054,Linea 220,S2458,Linea 214,S788,Linea 216,S2676,Linea 217,S2396,Linea 240,S2395,Linea 243,S1005,Linea 397,S543,Linea 399,S2288,Linea 247,S2418,Linea 249,S611,Linea 250,E291,Linea 252,S853,Linea 254,S851,Linea 257,S591,Linea 262,S899,Linea 339,S894;S894,Linea 339,S899,Linea 262,S591,Linea 257,S851,Linea 254,S853,Linea 252,E291,Linea 250,S611,Linea 249,S2418,Linea 247,S2288,Linea 399,S543,Linea 397,S1005,Linea 243,S2395,Linea 242,S2294,Linea 572,S874,Linea 573,S2501;S2501,Linea 573,S874,Linea 572,S2294,Linea 242,S2395,Linea 240,S2396,Linea 217,S2676,Linea 216,S788,Linea 214,S2458,Linea 220,S2054,Linea 226,S2291,Linea 229,S487,Linea 230,S1041,Linea 1848,S492,Linea 1849,S2001,Linea 232,S2027,Linea 231,S2593;S2593,Linea 231,S2027,Linea 232,S2001,Linea 902,S2022,Linea 1883,S556,Linea 142,S2578,Linea 1821,S555,Linea 112,S767,Linea 108,S719,Linea 106,S763,Linea 105,S2206,Linea 104,S538,Linea 141,S690,Linea 144,S2017,Linea 143,S356,Linea 97,S2200,Linea 1847,S2199,Linea 46,S2569,Linea 42,S2032,Linea 34,S308,Linea 33,S2412,Linea 27,S2195,Linea 10,S309,Linea 4,S329,Linea 3,S993,Linea 2,S2447,Linea 1506,S176,Linea 1,Base</t>
  </si>
  <si>
    <t>Base,Linea 1,S176,Linea 1506,S2447,Linea 2,S993,Linea 3,S329,Linea 4,S309,Linea 10,S2195,Linea 27,S2412,Linea 33,S308,Linea 34,S2032,Linea 42,S2569,Linea 46,S2199,Linea 1847,S2200,Linea 97,S356,Linea 143,S2017,Linea 144,S690,Linea 141,S538,Linea 104,S2206,Linea 105,S763,Linea 106,S719,Linea 108,S767,Linea 112,S555,Linea 1532,S2578,Linea 142,S556,Linea 1883,S2022,Linea 902,S2001,Linea 1849,S492,Linea 1848,S1041,Linea 230,S487,Linea 236,S2386,Linea 238,S958,Linea 626,S2560;S2560,Linea 627,S2262,Linea 628,S2445,Linea 662,S2720,Linea 634,S458,Linea 660,S683,Linea 659,S2265,Linea 665,S489,Linea 629,S2077,Linea 631,S629,Linea 905,S783,Linea 1214,Planta Norte,Linea 1899,S2239;S2239,Linea 1899,Planta Norte,Linea 923,S789,Linea 925,S501,Linea 127,S633,Linea 210,S622,Linea 211,S2552,Linea 1563,S635,Linea 186,S495,Linea 183,S637,Linea 178,S640,Linea 177,S676,Linea 170,S691,Linea 169,S451,Linea 168,S2478,Linea 167,S2510,Linea 164,S678,Linea 162,S662,Linea 161,S246,Linea 158,S680,Linea 1549,S2488,Linea 156,S208,Linea 57,S2253,Linea 52,S326,Linea 8,S2258,Linea 7,S328,Linea 6,S309,Linea 4,S329,Linea 3,S993,Linea 2,S2447,Linea 1506,S176,Linea 1,Base,Linea 13,S961;S961,Linea 13,Base,Linea 1,S176,Linea 1506,S2447,Linea 2,S993,Linea 3,S329,Linea 4,S309,Linea 10,S2195,Linea 27,S2412,Linea 33,S308,Linea 34,S2032,Linea 42,S2569,Linea 46,S2199,Linea 1847,S2200,Linea 97,S356,Linea 143,S2017,Linea 144,S690,Linea 141,S538,Linea 104,S2206,Linea 105,S763,Linea 106,S719,Linea 108,S767,Linea 112,S555,Linea 1532,S2578,Linea 142,S556,Linea 1883,S2022,Linea 902,S2001,Linea 1849,S492,Linea 1848,S1041,Linea 230,S487,Linea 229,S2291,Linea 226,S2054,Linea 220,S2458,Linea 214,S788,Linea 216,S2676,Linea 217,S2396,Linea 240,S2395,Linea 243,S1005,Linea 397,S543,Linea 399,S2288,Linea 247,S2418,Linea 249,S611,Linea 250,E291,Linea 252,S853,Linea 254,S851,Linea 257,S591,Linea 258,S876,Linea 263,S886,Linea 264,S868,Linea 270,S869,Linea 278,S864,Linea 281,S850,Linea 280,S856,Linea 289,S884,Linea 290,S1027,Linea 291,S1007,Linea 293,S1025,Linea 292,S1008;S1008,Linea 292,S1025,Linea 293,S1007,Linea 291,S1027,Linea 290,S884,Linea 289,S856,Linea 280,S850,Linea 281,S864,Linea 278,S869,Linea 270,S868,Linea 264,S886,Linea 263,S876,Linea 258,S591,Linea 257,S851,Linea 254,S853,Linea 252,E291,Linea 250,S611,Linea 249,S2418,Linea 247,S2288,Linea 399,S543,Linea 397,S1005,Linea 243,S2395,Linea 240,S2396,Linea 217,S2676,Linea 216,S788,Linea 214,S2458,Linea 220,S2054,Linea 226,S2291,Linea 229,S487,Linea 230,S1041,Linea 1848,S492,Linea 1849,S2001,Linea 902,S2022,Linea 1883,S556,Linea 142,S2578,Linea 1821,S555,Linea 112,S767,Linea 108,S719,Linea 106,S763,Linea 105,S2206,Linea 104,S538,Linea 141,S690,Linea 144,S2017,Linea 143,S356,Linea 97,S2200,Linea 1847,S2199,Linea 46,S2569,Linea 42,S2032,Linea 34,S308,Linea 33,S2412,Linea 27,S2195,Linea 10,S309,Linea 4,S329,Linea 3,S993,Linea 2,S2447,Linea 1506,S176,Linea 1,Base</t>
  </si>
  <si>
    <t>Base,Linea 984,S2185,Linea 985,S310,Linea 1004,S178,Linea 998,S277,Linea 945,S229,Linea 944,S56,Linea 940,S78,Linea 932,S645,Linea 931,S2111,Linea 930,S2110,Linea 736,S2167,Linea 1617,S2168,Linea 584,S849,Linea 582,S938,Linea 581,S2443,Linea 578,S2132,Linea 579,S949,Linea 591,S2129,Linea 592,S2259,Linea 594,S17,Linea 596,S2293,Linea 597,S4,Linea 598,S2324,Linea 600,S2196,Linea 599,S2689,Linea 601,S2683,Linea 606,S2619,Linea 608,S2694,Linea 1336,S2711,Linea 1335,S2698,Linea 1334,S2718,Linea 1333,S2717,Linea 1330,S924,Linea 1337,S925,Linea 1260,S2657,Linea 1247,S2627;S2627,Linea 1247,S2657,Linea 1248,S2070,Linea 1249,S940;S940,Linea 1249,S2070,Linea 1248,S2657,Linea 1260,S925,Linea 1251,S946;S946,Linea 1251,S925,Linea 1337,S924,Linea 1330,S2717,Linea 1333,S2718,Linea 1334,S2698,Linea 1335,S2711,Linea 1336,S2694,Linea 608,S2619,Linea 606,S2683,Linea 601,S2689,Linea 599,S2196,Linea 600,S2324,Linea 598,S4,Linea 597,S2293,Linea 596,S17,Linea 594,S2259,Linea 592,S2129,Linea 591,S949,Linea 579,S2132,Linea 578,S2443,Linea 581,S938,Linea 582,S849,Linea 584,S2168,Linea 1617,S2167,Linea 736,S2110,Linea 930,S2111,Linea 931,S645,Linea 932,S78,Linea 940,S56,Linea 944,S229,Linea 945,S277,Linea 998,S178,Linea 1004,S310,Linea 985,S2185,Linea 984,Base</t>
  </si>
  <si>
    <t>Base,Linea 1,S176,Linea 1506,S2447,Linea 2,S993,Linea 3,S329,Linea 4,S309,Linea 6,S328,Linea 7,S2258,Linea 8,S326,Linea 52,S2253,Linea 57,S208,Linea 156,S2488,Linea 1548,S680,Linea 158,S246,Linea 161,S662,Linea 162,S678,Linea 164,S2510,Linea 167,S2478,Linea 168,S451,Linea 169,S691,Linea 170,S676,Linea 177,S640,Linea 178,S637,Linea 183,S495,Linea 186,S635,Linea 1555,S2552,Linea 211,S622,Linea 210,S633,Linea 127,S501,Linea 925,S789,Linea 923,Planta Norte,Linea 1214,S783,Linea 903,S2521,Linea 1694,S2490;S2490,Linea 1694,S2521,Linea 903,S783,Linea 905,S629,Linea 631,S2077,Linea 629,S489,Linea 665,S2265,Linea 659,S683,Linea 637,S458,Linea 634,S2720,Linea 632,S460,Linea 616,S469,Linea 545,S439,Linea 538,S531,Linea 537,S2439;S2439,Linea 537,S531,Linea 538,S439,Linea 545,S469,Linea 614,S2634,Linea 615,S2273,Linea 552,S525,Linea 551,S529,Linea 553,S524,Linea 554,S2525,Linea 555,S528,Linea 556,S2181;S2181,Linea 556,S528,Linea 555,S2525,Linea 554,S524,Linea 553,S529,Linea 551,S525,Linea 552,S2273,Linea 615,S2634,Linea 614,S469,Linea 616,S460,Linea 632,S2720,Linea 634,S458,Linea 660,S683,Linea 659,S2265,Linea 664,S2444,Linea 666,S782,Linea 906,S2171;S2171,Linea 906,S782,Linea 666,S2444,Linea 664,S2265,Linea 665,S489,Linea 629,S2077,Linea 631,S629,Linea 905,S783,Linea 1214,Planta Norte,Linea 923,S789,Linea 925,S501,Linea 127,S633,Linea 210,S622,Linea 912,S2387,Linea 205,S632;S632,Linea 205,S2387,Linea 912,S622,Linea 211,S2552,Linea 1563,S635,Linea 186,S495,Linea 183,S637,Linea 178,S640,Linea 177,S676,Linea 170,S691,Linea 169,S451,Linea 168,S2478,Linea 167,S2510,Linea 164,S678,Linea 162,S662,Linea 161,S246,Linea 158,S680,Linea 1549,S2488,Linea 156,S208,Linea 57,S2253,Linea 52,S326,Linea 8,S2258,Linea 7,S328,Linea 6,S309,Linea 4,S329,Linea 3,S993,Linea 2,S2447;S2447,Linea 1506,S176,Linea 1,Base</t>
  </si>
  <si>
    <t>Base,Linea 984,S2185,Linea 985,S310,Linea 1004,S178,Linea 998,S277,Linea 945,S229,Linea 944,S56,Linea 940,S78,Linea 932,S645,Linea 931,S2111,Linea 930,S2110,Linea 736,S2167,Linea 1617,S2168,Linea 584,S849,Linea 582,S938,Linea 581,S2443,Linea 578,S2132,Linea 579,S949,Linea 591,S2129,Linea 592,S2259,Linea 594,S17,Linea 596,S2293,Linea 597,S4,Linea 598,S2324,Linea 600,S2196,Linea 599,S2689,Linea 605,S581,Linea 610,S2688,Linea 611,S2685;S2685,Linea 612,S2699;S2699,Linea 612,S2685,Linea 611,S2688,Linea 610,S581,Linea 605,S2689,Linea 601,S2683,Linea 606,S2619,Linea 604,S2674;S2674,Linea 604,S2619,Linea 606,S2683,Linea 601,S2689,Linea 605,S581,Linea 610,S2688,Linea 1869,S2693,Linea 1871,S2705;S2705,Linea 1871,S2693,Linea 1869,S2688,Linea 611,S2685,Linea 612,S2699,Linea 1624,S2704;S2704,Linea 1624,S2699,Linea 612,S2685,Linea 611,S2688,Linea 610,S581,Linea 605,S2689,Linea 599,S2196,Linea 600,S2324,Linea 598,S4,Linea 597,S2293,Linea 596,S17,Linea 594,S2259,Linea 592,S2129,Linea 591,S949,Linea 579,S2132,Linea 578,S2443,Linea 581,S938,Linea 582,S849,Linea 584,S2168,Linea 1617,S2167,Linea 736,S2110,Linea 930,S2111,Linea 931,S645,Linea 932,S78,Linea 940,S56,Linea 944,S229,Linea 945,S277,Linea 998,S178,Linea 1004,S310,Linea 985,S2185,Linea 984,Base</t>
  </si>
  <si>
    <t>Base,Linea 984,S2185,Linea 985,S310,Linea 1004,S178,Linea 998,S277,Linea 945,S229,Linea 944,S56,Linea 940,S78,Linea 932,S645,Linea 931,S2111,Linea 930,S2110,Linea 736,S2167,Linea 1617,S2168,Linea 584,S849,Linea 582,S938,Linea 587,S2511,Linea 588,S932,Linea 1339,S901,Linea 1338,S2687,Linea 1892,S2714;S2714,Linea 1892,S2687,Linea 1338,S901,Linea 1339,S932,Linea 588,S2511,Linea 586,S948;S948,Linea 586,S2511,Linea 587,S938,Linea 582,S849,Linea 584,S2168,Linea 1617,S2167,Linea 736,S2110,Linea 930,S2111,Linea 931,S645,Linea 1046,S928,Linea 1048,S840,Linea 1220,S826,Linea 1060,S828,Linea 1061,S801;S801,Linea 1061,S828,Linea 1060,S826,Linea 1220,S840,Linea 1048,S928,Linea 1046,S645,Linea 932,S78,Linea 940,S56,Linea 944,S229,Linea 945,S277,Linea 998,S178,Linea 1004,S310,Linea 985,S2185,Linea 984,Base</t>
  </si>
  <si>
    <t>Base,Linea 984,S2185,Linea 985,S310,Linea 1004,S178,Linea 998,S277,Linea 945,S229,Linea 943,S167,Linea 946,S2147,Linea 966,S2465,Linea 968,S387,Linea 970,S316,Linea 969,S39,Linea 957,S36,Linea 1027,S2695,Linea 1026,S43,Linea 1088,S2707,Linea 1098,S42,Linea 1853,S2723,Linea 1118,S841,Linea 1112,S2467,Linea 1224,S846,Linea 1107,S919;S919,Linea 1107,S846,Linea 1224,S2467,Linea 1112,S841,Linea 1118,S2723,Linea 1853,S42,Linea 1098,S2707,Linea 1088,S43,Linea 1026,S2695,Linea 1027,S36,Linea 957,S39,Linea 969,S316,Linea 970,S387,Linea 968,S2465,Linea 1715,S546,Linea 1212,S962,Linea 1008,S315,Linea 1017,S59,Linea 1295,S2116,Linea 1293,S1,Linea 1292,S2189,Linea 797,S2095,Linea 1825,S2479,Linea 795,S189,Linea 1826,S18,Linea 1177,S2243,Linea 807,S205,Linea 1181,S2139,Linea 1180,S8,Linea 1183,S223,Linea 1191,S2365,Linea 1195,S2622,Linea 1197,S127,Linea 1201,S197,Linea 1467,S2429;S2429,Linea 1467,S197,Linea 1201,S127,Linea 1197,S2622,Linea 1195,S2365,Linea 1191,S223,Linea 1183,S8,Linea 1180,S2139,Linea 1181,S205,Linea 807,S2243,Linea 1177,S18,Linea 1826,S189,Linea 795,S2479,Linea 1825,S2095,Linea 797,S2189,Linea 1292,S1,Linea 1293,S2116,Linea 1295,S59,Linea 1017,S315,Linea 1008,S962,Linea 1212,S546,Linea 1753,S2465,Linea 968,S387,Linea 970,S316,Linea 969,S39,Linea 957,S36,Linea 1027,S2695,Linea 1026,S43,Linea 1088,S2707,Linea 1098,S42,Linea 1853,S2723,Linea 1118,S841,Linea 1112,S2467,Linea 1224,S846;S846,Linea 1224,S2467;S2467,Linea 1112,S841,Linea 1114,S2345;S2345,Linea 1114,S841,Linea 1118,S2723,Linea 1853,S42,Linea 1098,S2707,Linea 1088,S43,Linea 1026,S2695,Linea 1027,S36,Linea 957,S39,Linea 969,S316,Linea 970,S387,Linea 968,S2465,Linea 966,S2147,Linea 946,S167,Linea 943,S229,Linea 945,S277,Linea 998,S178,Linea 1004,S310,Linea 985,S2185,Linea 984,Base</t>
  </si>
  <si>
    <t>Base,Linea 984,S2185,Linea 985,S310,Linea 1004,S178,Linea 998,S277,Linea 945,S229,Linea 944,S56,Linea 940,S78,Linea 932,S645,Linea 931,S2111,Linea 933,S210,Linea 1707,S2435,Linea 1708,S2208;S2208,Linea 1708,S2435,Linea 1707,S210,Linea 933,S2111,Linea 934,S2334,Linea 717,S250,Linea 719,S2349,Linea 720,S986,Linea 722,S2454,Linea 723,S2306;S2306,Linea 723,S2454,Linea 722,S986,Linea 720,S2349,Linea 719,S250,Linea 717,S2334,Linea 934,S2111,Linea 930,S2110,Linea 736,S2167,Linea 1617,S2168,Linea 584,S849,Linea 582,S938,Linea 581,S2443,Linea 578,S2132,Linea 579,S949,Linea 591,S2129,Linea 592,S2259,Linea 594,S17,Linea 596,S2293,Linea 597,S4,Linea 598,S2324,Linea 600,S2196,Linea 599,S2689,Linea 605,S581,Linea 610,S2688,Linea 1869,S2693,Linea 1870,S2703,Linea 1873,S2713,Linea 1889,S2696;S2696,Linea 1889,S2713,Linea 1873,S2703,Linea 1872,S2712;S2712,Linea 1872,S2703,Linea 1873,S2713,Linea 1874,S2710;S2710,Linea 1874,S2713,Linea 1873,S2703,Linea 1870,S2693,Linea 1869,S2688;S2688,Linea 610,S581,Linea 605,S2689,Linea 599,S2196,Linea 600,S2324,Linea 598,S4,Linea 597,S2293,Linea 596,S17,Linea 594,S2259,Linea 592,S2129,Linea 591,S949,Linea 579,S2132,Linea 578,S2443,Linea 581,S938,Linea 582,S849,Linea 584,S2168,Linea 1617,S2167,Linea 736,S2110,Linea 930,S2111,Linea 931,S645,Linea 932,S78,Linea 940,S56,Linea 944,S229,Linea 945,S277,Linea 998,S178,Linea 1004,S310,Linea 985,S2185,Linea 984,Base</t>
  </si>
  <si>
    <t>Base,Linea 12,S2401,Linea 1510,S2249,Linea 973,S192,Linea 754,S2408,Linea 752,S370,Linea 1842,S2421,Linea 741,S980,Linea 740,S377,Linea 748,S381,Linea 747,S2572,Linea 746,S315,Linea 1017,S59,Linea 1295,S2116,Linea 1293,S1,Linea 1292,S2189,Linea 797,S2095,Linea 1828,S198,Linea 805,S287,Linea 839,S312,Linea 1834,S339,Linea 1833,S2548,Linea 1678,S249,Linea 830,S285,Linea 1832,S2406,Linea 823,S2441;S2441,Linea 821,S2242,Linea 815,S2177,Linea 820,S194,Linea 1206,S184,Linea 1804,S2080,Linea 1490,S138,Linea 1208,S2101,Linea 1462,S183,Linea 1829,S2135,Linea 1814,S2541,Linea 1459,S206,Linea 826,S715,Linea 827,S2356,Linea 1456,S151,Linea 1489,S2304;S2304,Linea 1461,S984,Linea 1448,S2623;S2623,Linea 1448,S984,Linea 1461,S2304,Linea 1489,S151,Linea 1456,S2356,Linea 827,S715,Linea 826,S206,Linea 1459,S2541,Linea 1794,S2135,Linea 1829,S183,Linea 1462,S2101,Linea 1208,S138,Linea 1205,S2584,Linea 1192,S2586,Linea 1187,S203,Linea 1190,S224,Linea 1189,S223,Linea 1183,S8,Linea 1180,S2139,Linea 1181,S205,Linea 807,S2243,Linea 1177,S18,Linea 1826,S189,Linea 795,S2479,Linea 1825,S2095,Linea 797,S2189,Linea 1292,S1,Linea 1293,S2116,Linea 1295,S59,Linea 1017,S315,Linea 746,S2572,Linea 745,S999;S999,Linea 745,S2572,Linea 747,S381,Linea 748,S377,Linea 740,S980,Linea 741,S2421,Linea 1842,S370,Linea 752,S2408,Linea 754,S192,Linea 973,S2249,Linea 1816,S2401,Linea 12,Base</t>
  </si>
  <si>
    <t>Base,Linea 1,S176,Linea 1506,S2447,Linea 2,S993,Linea 3,S329,Linea 4,S309,Linea 28,S282,Linea 30,S2045;S2045,Linea 30,S282,Linea 31,S2412,Linea 33,S308,Linea 34,S2032,Linea 42,S2569,Linea 46,S2199,Linea 1847,S2200,Linea 97,S356,Linea 143,S2017,Linea 144,S690,Linea 141,S538,Linea 104,S2206,Linea 105,S763,Linea 106,S719,Linea 108,S767,Linea 112,S555,Linea 1532,S2578,Linea 142,S556,Linea 1883,S2022,Linea 902,S2001,Linea 1849,S492,Linea 1848,S1041,Linea 230,S487,Linea 229,S2291,Linea 226,S2054,Linea 220,S2458,Linea 214,S788,Linea 216,S2676,Linea 217,S2396,Linea 240,S2395,Linea 243,S1005,Linea 397,S543,Linea 399,S2288,Linea 247,S2418,Linea 249,S611,Linea 250,E291,Linea 252,S853,Linea 254,S851,Linea 257,S591,Linea 258,S876,Linea 263,S886,Linea 264,S868,Linea 270,S869,Linea 278,S864,Linea 277,S2582,Linea 275,S2279,Linea 274,S892;S892,Linea 274,S2279,Linea 275,S2582,Linea 276,S873,Linea 279,S850,Linea 1880,Q50,Linea 271,S858,Linea 267,S2335;S2335,Linea 267,S858,Linea 271,Q50,Linea 1880,S850,Linea 281,S864,Linea 278,S869,Linea 270,S868,Linea 264,S886,Linea 263,S876,Linea 258,S591,Linea 257,S851,Linea 254,S853,Linea 252,E291,Linea 390,S477,Linea 400,S612,Linea 396,S2068;S2068,Linea 398,S543,Linea 397,S1005,Linea 243,S2395,Linea 240,S2396,Linea 217,S2676,Linea 216,S788,Linea 214,S2458,Linea 220,S2054,Linea 226,S2291,Linea 229,S487,Linea 230,S1041,Linea 1848,S492,Linea 1849,S2001,Linea 902,S2022,Linea 1883,S556,Linea 142,S2578;S2578,Linea 1821,S555,Linea 112,S767,Linea 108,S719,Linea 106,S763,Linea 105,S2206,Linea 104,S538,Linea 141,S690,Linea 144,S2017,Linea 143,S356,Linea 97,S2200,Linea 86,S549,Linea 85,S2227,Linea 84,S2545;S2545,Linea 84,S2227,Linea 78,S558,Linea 77,S100,Linea 75,S156,Linea 74,S155,Linea 71,S154,Linea 69,S2416,Linea 1341,S245,Linea 17,S977,Linea 16,S2250,Linea 15,S278,Linea 14,Base</t>
  </si>
  <si>
    <t>Base,Linea 984,S2185,Linea 985,S310,Linea 1004,S178,Linea 998,S277,Linea 945,S229,Linea 944,S56,Linea 940,S78,Linea 932,S645,Linea 931,S2111,Linea 930,S2110,Linea 736,S2167,Linea 1617,S2168,Linea 584,S849,Linea 582,S938,Linea 581,S2443,Linea 578,S2132,Linea 579,S949,Linea 591,S2129,Linea 592,S2259,Linea 594,S17,Linea 596,S2293,Linea 597,S4,Linea 598,S2324,Linea 600,S2196,Linea 599,S2689,Linea 601,S2683,Linea 606,S2619,Linea 608,S2694,Linea 1336,S2711,Linea 1335,S2698;S2698,Linea 1335,S2711,Linea 1336,S2694,Linea 608,S2619,Linea 606,S2683,Linea 601,S2689,Linea 599,S2196,Linea 600,S2324,Linea 598,S4,Linea 597,S2293,Linea 596,S17,Linea 735,S295,Linea 734,S3,Linea 613,Q16,Linea 1626,S2240,Linea 471,S2,Linea 1886,S13,Linea 1887,S2523,Linea 517,Q17,Linea 516,S2236,Linea 511,S509,Linea 512,S427,Linea 506,S420,Linea 505,S418,Linea 485,S2303;S2303,Linea 485,S418,Linea 484,S2297,Linea 1598,S417,Linea 483,S513;S513,Linea 483,S417,Linea 1598,S2297,Linea 484,S418,Linea 505,S420,Linea 506,S427,Linea 512,S509,Linea 511,S2236,Linea 516,Q17,Linea 517,S2523,Linea 1887,S13,Linea 1886,S2,Linea 471,S2240,Linea 1593,Q16,Linea 613,S3,Linea 734,S295,Linea 735,S17,Linea 596,S2293,Linea 597,S4,Linea 598,S2324,Linea 600,S2196,Linea 599,S2689,Linea 601,S2683,Linea 606,S2619,Linea 608,S2694,Linea 1336,S2711,Linea 1335,S2698,Linea 1334,S2718,Linea 1333,S2717,Linea 1330,S924,Linea 1337,S925;S925,Linea 1337,S924,Linea 1330,S2717,Linea 1333,S2718,Linea 1334,S2698,Linea 1335,S2711,Linea 1336,S2694,Linea 608,S2619,Linea 606,S2683,Linea 601,S2689,Linea 599,S2196,Linea 600,S2324,Linea 598,S4,Linea 597,S2293,Linea 596,S17,Linea 594,S2259,Linea 592,S2129,Linea 591,S949,Linea 579,S2132,Linea 578,S2443,Linea 581,S938,Linea 582,S849,Linea 584,S2168,Linea 1617,S2167,Linea 736,S2110,Linea 930,S2111,Linea 931,S645,Linea 932,S78,Linea 940,S56,Linea 944,S229,Linea 945,S277,Linea 998,S178,Linea 1004,S310,Linea 985,S2185,Linea 984,Base</t>
  </si>
  <si>
    <t>Base,Linea 984,S2185,Linea 1718,S101,Linea 1719,S973;S973,Linea 1719,S101,Linea 1718,S2185,Linea 985,S310,Linea 1004,S178,Linea 998,S277,Linea 945,S229,Linea 944,S56,Linea 940,S78,Linea 932,S645,Linea 931,S2111,Linea 930,S2110,Linea 736,S2167,Linea 1617,S2168,Linea 584,S849,Linea 582,S938,Linea 581,S2443,Linea 578,S2132,Linea 579,S949,Linea 591,S2129,Linea 592,S2259,Linea 594,S17,Linea 596,S2293,Linea 597,S4,Linea 598,S2324,Linea 600,S2196,Linea 599,S2689,Linea 601,S2683,Linea 1890,S2697;S2697,Linea 1890,S2683,Linea 606,S2619,Linea 608,S2694,Linea 1336,S2711,Linea 1335,S2698,Linea 1334,S2718,Linea 1333,S2717,Linea 1330,S924,Linea 1337,S925,Linea 1260,S2657,Linea 1247,S2627,Linea 1246,S2640;S2640,Linea 1246,S2627,Linea 1247,S2657;S2657,Linea 1260,S925,Linea 1337,S924,Linea 1330,S2717,Linea 1333,S2718,Linea 1334,S2698,Linea 1335,S2711,Linea 1336,S2694,Linea 608,S2619,Linea 606,S2683,Linea 601,S2689,Linea 599,S2196,Linea 600,S2324,Linea 598,S4,Linea 597,S2293,Linea 596,S17,Linea 594,S2259,Linea 592,S2129,Linea 591,S949,Linea 579,S2132,Linea 578,S2443,Linea 581,S938,Linea 582,S849,Linea 584,S2168,Linea 1617,S2167,Linea 736,S2110,Linea 930,S2111,Linea 931,S645,Linea 932,S78,Linea 940,S56,Linea 944,S229,Linea 943,S167,Linea 946,S2147,Linea 966,S2465;S2465,Linea 966,S2147,Linea 946,S167,Linea 943,S229,Linea 945,S277,Linea 998,S178,Linea 1004,S310,Linea 985,S2185,Linea 984,Base</t>
  </si>
  <si>
    <t>Base,Linea 984,S2185,Linea 985,S310,Linea 1004,S178,Linea 998,S277,Linea 945,S229,Linea 944,S56,Linea 940,S78,Linea 932,S645,Linea 931,S2111,Linea 930,S2110,Linea 736,S2167,Linea 1617,S2168,Linea 584,S849,Linea 582,S938,Linea 581,S2443,Linea 578,S2132,Linea 579,S949,Linea 591,S2129,Linea 592,S2259,Linea 594,S17,Linea 735,S295,Linea 734,S3,Linea 613,Q16,Linea 1626,S2240,Linea 471,S2,Linea 1886,S13,Linea 1887,S2523,Linea 1888,S2606,Linea 526,S2614,Linea 525,S2461,Linea 454,S2594,Linea 438,S2120,Linea 434,S2668,Linea 435,S2105;S2105,Linea 435,S2668,Linea 434,S2120,Linea 438,S2594,Linea 454,S2461,Linea 525,S2614,Linea 526,S2606,Linea 1888,S2523,Linea 517,Q17,Linea 516,S2236;S2236,Linea 516,Q17,Linea 517,S2523,Linea 1887,S13,Linea 1886,S2,Linea 471,S2240,Linea 1593,Q16,Linea 613,S3,Linea 734,S295,Linea 735,S17,Linea 594,S2259,Linea 592,S2129,Linea 591,S949,Linea 579,S2132,Linea 578,S2443,Linea 581,S938,Linea 582,S849,Linea 584,S2168,Linea 1617,S2167,Linea 736,S2110,Linea 930,S2111,Linea 931,S645,Linea 932,S78,Linea 940,S56,Linea 944,S229,Linea 945,S277,Linea 998,S178,Linea 1006,S2024,Linea 1896,Planta Central,Linea 1897,S357,Linea 1007,S360,Linea 983,S2232,Linea 1021,S2021;S2021,Linea 1021,S2232,Linea 983,S360,Linea 977,S2230,Linea 976,Base</t>
  </si>
  <si>
    <t>Base,Linea 984,S2185,Linea 985,S310,Linea 1004,S178,Linea 998,S277,Linea 945,S229,Linea 943,S167,Linea 946,S2147,Linea 966,S2465,Linea 968,S387,Linea 970,S316,Linea 969,S39,Linea 957,S36,Linea 1027,S2695,Linea 1026,S43,Linea 1088,S2707,Linea 1098,S42,Linea 1856,S2724,Linea 1092,S163,Linea 1854,S66,Linea 1156,S63,Linea 1154,S65,Linea 1153,S47,Linea 1150,S832,Linea 1287,S54,Linea 1288,S907,Linea 1289,S930,Linea 1290,S835;S835,Linea 1290,S930,Linea 1289,S907,Linea 1288,S54,Linea 1287,S832,Linea 1150,S47,Linea 1153,S65,Linea 1154,S63,Linea 1156,S66,Linea 1854,S163,Linea 1092,S2724,Linea 1856,S42,Linea 1098,S2707,Linea 1088,S43,Linea 1026,S2695,Linea 1027,S36,Linea 957,S39,Linea 969,S316,Linea 970,S387,Linea 968,S2465,Linea 1715,S546,Linea 1212,S962,Linea 1008,S315,Linea 45,S2446,Linea 778,S2495;S2495,Linea 778,S2446,Linea 45,S315,Linea 1008,S962,Linea 1212,S546,Linea 1753,S2465,Linea 966,S2147,Linea 946,S167,Linea 943,S229,Linea 944,S56,Linea 940,S78,Linea 932,S645,Linea 931,S2111,Linea 930,S2110,Linea 736,S2167,Linea 1617,S2168,Linea 584,S849,Linea 582,S938,Linea 581,S2443,Linea 578,S2132,Linea 579,S949,Linea 591,S2129,Linea 592,S2259,Linea 594,S17,Linea 735,S295,Linea 734,S3,Linea 613,Q16,Linea 1626,S2240,Linea 465,S2284,Linea 464,S2649;S2649,Linea 464,S2284,Linea 465,S2240,Linea 471,S2,Linea 1886,S13,Linea 1887,S2523,Linea 469,S26,Linea 467,S2223,Linea 466,S2621,Linea 457,S2642,Linea 450,S2645,Linea 448,S2652,Linea 447,S2638,Linea 446,S2620,Linea 443,S2646;S2646,Linea 443,S2620,Linea 446,S2638,Linea 447,S2652,Linea 448,S2645;S2645,Linea 450,S2642,Linea 457,S2621,Linea 466,S2223,Linea 467,S26,Linea 469,S2523,Linea 1887,S13,Linea 1886,S2,Linea 471,S2240,Linea 1593,Q16,Linea 613,S3,Linea 734,S295,Linea 735,S17,Linea 594,S2259,Linea 592,S2129,Linea 591,S949,Linea 579,S2132,Linea 578,S2443,Linea 581,S938,Linea 582,S849,Linea 584,S2168,Linea 1617,S2167,Linea 736,S2110,Linea 930,S2111,Linea 931,S645,Linea 932,S78,Linea 940,S56,Linea 944,S229,Linea 945,S277,Linea 998,S178,Linea 1004,S310,Linea 985,S2185,Linea 984,Base</t>
  </si>
  <si>
    <t>Base,Linea 1,S176,Linea 1506,S2447,Linea 2,S993,Linea 3,S329,Linea 4,S309,Linea 6,S328,Linea 7,S2258,Linea 8,S326,Linea 52,S2253,Linea 57,S208,Linea 156,S2488,Linea 1548,S680,Linea 158,S246,Linea 161,S662,Linea 162,S678,Linea 164,S2510,Linea 167,S2478,Linea 168,S451,Linea 169,S691,Linea 170,S676;S676,Linea 177,S640;S640,Linea 177,S676,Linea 170,S691,Linea 169,S451,Linea 168,S2478,Linea 167,S2510,Linea 164,S678,Linea 162,S662,Linea 161,S246,Linea 158,S680,Linea 1549,S2488,Linea 156,S208,Linea 57,S2253,Linea 52,S326,Linea 8,S2258,Linea 7,S328,Linea 6,S309,Linea 4,S329,Linea 3,S993,Linea 2,S2447,Linea 1506,S176,Linea 1,Base</t>
  </si>
  <si>
    <t>Base,Linea 14,S278,Linea 15,S2250,Linea 16,S977,Linea 17,S245,Linea 1340,S186,Linea 901,S539,Linea 1408,S2376,Linea 1346,S190,Linea 1395,S232,Linea 1348,S2314,Linea 1347,S643,Linea 892,S290,Linea 891,S2061,Linea 877,S2190,Linea 867,S2044;S2044,Linea 867,S2190,Linea 877,S2061,Linea 891,S290,Linea 892,S643,Linea 1347,S2314,Linea 1348,S232,Linea 1395,S190,Linea 1346,S2376,Linea 1408,S539,Linea 901,S186,Linea 1340,S245,Linea 1341,S2416,Linea 69,S154,Linea 71,S155,Linea 74,S156,Linea 75,S100,Linea 77,S558,Linea 78,S2227,Linea 85,S549,Linea 86,S2200,Linea 97,S356,Linea 143,S2017,Linea 144,S690,Linea 141,S538,Linea 104,S2206,Linea 105,S763,Linea 106,S719,Linea 108,S767,Linea 112,S555,Linea 1532,S2578,Linea 142,S556,Linea 1883,S2022,Linea 902,S2001,Linea 1849,S492,Linea 1848,S1041,Linea 230,S487,Linea 229,S2291,Linea 226,S2054,Linea 220,S2458,Linea 214,S788,Linea 216,S2676,Linea 217,S2396,Linea 240,S2395,Linea 243,S1005,Linea 397,S543,Linea 399,S2288,Linea 247,S2418,Linea 249,S611,Linea 250,E291,Linea 252,S853,Linea 254,S851,Linea 257,S591,Linea 258,S876,Linea 263,S886,Linea 264,S868,Linea 270,S869,Linea 278,S864,Linea 281,S850,Linea 280,S856;S856,Linea 280,S850,Linea 279,S873,Linea 276,S2582,Linea 275,S2279,Linea 274,S892,Linea 340,S594,Linea 260,S616,Linea 315,S2440,Linea 314,S2496,Linea 1497,S707;S707,Linea 365,S613,Linea 369,S721,Linea 368,Planta La Petiza,Linea 366,S1039,Linea 361,S790,Linea 342,S1029,Linea 349,S2470;S2470,Linea 349,S1029,Linea 342,S790,Linea 361,S1039,Linea 366,Planta La Petiza,Linea 368,S721,Linea 369,S613,Linea 370,S687,Linea 392,S709,Linea 393,S710,Linea 413,S722,Linea 414,S774,Linea 415,S2151,Linea 531,S773,Linea 546,S437,Linea 549,S529,Linea 551,S525,Linea 552,S2273,Linea 615,S2634,Linea 614,S469,Linea 616,S460,Linea 632,S2720,Linea 634,S458,Linea 660,S683,Linea 659,S2265,Linea 665,S489,Linea 629,S2077,Linea 631,S629,Linea 905,S783,Linea 1214,Planta Norte,Linea 923,S789,Linea 925,S501,Linea 127,S633,Linea 210,S622,Linea 211,S2552,Linea 1563,S635,Linea 186,S495,Linea 183,S637,Linea 178,S640,Linea 212,S639;S639,Linea 212,S640,Linea 177,S676,Linea 170,S691,Linea 169,S451,Linea 168,S2478,Linea 167,S2510,Linea 164,S678,Linea 162,S662,Linea 161,S246,Linea 158,S680,Linea 1549,S2488,Linea 156,S208,Linea 57,S2253,Linea 52,S326,Linea 8,S2258,Linea 7,S328,Linea 6,S309,Linea 4,S329,Linea 3,S993,Linea 2,S2447,Linea 1506,S176,Linea 1,Base</t>
  </si>
  <si>
    <t>Base,Linea 984,S2185,Linea 985,S310,Linea 1004,S178,Linea 998,S277,Linea 945,S229,Linea 944,S56,Linea 940,S78,Linea 932,S645,Linea 931,S2111,Linea 930,S2110,Linea 736,S2167,Linea 1617,S2168,Linea 584,S849,Linea 582,S938,Linea 587,S2511,Linea 586,S948,Linea 585,S2662,Linea 1050,S937;S937,Linea 1050,S2662,Linea 585,S948,Linea 586,S2511,Linea 588,S932,Linea 1339,S901,Linea 1338,S2687;S2687,Linea 1338,S901,Linea 1339,S932,Linea 588,S2511,Linea 587,S938,Linea 581,S2443,Linea 578,S2132,Linea 579,S949,Linea 591,S2129,Linea 592,S2259,Linea 594,S17,Linea 735,S295,Linea 734,S3,Linea 613,Q16,Linea 1626,S2240,Linea 471,S2,Linea 1886,S13,Linea 1887,S2523,Linea 1888,S2606,Linea 523,S2109,Linea 524,S2448,Linea 529,S434,Linea 528,S2124,Linea 530,S966,Linea 421,S2011,Linea 382,S2300,Linea 412,S2151,Linea 415,S774,Linea 414,S722,Linea 413,S710,Linea 393,S709,Linea 392,S687,Linea 370,S613,Linea 369,S721,Linea 368,Planta La Petiza,Linea 367,S1035,Linea 372,S1026,Linea 374,S1015,Linea 373,S1006,Linea 358,S1024,Linea 356,S1034,Linea 357,S2264;S2264,Linea 345,S1023,Linea 344,S1018,Linea 343,S1029,Linea 349,S2470,Linea 348,S2655;S2655,Linea 348,S2470,Linea 349,S1029,Linea 342,S790,Linea 361,S1039,Linea 366,Planta La Petiza,Linea 362,S706;S706,Linea 362,Planta La Petiza,Linea 368,S721,Linea 369,S613,Linea 370,S687,Linea 392,S709,Linea 393,S710,Linea 413,S722,Linea 414,S774,Linea 415,S2151,Linea 531,S773,Linea 546,S437,Linea 549,S529,Linea 551,S525,Linea 552,S2273,Linea 615,S2634,Linea 614,S469,Linea 616,S460,Linea 632,S2720,Linea 634,S458,Linea 660,S683,Linea 659,S2265,Linea 665,S489,Linea 629,S2077,Linea 631,S629,Linea 905,S783,Linea 1214,Planta Norte,Linea 923,S789,Linea 925,S501,Linea 127,S633,Linea 210,S622,Linea 211,S2552,Linea 1563,S635,Linea 186,S495,Linea 183,S637,Linea 178,S640,Linea 177,S676,Linea 170,S691,Linea 169,S451,Linea 168,S2478,Linea 167,S2510,Linea 164,S678,Linea 162,S662,Linea 161,S246,Linea 158,S680,Linea 1549,S2488,Linea 156,S208,Linea 57,S2253,Linea 52,S326,Linea 8,S2258,Linea 7,S328,Linea 6,S309,Linea 4,S329,Linea 3,S993,Linea 2,S2447,Linea 1506,S176,Linea 1,Base</t>
  </si>
  <si>
    <t>Base,Linea 12,S2401,Linea 1510,S2249,Linea 973,S192,Linea 1211,S172,Linea 768,S2417,Linea 759,S402,Linea 760,S2468,Linea 763,S395,Linea 764,S338,Linea 773,S2407,Linea 850,S2056,Linea 849,S2716,Linea 853,S2504,Linea 854,S997,Linea 1836,S353,Linea 1361,S2006;S2006,Linea 1363,S2009,Linea 1688,S2289;S2289,Linea 1688,S2009,Linea 1365,S354,Linea 1421,S2255,Linea 1373,S323,Linea 1372,S325,Linea 1371,S2091,Linea 1370,S2081,Linea 1426,S2087;S2087,Linea 1427,S2406,Linea 1832,S285,Linea 830,S249,Linea 1678,S2548,Linea 1833,S339,Linea 1834,S312,Linea 839,S287,Linea 840,S957,Linea 804,S9,Linea 1659,S2143;S2143,Linea 1659,S9,Linea 804,S957,Linea 840,S287,Linea 839,S312,Linea 1834,S339,Linea 1833,S2548,Linea 1678,S249,Linea 830,S285,Linea 1832,S2406,Linea 823,S2441,Linea 821,S2242,Linea 815,S2177,Linea 820,S194,Linea 1206,S184,Linea 1804,S2080,Linea 1490,S138,Linea 1208,S2101,Linea 1462,S183,Linea 1829,S2135,Linea 1814,S2541,Linea 1459,S206,Linea 826,S715,Linea 827,S2356,Linea 1456,S151,Linea 1489,S2304,Linea 1461,S984,Linea 1447,S2093,Linea 1440,S2089,Linea 1438,S257,Linea 1437,S2074,Linea 1442,S2092,Linea 1835,S2319,Linea 1414,S2285;S2285,Linea 1414,S2319,Linea 1835,S2092,Linea 1442,S2074,Linea 1437,S257,Linea 1438,S2089,Linea 1440,S2093,Linea 1447,S984,Linea 1461,S2304,Linea 1489,S151,Linea 1456,S2356,Linea 827,S715,Linea 826,S206,Linea 1459,S2541,Linea 1794,S2135,Linea 1829,S183,Linea 1462,S2101,Linea 1208,S138,Linea 1205,S2584,Linea 1192,S2586,Linea 1187,S203,Linea 1190,S224,Linea 1189,S223,Linea 1183,S8,Linea 1180,S2139,Linea 1181,S205,Linea 807,S2243,Linea 1177,S18,Linea 1826,S189,Linea 795,S2479,Linea 1825,S2095,Linea 797,S2189,Linea 1292,S1,Linea 1293,S2116,Linea 1295,S59,Linea 1017,S315,Linea 746,S2572,Linea 747,S381,Linea 748,S377,Linea 740,S980,Linea 741,S2421,Linea 1842,S370,Linea 752,S2408,Linea 754,S192,Linea 973,S2249,Linea 1816,S2401,Linea 12,Base</t>
  </si>
  <si>
    <t>Base,Linea 984,S2185,Linea 985,S310,Linea 1004,S178,Linea 998,S277,Linea 945,S229,Linea 944,S56,Linea 940,S78,Linea 932,S645,Linea 931,S2111,Linea 930,S2110,Linea 736,S2167,Linea 1617,S2168,Linea 584,S849,Linea 582,S938,Linea 581,S2443,Linea 578,S2132,Linea 579,S949,Linea 591,S2129,Linea 592,S2259,Linea 594,S17,Linea 735,S295,Linea 734,S3,Linea 613,Q16,Linea 1626,S2240,Linea 471,S2,Linea 1886,S13,Linea 1887,S2523,Linea 517,Q17,Linea 516,S2236,Linea 511,S509,Linea 512,S427,Linea 507,S2307,Linea 508,S2320;S2320,Linea 508,S2307,Linea 507,S427,Linea 512,S509,Linea 511,S2236,Linea 516,Q17,Linea 517,S2523,Linea 1888,S2606,Linea 526,S2614,Linea 451,S2122,Linea 439,S2635;S2635,Linea 439,S2122,Linea 451,S2614,Linea 525,S2461,Linea 454,S2594;S2594,Linea 438,S2120,Linea 434,S2668;S2668,Linea 434,S2120,Linea 438,S2594,Linea 454,S2461;S2461,Linea 525,S2614;S2614,Linea 526,S2606,Linea 1888,S2523,Linea 1887,S13,Linea 1886,S2,Linea 471,S2240,Linea 1593,Q16,Linea 613,S3,Linea 734,S295,Linea 735,S17,Linea 594,S2259,Linea 592,S2129,Linea 591,S949,Linea 579,S2132,Linea 578,S2443,Linea 581,S938,Linea 582,S849,Linea 584,S2168,Linea 1617,S2167,Linea 736,S2110,Linea 930,S2111,Linea 931,S645,Linea 932,S78,Linea 940,S56,Linea 944,S229,Linea 945,S277,Linea 998,S178,Linea 1004,S310,Linea 985,S2185,Linea 984,Base</t>
  </si>
  <si>
    <t>Base,Linea 14,S278,Linea 15,S2250,Linea 16,S977;S977,Linea 16,S2250,Linea 15,S278,Linea 14,Base,Linea 984,S2185,Linea 985,S310,Linea 1004,S178,Linea 998,S277,Linea 945,S229,Linea 943,S167,Linea 946,S2147,Linea 966,S2465,Linea 968,S387,Linea 970,S316,Linea 969,S39,Linea 957,S36,Linea 1025,S2725,Linea 958,S37,Linea 959,S2680,Linea 956,S2666,Linea 955,S2656,Linea 1033,S904,Linea 1084,S736,Linea 1032,S926,Linea 1031,S902,Linea 1104,S820;S820,Linea 1108,S831,Linea 1109,S803,Linea 1138,S815,Linea 1129,S921,Linea 1273,S2055,Linea 1328,S778,Linea 1902,Planta Sur,Linea 1901,S834,Linea 1307,S839,Linea 1313,S725,Linea 1310,S744,Linea 1321,S747,Linea 1324,S752,Linea 1244,S753,Linea 1323,S755;S755,Linea 1323,S753,Linea 1244,S752,Linea 1324,S747,Linea 1321,S744,Linea 1310,S725,Linea 1313,S839,Linea 1307,S834,Linea 1306,S759,Linea 1297,S794,Linea 1073,S760,Linea 1062,S827;S827,Linea 1062,S760,Linea 1221,S791,Linea 1076,S793,Linea 1078,S2667,Linea 1077,S944,Linea 1085,S115,Linea 1733,S927,Linea 1222,S33,Linea 1724,S2094,Linea 950,S31,Linea 949,S2146;S2146,Linea 964,S2147,Linea 946,S167,Linea 943,S229,Linea 945,S277,Linea 998,S178,Linea 1004,S310,Linea 985,S2185,Linea 984,Base</t>
  </si>
  <si>
    <t>Base,Linea 984,S2185,Linea 985,S310,Linea 1004,S178,Linea 998,S277,Linea 945,S229,Linea 943,S167,Linea 946,S2147,Linea 966,S2465,Linea 968,S387,Linea 970,S316,Linea 969,S39,Linea 957,S36,Linea 1027,S2695;S2695,Linea 1026,S43,Linea 1088,S2707,Linea 1098,S42,Linea 1853,S2723,Linea 1118,S841,Linea 1113,S2194,Linea 1110,S803,Linea 1138,S815,Linea 1129,S921,Linea 1273,S2055,Linea 1328,S778,Linea 1128,S779;S779,Linea 1128,S778,Linea 1127,S758,Linea 1126,S805,Linea 1305,S759,Linea 1297,S794,Linea 1073,S760,Linea 1062,S827,Linea 1071,S724,Linea 1070,S787,Linea 1067,S808,Linea 1216,S786,Linea 1066,S931;S931,Linea 1066,S786,Linea 1216,S808,Linea 1067,S787,Linea 1070,S724,Linea 1071,S827,Linea 1062,S760,Linea 1073,S794,Linea 1297,S759,Linea 1306,S834,Linea 1307,S839,Linea 1313,S725,Linea 1310,S744,Linea 1311,S2379,Linea 1302,S2519,Linea 1303,S2310,Linea 1768,S748,Linea 1263,S757,Linea 1262,S2629,Linea 1232,S812,Linea 1261,S2287,Linea 1229,S756,Linea 1227,S2551;S2551,Linea 1227,S756,Linea 1229,S2287,Linea 1261,S812,Linea 1232,S2629,Linea 1262,S757,Linea 1263,S748,Linea 1762,S2310,Linea 1303,S2519,Linea 1302,S2379,Linea 1311,S744,Linea 1310,S725,Linea 1313,S839,Linea 1307,S834,Linea 1306,S759,Linea 1297,S794,Linea 1073,S760,Linea 1221,S791,Linea 1076,S793,Linea 1078,S2667,Linea 1077,S944,Linea 1085,S115,Linea 1733,S927,Linea 1222,S33,Linea 1724,S2094,Linea 950,S31,Linea 949,S2146,Linea 964,S2147,Linea 946,S167,Linea 943,S229,Linea 945,S277,Linea 998,S178,Linea 1004,S310,Linea 985,S2185,Linea 984,Base</t>
  </si>
  <si>
    <t>Base,Linea 984,S2185,Linea 985,S310,Linea 1004,S178,Linea 998,S277,Linea 945,S229,Linea 943,S167,Linea 946,S2147,Linea 966,S2465,Linea 968,S387,Linea 970,S316,Linea 969,S39,Linea 957,S36,Linea 1027,S2695,Linea 1026,S43,Linea 1088,S2707,Linea 1098,S42,Linea 1856,S2724,Linea 1092,S163,Linea 1854,S66,Linea 1152,S2658,Linea 1145,S844,Linea 1140,S2298;S2298,Linea 1140,S844,Linea 1135,S914,Linea 1274,S2180,Linea 1275,S2486,Linea 1276,S2034,Linea 1281,S929,Linea 1282,S910,Linea 1284,S913,Linea 1285,S2286,Linea 1286,S832,Linea 1287,S54,Linea 1288,S907,Linea 1289,S930;S930,Linea 1289,S907,Linea 1495,S20,Linea 1161,S2517;S2517,Linea 1161,S20,Linea 1160,S81,Linea 1166,S2148,Linea 1857,S63,Linea 1156,S66,Linea 1854,S163,Linea 1092,S2724,Linea 1856,S42,Linea 1098,S2707,Linea 1088,S43,Linea 1026,S2695,Linea 1024,S37,Linea 959,S2680;S2680,Linea 959,S37,Linea 958,S2725,Linea 1025,S36,Linea 957,S39,Linea 969,S316,Linea 970,S387,Linea 968,S2465,Linea 966,S2147,Linea 946,S167,Linea 943,S229,Linea 945,S277,Linea 998,S178,Linea 1004,S310,Linea 985,S2185,Linea 984,Base</t>
  </si>
  <si>
    <t>Base,Linea 12,S2401,Linea 1510,S2249,Linea 973,S192,Linea 754,S2408,Linea 752,S370,Linea 1842,S2421,Linea 741,S980,Linea 740,S377,Linea 748,S381,Linea 747,S2572,Linea 746,S315,Linea 1017,S59,Linea 1295,S2116,Linea 1293,S1,Linea 1292,S2189,Linea 797,S2095,Linea 1825,S2479,Linea 795,S189,Linea 1826,S18,Linea 1177,S2243,Linea 808,S2140;S2140,Linea 808,S2243,Linea 1177,S18,Linea 1826,S189,Linea 795,S2479,Linea 1825,S2095,Linea 797,S2189,Linea 1292,S1,Linea 1293,S2116,Linea 1295,S59,Linea 1017,S315,Linea 1008,S962,Linea 1212,S546,Linea 1753,S2465,Linea 966,S2147,Linea 946,S167,Linea 943,S229,Linea 944,S56,Linea 940,S78,Linea 932,S645,Linea 931,S2111,Linea 934,S2334,Linea 1648,S77,Linea 713,S236,Linea 1646,S2231,Linea 708,S963;S963,Linea 707,S2039,Linea 732,S975,Linea 724,S2306,Linea 723,S2454,Linea 1650,S578,Linea 727,S379,Linea 729,S950,Linea 989,S271,Linea 987,S234,Linea 60,S254,Linea 55,S2253,Linea 52,S326,Linea 8,S2258,Linea 7,S328,Linea 6,S309,Linea 4,S329,Linea 3,S993,Linea 2,S2447,Linea 1506,S176,Linea 1,Base</t>
  </si>
  <si>
    <t>Base,Linea 984,S2185,Linea 985,S310,Linea 1004,S178,Linea 998,S277,Linea 945,S229,Linea 943,S167,Linea 946,S2147,Linea 964,S2146,Linea 949,S31,Linea 950,S2094,Linea 1711,S33,Linea 1222,S927,Linea 1754,S115,Linea 1085,S944,Linea 1077,S2667,Linea 1078,S793,Linea 1076,S791,Linea 1221,S760,Linea 1073,S794,Linea 1297,S759,Linea 1306,S834,Linea 1307,S839,Linea 1300,TS1,Linea 1269,S842,Linea 1268,S912,Linea 1850,S802,Linea 1266,S903,Linea 1267,S2505;S2505,Linea 1267,S903,Linea 1301,S2379;S2379,Linea 1311,S744,Linea 1310,S725,Linea 1313,S839,Linea 1307,S834,Linea 1901,Planta Sur,Linea 1902,S778,Linea 1127,S758,Linea 1884,S814,Linea 1121,S810,Linea 1120,S813;S813,Linea 1120,S810,Linea 1121,S814,Linea 1884,S758,Linea 1127,S778,Linea 1328,S2055,Linea 1273,S921,Linea 1129,S815,Linea 1138,S803,Linea 1110,S2194,Linea 1113,S841,Linea 1118,S2723,Linea 1853,S42,Linea 1098,S2707,Linea 1088,S43,Linea 1026,S2695,Linea 1024,S37,Linea 959,S2680,Linea 956,S2666,Linea 955,S2656;S2656,Linea 955,S2666,Linea 956,S2680,Linea 959,S37,Linea 1846,S2722,Linea 961,S2681,Linea 954,S38,Linea 953,S136,Linea 952,S2706;S2706,Linea 952,S136,Linea 953,S38,Linea 963,S2721,Linea 947,S2146,Linea 964,S2147,Linea 946,S167,Linea 943,S229,Linea 945,S277,Linea 998,S178,Linea 1004,S310,Linea 985,S2185,Linea 984,Base</t>
  </si>
  <si>
    <t>Base,Linea 1,S176,Linea 1506,S2447,Linea 2,S993,Linea 3,S329,Linea 4,S309,Linea 10,S2195,Linea 27,S2412,Linea 33,S308,Linea 34,S2032,Linea 42,S2569,Linea 46,S2199,Linea 1847,S2200,Linea 97,S356,Linea 143,S2017,Linea 144,S690,Linea 141,S538,Linea 104,S2206,Linea 105,S763,Linea 106,S719,Linea 108,S767,Linea 112,S555,Linea 1532,S2578,Linea 142,S556,Linea 1883,S2022,Linea 902,S2001,Linea 1849,S492,Linea 1848,S1041,Linea 230,S487,Linea 229,S2291,Linea 226,S2054,Linea 222,S2544,Linea 223,S2587;S2587,Linea 225,S2665,Linea 239,S618,Linea 218,S2396,Linea 240,S2395,Linea 243,S1005,Linea 397,S543,Linea 399,S2288,Linea 247,S2418,Linea 249,S611,Linea 250,E291,Linea 252,S853,Linea 254,S851,Linea 257,S591,Linea 258,S876,Linea 263,S886,Linea 264,S868,Linea 270,S869,Linea 278,S864,Linea 277,S2582,Linea 275,S2279,Linea 274,S892,Linea 340,S594,Linea 260,S616;S616,Linea 315,S2440,Linea 311,S1009;S1009,Linea 311,S2440,Linea 312,S2426,Linea 321,S588,Linea 320,S2207;S2207,Linea 320,S588,Linea 321,S2426,Linea 312,S2440,Linea 315,S616,Linea 260,S594,Linea 340,S892,Linea 274,S2279,Linea 275,S2582,Linea 277,S864,Linea 278,S869,Linea 270,S868,Linea 264,S886,Linea 263,S876,Linea 258,S591,Linea 257,S851,Linea 254,S853,Linea 252,E291,Linea 250,S611,Linea 249,S2418,Linea 247,S2288,Linea 399,S543,Linea 397,S1005,Linea 243,S2395,Linea 240,S2396,Linea 217,S2676,Linea 216,S788,Linea 214,S2458,Linea 220,S2054,Linea 226,S2291,Linea 229,S487,Linea 230,S1041,Linea 1848,S492,Linea 1849,S2001,Linea 902,S2022,Linea 1883,S556,Linea 142,S2578,Linea 1821,S555,Linea 112,S767,Linea 108,S719,Linea 106,S763,Linea 105,S2206,Linea 104,S538,Linea 141,S690,Linea 144,S2017,Linea 143,S356,Linea 97,S2200,Linea 1847,S2199,Linea 46,S2569,Linea 42,S2032,Linea 34,S308,Linea 33,S2412,Linea 27,S2195,Linea 10,S309,Linea 4,S329,Linea 3,S993;S993,Linea 2,S2447,Linea 1506,S176,Linea 1,Base</t>
  </si>
  <si>
    <t>Base,Linea 984,S2185,Linea 985,S310,Linea 1004,S178,Linea 998,S277,Linea 945,S229,Linea 944,S56,Linea 1709,S859;S859,Linea 1709,S56,Linea 940,S78,Linea 932,S645,Linea 931,S2111,Linea 930,S2110,Linea 736,S2167,Linea 1617,S2168,Linea 584,S849,Linea 582,S938,Linea 581,S2443,Linea 578,S2132,Linea 579,S949,Linea 591,S2129,Linea 592,S2259,Linea 594,S17,Linea 596,S2293,Linea 597,S4,Linea 598,S2324,Linea 600,S2196,Linea 599,S2689,Linea 605,S581,Linea 610,S2688,Linea 1869,S2693;S2693,Linea 1869,S2688,Linea 610,S581,Linea 605,S2689,Linea 599,S2196,Linea 600,S2324,Linea 598,S4,Linea 597,S2293,Linea 596,S17,Linea 594,S2259,Linea 592,S2129,Linea 591,S949,Linea 579,S2132,Linea 578,S2443,Linea 581,S938,Linea 587,S2511,Linea 588,S932,Linea 589,S577,Linea 1052,S808,Linea 1067,S787;S787,Linea 1067,S808,Linea 1052,S577,Linea 589,S932,Linea 588,S2511,Linea 587,S938,Linea 581,S2443,Linea 578,S2132,Linea 579,S949,Linea 591,S2129,Linea 592,S2259,Linea 594,S17,Linea 596,S2293,Linea 597,S4,Linea 598,S2324,Linea 600,S2196,Linea 599,S2689,Linea 601,S2683,Linea 606,S2619,Linea 608,S2694,Linea 1336,S2711,Linea 1335,S2698,Linea 1334,S2718,Linea 1333,S2717,Linea 1330,S924,Linea 1337,S925,Linea 1251,S946,Linea 1250,S2221;S2221,Linea 1250,S946,Linea 1251,S925,Linea 1337,S924,Linea 1330,S2717,Linea 1333,S2718,Linea 1334,S2698,Linea 1335,S2711,Linea 1336,S2694,Linea 608,S2619,Linea 606,S2683,Linea 601,S2689,Linea 599,S2196,Linea 600,S2324,Linea 598,S4,Linea 597,S2293,Linea 596,S17,Linea 594,S2259,Linea 592,S2129,Linea 591,S949,Linea 579,S2132,Linea 578,S2443,Linea 581,S938,Linea 582,S849,Linea 584,S2168,Linea 1617,S2167,Linea 736,S2110,Linea 930,S2111,Linea 931,S645,Linea 932,S78,Linea 940,S56,Linea 944,S229,Linea 943,S167,Linea 946,S2147,Linea 964,S2146,Linea 947,S2721,Linea 963,S38,Linea 954,S2681;S2681,Linea 954,S38,Linea 963,S2721,Linea 947,S2146,Linea 964,S2147,Linea 946,S167,Linea 943,S229,Linea 945,S277,Linea 998,S178,Linea 1004,S310,Linea 985,S2185,Linea 984,Base</t>
  </si>
  <si>
    <t>Base,Linea 1,S176,Linea 1506,S2447,Linea 2,S993,Linea 3,S329,Linea 4,S309,Linea 28,S282,Linea 5,S2073;S2073,Linea 5,S282,Linea 28,S309,Linea 4,S329,Linea 3,S993,Linea 2,S2447,Linea 1506,S176,Linea 1,Base,Linea 984,S2185,Linea 985,S310,Linea 1004,S178,Linea 998,S277,Linea 945,S229,Linea 944,S56,Linea 940,S78,Linea 932,S645,Linea 931,S2111,Linea 930,S2110,Linea 736,S2167,Linea 1617,S2168,Linea 584,S849,Linea 582,S938,Linea 581,S2443,Linea 578,S2132,Linea 579,S949,Linea 591,S2129,Linea 592,S2259,Linea 593,S5,Linea 595,S923;S923,Linea 595,S5,Linea 593,S2259,Linea 594,S17,Linea 735,S295,Linea 734,S3,Linea 613,Q16,Linea 1626,S2240,Linea 471,S2,Linea 1886,S13,Linea 1887,S2523,Linea 517,Q17,Linea 516,S2236,Linea 511,S509,Linea 512,S427,Linea 507,S2307,Linea 649,S426,Linea 645,S470,Linea 534,S506,Linea 536,S533,Linea 540,S531,Linea 538,S439,Linea 545,S469,Linea 616,S460,Linea 632,S2720,Linea 662,S2445,Linea 628,S2262,Linea 627,S2560,Linea 626,S958,Linea 238,S2386,Linea 236,S487,Linea 228,S2038,Linea 227,S2456;S2456,Linea 227,S2038,Linea 228,S487,Linea 236,S2386,Linea 238,S958,Linea 626,S2560,Linea 627,S2262,Linea 628,S2445,Linea 662,S2720,Linea 632,S460,Linea 616,S469,Linea 545,S439,Linea 538,S531,Linea 540,S533,Linea 536,S506,Linea 534,S470,Linea 645,S426,Linea 649,S2307,Linea 507,S427,Linea 513,S508,Linea 515,S2437;S2437,Linea 515,S508,Linea 513,S427,Linea 512,S509,Linea 511,S2236,Linea 516,Q17,Linea 517,S2523,Linea 1887,S13,Linea 1886,S2,Linea 471,S2240,Linea 1593,Q16,Linea 613,S3,Linea 734,S295,Linea 735,S17,Linea 594,S2259,Linea 592,S2129,Linea 591,S949,Linea 579,S2132,Linea 578,S2443,Linea 581,S938,Linea 582,S849,Linea 584,S2168,Linea 1617,S2167,Linea 736,S2110,Linea 930,S2111,Linea 931,S645,Linea 932,S78,Linea 940,S56,Linea 944,S229,Linea 945,S277,Linea 998,S178,Linea 1004,S310,Linea 985,S2185,Linea 984,Base</t>
  </si>
  <si>
    <t>Base,Linea 1,S176,Linea 1506,S2447,Linea 2,S993,Linea 3,S329,Linea 4,S309,Linea 6,S328,Linea 7,S2258,Linea 8,S326,Linea 52,S2253,Linea 57,S208,Linea 156,S2488,Linea 1548,S680,Linea 158,S246,Linea 161,S662,Linea 162,S678,Linea 164,S2510,Linea 167,S2478,Linea 168,S451,Linea 169,S691,Linea 170,S676,Linea 177,S640,Linea 178,S637,Linea 183,S495,Linea 186,S635,Linea 1555,S2552,Linea 211,S622,Linea 210,S633,Linea 127,S501,Linea 925,S789,Linea 923,Planta Norte,Linea 1214,S783,Linea 905,S629,Linea 631,S2077,Linea 629,S489,Linea 665,S2265,Linea 659,S683,Linea 637,S458,Linea 634,S2720,Linea 632,S460,Linea 616,S469,Linea 614,S2634,Linea 615,S2273,Linea 552,S525,Linea 551,S529,Linea 549,S437,Linea 546,S773,Linea 531,S2151,Linea 415,S774,Linea 414,S722,Linea 413,S710,Linea 393,S709,Linea 392,S687,Linea 370,S613,Linea 369,S721,Linea 368,Planta La Petiza,Linea 367,S1035,Linea 372,S1026,Linea 374,S1015,Linea 375,S2280;S2280,Linea 375,S1015,Linea 374,S1026,Linea 372,S1035,Linea 367,Planta La Petiza,Linea 368,S721,Linea 369,S613,Linea 370,S687,Linea 392,S709,Linea 393,S710,Linea 413,S722,Linea 414,S774,Linea 415,S2151,Linea 531,S773,Linea 546,S437,Linea 549,S529,Linea 551,S525,Linea 552,S2273,Linea 615,S2634,Linea 614,S469,Linea 616,S460,Linea 632,S2720,Linea 634,S458,Linea 660,S683,Linea 659,S2265,Linea 665,S489,Linea 629,S2077,Linea 631,S629,Linea 905,S783,Linea 1214,Planta Norte,Linea 923,S789,Linea 925,S501,Linea 127,S633,Linea 210,S622,Linea 912,S2387;S2387,Linea 912,S622,Linea 211,S2552,Linea 1563,S635,Linea 186,S495,Linea 183,S637,Linea 178,S640,Linea 177,S676,Linea 170,S691,Linea 169,S451,Linea 168,S2478,Linea 167,S2510,Linea 164,S678,Linea 162,S662,Linea 161,S246,Linea 158,S680,Linea 1549,S2488,Linea 156,S208,Linea 57,S2253,Linea 52,S326,Linea 8,S2258,Linea 7,S328,Linea 6,S309,Linea 4,S329,Linea 3,S993,Linea 2,S2447,Linea 1506,S176,Linea 1,Base</t>
  </si>
  <si>
    <t>Base,Linea 1,S176,Linea 1506,S2447,Linea 2,S993,Linea 3,S329,Linea 4,S309,Linea 6,S328,Linea 7,S2258,Linea 8,S326,Linea 52,S2253,Linea 57,S208,Linea 156,S2488,Linea 1548,S680,Linea 158,S246,Linea 161,S662,Linea 162,S678,Linea 164,S2510;S2510,Linea 164,S678,Linea 162,S662,Linea 161,S246,Linea 159,S667,Linea 704,S2336,Linea 730,S379,Linea 727,S578,Linea 1651,S2454,Linea 722,S986,Linea 720,S2349,Linea 719,S250,Linea 718,S2231,Linea 927,S2278,Linea 688,S2047;S2047,Linea 688,S2278,Linea 927,S2231,Linea 1649,S236,Linea 713,S77,Linea 1647,S2334,Linea 934,S2111,Linea 930,S2110,Linea 736,S2167,Linea 1617,S2168,Linea 584,S849,Linea 582,S938,Linea 581,S2443,Linea 578,S2132,Linea 579,S949,Linea 591,S2129,Linea 592,S2259,Linea 594,S17,Linea 735,S295,Linea 734,S3,Linea 613,Q16,Linea 1626,S2240,Linea 471,S2,Linea 1886,S13,Linea 1887,S2523,Linea 517,Q17,Linea 516,S2236,Linea 511,S509,Linea 512,S427,Linea 506,S420,Linea 505,S418,Linea 485,S2303,Linea 481,S2156,Linea 478,S510;S510,Linea 478,S2156,Linea 481,S2303,Linea 485,S418,Linea 505,S420,Linea 506,S427,Linea 507,S2307,Linea 1875,S2023;S2023,Linea 1875,S2307,Linea 649,S426,Linea 645,S470,Linea 642,S2296;S2296,Linea 642,S470,Linea 534,S506,Linea 536,S533,Linea 540,S531,Linea 538,S439,Linea 545,S469,Linea 616,S460,Linea 632,S2720,Linea 634,S458,Linea 660,S683,Linea 659,S2265,Linea 665,S489,Linea 629,S2077,Linea 631,S629,Linea 905,S783,Linea 1214,Planta Norte,Linea 923,S789,Linea 925,S501,Linea 127,S633,Linea 210,S622,Linea 211,S2552,Linea 1563,S635,Linea 186,S495,Linea 183,S637,Linea 178,S640,Linea 177,S676,Linea 170,S691,Linea 169,S451,Linea 168,S2478,Linea 167,S2510,Linea 164,S678,Linea 162,S662,Linea 161,S246,Linea 158,S680,Linea 1549,S2488,Linea 156,S208,Linea 57,S2253,Linea 52,S326,Linea 8,S2258,Linea 7,S328,Linea 6,S309,Linea 4,S329,Linea 3,S993,Linea 2,S2447,Linea 1506,S176,Linea 1,Base</t>
  </si>
  <si>
    <t>Base,Linea 1,S176,Linea 1506,S2447,Linea 2,S993,Linea 3,S329,Linea 4,S309,Linea 10,S2195;S2195,Linea 10,S309,Linea 6,S328,Linea 7,S2258,Linea 8,S326,Linea 52,S2253,Linea 57,S208,Linea 156,S2488,Linea 1548,S680,Linea 158,S246,Linea 161,S662,Linea 162,S678,Linea 164,S2510,Linea 167,S2478,Linea 168,S451,Linea 169,S691,Linea 173,S2601;S2601,Linea 173,S691,Linea 170,S676,Linea 177,S640,Linea 178,S637,Linea 183,S495,Linea 186,S635,Linea 1555,S2552,Linea 211,S622,Linea 210,S633,Linea 127,S501,Linea 925,S789,Linea 923,Planta Norte,Linea 1214,S783,Linea 905,S629,Linea 631,S2077,Linea 629,S489,Linea 665,S2265,Linea 659,S683,Linea 637,S458,Linea 634,S2720,Linea 632,S460,Linea 616,S469,Linea 545,S439,Linea 538,S531,Linea 540,S533,Linea 536,S506,Linea 534,S470,Linea 645,S426,Linea 649,S2307,Linea 650,S455,Linea 502,S398,Linea 498,S419;S419,Linea 498,S398,Linea 500,S2348;S2348,Linea 500,S398,Linea 502,S455,Linea 650,S2307,Linea 507,S427,Linea 506,S420,Linea 505,S418,Linea 485,S2303,Linea 481,S2156;S2156,Linea 481,S2303,Linea 485,S418,Linea 505,S420,Linea 506,S427,Linea 512,S509,Linea 511,S2236,Linea 516,Q17,Linea 517,S2523,Linea 1887,S13,Linea 1886,S2,Linea 471,S2240,Linea 1593,Q16,Linea 613,S3,Linea 734,S295,Linea 735,S17,Linea 594,S2259,Linea 592,S2129,Linea 591,S949,Linea 579,S2132,Linea 578,S2443,Linea 581,S938,Linea 582,S849,Linea 584,S2168,Linea 1617,S2167,Linea 736,S2110,Linea 930,S2111,Linea 931,S645,Linea 932,S78,Linea 940,S56,Linea 944,S229,Linea 945,S277,Linea 998,S178,Linea 1004,S310,Linea 985,S2185,Linea 984,Base</t>
  </si>
  <si>
    <t>Base,Linea 14,S278,Linea 15,S2250,Linea 16,S977,Linea 1512,S2484;S2484,Linea 1512,S977,Linea 17,S245,Linea 1340,S186,Linea 901,S539,Linea 1408,S2376,Linea 1346,S190,Linea 1395,S232,Linea 1348,S2314,Linea 1347,S643,Linea 1350,S291,Linea 1351,S292,Linea 1352,S117,Linea 1382,S2086,Linea 1383,S318,Linea 1384,S242,Linea 1385,S2085,Linea 1386,S2214,Linea 1411,S2088;S2088,Linea 1411,S2214,Linea 1386,S2085,Linea 1385,S242,Linea 1384,S318,Linea 1383,S2086,Linea 1382,S117,Linea 1352,S292,Linea 1351,S291,Linea 1350,S643,Linea 1347,S2314;S2314,Linea 1348,S232,Linea 1775,S2184;S2184,Linea 1775,S232,Linea 1395,S190,Linea 1346,S2376,Linea 1408,S539,Linea 901,S186,Linea 1340,S245,Linea 1341,S2416;S2416,Linea 1341,S245,Linea 17,S977,Linea 18,S1201;S1201,Linea 18,S977,Linea 16,S2250,Linea 15,S278,Linea 14,Base</t>
  </si>
  <si>
    <t>Base,Linea 984,S2185,Linea 985,S310,Linea 1004,S178,Linea 998,S277,Linea 945,S229,Linea 943,S167,Linea 946,S2147,Linea 964,S2146,Linea 949,S31,Linea 950,S2094,Linea 1711,S33,Linea 1222,S927,Linea 1754,S115,Linea 1085,S944;S944,Linea 1077,S2667,Linea 1078,S793,Linea 1079,S818,Linea 1080,S737,Linea 1082,S736,Linea 1032,S926,Linea 1031,S902,Linea 1104,S820,Linea 1108,S831,Linea 1109,S803,Linea 1138,S815,Linea 1139,S823,Linea 1143,S2380,Linea 1142,S847;S847,Linea 1142,S2380,Linea 1143,S823,Linea 1144,S824;S824,Linea 1146,S909,Linea 1151,S2658,Linea 1152,S66,Linea 1854,S163,Linea 1092,S2724,Linea 1855,S34,Linea 1095,S2457;S2457,Linea 1090,S2707,Linea 1088,S43,Linea 1026,S2695,Linea 1027,S36,Linea 957,S39,Linea 969,S316,Linea 970,S387,Linea 968,S2465,Linea 966,S2147,Linea 946,S167,Linea 943,S229,Linea 944,S56,Linea 940,S78,Linea 932,S645,Linea 931,S2111,Linea 930,S2110,Linea 736,S2167,Linea 1617,S2168,Linea 584,S849,Linea 582,S938,Linea 581,S2443,Linea 578,S2132,Linea 579,S949,Linea 591,S2129,Linea 592,S2259,Linea 594,S17,Linea 596,S2293,Linea 597,S4,Linea 598,S2324,Linea 600,S2196,Linea 599,S2689,Linea 601,S2683,Linea 603,S2663;S2663,Linea 603,S2683,Linea 601,S2689,Linea 605,S581,Linea 1867,S2686;S2686,Linea 1867,S581,Linea 605,S2689,Linea 599,S2196,Linea 600,S2324,Linea 598,S4,Linea 597,S2293,Linea 596,S17,Linea 594,S2259,Linea 592,S2129,Linea 591,S949,Linea 579,S2132,Linea 578,S2443,Linea 581,S938,Linea 582,S849,Linea 584,S2168,Linea 1617,S2167,Linea 736,S2110,Linea 930,S2111,Linea 931,S645,Linea 932,S78,Linea 940,S56,Linea 944,S229,Linea 945,S277,Linea 998,S178,Linea 1004,S310,Linea 985,S2185,Linea 984,Base</t>
  </si>
  <si>
    <t>Base,Linea 984,S2185,Linea 985,S310,Linea 1004,S178,Linea 998,S277,Linea 945,S229,Linea 944,S56,Linea 940,S78,Linea 932,S645,Linea 931,S2111,Linea 934,S2334,Linea 1648,S77,Linea 713,S236,Linea 1646,S2231,Linea 927,S2278,Linea 688,S2047,Linea 689,S440,Linea 687,S2359,Linea 1644,S2036,Linea 490,S397,Linea 491,S991,Linea 1600,S2367;S2367,Linea 1600,S991,Linea 491,S397,Linea 490,S2036,Linea 1599,S2359,Linea 687,S440,Linea 689,S2047,Linea 688,S2278,Linea 927,S2231,Linea 1649,S236,Linea 713,S77,Linea 1647,S2334,Linea 934,S2111,Linea 931,S645,Linea 932,S78,Linea 940,S56,Linea 944,S229,Linea 945,S277,Linea 998,S178,Linea 1004,S310,Linea 985,S2185,Linea 984,Base,Linea 14,S278,Linea 15,S2250,Linea 16,S977,Linea 17,S245,Linea 1340,S186,Linea 901,S539,Linea 1394,S971,Linea 897,S2160;S2160,Linea 897,S971,Linea 1394,S539,Linea 901,S186,Linea 1340,S245,Linea 17,S977,Linea 16,S2250,Linea 15,S278,Linea 14,Base,Linea 984,S2185,Linea 985,S310,Linea 1004,S178,Linea 998,S277,Linea 945,S229,Linea 943,S167,Linea 946,S2147,Linea 966,S2465,Linea 968,S387,Linea 970,S316,Linea 969,S39,Linea 957,S36,Linea 1027,S2695,Linea 1026,S43,Linea 1088,S2707,Linea 1098,S42,Linea 1856,S2724,Linea 1092,S163,Linea 1854,S66,Linea 1156,S63,Linea 1154,S65,Linea 1153,S47,Linea 1150,S832,Linea 1286,S2286,Linea 1285,S913,Linea 1283,S2451;S2451,Linea 1283,S913,Linea 1285,S2286,Linea 1286,S832,Linea 1150,S47,Linea 1153,S65,Linea 1154,S63,Linea 1156,S66,Linea 1854,S163,Linea 1092,S2724,Linea 1856,S42,Linea 1098,S2707,Linea 1088,S43,Linea 1026,S2695,Linea 1027,S36,Linea 957,S39,Linea 969,S316,Linea 970,S387,Linea 968,S2465,Linea 1715,S546,Linea 1212,S962,Linea 1008,S315,Linea 746,S2572;S2572,Linea 747,S381,Linea 748,S377,Linea 740,S980,Linea 741,S2421,Linea 1842,S370,Linea 752,S2408,Linea 754,S192,Linea 973,S2249,Linea 1816,S2401,Linea 12,Base</t>
  </si>
  <si>
    <t>Base,Linea 984,S2185,Linea 985,S310,Linea 1004,S178,Linea 998,S277,Linea 945,S229,Linea 943,S167,Linea 1035,S158,Linea 1038,S45,Linea 1039,S168;S168,Linea 1852,S46,Linea 941,S57,Linea 1042,S48,Linea 1043,S78,Linea 932,S645,Linea 931,S2111,Linea 930,S2110,Linea 736,S2167,Linea 1617,S2168,Linea 584,S849,Linea 582,S938,Linea 581,S2443,Linea 578,S2132,Linea 579,S949,Linea 591,S2129,Linea 592,S2259,Linea 594,S17,Linea 735,S295,Linea 734,S3,Linea 613,Q16,Linea 1626,S2240,Linea 471,S2,Linea 1886,S13,Linea 1887,S2523,Linea 469,S26,Linea 467,S2223,Linea 466,S2621,Linea 457,S2642,Linea 450,S2645,Linea 448,S2652;S2652,Linea 448,S2645,Linea 449,S2660;S2660,Linea 449,S2645,Linea 448,S2652,Linea 447,S2638,Linea 446,S2620,Linea 440,S2617,Linea 436,S2105,Linea 432,S2632,Linea 433,S2040,Linea 418,S2007,Linea 378,S1028,Linea 379,S544,Linea 380,S1037,Linea 381,S2300,Linea 412,S2151,Linea 415,S774,Linea 414,S722,Linea 413,S710,Linea 393,S709,Linea 392,S687,Linea 370,S613,Linea 369,S721,Linea 368,Planta La Petiza,Linea 367,S1035,Linea 372,S1026,Linea 374,S1015,Linea 373,S1006,Linea 358,S1024;S1024,Linea 358,S1006,Linea 373,S1015,Linea 374,S1026,Linea 372,S1035,Linea 367,Planta La Petiza,Linea 368,S721,Linea 369,S613,Linea 365,S707,Linea 1497,S2496,Linea 314,S2440,Linea 315,S616,Linea 260,S594,Linea 340,S892,Linea 274,S2279,Linea 275,S2582,Linea 276,S873,Linea 279,S850,Linea 331,S877,Linea 330,S885;S885,Linea 330,S877,Linea 331,S850,Linea 281,S864,Linea 278,S869,Linea 270,S868,Linea 264,S886,Linea 263,S876,Linea 258,S591,Linea 257,S851,Linea 254,S853,Linea 252,E291,Linea 250,S611,Linea 249,S2418,Linea 247,S2288,Linea 399,S543,Linea 397,S1005,Linea 243,S2395,Linea 240,S2396,Linea 217,S2676,Linea 216,S788,Linea 214,S2458,Linea 220,S2054,Linea 226,S2291,Linea 229,S487,Linea 230,S1041,Linea 1848,S492,Linea 1849,S2001,Linea 902,S2022,Linea 1883,S556,Linea 142,S2578,Linea 1821,S555,Linea 112,S767,Linea 108,S719,Linea 106,S763,Linea 105,S2206,Linea 104,S538,Linea 141,S690,Linea 144,S2017,Linea 143,S356,Linea 97,S2200,Linea 1847,S2199,Linea 46,S2569,Linea 42,S2032,Linea 34,S308,Linea 33,S2412,Linea 27,S2195,Linea 10,S309,Linea 4,S329,Linea 3,S993,Linea 2,S2447,Linea 1506,S176,Linea 1,Base</t>
  </si>
  <si>
    <t>Base,Linea 984,S2185,Linea 985,S310,Linea 1004,S178,Linea 998,S277,Linea 945,S229,Linea 944,S56,Linea 940,S78,Linea 932,S645,Linea 931,S2111,Linea 930,S2110,Linea 736,S2167,Linea 1617,S2168,Linea 584,S849,Linea 582,S938,Linea 581,S2443,Linea 578,S2132,Linea 579,S949,Linea 591,S2129,Linea 592,S2259,Linea 594,S17,Linea 735,S295,Linea 734,S3,Linea 613,Q16,Linea 1626,S2240,Linea 471,S2,Linea 1886,S13,Linea 1887,S2523,Linea 469,S26,Linea 467,S2223,Linea 466,S2621,Linea 457,S2642,Linea 450,S2645,Linea 448,S2652,Linea 447,S2638,Linea 446,S2620,Linea 440,S2617,Linea 437,S2637;S2637,Linea 437,S2617,Linea 440,S2620,Linea 446,S2638,Linea 447,S2652,Linea 448,S2645,Linea 450,S2642,Linea 457,S2621,Linea 466,S2223,Linea 467,S26,Linea 469,S2523,Linea 1887,S13,Linea 1886,S2,Linea 471,S2240,Linea 1593,Q16,Linea 613,S3,Linea 734,S295,Linea 735,S17,Linea 594,S2259,Linea 592,S2129,Linea 591,S949,Linea 579,S2132,Linea 578,S2443,Linea 581,S938,Linea 582,S849,Linea 584,S2168,Linea 1617,S2167,Linea 736,S2110,Linea 930,S2111,Linea 931,S645,Linea 932,S78,Linea 940,S56,Linea 944,S229,Linea 943,S167,Linea 946,S2147,Linea 966,S2465,Linea 968,S387,Linea 970,S316,Linea 969,S39,Linea 957,S36,Linea 1027,S2695,Linea 1026,S43,Linea 1088,S2707;S2707,Linea 1098,S42,Linea 1853,S2723,Linea 1118,S841,Linea 1113,S2194,Linea 1110,S803,Linea 1138,S815,Linea 1129,S921,Linea 1273,S2055,Linea 1328,S778,Linea 1127,S758,Linea 1126,S805,Linea 1125,S822,Linea 1123,S821,Linea 1103,S738;S738,Linea 1103,S821,Linea 1123,S822,Linea 1125,S805,Linea 1126,S758,Linea 1127,S778,Linea 1328,S2055,Linea 1272,S908;S908,Linea 1272,S2055,Linea 1273,S921,Linea 1129,S815,Linea 1138,S803,Linea 1110,S2194,Linea 1113,S841,Linea 1118,S2723,Linea 1853,S42,Linea 1098,S2707,Linea 1088,S43,Linea 1026,S2695,Linea 1027,S36,Linea 957,S39,Linea 969,S316,Linea 970,S387,Linea 968,S2465,Linea 966,S2147,Linea 946,S167,Linea 943,S229,Linea 945,S277,Linea 998,S178,Linea 1004,S310,Linea 985,S2185,Linea 984,Base</t>
  </si>
  <si>
    <t>Base,Linea 12,S2401,Linea 1510,S2249,Linea 973,S192,Linea 754,S2408,Linea 752,S370,Linea 1842,S2421,Linea 741,S980,Linea 740,S377,Linea 748,S381,Linea 747,S2572,Linea 746,S315,Linea 1017,S59,Linea 1295,S2116,Linea 1293,S1,Linea 1292,S2189,Linea 797,S2095,Linea 1825,S2479,Linea 1170,S79,Linea 1168,S188,Linea 1169,S2079;S2079,Linea 1169,S188,Linea 1168,S79,Linea 1170,S2479,Linea 1176,S198,Linea 805,S287,Linea 840,S957,Linea 841,S978,Linea 842,S119,Linea 843,S363,Linea 1357,S983,Linea 1358,S330,Linea 859,S997,Linea 1836,S353,Linea 1361,S2006,Linea 1362,S2071,Linea 1777,S2161;S2161,Linea 1777,S2071,Linea 1362,S2006,Linea 1363,S2009,Linea 1365,S354,Linea 1421,S2255,Linea 1373,S323,Linea 1372,S325,Linea 1423,S2058;S2058,Linea 1423,S325,Linea 1371,S2091,Linea 1370,S2081,Linea 1426,S2087,Linea 1427,S2406,Linea 823,S2441,Linea 821,S2242,Linea 815,S2177,Linea 820,S194,Linea 1206,S184,Linea 1804,S2080,Linea 1490,S138,Linea 1208,S2101,Linea 1462,S183,Linea 1829,S2135,Linea 1814,S2541,Linea 1459,S206,Linea 826,S715,Linea 827,S2356,Linea 1456,S151,Linea 1489,S2304,Linea 1461,S984,Linea 1447,S2093,Linea 1440,S2089,Linea 1438,S257,Linea 1437,S2074,Linea 1431,S2152;S2152,Linea 1431,S2074,Linea 1437,S257,Linea 1438,S2089,Linea 1440,S2093,Linea 1447,S984,Linea 1461,S2304,Linea 1489,S151,Linea 1456,S2356,Linea 827,S715,Linea 826,S206,Linea 1459,S2541,Linea 1794,S2135,Linea 1829,S183,Linea 1473,S148,Linea 1474,S2429,Linea 1476,S207,Linea 1475,S243,Linea 1482,S2104,Linea 1481,S2597;S2597,Linea 1481,S2104,Linea 1482,S243,Linea 1475,S207,Linea 1476,S2429,Linea 1467,S197,Linea 1201,S127,Linea 1197,S2622,Linea 1195,S2365,Linea 1191,S223,Linea 1183,S8,Linea 1180,S2139,Linea 1181,S205,Linea 807,S2243,Linea 1177,S18,Linea 1826,S189,Linea 795,S2479,Linea 1825,S2095,Linea 797,S2189,Linea 1292,S1,Linea 1293,S2116,Linea 1295,S59,Linea 1017,S315,Linea 746,S2572,Linea 747,S381,Linea 748,S377,Linea 740,S980,Linea 741,S2421,Linea 1842,S370,Linea 752,S2408,Linea 754,S192,Linea 973,S2249,Linea 1816,S2401,Linea 12,Base</t>
  </si>
  <si>
    <t>Base,Linea 984,S2185,Linea 985,S310,Linea 1004,S178,Linea 998,S277,Linea 945,S229,Linea 944,S56,Linea 940,S78,Linea 932,S645,Linea 1046,S928,Linea 1048,S840,Linea 1049,S915;S915,Linea 1049,S840,Linea 1048,S928,Linea 1046,S645,Linea 931,S2111,Linea 934,S2334,Linea 1648,S77,Linea 713,S236,Linea 1646,S2231,Linea 927,S2278,Linea 688,S2047,Linea 689,S440,Linea 687,S2359,Linea 1644,S2036,Linea 490,S397,Linea 494,S2351;S2351,Linea 495,S2035;S2035,Linea 495,S2351,Linea 494,S397,Linea 490,S2036,Linea 1599,S2359,Linea 687,S440,Linea 689,S2047,Linea 688,S2278,Linea 686,S2025,Linea 1823,S424;S424,Linea 1823,S2025,Linea 686,S2278,Linea 927,S2231,Linea 1649,S236,Linea 713,S77,Linea 1647,S2334,Linea 934,S2111,Linea 931,S645,Linea 932,S78,Linea 940,S56,Linea 944,S229,Linea 945,S277,Linea 998,S178,Linea 1004,S310,Linea 985,S2185,Linea 984,Base</t>
  </si>
  <si>
    <t>Base,Linea 984,S2185,Linea 985,S310,Linea 1004,S178,Linea 998,S277,Linea 945,S229,Linea 944,S56,Linea 940,S78,Linea 932,S645,Linea 931,S2111,Linea 930,S2110,Linea 736,S2167,Linea 1617,S2168,Linea 584,S849,Linea 582,S938,Linea 587,S2511,Linea 586,S948,Linea 585,S2662;S2662,Linea 585,S948,Linea 586,S2511,Linea 587,S938,Linea 581,S2443,Linea 578,S2132,Linea 579,S949,Linea 591,S2129,Linea 592,S2259,Linea 594,S17,Linea 735,S295,Linea 734,S3,Linea 613,Q16,Linea 1626,S2240,Linea 471,S2,Linea 1886,S13,Linea 1887,S2523,Linea 517,Q17,Linea 516,S2236,Linea 511,S509,Linea 512,S427,Linea 506,S420,Linea 505,S418,Linea 485,S2303,Linea 480,S511;S511,Linea 480,S2303,Linea 485,S418,Linea 505,S420,Linea 506,S427,Linea 512,S509,Linea 511,S2236,Linea 516,Q17,Linea 517,S2523,Linea 1887,S13,Linea 1886,S2,Linea 471,S2240,Linea 1593,Q16,Linea 613,S3,Linea 734,S295,Linea 735,S17,Linea 594,S2259,Linea 592,S2129,Linea 591,S949,Linea 579,S2132,Linea 578,S2443,Linea 581,S938,Linea 582,S849,Linea 584,S2168,Linea 1617,S2167,Linea 736,S2110,Linea 930,S2111,Linea 931,S645,Linea 932,S78,Linea 940,S56,Linea 944,S229,Linea 945,S277,Linea 998,S178,Linea 1004,S310,Linea 985,S2185,Linea 984,Base</t>
  </si>
  <si>
    <t>Base,Linea 984,S2185,Linea 985,S310,Linea 1004,S178,Linea 998,S277,Linea 945,S229,Linea 943,S167,Linea 946,S2147,Linea 966,S2465,Linea 968,S387,Linea 970,S316,Linea 969,S39,Linea 957,S36,Linea 1027,S2695,Linea 1026,S43,Linea 1088,S2707,Linea 1099,S916;S916,Linea 1099,S2707,Linea 1098,S42,Linea 1856,S2724,Linea 1092,S163,Linea 1854,S66,Linea 1152,S2658,Linea 1145,S844,Linea 1135,S914,Linea 1274,S2180,Linea 1275,S2486,Linea 1276,S2034;S2034,Linea 1276,S2486,Linea 1275,S2180;S2180,Linea 1274,S914,Linea 1135,S844,Linea 1145,S2658,Linea 1151,S909,Linea 1146,S824,Linea 1144,S823,Linea 1139,S815,Linea 1129,S921,Linea 1130,S2179;S2179,Linea 1130,S921,Linea 1273,S2055;S2055,Linea 1273,S921,Linea 1129,S815,Linea 1138,S803,Linea 1110,S2194,Linea 1113,S841,Linea 1118,S2723,Linea 1853,S42,Linea 1098,S2707,Linea 1088,S43,Linea 1026,S2695,Linea 1027,S36,Linea 957,S39,Linea 969,S316,Linea 970,S387,Linea 968,S2465,Linea 1715,S546,Linea 1212,S962,Linea 1008,S315,Linea 746,S2572,Linea 745,S999,Linea 744,S2529,Linea 791,S2630;S2630,Linea 791,S2529,Linea 744,S999,Linea 745,S2572,Linea 747,S381,Linea 748,S377,Linea 740,S980,Linea 741,S2421,Linea 1842,S370,Linea 752,S2408,Linea 754,S192,Linea 973,S2249,Linea 1816,S2401,Linea 12,Base</t>
  </si>
  <si>
    <t>Base,Linea 1,S176,Linea 1506,S2447,Linea 2,S993,Linea 3,S329,Linea 4,S309,Linea 10,S2195,Linea 27,S2412,Linea 33,S308,Linea 34,S2032,Linea 42,S2569,Linea 46,S2199,Linea 1847,S2200,Linea 97,S356,Linea 143,S2017,Linea 144,S690,Linea 141,S538,Linea 104,S2206,Linea 105,S763,Linea 106,S719,Linea 108,S767,Linea 112,S555,Linea 1532,S2578,Linea 142,S556,Linea 1883,S2022,Linea 902,S2001,Linea 1849,S492,Linea 1848,S1041;S1041,Linea 230,S487,Linea 229,S2291,Linea 226,S2054,Linea 220,S2458,Linea 214,S788,Linea 216,S2676,Linea 217,S2396,Linea 240,S2395,Linea 243,S1005,Linea 397,S543,Linea 399,S2288,Linea 247,S2418,Linea 249,S611,Linea 250,E291,Linea 252,S853,Linea 254,S851,Linea 257,S591,Linea 258,S876,Linea 263,S886,Linea 264,S868,Linea 270,S869,Linea 278,S864,Linea 281,S850,Linea 280,S856,Linea 289,S884,Linea 290,S1027,Linea 291,S1007,Linea 293,S1025,Linea 298,S593,Linea 297,S1017,Linea 296,S1004;S1004,Linea 296,S1017,Linea 297,S593,Linea 298,S1025,Linea 293,S1007,Linea 291,S1027,Linea 290,S884,Linea 289,S856,Linea 280,S850,Linea 279,S873,Linea 276,S2582,Linea 275,S2279,Linea 274,S892,Linea 340,S594,Linea 260,S616,Linea 315,S2440,Linea 314,S2496,Linea 1497,S707,Linea 365,S613,Linea 369,S721,Linea 368,Planta La Petiza,Linea 367,S1035,Linea 372,S1026,Linea 374,S1015,Linea 373,S1006,Linea 358,S1024,Linea 356,S1034;S1034,Linea 357,S2264,Linea 345,S1023,Linea 344,S1018,Linea 346,S2518;S2518,Linea 346,S1018,Linea 344,S1023,Linea 354,S1006,Linea 373,S1015,Linea 374,S1026,Linea 372,S1035;S1035,Linea 367,Planta La Petiza,Linea 368,S721,Linea 369,S613,Linea 370,S687,Linea 392,S709,Linea 393,S710,Linea 413,S722,Linea 414,S774,Linea 415,S2151,Linea 531,S773,Linea 546,S437,Linea 549,S529,Linea 551,S525,Linea 552,S2273,Linea 615,S2634,Linea 614,S469,Linea 616,S460,Linea 632,S2720,Linea 634,S458,Linea 660,S683,Linea 659,S2265,Linea 665,S489,Linea 629,S2077,Linea 631,S629,Linea 905,S783,Linea 1214,Planta Norte,Linea 923,S789,Linea 925,S501,Linea 127,S633,Linea 210,S622,Linea 211,S2552,Linea 1563,S635,Linea 186,S495,Linea 183,S637,Linea 178,S640,Linea 177,S676,Linea 170,S691,Linea 169,S451,Linea 168,S2478,Linea 167,S2510,Linea 164,S678,Linea 162,S662,Linea 161,S246,Linea 158,S680,Linea 1549,S2488,Linea 156,S208,Linea 57,S2253,Linea 52,S326,Linea 8,S2258,Linea 7,S328,Linea 6,S309,Linea 4,S329,Linea 3,S993,Linea 2,S2447,Linea 1506,S176,Linea 1,Base</t>
  </si>
  <si>
    <t>Base,Linea 1,S176,Linea 1506,S2447,Linea 2,S993,Linea 3,S329,Linea 4,S309,Linea 10,S2195,Linea 27,S2412,Linea 33,S308,Linea 34,S2032,Linea 42,S2569,Linea 46,S2199,Linea 1847,S2200,Linea 97,S356,Linea 143,S2017,Linea 144,S690,Linea 141,S538,Linea 104,S2206,Linea 105,S763,Linea 106,S719,Linea 108,S767,Linea 112,S555,Linea 1532,S2578,Linea 142,S556,Linea 1883,S2022,Linea 902,S2001,Linea 1849,S492,Linea 1885,S2556;S2556,Linea 1885,S492,Linea 1848,S1041,Linea 230,S487,Linea 229,S2291,Linea 226,S2054,Linea 220,S2458,Linea 214,S788,Linea 216,S2676,Linea 217,S2396,Linea 240,S2395,Linea 245,S714;S714,Linea 245,S2395,Linea 242,S2294,Linea 572,S874,Linea 571,S2485,Linea 570,S875,Linea 564,S2525,Linea 554,S524,Linea 553,S529,Linea 549,S437,Linea 546,S773,Linea 531,S2151,Linea 412,S2300,Linea 382,S2011;S2011,Linea 382,S2300,Linea 411,S2003;S2003,Linea 411,S2300,Linea 412,S2151,Linea 531,S773,Linea 546,S437,Linea 549,S529,Linea 551,S525,Linea 552,S2273,Linea 566,S522,Linea 567,S882,Linea 622,S523,Linea 621,E290,Linea 620,S2386,Linea 237,S2209;S2209,Linea 237,S2386;S2386,Linea 236,S487,Linea 230,S1041,Linea 1848,S492,Linea 1849,S2001,Linea 902,S2022,Linea 1883,S556,Linea 142,S2578,Linea 1821,S555,Linea 112,S767,Linea 108,S719,Linea 106,S763,Linea 105,S2206,Linea 104,S538,Linea 141,S690,Linea 144,S2017,Linea 143,S356,Linea 97,S2200,Linea 1847,S2199,Linea 46,S2569,Linea 42,S2032,Linea 34,S308,Linea 33,S2412,Linea 27,S2195,Linea 10,S309,Linea 4,S329,Linea 3,S993,Linea 2,S2447,Linea 1506,S176,Linea 1,Base</t>
  </si>
  <si>
    <t>Base,Linea 1,S176,Linea 1506,S2447,Linea 2,S993,Linea 3,S329,Linea 4,S309,Linea 10,S2195,Linea 27,S2412,Linea 33,S308,Linea 34,S2032,Linea 42,S2569,Linea 46,S2199,Linea 1847,S2200,Linea 97,S356,Linea 143,S2017,Linea 144,S690,Linea 141,S538,Linea 104,S2206,Linea 105,S763,Linea 106,S719,Linea 132,S302,Linea 1538,S696,Linea 1539,S2192;S2192,Linea 1539,S696,Linea 1538,S302,Linea 36,S358,Linea 40,S2318;S2318,Linea 40,S358,Linea 36,S302,Linea 132,S719,Linea 108,S767,Linea 112,S555,Linea 1532,S2578,Linea 142,S556,Linea 1883,S2022,Linea 902,S2001,Linea 1849,S492,Linea 1848,S1041,Linea 230,S487,Linea 229,S2291,Linea 226,S2054,Linea 222,S2544;S2544,Linea 223,S2587,Linea 225,S2665,Linea 239,S618,Linea 218,S2396,Linea 240,S2395,Linea 243,S1005,Linea 397,S543,Linea 399,S2288,Linea 247,S2418,Linea 249,S611,Linea 250,E291,Linea 252,S853,Linea 254,S851,Linea 257,S591,Linea 258,S876,Linea 263,S886,Linea 264,S868,Linea 270,S869,Linea 278,S864,Linea 281,S850,Linea 280,S856,Linea 283,S857;S857,Linea 283,S856,Linea 280,S850,Linea 1880,Q50,Linea 271,S858;S858,Linea 271,Q50,Linea 1880,S850,Linea 279,S873,Linea 276,S2582,Linea 275,S2279,Linea 274,S892,Linea 272,S888;S888,Linea 272,S892,Linea 274,S2279,Linea 275,S2582,Linea 277,S864,Linea 278,S869,Linea 270,S868,Linea 264,S886,Linea 263,S876,Linea 258,S591,Linea 257,S851,Linea 254,S853,Linea 252,E291,Linea 250,S611,Linea 249,S2418,Linea 247,S2288,Linea 399,S543,Linea 397,S1005,Linea 243,S2395,Linea 240,S2396,Linea 217,S2676,Linea 216,S788,Linea 214,S2458,Linea 220,S2054,Linea 226,S2291,Linea 229,S487,Linea 230,S1041,Linea 1848,S492,Linea 1849,S2001,Linea 902,S2022,Linea 1883,S556,Linea 142,S2578,Linea 1821,S555,Linea 112,S767,Linea 108,S719,Linea 106,S763,Linea 105,S2206,Linea 104,S538,Linea 141,S690,Linea 144,S2017,Linea 143,S356,Linea 97,S2200,Linea 1847,S2199,Linea 46,S2569,Linea 42,S2032,Linea 34,S308,Linea 33,S2412,Linea 27,S2195,Linea 10,S309,Linea 4,S329,Linea 3,S993,Linea 2,S2447,Linea 1506,S176,Linea 1,Base</t>
  </si>
  <si>
    <t>Base,Linea 984,S2185,Linea 985,S310,Linea 1004,S178,Linea 998,S277,Linea 945,S229,Linea 944,S56,Linea 940,S78,Linea 932,S645,Linea 931,S2111,Linea 930,S2110,Linea 736,S2167,Linea 1617,S2168,Linea 584,S849,Linea 582,S938,Linea 581,S2443,Linea 578,S2132,Linea 579,S949,Linea 591,S2129,Linea 592,S2259,Linea 594,S17,Linea 735,S295,Linea 734,S3,Linea 613,Q16,Linea 1626,S2240,Linea 471,S2,Linea 1886,S13,Linea 1887,S2523,Linea 469,S26,Linea 467,S2223;S2223,Linea 467,S26,Linea 469,S2523,Linea 1887,S13,Linea 1886,S2,Linea 471,S2240,Linea 1593,Q16,Linea 613,S3,Linea 734,S295,Linea 735,S17,Linea 594,S2259,Linea 592,S2129,Linea 591,S949,Linea 579,S2132,Linea 578,S2443,Linea 581,S938,Linea 582,S849,Linea 584,S2168,Linea 1617,S2167,Linea 736,S2110,Linea 930,S2111,Linea 931,S645,Linea 1046,S928,Linea 1048,S840,Linea 1220,S826,Linea 1060,S828,Linea 1061,S801,Linea 1054,S760,Linea 1073,S794,Linea 1074,S740;S740,Linea 1074,S794,Linea 1073,S760,Linea 1221,S791,Linea 1076,S793,Linea 1078,S2667,Linea 1077,S944,Linea 1085,S115,Linea 1733,S927,Linea 1222,S33,Linea 1724,S2094,Linea 950,S31,Linea 949,S2146,Linea 964,S2147,Linea 946,S167,Linea 943,S229,Linea 945,S277,Linea 998,S178,Linea 1004,S310,Linea 985,S2185,Linea 984,Base</t>
  </si>
  <si>
    <t>Base,Linea 12,S2401,Linea 1510,S2249,Linea 973,S192,Linea 754,S2408,Linea 752,S370,Linea 1842,S2421,Linea 741,S980,Linea 740,S377,Linea 748,S381,Linea 747,S2572,Linea 746,S315,Linea 1017,S59,Linea 1295,S2116,Linea 1293,S1,Linea 1292,S2189,Linea 797,S2095;S2095,Linea 1825,S2479,Linea 795,S189,Linea 1826,S18,Linea 1177,S2243,Linea 807,S205,Linea 1181,S2139,Linea 1180,S8,Linea 1183,S223,Linea 1191,S2365;S2365,Linea 1191,S223,Linea 1183,S8,Linea 1180,S2139,Linea 1181,S205,Linea 807,S2243,Linea 1177,S18,Linea 1826,S189,Linea 795,S2479,Linea 1825,S2095,Linea 797,S2189,Linea 1292,S1,Linea 1293,S2116,Linea 1295,S59,Linea 1017,S315,Linea 1008,S962,Linea 1212,S546,Linea 1753,S2465,Linea 968,S387,Linea 970,S316,Linea 969,S39,Linea 957,S36,Linea 1025,S2725,Linea 958,S37,Linea 959,S2680,Linea 956,S2666,Linea 955,S2656,Linea 1033,S904,Linea 1084,S736,Linea 1032,S926,Linea 1029,S2671;S2671,Linea 1029,S926,Linea 1032,S736,Linea 1084,S904,Linea 1033,S2656,Linea 955,S2666,Linea 956,S2680,Linea 959,S37,Linea 958,S2725,Linea 1025,S36,Linea 957,S39,Linea 969,S316,Linea 970,S387,Linea 968,S2465,Linea 1715,S546,Linea 1212,S962,Linea 1008,S315,Linea 746,S2572,Linea 745,S999,Linea 742,S965;S965,Linea 742,S999,Linea 745,S2572,Linea 746,S315,Linea 1008,S962,Linea 1212,S546,Linea 1753,S2465,Linea 968,S387,Linea 970,S316,Linea 969,S39,Linea 957,S36,Linea 1025,S2725,Linea 958,S37,Linea 959,S2680,Linea 956,S2666,Linea 955,S2656,Linea 1033,S904,Linea 1084,S736,Linea 1032,S926,Linea 1031,S902,Linea 1865,S2679;S2679,Linea 1865,S902,Linea 1031,S926,Linea 1032,S736,Linea 1084,S904,Linea 1033,S2656,Linea 955,S2666,Linea 956,S2680,Linea 959,S37,Linea 958,S2725,Linea 1025,S36,Linea 957,S39,Linea 969,S316,Linea 970,S387,Linea 968,S2465,Linea 966,S2147,Linea 946,S167,Linea 943,S229,Linea 945,S277,Linea 998,S178,Linea 1004,S310,Linea 985,S2185,Linea 984,Base</t>
  </si>
  <si>
    <t>Base,Linea 984,S2185,Linea 985,S310,Linea 1004,S178,Linea 998,S277,Linea 945,S229,Linea 943,S167,Linea 946,S2147,Linea 966,S2465,Linea 968,S387,Linea 970,S316,Linea 969,S39,Linea 957,S36,Linea 1027,S2695,Linea 1026,S43,Linea 1088,S2707,Linea 1098,S42,Linea 1853,S2723,Linea 1118,S841;S841,Linea 1113,S2194,Linea 1110,S803,Linea 1138,S815,Linea 1129,S921,Linea 1273,S2055,Linea 1328,S778,Linea 1902,Planta Sur,Linea 1901,S834,Linea 1307,S839,Linea 1313,S725,Linea 1310,S744,Linea 1321,S747,Linea 1324,S752,Linea 1244,S753,Linea 1323,S755,Linea 1236,S2648,Linea 1237,S2644,Linea 1238,S2524;S2524,Linea 1238,S2644,Linea 1237,S2648,Linea 1236,S755,Linea 1235,S2534,Linea 1234,Q22,Linea 1233,S811,Linea 1231,S812,Linea 1261,S2287,Linea 1229,S756,Linea 1226,S920,Linea 1225,S2481,Linea 1755,S2481B;S2481B,Linea 1755,S2481,Linea 1225,S920;S920,Linea 1226,S756,Linea 1229,S2287,Linea 1261,S812,Linea 1232,S2629,Linea 1262,S757,Linea 1263,S748,Linea 1762,S2310,Linea 1303,S2519,Linea 1302,S2379,Linea 1311,S744,Linea 1310,S725,Linea 1313,S839,Linea 1307,S834,Linea 1306,S759,Linea 1297,S794,Linea 1073,S760,Linea 1221,S791,Linea 1076,S793,Linea 1078,S2667,Linea 1077,S944,Linea 1085,S115,Linea 1733,S927,Linea 1222,S33,Linea 1724,S2094,Linea 950,S31,Linea 949,S2146,Linea 964,S2147,Linea 946,S167,Linea 943,S229,Linea 945,S277,Linea 998,S178,Linea 1004,S310,Linea 985,S2185,Linea 984,Base</t>
  </si>
  <si>
    <t>Base,Linea 984,S2185,Linea 985,S310,Linea 1004,S178,Linea 998,S277,Linea 945,S229,Linea 944,S56,Linea 940,S78,Linea 932,S645,Linea 931,S2111,Linea 930,S2110,Linea 736,S2167,Linea 1617,S2168,Linea 584,S849,Linea 582,S938,Linea 581,S2443,Linea 578,S2132,Linea 579,S949,Linea 591,S2129,Linea 592,S2259,Linea 594,S17,Linea 596,S2293,Linea 597,S4,Linea 598,S2324,Linea 600,S2196,Linea 599,S2689,Linea 605,S581,Linea 610,S2688,Linea 1869,S2693,Linea 1870,S2703;S2703,Linea 1870,S2693,Linea 1869,S2688,Linea 610,S581,Linea 605,S2689,Linea 599,S2196,Linea 600,S2324,Linea 598,S4,Linea 597,S2293,Linea 596,S17,Linea 735,S295,Linea 734,S3,Linea 613,Q16,Linea 1626,S2240,Linea 471,S2,Linea 1886,S13,Linea 1887,S2523,Linea 1888,S2606,Linea 526,S2614,Linea 525,S2461,Linea 454,S2594,Linea 438,S2120,Linea 434,S2668,Linea 435,S2105,Linea 432,S2632,Linea 431,S2121,Linea 424,S2576;S2576,Linea 424,S2121,Linea 431,S2632,Linea 432,S2105,Linea 435,S2668,Linea 434,S2120,Linea 438,S2594,Linea 454,S2461,Linea 525,S2614,Linea 526,S2606,Linea 1888,S2523,Linea 1887,S13,Linea 1886,S2,Linea 471,S2240,Linea 1593,Q16,Linea 613,S3,Linea 734,S295,Linea 735,S17,Linea 596,S2293,Linea 597,S4,Linea 598,S2324,Linea 600,S2196,Linea 602,S2677;S2677,Linea 602,S2196,Linea 600,S2324,Linea 598,S4,Linea 597,S2293,Linea 596,S17,Linea 594,S2259,Linea 592,S2129,Linea 591,S949,Linea 579,S2132,Linea 578,S2443,Linea 581,S938,Linea 582,S849,Linea 584,S2168,Linea 1617,S2167,Linea 736,S2110,Linea 930,S2111,Linea 931,S645,Linea 932,S78,Linea 940,S56,Linea 944,S229,Linea 945,S277,Linea 998,S178,Linea 1004,S310,Linea 985,S2185,Linea 984,Base</t>
  </si>
  <si>
    <t>Base,Linea 14,S278,Linea 15,S2250,Linea 16,S977,Linea 17,S245,Linea 1340,S186,Linea 901,S539,Linea 1394,S971,Linea 878,S2005B,Linea 873,S990,Linea 883,S995;S995,Linea 883,S990,Linea 873,S2005B,Linea 878,S971,Linea 1394,S539,Linea 901,S186,Linea 1340,S245,Linea 17,S977,Linea 16,S2250,Linea 15,S278,Linea 14,Base,Linea 1,S176,Linea 1506,S2447,Linea 2,S993,Linea 3,S329,Linea 4,S309,Linea 6,S328,Linea 7,S2258,Linea 8,S326,Linea 52,S2253,Linea 57,S208,Linea 156,S2488,Linea 1548,S680,Linea 158,S246,Linea 161,S662,Linea 162,S678,Linea 164,S2510,Linea 167,S2478,Linea 168,S451,Linea 169,S691,Linea 172,S450;S450,Linea 172,S691,Linea 169,S451,Linea 168,S2478,Linea 167,S2510,Linea 164,S678,Linea 162,S662,Linea 161,S246,Linea 158,S680,Linea 1549,S2488,Linea 156,S208,Linea 57,S2253,Linea 52,S326,Linea 8,S2258,Linea 7,S328,Linea 6,S309,Linea 4,S329,Linea 3,S993,Linea 2,S2447,Linea 1506,S176,Linea 1,Base</t>
  </si>
  <si>
    <t>Base,Linea 1,S176,Linea 1506,S2447,Linea 2,S993,Linea 3,S329,Linea 4,S309,Linea 6,S328,Linea 7,S2258,Linea 8,S326,Linea 52,S2253,Linea 55,S254,Linea 60,S234,Linea 987,S271,Linea 989,S950;S950,Linea 989,S271,Linea 987,S234,Linea 160,S246,Linea 158,S680,Linea 1549,S2488,Linea 156,S208,Linea 1876,S2216,Linea 1877,S2411,Linea 87,S2200,Linea 97,S356,Linea 143,S2017,Linea 144,S690,Linea 141,S538,Linea 104,S2206,Linea 105,S763,Linea 106,S719,Linea 108,S767,Linea 112,S555,Linea 1532,S2578,Linea 142,S556,Linea 1883,S2022,Linea 902,S2001,Linea 1849,S492,Linea 1848,S1041,Linea 230,S487,Linea 229,S2291,Linea 226,S2054,Linea 220,S2458,Linea 214,S788,Linea 216,S2676,Linea 217,S2396,Linea 240,S2395,Linea 243,S1005,Linea 397,S543,Linea 399,S2288,Linea 247,S2418,Linea 249,S611,Linea 250,E291,Linea 252,S853,Linea 254,S851,Linea 257,S591,Linea 258,S876,Linea 263,S886,Linea 264,S868,Linea 270,S869,Linea 278,S864,Linea 281,S850,Linea 1880,Q50,Linea 271,S858,Linea 268,S855;S855,Linea 268,S858,Linea 271,Q50,Linea 1880,S850,Linea 281,S864,Linea 278,S869,Linea 270,S868,Linea 264,S886,Linea 263,S876,Linea 258,S591,Linea 257,S851,Linea 254,S853,Linea 252,E291,Linea 250,S611,Linea 249,S2418,Linea 247,S2288,Linea 399,S543,Linea 397,S1005,Linea 243,S2395,Linea 240,S2396,Linea 217,S2676,Linea 216,S788,Linea 214,S2458,Linea 220,S2054,Linea 226,S2291,Linea 229,S487,Linea 230,S1041,Linea 1848,S492,Linea 1849,S2001,Linea 902,S2022,Linea 1883,S556,Linea 142,S2578,Linea 1821,S555,Linea 112,S767,Linea 108,S719,Linea 106,S763,Linea 105,S2206,Linea 104,S538,Linea 141,S690,Linea 144,S2017,Linea 143,S356,Linea 97,S2200,Linea 1847,S2199,Linea 46,S2569,Linea 42,S2032,Linea 34,S308,Linea 33,S2412,Linea 27,S2195,Linea 10,S309,Linea 4,S329,Linea 3,S993,Linea 2,S2447,Linea 1506,S176,Linea 1,Base</t>
  </si>
  <si>
    <t>Base,Linea 12,S2401,Linea 1510,S2249,Linea 973,S192,Linea 1211,S172,Linea 768,S2417;S2417,Linea 759,S402,Linea 760,S2468,Linea 763,S395,Linea 764,S338,Linea 773,S2407,Linea 774,S2317;S2317,Linea 774,S2407;S2407,Linea 850,S2056,Linea 849,S2716,Linea 852,S2041;S2041,Linea 852,S2716,Linea 849,S2056,Linea 850,S2407,Linea 773,S338,Linea 764,S395,Linea 763,S2468,Linea 760,S402,Linea 759,S2417,Linea 768,S172,Linea 1211,S192,Linea 973,S2249,Linea 1816,S2401,Linea 12,Base</t>
  </si>
  <si>
    <t>Base,Linea 984,S2185,Linea 985,S310,Linea 1004,S178,Linea 998,S277,Linea 945,S229,Linea 943,S167,Linea 946,S2147,Linea 966,S2465,Linea 968,S387,Linea 970,S316,Linea 969,S39,Linea 957,S36,Linea 1027,S2695,Linea 1026,S43,Linea 1088,S2707,Linea 1098,S42,Linea 1856,S2724,Linea 1092,S163,Linea 1854,S66,Linea 1152,S2658,Linea 1145,S844,Linea 1135,S914,Linea 1134,S2433;S2433,Linea 1134,S914,Linea 1274,S2180,Linea 1275,S2486;S2486,Linea 1276,S2034,Linea 1281,S929,Linea 1282,S910,Linea 1147,S2672;S2672,Linea 1147,S910,Linea 1282,S929,Linea 1279,S2432;S2432,Linea 1279,S929,Linea 1281,S2034,Linea 1276,S2486,Linea 1275,S2180,Linea 1274,S914,Linea 1135,S844,Linea 1145,S2658,Linea 1152,S66,Linea 1854,S163,Linea 1092,S2724,Linea 1856,S42,Linea 1098,S2707,Linea 1088,S43,Linea 1026,S2695,Linea 1027,S36,Linea 957,S39,Linea 969,S316,Linea 970,S387,Linea 968,S2465,Linea 1715,S546,Linea 1212,S962,Linea 1008,S315,Linea 790,S2546,Linea 792,S2503,Linea 782,S2547,Linea 785,S2460;S2460,Linea 785,S2547,Linea 782,S2503,Linea 792,S2546,Linea 790,S315,Linea 746,S2572,Linea 747,S381,Linea 748,S377,Linea 740,S980,Linea 741,S2421,Linea 1842,S370,Linea 752,S2408,Linea 754,S192,Linea 973,S2249,Linea 1816,S2401,Linea 12,Base</t>
  </si>
  <si>
    <t>Base,Linea 1,S176,Linea 1506,S2447,Linea 2,S993,Linea 3,S329,Linea 4,S309,Linea 10,S2195,Linea 27,S2412,Linea 33,S308,Linea 34,S2032,Linea 42,S2569,Linea 46,S2199,Linea 1847,S2200,Linea 97,S356,Linea 143,S2017,Linea 144,S690,Linea 141,S538,Linea 104,S2206,Linea 105,S763,Linea 106,S719,Linea 108,S767,Linea 113,S2302;S2302,Linea 113,S767,Linea 112,S555,Linea 1532,S2578,Linea 142,S556,Linea 1883,S2022,Linea 902,S2001,Linea 1849,S492,Linea 1848,S1041,Linea 230,S487,Linea 229,S2291,Linea 226,S2054,Linea 220,S2458,Linea 214,S788,Linea 216,S2676;S2676,Linea 217,S2396,Linea 240,S2395,Linea 243,S1005,Linea 397,S543,Linea 399,S2288,Linea 247,S2418,Linea 249,S611,Linea 250,E291,Linea 252,S853,Linea 254,S851,Linea 257,S591,Linea 258,S876,Linea 263,S886,Linea 264,S868;S868,Linea 270,S869,Linea 278,S864,Linea 277,S2582,Linea 275,S2279,Linea 274,S892,Linea 340,S594,Linea 260,S616,Linea 315,S2440,Linea 314,S2496,Linea 1497,S707,Linea 317,S2256;S2256,Linea 317,S707,Linea 365,S613,Linea 370,S687,Linea 392,S709,Linea 393,S710,Linea 413,S722,Linea 414,S774,Linea 415,S2151,Linea 531,S773,Linea 546,S437,Linea 549,S529,Linea 551,S525,Linea 552,S2273,Linea 615,S2634,Linea 614,S469,Linea 616,S460,Linea 632,S2720,Linea 634,S458,Linea 660,S683,Linea 659,S2265,Linea 665,S489,Linea 629,S2077,Linea 631,S629,Linea 905,S783,Linea 1214,Planta Norte,Linea 923,S789,Linea 925,S501,Linea 127,S633,Linea 210,S622,Linea 211,S2552,Linea 1563,S635,Linea 186,S495,Linea 183,S637,Linea 178,S640,Linea 177,S676,Linea 170,S691,Linea 169,S451,Linea 168,S2478,Linea 167,S2510,Linea 164,S678,Linea 162,S662,Linea 161,S246,Linea 158,S680,Linea 1549,S2488,Linea 156,S208,Linea 57,S2253,Linea 52,S326,Linea 8,S2258,Linea 7,S328,Linea 6,S309,Linea 4,S329,Linea 3,S993,Linea 2,S2447,Linea 1506,S176,Linea 1,Base,Linea 984,S2185;S2185,Linea 984,Base</t>
  </si>
  <si>
    <t>Base,Linea 1,S176,Linea 1506,S2447,Linea 2,S993,Linea 3,S329,Linea 4,S309,Linea 6,S328,Linea 7,S2258,Linea 8,S326,Linea 52,S2253,Linea 57,S208,Linea 156,S2488,Linea 1548,S680,Linea 158,S246,Linea 161,S662,Linea 162,S678,Linea 164,S2510,Linea 167,S2478,Linea 168,S451,Linea 169,S691,Linea 170,S676,Linea 177,S640,Linea 178,S637,Linea 183,S495,Linea 186,S635,Linea 1555,S2552,Linea 211,S622,Linea 210,S633,Linea 127,S501,Linea 925,S789,Linea 923,Planta Norte,Linea 1899,S2239,Linea 919,S2559;S2559,Linea 919,S2239,Linea 1899,Planta Norte,Linea 1900,S502,Linea 916,S2197,Linea 915,S2191,Linea 1698,S503,Linea 207,S464,Linea 204,S430,Linea 408,S2575,Linea 680,S642,Linea 679,S2035,Linea 495,S2351,Linea 494,S397,Linea 490,S2036,Linea 1599,S2359,Linea 687,S440,Linea 689,S2047,Linea 688,S2278,Linea 927,S2231,Linea 1649,S236,Linea 713,S77,Linea 1647,S2334,Linea 934,S2111,Linea 931,S645,Linea 932,S78,Linea 940,S56,Linea 944,S229,Linea 943,S167,Linea 946,S2147,Linea 966,S2465,Linea 968,S387,Linea 970,S316,Linea 969,S39,Linea 957,S36,Linea 1027,S2695,Linea 1026,S43,Linea 1088,S2707,Linea 1098,S42,Linea 1093,S34,Linea 1094,S29,Linea 1096,S2564;S2564,Linea 1096,S29,Linea 1094,S34,Linea 1093,S42,Linea 1098,S2707,Linea 1088,S43,Linea 1026,S2695,Linea 1027,S36,Linea 957,S39,Linea 969,S316,Linea 970,S387,Linea 968,S2465,Linea 966,S2147,Linea 946,S167,Linea 943,S229,Linea 945,S277,Linea 998,S178,Linea 1004,S310,Linea 985,S2185,Linea 984,Base</t>
  </si>
  <si>
    <t>Base,Linea 984,S2185,Linea 985,S310,Linea 1004,S178,Linea 998,S277,Linea 945,S229,Linea 943,S167,Linea 946,S2147,Linea 964,S2146,Linea 949,S31,Linea 950,S2094,Linea 1711,S33,Linea 1222,S927,Linea 1754,S115,Linea 1085,S944,Linea 1077,S2667,Linea 1078,S793,Linea 1079,S818;S818,Linea 1080,S737,Linea 1083,S904,Linea 1033,S2656,Linea 955,S2666,Linea 956,S2680,Linea 959,S37,Linea 958,S2725,Linea 1025,S36,Linea 957,S39,Linea 969,S316,Linea 970,S387,Linea 968,S2465,Linea 1715,S546,Linea 1212,S962,Linea 1008,S315,Linea 1017,S59,Linea 1295,S2116,Linea 1293,S1,Linea 1292,S2189,Linea 797,S2095,Linea 1828,S198,Linea 805,S287,Linea 806,S2141;S2141,Linea 806,S287,Linea 805,S198,Linea 1828,S2095,Linea 797,S2189,Linea 1292,S1,Linea 1293,S2116,Linea 1295,S59,Linea 1017,S315,Linea 746,S2572,Linea 747,S381,Linea 748,S377,Linea 740,S980,Linea 741,S2421,Linea 1842,S370,Linea 752,S2408,Linea 754,S192,Linea 973,S2249,Linea 1816,S2401,Linea 12,Base</t>
  </si>
  <si>
    <t>Base,Linea 984,S2185,Linea 985,S310,Linea 1004,S178,Linea 998,S277,Linea 945,S229,Linea 944,S56,Linea 940,S78,Linea 932,S645,Linea 931,S2111,Linea 930,S2110,Linea 736,S2167,Linea 1617,S2168,Linea 584,S849,Linea 582,S938,Linea 581,S2443,Linea 578,S2132,Linea 579,S949,Linea 591,S2129,Linea 592,S2259,Linea 594,S17,Linea 596,S2293,Linea 597,S4,Linea 598,S2324,Linea 600,S2196,Linea 599,S2689,Linea 601,S2683,Linea 606,S2619,Linea 608,S2694,Linea 1336,S2711,Linea 1335,S2698,Linea 1772,S2702;S2702,Linea 1772,S2698,Linea 1334,S2718,Linea 1333,S2717,Linea 1330,S924,Linea 1337,S925,Linea 1260,S2657,Linea 1247,S2627,Linea 1246,S2640,Linea 1326,S752,Linea 1244,S753,Linea 1323,S755,Linea 1236,S2648,Linea 1237,S2644;S2644,Linea 1238,S2524,Linea 1861,S2650;S2650,Linea 1861,S2524,Linea 1238,S2644,Linea 1237,S2648,Linea 1236,S755,Linea 1323,S753,Linea 1244,S752,Linea 1326,S2640,Linea 1246,S2627,Linea 1247,S2657,Linea 1260,S925,Linea 1337,S924,Linea 1330,S2717,Linea 1333,S2718,Linea 1334,S2698,Linea 1335,S2711,Linea 1336,S2694,Linea 608,S2619,Linea 606,S2683,Linea 601,S2689,Linea 605,S581,Linea 610,S2688,Linea 1869,S2693,Linea 1870,S2703,Linea 1873,S2713,Linea 1889,S2696;S2696,Linea 1889,S2713;S2713,Linea 1873,S2703,Linea 1870,S2693,Linea 1869,S2688,Linea 610,S581,Linea 605,S2689,Linea 599,S2196,Linea 600,S2324,Linea 598,S4,Linea 597,S2293,Linea 596,S17,Linea 594,S2259,Linea 592,S2129,Linea 591,S949,Linea 579,S2132,Linea 578,S2443,Linea 581,S938,Linea 582,S849,Linea 584,S2168,Linea 1617,S2167,Linea 736,S2110,Linea 930,S2111,Linea 931,S645,Linea 932,S78,Linea 940,S56,Linea 944,S229,Linea 945,S277,Linea 998,S178,Linea 1004,S310,Linea 985,S2185,Linea 984,Base</t>
  </si>
  <si>
    <t>Base,Linea 984,S2185,Linea 985,S310,Linea 1004,S178,Linea 998,S277,Linea 945,S229,Linea 943,S167,Linea 946,S2147,Linea 966,S2465,Linea 968,S387,Linea 970,S316,Linea 969,S39,Linea 957,S36,Linea 1027,S2695,Linea 1026,S43,Linea 1088,S2707,Linea 1098,S42,Linea 1853,S2723,Linea 1118,S841,Linea 1113,S2194;S2194,Linea 1110,S803,Linea 1138,S815,Linea 1129,S921,Linea 1273,S2055,Linea 1328,S778;S778,Linea 1127,S758;S758,Linea 1127,S778,Linea 1902,Planta Sur,Linea 1901,S834,Linea 1307,S839,Linea 1313,S725,Linea 1310,S744,Linea 1321,S747,Linea 1324,S752,Linea 1326,S2640;S2640,Linea 1246,S2627,Linea 1247,S2657,Linea 1260,S925;S925,Linea 1337,S924,Linea 1330,S2717,Linea 1333,S2718,Linea 1334,S2698,Linea 1335,S2711,Linea 1336,S2694,Linea 608,S2619,Linea 606,S2683,Linea 601,S2689,Linea 599,S2196,Linea 600,S2324,Linea 598,S4,Linea 597,S2293,Linea 596,S17,Linea 594,S2259,Linea 592,S2129,Linea 591,S949,Linea 579,S2132,Linea 578,S2443,Linea 581,S938,Linea 582,S849,Linea 584,S2168,Linea 1617,S2167,Linea 736,S2110,Linea 930,S2111,Linea 931,S645,Linea 932,S78,Linea 940,S56,Linea 944,S229,Linea 945,S277,Linea 998,S178,Linea 1004,S310,Linea 985,S2185,Linea 984,Base</t>
  </si>
  <si>
    <t>Base,Linea 14,S278,Linea 15,S2250,Linea 16,S977,Linea 17,S245,Linea 1340,S186,Linea 901,S539,Linea 1408,S2376,Linea 1346,S190,Linea 1395,S232,Linea 1348,S2314,Linea 1347,S643,Linea 1350,S291,Linea 1351,S292,Linea 1378,S317,Linea 1391,S2370;S2370,Linea 1391,S317,Linea 1378,S292,Linea 1351,S291,Linea 1350,S643,Linea 1347,S2314,Linea 1348,S232,Linea 1395,S190,Linea 1346,S2376,Linea 1408,S539,Linea 901,S186,Linea 1340,S245,Linea 17,S977,Linea 16,S2250,Linea 15,S278,Linea 14,Base,Linea 12,S2401,Linea 1510,S2249,Linea 973,S192,Linea 754,S2408,Linea 752,S370,Linea 1842,S2421,Linea 741,S980,Linea 740,S377,Linea 748,S381,Linea 747,S2572,Linea 746,S315,Linea 1017,S59,Linea 1295,S2116,Linea 1293,S1,Linea 1292,S2189,Linea 797,S2095,Linea 1828,S198,Linea 805,S287,Linea 840,S957,Linea 804,S9,Linea 803,S2176,Linea 802,S313,Linea 800,S2477;S2477,Linea 800,S313,Linea 802,S2176,Linea 803,S9,Linea 804,S957,Linea 841,S978,Linea 842,S119,Linea 845,S998,Linea 846,S2281;S2281,Linea 846,S998,Linea 845,S119,Linea 842,S978,Linea 841,S957,Linea 840,S287,Linea 839,S312,Linea 1834,S339,Linea 1833,S2548,Linea 1678,S249,Linea 833,S2414;S2414,Linea 833,S249,Linea 830,S285,Linea 1832,S2406;S2406,Linea 1832,S285,Linea 830,S249,Linea 1678,S2548,Linea 1833,S339,Linea 1834,S312,Linea 839,S287,Linea 805,S198,Linea 1828,S2095,Linea 797,S2189,Linea 1292,S1,Linea 1293,S2116,Linea 1295,S59,Linea 1017,S315,Linea 746,S2572,Linea 747,S381,Linea 748,S377,Linea 740,S980,Linea 741,S2421,Linea 1842,S370,Linea 752,S2408,Linea 754,S192,Linea 973,S2249,Linea 1816,S2401,Linea 12,Base</t>
  </si>
  <si>
    <t>Base,Linea 14,S278,Linea 15,S2250,Linea 16,S977,Linea 17,S245,Linea 1340,S186,Linea 901,S539,Linea 1408,S2376,Linea 1346,S190,Linea 1395,S232,Linea 1348,S2314,Linea 1347,S643,Linea 1350,S291,Linea 1351,S292,Linea 1352,S117,Linea 1353,S293,Linea 1355,S231,Linea 890,S2565,Linea 876,S220,Linea 861,S235,Linea 856,S365,Linea 1210,S2002;S2002,Linea 1210,S365,Linea 856,S235,Linea 861,S220,Linea 876,S2565,Linea 890,S231,Linea 1355,S293,Linea 1353,S117,Linea 1352,S292,Linea 1351,S291,Linea 1350,S643,Linea 1347,S2314,Linea 1348,S232,Linea 1395,S190,Linea 1346,S2376,Linea 1408,S539,Linea 901,S186,Linea 1340,S245,Linea 17,S977,Linea 16,S2250,Linea 15,S278,Linea 14,Base,Linea 12,S2401,Linea 1510,S2249,Linea 973,S192,Linea 754,S2408,Linea 752,S370,Linea 1842,S2421,Linea 741,S980,Linea 740,S377,Linea 748,S381,Linea 747,S2572,Linea 746,S315,Linea 1017,S59,Linea 1295,S2116,Linea 1293,S1,Linea 1292,S2189,Linea 797,S2095,Linea 1828,S198,Linea 805,S287,Linea 839,S312,Linea 1834,S339,Linea 1833,S2548,Linea 1678,S249,Linea 830,S285,Linea 1832,S2406,Linea 824,S2539,Linea 1676,S152,Linea 814,S2462;S2462,Linea 814,S152,Linea 1668,S2539,Linea 824,S2406,Linea 1832,S285,Linea 830,S249,Linea 1678,S2548,Linea 1833,S339,Linea 1834,S312,Linea 839,S287,Linea 805,S198,Linea 1828,S2095,Linea 797,S2189,Linea 1292,S1,Linea 1293,S2116,Linea 1295,S59,Linea 1017,S315,Linea 746,S2572,Linea 747,S381,Linea 748,S377,Linea 740,S980,Linea 741,S2421,Linea 1842,S370,Linea 752,S2408,Linea 754,S192,Linea 973,S2249,Linea 1816,S2401,Linea 12,Base</t>
  </si>
  <si>
    <t>Base,Linea 12,S2401,Linea 1510,S2249,Linea 973,S192,Linea 1211,S172,Linea 768,S2417,Linea 759,S402,Linea 760,S2468,Linea 763,S395,Linea 764,S338,Linea 773,S2407,Linea 850,S2056;S2056,Linea 850,S2407,Linea 773,S338,Linea 764,S395,Linea 763,S2468,Linea 760,S402,Linea 759,S2417,Linea 768,S172,Linea 1211,S192,Linea 973,S2249,Linea 1816,S2401,Linea 12,Base,Linea 1,S176,Linea 1506,S2447,Linea 2,S993,Linea 3,S329,Linea 4,S309,Linea 6,S328,Linea 7,S2258,Linea 8,S326,Linea 52,S2253,Linea 57,S208,Linea 156,S2488,Linea 1548,S680,Linea 158,S246,Linea 161,S662,Linea 162,S678,Linea 164,S2510,Linea 167,S2478,Linea 168,S451,Linea 169,S691,Linea 170,S676,Linea 177,S640,Linea 178,S637,Linea 183,S495,Linea 186,S635,Linea 1555,S2552,Linea 211,S622,Linea 210,S633,Linea 127,S501,Linea 925,S789,Linea 923,Planta Norte,Linea 1214,S783,Linea 905,S629,Linea 631,S2077,Linea 629,S489,Linea 665,S2265,Linea 659,S683,Linea 637,S458,Linea 634,S2720,Linea 632,S460,Linea 616,S469,Linea 545,S439,Linea 538,S531,Linea 540,S533,Linea 536,S506,Linea 534,S470,Linea 1608,S2050,Linea 1609,S2331;S2331,Linea 1609,S2050,Linea 1608,S470,Linea 645,S426,Linea 649,S2307,Linea 507,S427,Linea 512,S509,Linea 511,S2236,Linea 516,Q17,Linea 517,S2523,Linea 1887,S13,Linea 1886,S2,Linea 471,S2240,Linea 1593,Q16,Linea 613,S3,Linea 734,S295,Linea 735,S17,Linea 594,S2259,Linea 592,S2129,Linea 591,S949,Linea 579,S2132,Linea 578,S2443,Linea 581,S938,Linea 582,S849,Linea 584,S2168,Linea 1617,S2167,Linea 736,S2110,Linea 930,S2111,Linea 931,S645,Linea 1046,S928,Linea 1048,S840,Linea 1220,S826,Linea 1060,S828,Linea 1061,S801,Linea 1054,S760,Linea 1221,S791,Linea 1063,S2506;S2506,Linea 1063,S791,Linea 1221,S760,Linea 1073,S794,Linea 1297,S759,Linea 1306,S834,Linea 1307,S839,Linea 1313,S725,Linea 1310,S744,Linea 1321,S747,Linea 1324,S752,Linea 1244,S753,Linea 1240,S2449;S2449,Linea 1240,S753,Linea 1244,S752,Linea 1324,S747,Linea 1321,S744,Linea 1310,S725,Linea 1313,S839,Linea 1307,S834,Linea 1306,S759,Linea 1297,S794,Linea 1073,S760,Linea 1221,S791,Linea 1076,S793,Linea 1078,S2667,Linea 1077,S944,Linea 1085,S115,Linea 1733,S927,Linea 1222,S33,Linea 1724,S2094,Linea 950,S31,Linea 949,S2146,Linea 964,S2147,Linea 946,S167,Linea 943,S229,Linea 945,S277,Linea 998,S178,Linea 1004,S310,Linea 985,S2185,Linea 984,Base</t>
  </si>
  <si>
    <t>Base,Linea 984,S2185,Linea 985,S310,Linea 1004,S178,Linea 998,S277,Linea 945,S229,Linea 944,S56,Linea 940,S78,Linea 932,S645,Linea 931,S2111,Linea 930,S2110,Linea 736,S2167,Linea 1617,S2168,Linea 584,S849,Linea 582,S938,Linea 581,S2443,Linea 578,S2132,Linea 579,S949,Linea 591,S2129,Linea 592,S2259,Linea 594,S17,Linea 596,S2293,Linea 597,S4,Linea 598,S2324,Linea 600,S2196,Linea 599,S2689,Linea 601,S2683,Linea 603,S2663,Linea 607,S2673;S2673,Linea 1866,S2684;S2684,Linea 1866,S2673,Linea 607,S2663,Linea 603,S2683,Linea 606,S2619,Linea 608,S2694,Linea 1336,S2711;S2711,Linea 1336,S2694;S2694,Linea 1336,S2711,Linea 1335,S2698,Linea 1334,S2718,Linea 1333,S2717,Linea 1330,S924;S924,Linea 1330,S2717,Linea 1333,S2718,Linea 1334,S2698,Linea 1335,S2711,Linea 1336,S2694,Linea 608,S2619,Linea 606,S2683,Linea 601,S2689,Linea 599,S2196,Linea 600,S2324,Linea 598,S4,Linea 597,S2293,Linea 596,S17,Linea 594,S2259,Linea 592,S2129,Linea 591,S949,Linea 579,S2132,Linea 578,S2443,Linea 581,S938,Linea 582,S849,Linea 584,S2168,Linea 1617,S2167,Linea 736,S2110,Linea 930,S2111,Linea 931,S645,Linea 932,S78,Linea 940,S56,Linea 944,S229,Linea 945,S277,Linea 998,S178,Linea 1004,S310,Linea 985,S2185,Linea 984,Base</t>
  </si>
  <si>
    <t>Base,Linea 984,S2185,Linea 985,S310,Linea 1004,S178,Linea 998,S277,Linea 945,S229,Linea 944,S56,Linea 940,S78,Linea 932,S645,Linea 931,S2111,Linea 930,S2110,Linea 736,S2167,Linea 1617,S2168,Linea 584,S849,Linea 582,S938,Linea 581,S2443,Linea 578,S2132,Linea 579,S949,Linea 591,S2129,Linea 592,S2259,Linea 594,S17,Linea 596,S2293,Linea 597,S4,Linea 598,S2324,Linea 600,S2196,Linea 599,S2689,Linea 601,S2683,Linea 606,S2619,Linea 608,S2694,Linea 1336,S2711,Linea 1335,S2698,Linea 1334,S2718,Linea 1333,S2717,Linea 1332,S2690;S2690,Linea 1332,S2717,Linea 1333,S2718,Linea 1334,S2698,Linea 1335,S2711,Linea 1336,S2694,Linea 608,S2619,Linea 606,S2683,Linea 601,S2689,Linea 599,S2196,Linea 600,S2324,Linea 598,S4,Linea 597,S2293,Linea 596,S17,Linea 594,S2259,Linea 592,S2129,Linea 591,S949;S949,Linea 579,S2132,Linea 578,S2443,Linea 581,S938,Linea 582,S849,Linea 584,S2168,Linea 1617,S2167,Linea 736,S2110,Linea 930,S2111,Linea 931,S645,Linea 932,S78,Linea 940,S56,Linea 944,S229,Linea 943,S167,Linea 946,S2147,Linea 966,S2465,Linea 968,S387,Linea 970,S316,Linea 969,S39,Linea 957,S36,Linea 1027,S2695,Linea 1028,S942,Linea 1100,S2463;S2463,Linea 1100,S942,Linea 1028,S2695,Linea 1027,S36,Linea 957,S39,Linea 969,S316,Linea 970,S387,Linea 968,S2465,Linea 966,S2147,Linea 946,S167,Linea 943,S229,Linea 945,S277,Linea 998,S178,Linea 1004,S310,Linea 985,S2185,Linea 984,Base</t>
  </si>
  <si>
    <t>Base,Linea 1,S176,Linea 1506,S2447,Linea 2,S993,Linea 3,S329,Linea 4,S309,Linea 10,S2195,Linea 27,S2412,Linea 33,S308,Linea 34,S2032,Linea 42,S2569,Linea 1517,S2588,Linea 1519,S300,Linea 1878,S2411;S2411,Linea 87,S2200,Linea 97,S356,Linea 143,S2017,Linea 144,S690,Linea 141,S538,Linea 104,S2206,Linea 105,S763,Linea 106,S719,Linea 108,S767,Linea 115,S498;S498,Linea 129,S2389,Linea 128,S772,Linea 130,S496,Linea 135,S2390,Linea 136,S452;S452,Linea 136,S2390,Linea 135,S496,Linea 130,S772,Linea 128,S2389,Linea 133,S693,Linea 134,S679;S679,Linea 134,S693,Linea 133,S2389;S2389,Linea 129,S498,Linea 115,S767,Linea 108,S719,Linea 106,S763,Linea 105,S2206,Linea 104,S538,Linea 141,S690,Linea 144,S2017,Linea 143,S356,Linea 97,S2200,Linea 1847,S2199,Linea 46,S2569,Linea 42,S2032,Linea 34,S308,Linea 33,S2412,Linea 27,S2195,Linea 10,S309,Linea 4,S329,Linea 3,S993,Linea 2,S2447,Linea 1506,S176,Linea 1,Base</t>
  </si>
  <si>
    <t>Base,Linea 1,S176,Linea 1506,S2447,Linea 2,S993,Linea 3,S329,Linea 4,S309,Linea 10,S2195,Linea 27,S2412,Linea 33,S308,Linea 34,S2032,Linea 42,S2569,Linea 46,S2199,Linea 1847,S2200,Linea 97,S356,Linea 143,S2017,Linea 144,S690,Linea 141,S538,Linea 104,S2206,Linea 105,S763,Linea 106,S719,Linea 108,S767,Linea 112,S555,Linea 1532,S2578,Linea 142,S556,Linea 1883,S2022,Linea 902,S2001,Linea 1849,S492,Linea 1848,S1041,Linea 230,S487,Linea 229,S2291,Linea 226,S2054,Linea 220,S2458,Linea 214,S788,Linea 216,S2676,Linea 217,S2396,Linea 240,S2395,Linea 243,S1005,Linea 397,S543,Linea 399,S2288,Linea 247,S2418,Linea 249,S611,Linea 250,E291,Linea 252,S853,Linea 254,S851,Linea 257,S591,Linea 258,S876,Linea 263,S886,Linea 264,S868,Linea 270,S869,Linea 278,S864,Linea 277,S2582,Linea 275,S2279,Linea 274,S892,Linea 340,S594,Linea 260,S616,Linea 325,S2522;S2522,Linea 325,S616,Linea 315,S2440,Linea 312,S2426,Linea 321,S588,Linea 320,S2207,Linea 322,S734,Linea 323,S762,Linea 324,S2487;S2487,Linea 324,S762;S762,Linea 323,S734,Linea 322,S2207,Linea 320,S588,Linea 321,S2426;S2426,Linea 312,S2440,Linea 314,S2496,Linea 1497,S707,Linea 365,S613,Linea 369,S721,Linea 368,Planta La Petiza,Linea 367,S1035,Linea 372,S1026,Linea 374,S1015,Linea 373,S1006,Linea 354,S1023,Linea 359,S2263;S2263,Linea 359,S1023,Linea 354,S1006,Linea 373,S1015,Linea 374,S1026,Linea 372,S1035,Linea 367,Planta La Petiza,Linea 368,S721,Linea 369,S613,Linea 370,S687,Linea 392,S709,Linea 393,S710,Linea 413,S722,Linea 414,S774,Linea 415,S2151,Linea 531,S773,Linea 546,S437,Linea 549,S529,Linea 551,S525,Linea 552,S2273,Linea 615,S2634,Linea 614,S469,Linea 616,S460,Linea 632,S2720,Linea 634,S458,Linea 660,S683,Linea 659,S2265,Linea 665,S489,Linea 629,S2077,Linea 631,S629,Linea 905,S783,Linea 1214,Planta Norte,Linea 923,S789,Linea 925,S501,Linea 127,S633,Linea 210,S622,Linea 211,S2552,Linea 1563,S635,Linea 186,S495,Linea 183,S637,Linea 178,S640,Linea 177,S676,Linea 170,S691,Linea 169,S451,Linea 168,S2478,Linea 167,S2510,Linea 164,S678,Linea 162,S662,Linea 161,S246,Linea 158,S680,Linea 1549,S2488,Linea 156,S208,Linea 57,S2253,Linea 52,S326,Linea 8,S2258,Linea 7,S328,Linea 6,S309,Linea 4,S329,Linea 3,S993,Linea 2,S2447,Linea 1506,S176,Linea 1,Base</t>
  </si>
  <si>
    <t>Base,Linea 984,S2185,Linea 985,S310,Linea 1004,S178,Linea 998,S277,Linea 945,S229,Linea 944,S56,Linea 939,S989;S989,Linea 939,S56,Linea 940,S78,Linea 932,S645,Linea 931,S2111,Linea 930,S2110,Linea 736,S2167,Linea 1617,S2168,Linea 584,S849,Linea 582,S938,Linea 581,S2443,Linea 578,S2132,Linea 579,S949,Linea 591,S2129,Linea 592,S2259,Linea 594,S17,Linea 735,S295,Linea 734,S3,Linea 613,Q16,Linea 1626,S2240,Linea 471,S2,Linea 1886,S13,Linea 1887,S2523,Linea 1888,S2606,Linea 523,S2109,Linea 524,S2448,Linea 529,S434,Linea 528,S2124,Linea 530,S966,Linea 421,S2011,Linea 382,S2300,Linea 381,S1037,Linea 383,S2057;S2057,Linea 383,S1037,Linea 381,S2300,Linea 412,S2151,Linea 531,S773,Linea 546,S437,Linea 549,S529,Linea 551,S525,Linea 552,S2273,Linea 615,S2634,Linea 614,S469,Linea 616,S460,Linea 632,S2720,Linea 634,S458,Linea 660,S683,Linea 659,S2265,Linea 665,S489,Linea 629,S2077,Linea 631,S629,Linea 905,S783,Linea 1214,Planta Norte,Linea 923,S789,Linea 925,S501,Linea 127,S633,Linea 210,S622,Linea 211,S2552,Linea 1563,S635,Linea 186,S495,Linea 183,S637,Linea 178,S640,Linea 177,S676,Linea 170,S691,Linea 169,S451,Linea 168,S2478,Linea 167,S2510,Linea 164,S678,Linea 162,S662,Linea 161,S246,Linea 158,S680,Linea 1549,S2488,Linea 156,S208,Linea 57,S2253,Linea 52,S326,Linea 8,S2258,Linea 7,S328,Linea 6,S309,Linea 4,S329,Linea 3,S993,Linea 2,S2447,Linea 1506,S176,Linea 1,Base</t>
  </si>
  <si>
    <t>Base,Linea 984,S2185,Linea 985,S310,Linea 1004,S178,Linea 998,S277,Linea 945,S229,Linea 944,S56,Linea 940,S78,Linea 932,S645,Linea 931,S2111,Linea 930,S2110,Linea 736,S2167,Linea 1617,S2168,Linea 584,S849,Linea 582,S938,Linea 581,S2443,Linea 578,S2132,Linea 579,S949,Linea 591,S2129,Linea 592,S2259,Linea 594,S17,Linea 735,S295,Linea 734,S3,Linea 613,Q16,Linea 1626,S2240,Linea 471,S2,Linea 1886,S13,Linea 1887,S2523,Linea 1888,S2606,Linea 526,S2614,Linea 525,S2461;S2461,Linea 454,S2594,Linea 442,S2595,Linea 441,S2620,Linea 446,S2638,Linea 447,S2652,Linea 448,S2645,Linea 450,S2642,Linea 457,S2621,Linea 466,S2223,Linea 455,S2639;S2639,Linea 455,S2223,Linea 467,S26,Linea 469,S2523,Linea 1888,S2606,Linea 523,S2109,Linea 521,S2123;S2123,Linea 521,S2109,Linea 523,S2606,Linea 1888,S2523,Linea 1887,S13,Linea 473,S2245,Linea 472,S2107;S2107,Linea 472,S2245,Linea 473,S13,Linea 1886,S2,Linea 471,S2240,Linea 1593,Q16,Linea 613,S3,Linea 734,S295,Linea 735,S17,Linea 596,S2293,Linea 597,S4,Linea 598,S2324,Linea 600,S2196,Linea 599,S2689;S2689,Linea 599,S2196,Linea 600,S2324,Linea 598,S4,Linea 597,S2293,Linea 596,S17,Linea 594,S2259,Linea 592,S2129,Linea 591,S949,Linea 579,S2132,Linea 578,S2443,Linea 581,S938,Linea 582,S849,Linea 584,S2168,Linea 1617,S2167,Linea 736,S2110,Linea 930,S2111,Linea 931,S645,Linea 932,S78,Linea 940,S56,Linea 944,S229,Linea 945,S277,Linea 998,S178,Linea 1004,S310,Linea 985,S2185,Linea 984,Base</t>
  </si>
  <si>
    <t>Base,Linea 1,S176,Linea 1506,S2447,Linea 2,S993,Linea 3,S329,Linea 4,S309,Linea 6,S328,Linea 7,S2258,Linea 8,S326,Linea 52,S2253,Linea 55,S254,Linea 60,S234,Linea 987,S271,Linea 989,S950,Linea 729,S379,Linea 727,S578,Linea 1651,S2454,Linea 722,S986,Linea 720,S2349,Linea 719,S250,Linea 716,S2277;S2277,Linea 716,S250,Linea 717,S2334,Linea 934,S2111,Linea 930,S2110,Linea 736,S2167,Linea 1617,S2168,Linea 584,S849,Linea 582,S938,Linea 581,S2443,Linea 578,S2132,Linea 579,S949,Linea 591,S2129,Linea 592,S2259,Linea 594,S17,Linea 735,S295,Linea 734,S3,Linea 613,Q16,Linea 1626,S2240,Linea 471,S2,Linea 1886,S13,Linea 1887,S2523,Linea 469,S26,Linea 467,S2223,Linea 466,S2621,Linea 457,S2642,Linea 450,S2645,Linea 449,S2660,Linea 1863,S2669;S2669,Linea 1863,S2660,Linea 449,S2645,Linea 448,S2652,Linea 447,S2638,Linea 446,S2620,Linea 440,S2617,Linea 436,S2105,Linea 435,S2668;S2668,Linea 434,S2120,Linea 438,S2594,Linea 454,S2461,Linea 525,S2614;S2614,Linea 526,S2606,Linea 1888,S2523,Linea 1887,S13,Linea 474,S2530;S2530,Linea 474,S13,Linea 1886,S2,Linea 471,S2240,Linea 1593,Q16,Linea 613,S3,Linea 734,S295,Linea 735,S17,Linea 594,S2259,Linea 592,S2129,Linea 591,S949,Linea 579,S2132,Linea 578,S2443,Linea 581,S938,Linea 582,S849,Linea 584,S2168,Linea 1617,S2167,Linea 736,S2110,Linea 930,S2111,Linea 931,S645,Linea 932,S78,Linea 940,S56,Linea 944,S229,Linea 945,S277,Linea 998,S178,Linea 1004,S310,Linea 986,S951,Linea 996,S255,Linea 997,S953;S953,Linea 997,S255,Linea 996,S951,Linea 986,S310,Linea 985,S2185,Linea 984,Base</t>
  </si>
  <si>
    <t>Base,Linea 1,S176,Linea 1506,S2447,Linea 2,S993,Linea 3,S329,Linea 4,S309,Linea 6,S328,Linea 7,S2258,Linea 8,S326,Linea 52,S2253,Linea 57,S208,Linea 156,S2488,Linea 1548,S680,Linea 158,S246,Linea 161,S662,Linea 162,S678,Linea 164,S2510,Linea 167,S2478,Linea 168,S451,Linea 169,S691,Linea 170,S676,Linea 177,S640,Linea 180,S638,Linea 185,S516,Linea 406,S442,Linea 682,S2527,Linea 192,S636;S636,Linea 192,S2527,Linea 193,S625,Linea 194,S697,Linea 681,S401,Linea 493,S2013,Linea 492,S397,Linea 494,S2351,Linea 495,S2035,Linea 679,S642,Linea 680,S2575,Linea 408,S430,Linea 910,S2029,Linea 909,S494,Linea 908,S630,Linea 907,S504;S504,Linea 907,S630,Linea 908,S494,Linea 909,S2029,Linea 910,S430,Linea 408,S2575,Linea 680,S642,Linea 679,S2035,Linea 495,S2351,Linea 494,S397,Linea 490,S2036,Linea 1599,S2359,Linea 687,S440,Linea 689,S2047,Linea 688,S2278,Linea 927,S2231,Linea 718,S250,Linea 716,S2277,Linea 715,S2360,Linea 938,S2377;S2377,Linea 938,S2360,Linea 715,S2277,Linea 716,S250,Linea 717,S2334,Linea 934,S2111,Linea 931,S645,Linea 932,S78,Linea 940,S56,Linea 944,S229,Linea 943,S167,Linea 946,S2147,Linea 966,S2465,Linea 1715,S546,Linea 1212,S962,Linea 1008,S315,Linea 746,S2572,Linea 745,S999,Linea 744,S2529;S2529,Linea 744,S999,Linea 745,S2572,Linea 746,S315,Linea 1008,S962,Linea 1212,S546,Linea 1753,S2465,Linea 966,S2147,Linea 946,S167,Linea 943,S229,Linea 944,S56,Linea 940,S78,Linea 932,S645,Linea 931,S2111,Linea 930,S2110,Linea 736,S2167,Linea 1617,S2168;S2168,Linea 1617,S2167,Linea 736,S2110,Linea 930,S2111,Linea 931,S645,Linea 932,S78,Linea 940,S56,Linea 944,S229,Linea 945,S277,Linea 998,S178,Linea 1004,S310,Linea 985,S2185,Linea 984,Base</t>
  </si>
  <si>
    <t>Base,Linea 19,S159,Linea 20,S545;S545,Linea 20,S159,Linea 19,Base,Linea 984,S2185,Linea 985,S310,Linea 1004,S178,Linea 998,S277,Linea 945,S229,Linea 943,S167,Linea 946,S2147,Linea 964,S2146,Linea 949,S31,Linea 950,S2094,Linea 1711,S33,Linea 1222,S927,Linea 1754,S115,Linea 1085,S944,Linea 1077,S2667,Linea 1078,S793,Linea 1076,S791,Linea 1221,S760,Linea 1073,S794,Linea 1297,S759,Linea 1306,S834,Linea 1307,S839,Linea 1300,TS1,Linea 1269,S842,Linea 1268,S912,Linea 1850,S802,Linea 1266,S903;S903,Linea 1301,S2379,Linea 1311,S744,Linea 1321,S747,Linea 1324,S752,Linea 1326,S2640,Linea 1246,S2627,Linea 1247,S2657,Linea 1260,S925,Linea 1337,S924,Linea 1330,S2717,Linea 1333,S2718,Linea 1334,S2698,Linea 1335,S2711,Linea 1336,S2694,Linea 608,S2619,Linea 606,S2683,Linea 601,S2689,Linea 599,S2196,Linea 600,S2324,Linea 598,S4,Linea 597,S2293,Linea 596,S17,Linea 735,S295,Linea 734,S3,Linea 613,Q16,Linea 1626,S2240,Linea 471,S2,Linea 1886,S13,Linea 1887,S2523,Linea 517,Q17,Linea 516,S2236,Linea 511,S509,Linea 512,S427,Linea 506,S420,Linea 505,S418,Linea 484,S2297;S2297,Linea 484,S418,Linea 505,S420,Linea 506,S427,Linea 512,S509,Linea 511,S2236,Linea 516,Q17,Linea 517,S2523,Linea 1888,S2606,Linea 523,S2109,Linea 524,S2448,Linea 529,S434,Linea 528,S2124,Linea 530,S966,Linea 421,S2011,Linea 382,S2300,Linea 412,S2151,Linea 415,S774,Linea 414,S722,Linea 413,S710,Linea 393,S709,Linea 392,S687,Linea 370,S613,Linea 365,S707,Linea 1497,S2496,Linea 314,S2440,Linea 315,S616,Linea 326,S2431;S2431,Linea 326,S616,Linea 260,S594,Linea 340,S892,Linea 274,S2279,Linea 275,S2582,Linea 277,S864,Linea 278,S869,Linea 270,S868,Linea 264,S886,Linea 263,S876,Linea 258,S591,Linea 257,S851,Linea 254,S853,Linea 252,E291,Linea 250,S611,Linea 249,S2418,Linea 247,S2288,Linea 399,S543,Linea 397,S1005,Linea 243,S2395,Linea 240,S2396,Linea 217,S2676,Linea 216,S788,Linea 214,S2458,Linea 220,S2054,Linea 226,S2291,Linea 229,S487,Linea 230,S1041,Linea 1848,S492,Linea 1849,S2001,Linea 902,S2022,Linea 1883,S556,Linea 142,S2578,Linea 1821,S555,Linea 112,S767,Linea 108,S719,Linea 106,S763,Linea 105,S2206,Linea 104,S538,Linea 141,S690,Linea 144,S2017,Linea 143,S356,Linea 97,S2200,Linea 1847,S2199,Linea 46,S2569,Linea 42,S2032,Linea 34,S308,Linea 33,S2412,Linea 27,S2195,Linea 10,S309,Linea 4,S329,Linea 3,S993,Linea 2,S2447,Linea 1506,S176,Linea 1,Base</t>
  </si>
  <si>
    <t>Base,Linea 1,S176,Linea 1506,S2447,Linea 2,S993,Linea 3,S329,Linea 4,S309,Linea 6,S328,Linea 7,S2258,Linea 8,S326,Linea 52,S2253,Linea 55,S254,Linea 54,S270,Linea 59,S981;S981,Linea 59,S270,Linea 54,S254,Linea 60,S234,Linea 987,S271,Linea 989,S950,Linea 729,S379,Linea 727,S578,Linea 1651,S2454,Linea 722,S986,Linea 720,S2349,Linea 719,S250,Linea 717,S2334,Linea 934,S2111,Linea 930,S2110,Linea 736,S2167,Linea 1617,S2168,Linea 584,S849,Linea 582,S938,Linea 587,S2511,Linea 588,S932,Linea 589,S577,Linea 1052,S808,Linea 1067,S787,Linea 1068,S761;S761,Linea 1068,S787,Linea 1067,S808,Linea 1052,S577,Linea 589,S932,Linea 588,S2511,Linea 587,S938,Linea 581,S2443,Linea 578,S2132,Linea 579,S949,Linea 591,S2129,Linea 592,S2259,Linea 594,S17,Linea 735,S295,Linea 734,S3,Linea 613,Q16,Linea 1626,S2240,Linea 471,S2,Linea 1886,S13,Linea 1887,S2523,Linea 1888,S2606,Linea 526,S2614,Linea 525,S2461,Linea 454,S2594,Linea 438,S2120,Linea 434,S2668,Linea 435,S2105,Linea 432,S2632,Linea 431,S2121,Linea 430,S2659;S2659,Linea 430,S2121,Linea 431,S2632,Linea 432,S2105,Linea 435,S2668,Linea 434,S2120,Linea 438,S2594,Linea 454,S2461,Linea 525,S2614,Linea 526,S2606,Linea 1888,S2523,Linea 1887,S13,Linea 1886,S2,Linea 471,S2240,Linea 1593,Q16,Linea 613,S3,Linea 734,S295,Linea 735,S17,Linea 594,S2259,Linea 592,S2129,Linea 591,S949,Linea 579,S2132,Linea 578,S2443,Linea 581,S938,Linea 582,S849,Linea 584,S2168,Linea 1617,S2167,Linea 736,S2110,Linea 930,S2111,Linea 931,S645,Linea 932,S78,Linea 940,S56,Linea 944,S229,Linea 945,S277,Linea 998,S178,Linea 1004,S310,Linea 985,S2185,Linea 984,Base</t>
  </si>
  <si>
    <t>Base,Linea 1,S176,Linea 1506,S2447,Linea 2,S993,Linea 3,S329,Linea 4,S309,Linea 6,S328,Linea 7,S2258,Linea 8,S326,Linea 52,S2253,Linea 57,S208,Linea 156,S2488,Linea 1548,S680,Linea 158,S246,Linea 161,S662,Linea 162,S678,Linea 164,S2510,Linea 167,S2478,Linea 168,S451,Linea 169,S691,Linea 170,S676,Linea 177,S640,Linea 178,S637,Linea 183,S495,Linea 186,S635,Linea 1555,S2552,Linea 211,S622,Linea 210,S633,Linea 127,S501,Linea 925,S789,Linea 923,Planta Norte,Linea 1899,S2239;S2239,Linea 1899,Planta Norte,Linea 1214,S783,Linea 905,S629,Linea 631,S2077,Linea 629,S489,Linea 665,S2265,Linea 659,S683,Linea 637,S458,Linea 634,S2720,Linea 632,S460,Linea 616,S469,Linea 614,S2634,Linea 615,S2273,Linea 552,S525,Linea 551,S529,Linea 549,S437,Linea 546,S773,Linea 531,S2151,Linea 415,S774,Linea 414,S722,Linea 413,S710,Linea 393,S709,Linea 392,S687,Linea 370,S613,Linea 369,S721,Linea 368,Planta La Petiza,Linea 366,S1039,Linea 361,S790,Linea 342,S1029,Linea 349,S2470,Linea 348,S2655;S2655,Linea 348,S2470,Linea 350,S1020,Linea 1496,S1033,Linea 376,S1036,Linea 416,S1028,Linea 378,S2007,Linea 418,S2040,Linea 420,S2635,Linea 439,S2122,Linea 451,S2614,Linea 526,S2606,Linea 1888,S2523,Linea 1887,S13,Linea 1886,S2,Linea 471,S2240,Linea 1593,Q16,Linea 613,S3,Linea 734,S295,Linea 735,S17,Linea 596,S2293,Linea 597,S4,Linea 598,S2324,Linea 600,S2196,Linea 599,S2689,Linea 605,S581,Linea 609,S2682,Linea 1623,S2678;S2678,Linea 1623,S2682,Linea 609,S581,Linea 610,S2688,Linea 611,S2685,Linea 612,S2699;S2699,Linea 612,S2685,Linea 611,S2688,Linea 610,S581,Linea 605,S2689,Linea 599,S2196,Linea 600,S2324,Linea 598,S4,Linea 597,S2293,Linea 596,S17,Linea 594,S2259,Linea 592,S2129,Linea 591,S949,Linea 579,S2132,Linea 578,S2443,Linea 581,S938,Linea 582,S849,Linea 584,S2168,Linea 1617,S2167,Linea 736,S2110,Linea 930,S2111,Linea 931,S645,Linea 932,S78,Linea 940,S56,Linea 944,S229,Linea 945,S277,Linea 998,S178,Linea 1004,S310,Linea 985,S2185,Linea 984,Base</t>
  </si>
  <si>
    <t>Base,Linea 1,S176,Linea 1506,S2447,Linea 2,S993,Linea 3,S329,Linea 4,S309,Linea 6,S328,Linea 7,S2258;S2258,Linea 8,S326,Linea 52,S2253,Linea 57,S208,Linea 156,S2488,Linea 1548,S680,Linea 158,S246,Linea 161,S662,Linea 701,S668,Linea 731,S567,Linea 700,S677;S677,Linea 175,S661,Linea 174,S2601,Linea 173,S691,Linea 169,S451,Linea 168,S2478;S2478,Linea 167,S2510,Linea 164,S678,Linea 162,S662,Linea 701,S668;S668,Linea 701,S662,Linea 161,S246,Linea 158,S680,Linea 1549,S2488,Linea 156,S208,Linea 57,S2253,Linea 52,S326,Linea 8,S2258,Linea 7,S328,Linea 6,S309,Linea 4,S329,Linea 3,S993,Linea 2,S2447,Linea 1506,S176,Linea 1,Base</t>
  </si>
  <si>
    <t>Base,Linea 12,S2401,Linea 1510,S2249,Linea 973,S192,Linea 754,S2408,Linea 752,S370,Linea 1842,S2421,Linea 741,S980,Linea 740,S377,Linea 748,S381,Linea 747,S2572,Linea 746,S315,Linea 1017,S59,Linea 1295,S2116,Linea 1293,S1,Linea 1292,S2189,Linea 797,S2095,Linea 1825,S2479,Linea 795,S189,Linea 1826,S18,Linea 1177,S2243,Linea 807,S205,Linea 1181,S2139,Linea 1180,S8,Linea 1183,S223,Linea 1189,S224,Linea 1190,S203,Linea 1187,S2586,Linea 1192,S2584,Linea 1205,S138,Linea 1208,S2101,Linea 1462,S183,Linea 1829,S2135,Linea 1814,S2541,Linea 1459,S206,Linea 826,S715,Linea 827,S2356;S2356,Linea 1456,S151,Linea 1489,S2304,Linea 1461,S984,Linea 1447,S2093,Linea 1440,S2089,Linea 1438,S257,Linea 1437,S2074,Linea 1442,S2092,Linea 1835,S2319;S2319,Linea 1835,S2092,Linea 1442,S2074,Linea 1437,S257,Linea 1438,S2089,Linea 1440,S2093,Linea 1447,S984,Linea 1461,S2304,Linea 1489,S151,Linea 1456,S2356,Linea 827,S715,Linea 826,S206,Linea 1459,S2541,Linea 1794,S2135,Linea 1829,S183,Linea 1462,S2101,Linea 1208,S138,Linea 1751,S2438;S2438,Linea 1803,S138,Linea 1205,S2584,Linea 1192,S2586,Linea 1187,S203,Linea 1748,S2136;S2136,Linea 1748,S203,Linea 1190,S224,Linea 1189,S223,Linea 1183,S8,Linea 1180,S2139,Linea 1181,S205,Linea 807,S2243,Linea 1177,S18,Linea 1826,S189,Linea 795,S2479,Linea 1825,S2095,Linea 797,S2189,Linea 1292,S1,Linea 1293,S2116,Linea 1295,S59,Linea 1017,S315,Linea 746,S2572,Linea 747,S381,Linea 748,S377,Linea 740,S980,Linea 741,S2421,Linea 1842,S370,Linea 752,S2408,Linea 754,S192,Linea 973,S2249,Linea 1816,S2401,Linea 12,Base</t>
  </si>
  <si>
    <t>Base,Linea 984,S2185,Linea 985,S310,Linea 1004,S178,Linea 998,S277,Linea 945,S229,Linea 944,S56,Linea 940,S78,Linea 932,S645,Linea 931,S2111,Linea 934,S2334,Linea 1648,S77,Linea 713,S236,Linea 1646,S2231,Linea 927,S2278,Linea 684,S2368;S2368,Linea 684,S2278,Linea 688,S2047,Linea 689,S440,Linea 687,S2359,Linea 1644,S2036,Linea 490,S397,Linea 690,S2028;S2028,Linea 690,S397,Linea 490,S2036,Linea 1599,S2359,Linea 687,S440,Linea 689,S2047,Linea 688,S2278,Linea 927,S2231,Linea 1649,S236,Linea 713,S77,Linea 1647,S2334,Linea 934,S2111,Linea 931,S645,Linea 932,S78,Linea 940,S56,Linea 944,S229,Linea 943,S167,Linea 946,S2147,Linea 966,S2465,Linea 1715,S546,Linea 1212,S962,Linea 1008,S315,Linea 1017,S59,Linea 1295,S2116,Linea 1293,S1,Linea 1292,S2189,Linea 797,S2095,Linea 1825,S2479,Linea 795,S189,Linea 1826,S18,Linea 1177,S2243,Linea 807,S205,Linea 1181,S2139,Linea 1180,S8,Linea 1183,S223,Linea 1182,S2611;S2611,Linea 1182,S223,Linea 1183,S8,Linea 1180,S2139,Linea 1181,S205,Linea 807,S2243,Linea 1177,S18,Linea 1826,S189,Linea 795,S2479,Linea 1825,S2095,Linea 797,S2189,Linea 1292,S1,Linea 1293,S2116,Linea 1295,S59,Linea 1017,S315,Linea 746,S2572,Linea 747,S381,Linea 748,S377,Linea 740,S980,Linea 741,S2421,Linea 1842,S370,Linea 752,S2408,Linea 754,S192,Linea 973,S2249,Linea 1816,S2401,Linea 12,Base</t>
  </si>
  <si>
    <t>Base,Linea 1,S176,Linea 1506,S2447,Linea 2,S993,Linea 3,S329,Linea 4,S309,Linea 6,S328,Linea 7,S2258,Linea 8,S326,Linea 52,S2253,Linea 57,S208,Linea 156,S2488,Linea 1548,S680,Linea 158,S246,Linea 161,S662,Linea 162,S678,Linea 164,S2510,Linea 167,S2478,Linea 168,S451,Linea 169,S691,Linea 170,S676,Linea 177,S640,Linea 178,S637,Linea 183,S495,Linea 186,S635,Linea 1555,S2552,Linea 211,S622,Linea 210,S633,Linea 127,S501,Linea 925,S789,Linea 923,Planta Norte,Linea 1214,S783,Linea 905,S629,Linea 631,S2077,Linea 629,S489,Linea 665,S2265,Linea 659,S683,Linea 637,S458,Linea 638,S2343;S2343,Linea 638,S458,Linea 634,S2720,Linea 662,S2445,Linea 628,S2262,Linea 627,S2560,Linea 626,S958,Linea 238,S2386,Linea 620,E290,Linea 621,S523,Linea 215,S788,Linea 216,S2676,Linea 217,S2396,Linea 240,S2395,Linea 243,S1005,Linea 397,S543,Linea 399,S2288,Linea 247,S2418,Linea 249,S611,Linea 250,E291,Linea 252,S853,Linea 254,S851,Linea 257,S591,Linea 258,S876,Linea 263,S886,Linea 264,S868,Linea 270,S869,Linea 278,S864,Linea 281,S850,Linea 280,S856,Linea 283,S857,Linea 282,S866,Linea 288,S871;S871,Linea 288,S866,Linea 282,S857,Linea 283,S856,Linea 280,S850,Linea 281,S864,Linea 278,S869,Linea 270,S868,Linea 264,S886,Linea 263,S876,Linea 258,S591,Linea 257,S851,Linea 254,S853,Linea 252,E291,Linea 250,S611,Linea 249,S2418,Linea 247,S2288,Linea 399,S543,Linea 397,S1005,Linea 243,S2395,Linea 240,S2396,Linea 217,S2676,Linea 216,S788,Linea 214,S2458,Linea 220,S2054,Linea 226,S2291,Linea 229,S487,Linea 230,S1041,Linea 1848,S492,Linea 1849,S2001,Linea 902,S2022,Linea 1883,S556,Linea 142,S2578,Linea 1821,S555,Linea 112,S767,Linea 108,S719,Linea 106,S763,Linea 105,S2206,Linea 104,S538,Linea 141,S690,Linea 144,S2017,Linea 143,S356,Linea 97,S2200,Linea 1847,S2199,Linea 46,S2569,Linea 42,S2032,Linea 34,S308,Linea 33,S2412,Linea 27,S2195,Linea 10,S309,Linea 4,S329,Linea 3,S993,Linea 2,S2447,Linea 1506,S176,Linea 1,Base</t>
  </si>
  <si>
    <t>Base,Linea 984,S2185,Linea 985,S310,Linea 1004,S178,Linea 998,S277,Linea 945,S229,Linea 943,S167,Linea 946,S2147,Linea 964,S2146,Linea 949,S31,Linea 950,S2094,Linea 1711,S33,Linea 1222,S927,Linea 1754,S115,Linea 1085,S944,Linea 1077,S2667,Linea 1078,S793,Linea 1076,S791,Linea 1221,S760,Linea 1073,S794,Linea 1297,S759,Linea 1306,S834,Linea 1307,S839,Linea 1313,S725,Linea 1310,S744,Linea 1321,S747,Linea 1319,S745;S745,Linea 1319,S747,Linea 1324,S752,Linea 1326,S2640,Linea 1246,S2627,Linea 1247,S2657,Linea 1260,S925,Linea 1337,S924,Linea 1330,S2717,Linea 1333,S2718,Linea 1334,S2698,Linea 1335,S2711,Linea 1336,S2694,Linea 608,S2619,Linea 606,S2683,Linea 601,S2689,Linea 605,S581,Linea 610,S2688,Linea 1869,S2693,Linea 1871,S2705;S2705,Linea 1871,S2693,Linea 1869,S2688,Linea 610,S581,Linea 605,S2689,Linea 601,S2683,Linea 606,S2619,Linea 608,S2694,Linea 1336,S2711,Linea 1335,S2698,Linea 1893,S2709;S2709,Linea 1893,S2698;S2698,Linea 1335,S2711,Linea 1336,S2694,Linea 608,S2619,Linea 606,S2683,Linea 601,S2689,Linea 599,S2196,Linea 600,S2324,Linea 598,S4,Linea 597,S2293,Linea 596,S17,Linea 735,S295,Linea 734,S3,Linea 613,Q16,Linea 1626,S2240,Linea 471,S2,Linea 1886,S13,Linea 1887,S2523,Linea 517,Q17,Linea 516,S2236,Linea 511,S509,Linea 512,S427,Linea 506,S420,Linea 509,S2051;S2051,Linea 509,S420,Linea 506,S427,Linea 512,S509,Linea 511,S2236,Linea 516,Q17,Linea 517,S2523,Linea 1887,S13,Linea 1886,S2,Linea 471,S2240,Linea 1593,Q16,Linea 613,S3,Linea 734,S295,Linea 735,S17,Linea 594,S2259,Linea 592,S2129,Linea 591,S949,Linea 579,S2132,Linea 578,S2443,Linea 581,S938,Linea 582,S849,Linea 584,S2168,Linea 1617,S2167,Linea 736,S2110,Linea 930,S2111,Linea 931,S645,Linea 932,S78,Linea 940,S56,Linea 944,S229,Linea 945,S277,Linea 998,S178,Linea 1004,S310,Linea 985,S2185,Linea 984,Base</t>
  </si>
  <si>
    <t>Base,Linea 984,S2185,Linea 985,S310,Linea 1004,S178,Linea 998,S277,Linea 945,S229,Linea 944,S56,Linea 940,S78,Linea 932,S645,Linea 931,S2111,Linea 930,S2110,Linea 736,S2167,Linea 1617,S2168,Linea 584,S849,Linea 582,S938,Linea 587,S2511,Linea 586,S948,Linea 585,S2662,Linea 1050,S937;S937,Linea 1050,S2662,Linea 1051,S911,Linea 1218,S2315,Linea 1217,S906;S906,Linea 1217,S2315;S2315,Linea 1218,S911,Linea 1051,S2662,Linea 585,S948,Linea 586,S2511,Linea 587,S938,Linea 582,S849,Linea 584,S2168,Linea 1617,S2167,Linea 736,S2110,Linea 930,S2111,Linea 931,S645,Linea 932,S78,Linea 940,S56,Linea 944,S229,Linea 945,S277,Linea 998,S178,Linea 1004,S310,Linea 985,S2185,Linea 984,Base</t>
  </si>
  <si>
    <t>Base,Linea 14,S278,Linea 15,S2250,Linea 16,S977,Linea 17,S245,Linea 1340,S186,Linea 901,S539,Linea 1408,S2376,Linea 1346,S190,Linea 1395,S232,Linea 1396,S2125,Linea 1397,S272,Linea 1838,S304,Linea 1400,S337;S337,Linea 1404,S872,Linea 1403,S292,Linea 1401,S177,Linea 1402,S2371;S2371,Linea 1402,S177,Linea 1401,S292,Linea 1352,S117,Linea 1353,S293,Linea 1355,S231,Linea 890,S2565;S2565,Linea 890,S231,Linea 1355,S293,Linea 1353,S117,Linea 1352,S292,Linea 1351,S291,Linea 1350,S643,Linea 888,S299,Linea 894,S2489,Linea 895,S259,Linea 1691,S2127;S2127,Linea 1691,S259,Linea 895,S2489,Linea 894,S299,Linea 888,S643,Linea 1347,S2314,Linea 1348,S232,Linea 1395,S190,Linea 1346,S2376,Linea 1408,S539,Linea 901,S186,Linea 1340,S245,Linea 1341,S2416,Linea 69,S154,Linea 70,S2060;S2060,Linea 70,S154,Linea 69,S2416,Linea 1341,S245,Linea 17,S977,Linea 16,S2250,Linea 15,S278,Linea 14,Base</t>
  </si>
  <si>
    <t>Base,Linea 1,S176,Linea 1506,S2447,Linea 2,S993,Linea 3,S329,Linea 4,S309,Linea 6,S328,Linea 7,S2258,Linea 8,S326,Linea 52,S2253,Linea 57,S208,Linea 156,S2488,Linea 1548,S680,Linea 158,S246,Linea 161,S662,Linea 162,S678,Linea 164,S2510,Linea 167,S2478,Linea 168,S451,Linea 169,S691,Linea 170,S676,Linea 177,S640,Linea 178,S637,Linea 183,S495,Linea 186,S635,Linea 1555,S2552,Linea 211,S622,Linea 210,S633,Linea 127,S501,Linea 925,S789,Linea 923,Planta Norte,Linea 1214,S783,Linea 903,S2521,Linea 1694,S2490;S2490,Linea 1694,S2521,Linea 903,S783,Linea 905,S629,Linea 631,S2077,Linea 629,S489,Linea 665,S2265,Linea 659,S683,Linea 637,S458,Linea 634,S2720,Linea 632,S460,Linea 616,S469,Linea 614,S2634,Linea 615,S2273,Linea 552,S525,Linea 551,S529,Linea 549,S437,Linea 546,S773,Linea 531,S2151,Linea 415,S774,Linea 414,S722,Linea 413,S710,Linea 393,S709,Linea 392,S687,Linea 370,S613,Linea 369,S721,Linea 368,Planta La Petiza,Linea 367,S1035,Linea 372,S1026,Linea 374,S1015,Linea 373,S1006,Linea 354,S1023,Linea 344,S1018,Linea 346,S2518,Linea 347,S2075;S2075,Linea 347,S2518,Linea 346,S1018,Linea 344,S1023,Linea 354,S1006,Linea 373,S1015,Linea 374,S1026,Linea 372,S1035,Linea 367,Planta La Petiza,Linea 368,S721,Linea 369,S613,Linea 365,S707,Linea 1497,S2496;S2496,Linea 314,S2440,Linea 312,S2426,Linea 321,S588,Linea 320,S2207;S2207,Linea 320,S588,Linea 321,S2426,Linea 312,S2440,Linea 314,S2496,Linea 1497,S707,Linea 318,S2404,Linea 313,S2497;S2497,Linea 313,S2404,Linea 318,S707,Linea 365,S613,Linea 370,S687,Linea 392,S709,Linea 393,S710,Linea 413,S722,Linea 414,S774,Linea 415,S2151,Linea 531,S773,Linea 546,S437,Linea 549,S529,Linea 551,S525,Linea 552,S2273,Linea 615,S2634,Linea 614,S469,Linea 616,S460,Linea 632,S2720,Linea 634,S458,Linea 660,S683,Linea 659,S2265,Linea 665,S489,Linea 629,S2077,Linea 631,S629,Linea 905,S783,Linea 1214,Planta Norte,Linea 923,S789,Linea 925,S501,Linea 127,S633,Linea 210,S622,Linea 211,S2552,Linea 1563,S635,Linea 186,S495,Linea 183,S637,Linea 178,S640,Linea 177,S676,Linea 170,S691,Linea 169,S451,Linea 168,S2478,Linea 167,S2510,Linea 164,S678,Linea 162,S662,Linea 161,S246,Linea 158,S680,Linea 1549,S2488,Linea 156,S208,Linea 57,S2253,Linea 52,S326,Linea 8,S2258,Linea 7,S328,Linea 6,S309,Linea 4,S329,Linea 3,S993,Linea 2,S2447,Linea 1506,S176,Linea 1,Base</t>
  </si>
  <si>
    <t>Base,Linea 14,S278,Linea 15,S2250,Linea 16,S977,Linea 1512,S2484;S2484,Linea 1512,S977,Linea 17,S245,Linea 1340,S186,Linea 901,S539,Linea 1408,S2376,Linea 1346,S190,Linea 1395,S232,Linea 1348,S2314,Linea 1347,S643,Linea 892,S290,Linea 891,S2061,Linea 877,S2190,Linea 867,S2044,Linea 864,S288;S288,Linea 864,S2044;S2044,Linea 867,S2190;S2190,Linea 877,S2061,Linea 891,S290,Linea 892,S643,Linea 1347,S2314,Linea 1348,S232,Linea 1395,S190,Linea 1346,S2376,Linea 1408,S539,Linea 901,S186,Linea 1340,S245,Linea 17,S977,Linea 16,S2250,Linea 15,S278,Linea 14,Base</t>
  </si>
  <si>
    <t>Base,Linea 984,S2185,Linea 985,S310,Linea 1004,S178,Linea 998,S277,Linea 945,S229,Linea 944,S56,Linea 940,S78,Linea 932,S645,Linea 931,S2111,Linea 930,S2110,Linea 736,S2167,Linea 1617,S2168,Linea 584,S849,Linea 582,S938,Linea 587,S2511,Linea 586,S948;S948,Linea 586,S2511,Linea 587,S938,Linea 581,S2443,Linea 578,S2132,Linea 579,S949,Linea 591,S2129,Linea 592,S2259,Linea 594,S17,Linea 735,S295,Linea 734,S3,Linea 613,Q16,Linea 1626,S2240,Linea 471,S2,Linea 1886,S13,Linea 1887,S2523,Linea 1888,S2606,Linea 523,S2109,Linea 524,S2448;S2448,Linea 529,S434,Linea 528,S2124,Linea 423,S2604;S2604,Linea 423,S2124,Linea 528,S434,Linea 529,S2448,Linea 524,S2109,Linea 523,S2606,Linea 1888,S2523,Linea 1887,S13,Linea 1886,S2,Linea 471,S2240,Linea 1593,Q16,Linea 613,S3,Linea 734,S295,Linea 735,S17,Linea 594,S2259,Linea 592,S2129,Linea 591,S949,Linea 579,S2132,Linea 578,S2443,Linea 581,S938,Linea 582,S849,Linea 584,S2168,Linea 1617,S2167,Linea 736,S2110,Linea 930,S2111,Linea 931,S645,Linea 932,S78,Linea 940,S56,Linea 944,S229,Linea 945,S277,Linea 998,S178,Linea 1004,S310,Linea 985,S2185,Linea 984,Base</t>
  </si>
  <si>
    <t>Base,Linea 1,S176,Linea 1506,S2447,Linea 2,S993,Linea 3,S329,Linea 4,S309,Linea 10,S2195,Linea 27,S2412,Linea 33,S308,Linea 34,S2032,Linea 42,S2569,Linea 46,S2199,Linea 1847,S2200;S2200,Linea 98,S551,Linea 100,S781,Linea 409,S2321,Linea 88,S2004;S2004,Linea 82,S2014,Linea 83,S2545;S2545,Linea 84,S2227,Linea 78,S558,Linea 77,S100,Linea 75,S156,Linea 74,S155,Linea 71,S154,Linea 69,S2416,Linea 1341,S245,Linea 17,S977,Linea 16,S2250,Linea 15,S278,Linea 14,Base,Linea 12,S2401,Linea 1510,S2249,Linea 973,S192,Linea 754,S2408,Linea 752,S370,Linea 1842,S2421,Linea 741,S980,Linea 740,S377,Linea 748,S381,Linea 747,S2572,Linea 745,S999;S999,Linea 745,S2572,Linea 747,S381,Linea 748,S377,Linea 740,S980,Linea 741,S2421,Linea 1842,S370,Linea 752,S2408,Linea 754,S192,Linea 973,S2249,Linea 1816,S2401,Linea 12,Base,Linea 14,S278,Linea 15,S2250,Linea 16,S977,Linea 17,S245,Linea 1340,S186,Linea 901,S539,Linea 1394,S971,Linea 879,S2226;S2226,Linea 879,S971,Linea 1394,S539,Linea 901,S186,Linea 1340,S245,Linea 17,S977,Linea 16,S2250,Linea 15,S278,Linea 14,Base</t>
  </si>
  <si>
    <t>Base,Linea 984,S2185,Linea 985,S310,Linea 1004,S178,Linea 998,S277,Linea 945,S229,Linea 944,S56,Linea 940,S78,Linea 932,S645,Linea 931,S2111,Linea 930,S2110,Linea 736,S2167,Linea 1617,S2168,Linea 584,S849,Linea 582,S938,Linea 581,S2443,Linea 578,S2132,Linea 579,S949,Linea 591,S2129,Linea 592,S2259,Linea 594,S17,Linea 596,S2293,Linea 597,S4,Linea 598,S2324,Linea 600,S2196,Linea 599,S2689,Linea 605,S581,Linea 610,S2688,Linea 611,S2685,Linea 612,S2699,Linea 1624,S2704;S2704,Linea 1624,S2699,Linea 612,S2685,Linea 611,S2688,Linea 1869,S2693;S2693,Linea 1870,S2703,Linea 1873,S2713,Linea 1874,S2710;S2710,Linea 1874,S2713,Linea 1873,S2703,Linea 1870,S2693,Linea 1869,S2688,Linea 610,S581,Linea 605,S2689,Linea 599,S2196,Linea 600,S2324,Linea 598,S4,Linea 597,S2293,Linea 596,S17,Linea 594,S2259,Linea 592,S2129,Linea 591,S949,Linea 579,S2132,Linea 578,S2443,Linea 581,S938,Linea 582,S849,Linea 584,S2168,Linea 1617,S2167,Linea 736,S2110,Linea 930,S2111,Linea 931,S645,Linea 932,S78,Linea 940,S56,Linea 944,S229,Linea 945,S277,Linea 998,S178,Linea 1004,S310,Linea 985,S2185,Linea 984,Base</t>
  </si>
  <si>
    <t>Base,Linea 984,S2185,Linea 985,S310,Linea 1004,S178,Linea 998,S277,Linea 945,S229,Linea 943,S167,Linea 946,S2147,Linea 966,S2465,Linea 968,S387,Linea 970,S316,Linea 969,S39,Linea 957,S36,Linea 1027,S2695,Linea 1026,S43,Linea 1088,S2707,Linea 1098,S42,Linea 1853,S2723,Linea 1118,S841,Linea 1114,S2345;S2345,Linea 1114,S841,Linea 1113,S2194,Linea 1110,S803,Linea 1138,S815,Linea 1139,S823,Linea 1143,S2380,Linea 1142,S847;S847,Linea 1136,S2344;S2344,Linea 1136,S847,Linea 1142,S2380,Linea 1143,S823,Linea 1144,S824,Linea 1146,S909;S909,Linea 1151,S2658,Linea 1152,S66,Linea 1156,S63,Linea 1154,S65,Linea 1153,S47,Linea 1150,S832;S832,Linea 1150,S47,Linea 1153,S65,Linea 1154,S63,Linea 1156,S66,Linea 1854,S163,Linea 1092,S2724,Linea 1856,S42,Linea 1098,S2707,Linea 1088,S43,Linea 1026,S2695,Linea 1024,S37,Linea 1846,S2722,Linea 961,S2681;S2681,Linea 954,S38,Linea 963,S2721,Linea 947,S2146,Linea 964,S2147,Linea 946,S167,Linea 943,S229,Linea 945,S277,Linea 998,S178,Linea 1004,S310,Linea 985,S2185,Linea 984,Base,Linea 13,S961;S961,Linea 13,Base</t>
  </si>
  <si>
    <t>Base,Linea 14,S278,Linea 15,S2250,Linea 16,S977,Linea 17,S245,Linea 1340,S186,Linea 901,S539,Linea 1408,S2376,Linea 1346,S190,Linea 1395,S232,Linea 1348,S2314,Linea 1347,S643,Linea 888,S299,Linea 885,S2042;S2042,Linea 885,S299,Linea 888,S643,Linea 1347,S2314,Linea 1348,S232,Linea 1395,S190,Linea 1346,S2376,Linea 1408,S539,Linea 901,S186,Linea 1340,S245,Linea 17,S977,Linea 16,S2250,Linea 15,S278,Linea 14,Base,Linea 1,S176,Linea 1506,S2447,Linea 2,S993,Linea 3,S329,Linea 4,S309,Linea 6,S328,Linea 7,S2258,Linea 8,S326,Linea 52,S2253,Linea 57,S208,Linea 1876,S2216;S2216,Linea 1876,S208,Linea 57,S2253,Linea 52,S326,Linea 8,S2258,Linea 7,S328,Linea 6,S309,Linea 4,S329,Linea 3,S993,Linea 2,S2447,Linea 1506,S176,Linea 1,Base</t>
  </si>
  <si>
    <t>Base,Linea 984,S2185,Linea 985,S310,Linea 1004,S178,Linea 998,S277,Linea 945,S229,Linea 943,S167,Linea 946,S2147,Linea 966,S2465,Linea 968,S387,Linea 970,S316,Linea 969,S39,Linea 957,S36,Linea 1027,S2695,Linea 1026,S43,Linea 1088,S2707,Linea 1098,S42,Linea 1853,S2723,Linea 1118,S841,Linea 1113,S2194,Linea 1110,S803,Linea 1138,S815,Linea 1129,S921,Linea 1273,S2055,Linea 1272,S908,Linea 1271,S597,Linea 1270,S2628;S2628,Linea 1270,S597,Linea 1271,S908,Linea 1272,S2055,Linea 1328,S778,Linea 1128,S779;S779,Linea 1128,S778,Linea 1328,S2055,Linea 1273,S921,Linea 1129,S815,Linea 1139,S823,Linea 1144,S824,Linea 1146,S909,Linea 1151,S2658,Linea 1145,S844,Linea 1135,S914,Linea 1274,S2180,Linea 1275,S2486,Linea 1276,S2034,Linea 1281,S929,Linea 1280,S2366;S2366,Linea 1280,S929,Linea 1281,S2034;S2034,Linea 1276,S2486,Linea 1275,S2180,Linea 1274,S914,Linea 1135,S844,Linea 1140,S2298;S2298,Linea 1140,S844,Linea 1145,S2658,Linea 1151,S909,Linea 1146,S824;S824,Linea 1146,S909,Linea 1151,S2658,Linea 1152,S66,Linea 1854,S163,Linea 1092,S2724,Linea 1856,S42,Linea 1098,S2707,Linea 1088,S43,Linea 1026,S2695,Linea 1027,S36,Linea 957,S39,Linea 969,S316,Linea 970,S387,Linea 968,S2465,Linea 966,S2147,Linea 946,S167,Linea 943,S229,Linea 945,S277,Linea 998,S178,Linea 1004,S310,Linea 985,S2185,Linea 984,Base</t>
  </si>
  <si>
    <t>Base,Linea 14,S278,Linea 15,S2250,Linea 16,S977,Linea 17,S245,Linea 1341,S2416;S2416,Linea 1341,S245,Linea 17,S977,Linea 16,S2250,Linea 15,S278,Linea 14,Base,Linea 984,S2185,Linea 985,S310,Linea 1004,S178,Linea 998,S277,Linea 945,S229,Linea 943,S167,Linea 946,S2147,Linea 964,S2146,Linea 947,S2721,Linea 963,S38,Linea 953,S136,Linea 952,S2706;S2706,Linea 952,S136,Linea 953,S38,Linea 963,S2721,Linea 947,S2146,Linea 949,S31,Linea 950,S2094,Linea 1711,S33,Linea 1222,S927,Linea 1754,S115,Linea 1085,S944,Linea 1077,S2667,Linea 1078,S793,Linea 1076,S791,Linea 1221,S760,Linea 1073,S794,Linea 1297,S759,Linea 1306,S834,Linea 1307,S839,Linea 1300,TS1,Linea 1269,S842,Linea 1268,S912,Linea 1850,S802,Linea 1266,S903,Linea 1267,S2505;S2505,Linea 1267,S903,Linea 1266,S802,Linea 1850,S912,Linea 1268,S842,Linea 1269,TS1,Linea 1300,S839,Linea 1307,S834,Linea 1306,S759,Linea 1305,S805,Linea 1125,S822,Linea 1123,S821;S821,Linea 1103,S738;S738,Linea 1103,S821,Linea 1123,S822,Linea 1125,S805,Linea 1305,S759,Linea 1297,S794,Linea 1073,S760,Linea 1221,S791,Linea 1076,S793,Linea 1079,S818,Linea 1080,S737,Linea 1083,S904;S904,Linea 1033,S2656,Linea 955,S2666,Linea 956,S2680,Linea 959,S37,Linea 958,S2725,Linea 1025,S36,Linea 957,S39,Linea 969,S316,Linea 970,S387,Linea 968,S2465,Linea 966,S2147,Linea 946,S167,Linea 943,S229,Linea 945,S277,Linea 998,S178,Linea 1004,S310,Linea 985,S2185,Linea 984,Base</t>
  </si>
  <si>
    <t>Base,Linea 984,S2185,Linea 985,S310,Linea 1004,S178,Linea 998,S277,Linea 945,S229,Linea 943,S167,Linea 946,S2147,Linea 966,S2465;S2465,Linea 968,S387,Linea 970,S316,Linea 969,S39,Linea 957,S36,Linea 1027,S2695,Linea 1026,S43,Linea 1088,S2707,Linea 1098,S42,Linea 1853,S2723,Linea 1118,S841,Linea 1112,S2467,Linea 1224,S846,Linea 1107,S919;S919,Linea 1107,S846,Linea 1223,S804,Linea 1111,S803;S803,Linea 1110,S2194,Linea 1113,S841,Linea 1118,S2723,Linea 1853,S42,Linea 1098,S2707,Linea 1088,S43,Linea 1026,S2695,Linea 1027,S36,Linea 957,S39,Linea 969,S316,Linea 970,S387,Linea 968,S2465,Linea 966,S2147,Linea 946,S167,Linea 943,S229,Linea 945,S277,Linea 998,S178,Linea 1004,S310,Linea 985,S2185,Linea 984,Base</t>
  </si>
  <si>
    <t>Base,Linea 12,S2401,Linea 1510,S2249,Linea 973,S192,Linea 1211,S172,Linea 768,S2417,Linea 759,S402,Linea 760,S2468,Linea 763,S395,Linea 764,S338,Linea 773,S2407,Linea 850,S2056,Linea 849,S2716,Linea 853,S2504,Linea 854,S997,Linea 1836,S353,Linea 1361,S2006,Linea 1363,S2009,Linea 1365,S354,Linea 1421,S2255,Linea 1373,S323,Linea 1372,S325,Linea 1371,S2091,Linea 1370,S2081,Linea 1426,S2087;S2087,Linea 1427,S2406,Linea 823,S2441,Linea 821,S2242,Linea 815,S2177,Linea 820,S194,Linea 1206,S184,Linea 1804,S2080,Linea 1490,S138,Linea 1208,S2101,Linea 1462,S183,Linea 1829,S2135,Linea 1814,S2541,Linea 1459,S206,Linea 826,S715,Linea 827,S2356,Linea 1456,S151,Linea 1489,S2304,Linea 1461,S984,Linea 1466,S284,Linea 1465,S2466;S2466,Linea 1465,S284,Linea 1466,S984,Linea 1447,S2093,Linea 1440,S2089,Linea 1438,S257,Linea 1437,S2074,Linea 1442,S2092,Linea 1835,S2319,Linea 1414,S2285;S2285,Linea 1414,S2319,Linea 1835,S2092,Linea 1442,S2074,Linea 1437,S257,Linea 1438,S2089,Linea 1440,S2093,Linea 1447,S984,Linea 1461,S2304,Linea 1489,S151,Linea 1456,S2356,Linea 827,S715,Linea 826,S206,Linea 1459,S2541,Linea 1794,S2135,Linea 1829,S183,Linea 1462,S2101,Linea 1208,S138,Linea 1205,S2584,Linea 1192,S2586,Linea 1187,S203,Linea 1190,S224,Linea 1189,S223,Linea 1183,S8,Linea 1180,S2139,Linea 1181,S205,Linea 807,S2243,Linea 1177,S18,Linea 1826,S189,Linea 795,S2479,Linea 1825,S2095,Linea 797,S2189,Linea 1292,S1,Linea 1293,S2116,Linea 1295,S59,Linea 1017,S315,Linea 746,S2572,Linea 745,S999,Linea 744,S2529,Linea 791,S2630;S2630,Linea 791,S2529,Linea 744,S999,Linea 745,S2572,Linea 747,S381,Linea 748,S377,Linea 740,S980,Linea 741,S2421,Linea 1842,S370,Linea 752,S2408,Linea 754,S192,Linea 973,S2249,Linea 1816,S2401,Linea 12,Base</t>
  </si>
  <si>
    <t>Base,Linea 1,S176,Linea 1506,S2447,Linea 2,S993,Linea 3,S329,Linea 4,S309,Linea 28,S282,Linea 30,S2045;S2045,Linea 30,S282,Linea 31,S2412,Linea 33,S308,Linea 34,S2032,Linea 42,S2569,Linea 46,S2199,Linea 1847,S2200,Linea 97,S356,Linea 143,S2017,Linea 144,S690,Linea 141,S538,Linea 104,S2206,Linea 105,S763,Linea 106,S719,Linea 132,S302,Linea 36,S358,Linea 37,S2224;S2224,Linea 37,S358,Linea 36,S302,Linea 132,S719,Linea 108,S767,Linea 112,S555,Linea 1532,S2578,Linea 142,S556,Linea 1883,S2022,Linea 902,S2001,Linea 1849,S492,Linea 1848,S1041,Linea 230,S487,Linea 229,S2291,Linea 226,S2054,Linea 220,S2458,Linea 214,S788,Linea 216,S2676,Linea 217,S2396,Linea 240,S2395,Linea 243,S1005,Linea 397,S543,Linea 398,S2068;S2068,Linea 396,S612,Linea 400,S477,Linea 390,E291,Linea 252,S853,Linea 254,S851,Linea 257,S591,Linea 258,S876,Linea 263,S886,Linea 264,S868,Linea 270,S869,Linea 278,S864,Linea 277,S2582;S2582,Linea 275,S2279,Linea 274,S892,Linea 272,S888;S888,Linea 272,S892,Linea 274,S2279,Linea 275,S2582,Linea 277,S864,Linea 278,S869,Linea 270,S868,Linea 264,S886,Linea 263,S876,Linea 258,S591,Linea 257,S851,Linea 254,S853,Linea 252,E291,Linea 250,S611,Linea 249,S2418,Linea 247,S2288,Linea 399,S543,Linea 397,S1005,Linea 243,S2395,Linea 240,S2396,Linea 217,S2676,Linea 216,S788,Linea 214,S2458,Linea 220,S2054,Linea 226,S2291,Linea 229,S487,Linea 230,S1041,Linea 1848,S492,Linea 1849,S2001,Linea 232,S2027,Linea 231,S2593;S2593,Linea 231,S2027,Linea 232,S2001,Linea 902,S2022,Linea 1883,S556,Linea 142,S2578,Linea 1821,S555,Linea 112,S767,Linea 108,S719,Linea 106,S763,Linea 105,S2206,Linea 104,S538,Linea 141,S690,Linea 144,S2017,Linea 143,S356,Linea 97,S2200,Linea 1847,S2199,Linea 46,S2569,Linea 42,S2032,Linea 34,S308,Linea 33,S2412,Linea 27,S2195,Linea 10,S309,Linea 4,S329,Linea 3,S993,Linea 2,S2447,Linea 1506,S176,Linea 1,Base</t>
  </si>
  <si>
    <t>Base,Linea 1,S176,Linea 1506,S2447,Linea 2,S993,Linea 3,S329,Linea 4,S309,Linea 10,S2195,Linea 27,S2412,Linea 33,S308,Linea 34,S2032,Linea 42,S2569,Linea 46,S2199,Linea 1847,S2200,Linea 97,S356,Linea 143,S2017,Linea 144,S690,Linea 141,S538,Linea 104,S2206,Linea 105,S763,Linea 106,S719,Linea 108,S767,Linea 112,S555,Linea 1532,S2578,Linea 142,S556,Linea 1883,S2022,Linea 902,S2001;S2001,Linea 1849,S492,Linea 1848,S1041,Linea 230,S487,Linea 229,S2291,Linea 226,S2054,Linea 220,S2458,Linea 214,S788,Linea 216,S2676,Linea 217,S2396,Linea 240,S2395,Linea 242,S2294,Linea 572,S874,Linea 573,S2501;S2501,Linea 573,S874,Linea 571,S2485,Linea 570,S875,Linea 564,S2525,Linea 554,S524,Linea 553,S529,Linea 551,S525,Linea 552,S2273,Linea 615,S2634,Linea 614,S469,Linea 545,S439,Linea 538,S531,Linea 540,S533,Linea 536,S506,Linea 534,S470,Linea 645,S426,Linea 649,S2307,Linea 650,S455,Linea 502,S398,Linea 503,S2276;S2276,Linea 503,S398,Linea 502,S455,Linea 650,S2307,Linea 649,S426,Linea 645,S470,Linea 642,S2296;S2296,Linea 642,S470,Linea 534,S506,Linea 536,S533,Linea 540,S531,Linea 538,S439,Linea 545,S469,Linea 616,S460,Linea 632,S2720,Linea 662,S2445,Linea 628,S2262,Linea 627,S2560,Linea 626,S958,Linea 238,S2386,Linea 236,S487,Linea 230,S1041,Linea 1848,S492,Linea 1885,S2556;S2556,Linea 1885,S492,Linea 1849,S2001,Linea 902,S2022,Linea 1883,S556,Linea 142,S2578,Linea 1821,S555,Linea 112,S767,Linea 108,S719,Linea 106,S763,Linea 105,S2206,Linea 104,S538,Linea 141,S690,Linea 144,S2017,Linea 143,S356,Linea 97,S2200,Linea 1847,S2199,Linea 46,S2569,Linea 42,S2032,Linea 34,S308,Linea 33,S2412,Linea 27,S2195,Linea 10,S309,Linea 4,S329,Linea 3,S993,Linea 2,S2447,Linea 1506,S176,Linea 1,Base</t>
  </si>
  <si>
    <t>Base,Linea 984,S2185,Linea 985,S310,Linea 1004,S178,Linea 998,S277,Linea 945,S229,Linea 943,S167,Linea 946,S2147,Linea 966,S2465,Linea 968,S387,Linea 970,S316,Linea 969,S39,Linea 957,S36,Linea 1025,S2725,Linea 958,S37,Linea 959,S2680,Linea 956,S2666,Linea 955,S2656;S2656,Linea 1033,S904,Linea 1084,S736,Linea 1032,S926,Linea 1031,S902,Linea 1104,S820;S820,Linea 1108,S831,Linea 1109,S803,Linea 1138,S815,Linea 1129,S921,Linea 1273,S2055,Linea 1328,S778,Linea 1902,Planta Sur,Linea 1901,S834,Linea 1307,S839,Linea 1313,S725,Linea 1310,S744,Linea 1321,S747,Linea 1318,S746;S746,Linea 1318,S747,Linea 1324,S752,Linea 1244,S753,Linea 1323,S755;S755,Linea 1235,S2534,Linea 1234,Q22,Linea 1233,S811;S811,Linea 1231,S812,Linea 1232,S2629,Linea 1262,S757,Linea 1263,S748,Linea 1762,S2310,Linea 1303,S2519,Linea 1302,S2379,Linea 1311,S744,Linea 1310,S725,Linea 1313,S839,Linea 1307,S834,Linea 1306,S759,Linea 1297,S794,Linea 1073,S760,Linea 1221,S791,Linea 1076,S793,Linea 1078,S2667,Linea 1077,S944,Linea 1085,S115,Linea 1733,S927,Linea 1222,S33,Linea 1724,S2094,Linea 950,S31,Linea 949,S2146,Linea 964,S2147,Linea 946,S167,Linea 943,S229,Linea 945,S277,Linea 998,S178,Linea 1004,S310,Linea 985,S2185,Linea 984,Base</t>
  </si>
  <si>
    <t>Base,Linea 14,S278,Linea 15,S2250,Linea 16,S977,Linea 17,S245,Linea 1340,S186,Linea 901,S539,Linea 1394,S971,Linea 897,S2160,Linea 898,S2573;S2573,Linea 898,S2160,Linea 897,S971,Linea 1394,S539,Linea 901,S186,Linea 1340,S245,Linea 17,S977,Linea 16,S2250,Linea 15,S278,Linea 14,Base,Linea 1,S176,Linea 1506,S2447,Linea 2,S993,Linea 3,S329,Linea 4,S309,Linea 6,S328,Linea 7,S2258,Linea 8,S326,Linea 52,S2253,Linea 57,S208,Linea 156,S2488,Linea 1548,S680,Linea 158,S246,Linea 161,S662,Linea 162,S678,Linea 164,S2510,Linea 167,S2478,Linea 168,S451,Linea 169,S691,Linea 170,S676,Linea 177,S640,Linea 1551,S444;S444,Linea 1551,S640,Linea 177,S676,Linea 170,S691,Linea 169,S451,Linea 168,S2478,Linea 167,S2510,Linea 164,S678,Linea 162,S662,Linea 161,S246,Linea 158,S680,Linea 1549,S2488,Linea 156,S208,Linea 57,S2253,Linea 52,S326,Linea 8,S2258,Linea 7,S328,Linea 6,S309,Linea 4,S329,Linea 3,S993,Linea 2,S2447,Linea 1506,S176,Linea 1,Base</t>
  </si>
  <si>
    <t>Base,Linea 984,S2185,Linea 985,S310,Linea 1004,S178,Linea 998,S277,Linea 945,S229,Linea 944,S56,Linea 940,S78,Linea 932,S645,Linea 931,S2111,Linea 930,S2110,Linea 736,S2167,Linea 1617,S2168,Linea 584,S849,Linea 582,S938,Linea 587,S2511,Linea 588,S932,Linea 1339,S901,Linea 1338,S2687,Linea 1892,S2714;S2714,Linea 1892,S2687;S2687,Linea 1338,S901,Linea 1339,S932,Linea 588,S2511,Linea 587,S938,Linea 581,S2443,Linea 578,S2132,Linea 579,S949,Linea 591,S2129,Linea 592,S2259,Linea 594,S17,Linea 735,S295,Linea 734,S3,Linea 613,Q16,Linea 1626,S2240,Linea 471,S2,Linea 1886,S13,Linea 1887,S2523,Linea 1888,S2606,Linea 523,S2109,Linea 521,S2123,Linea 519,S2228;S2228,Linea 519,S2123,Linea 521,S2109,Linea 523,S2606,Linea 526,S2614,Linea 525,S2461,Linea 454,S2594,Linea 442,S2595,Linea 441,S2620,Linea 443,S2646;S2646,Linea 443,S2620,Linea 446,S2638,Linea 447,S2652,Linea 448,S2645,Linea 450,S2642,Linea 457,S2621,Linea 466,S2223,Linea 467,S26,Linea 469,S2523,Linea 1887,S13,Linea 1886,S2,Linea 471,S2240,Linea 1593,Q16,Linea 613,S3,Linea 734,S295,Linea 735,S17,Linea 594,S2259,Linea 592,S2129,Linea 591,S949,Linea 579,S2132,Linea 578,S2443,Linea 581,S938,Linea 582,S849,Linea 584,S2168,Linea 1617,S2167,Linea 736,S2110,Linea 930,S2111,Linea 931,S645,Linea 932,S78,Linea 940,S56,Linea 944,S229,Linea 945,S277,Linea 998,S178,Linea 1004,S310,Linea 985,S2185,Linea 984,Base</t>
  </si>
  <si>
    <t>Base,Linea 984,S2185,Linea 985,S310,Linea 1004,S178,Linea 998,S277,Linea 945,S229,Linea 943,S167,Linea 946,S2147,Linea 964,S2146,Linea 949,S31,Linea 950,S2094,Linea 1711,S33,Linea 1222,S927,Linea 1754,S115,Linea 1085,S944,Linea 1077,S2667,Linea 1078,S793,Linea 1076,S791,Linea 1221,S760,Linea 1073,S794,Linea 1297,S759,Linea 1306,S834,Linea 1307,S839,Linea 1313,S725,Linea 1310,S744,Linea 1321,S747,Linea 1324,S752,Linea 1244,S753,Linea 1240,S2449,Linea 1239,S2507;S2507,Linea 1239,S2449,Linea 1240,S753,Linea 1241,S2292,Linea 1242,S2692;S2692,Linea 1242,S2292,Linea 1241,S753,Linea 1244,S752,Linea 1324,S747,Linea 1321,S744,Linea 1310,S725,Linea 1313,S839;S839,Linea 1307,S834,Linea 1306,S759,Linea 1297,S794,Linea 1073,S760,Linea 1221,S791,Linea 1076,S793,Linea 1078,S2667,Linea 1077,S944,Linea 1085,S115,Linea 1733,S927,Linea 1222,S33,Linea 1724,S2094,Linea 950,S31,Linea 949,S2146,Linea 964,S2147,Linea 946,S167,Linea 943,S229,Linea 945,S277,Linea 998,S178,Linea 1004,S310,Linea 985,S2185,Linea 984,Base</t>
  </si>
  <si>
    <t>Base,Linea 1,S176,Linea 1506,S2447,Linea 2,S993,Linea 3,S329,Linea 4,S309,Linea 10,S2195,Linea 27,S2412,Linea 33,S308,Linea 34,S2032,Linea 42,S2569,Linea 46,S2199,Linea 1847,S2200,Linea 97,S356,Linea 143,S2017,Linea 144,S690,Linea 141,S538,Linea 104,S2206,Linea 105,S763,Linea 106,S719,Linea 108,S767,Linea 112,S555,Linea 1532,S2578,Linea 142,S556,Linea 1883,S2022,Linea 902,S2001,Linea 1849,S492,Linea 1848,S1041,Linea 230,S487,Linea 229,S2291,Linea 226,S2054,Linea 220,S2458,Linea 214,S788,Linea 216,S2676,Linea 217,S2396,Linea 240,S2395,Linea 243,S1005,Linea 397,S543,Linea 399,S2288,Linea 247,S2418,Linea 249,S611,Linea 250,E291,Linea 252,S853,Linea 254,S851,Linea 257,S591,Linea 258,S876,Linea 263,S886,Linea 264,S868,Linea 270,S869,Linea 278,S864,Linea 277,S2582,Linea 275,S2279;S2279,Linea 274,S892;S892,Linea 274,S2279,Linea 275,S2582,Linea 276,S873,Linea 279,S850,Linea 280,S856;S856,Linea 280,S850,Linea 281,S864,Linea 278,S869,Linea 270,S868,Linea 264,S886,Linea 263,S876,Linea 258,S591,Linea 257,S851,Linea 254,S853,Linea 252,E291,Linea 250,S611,Linea 249,S2418,Linea 247,S2288,Linea 399,S543,Linea 397,S1005,Linea 243,S2395,Linea 240,S2396,Linea 217,S2676,Linea 216,S788,Linea 214,S2458,Linea 220,S2054,Linea 226,S2291;S2291,Linea 229,S487,Linea 230,S1041,Linea 1848,S492,Linea 1849,S2001,Linea 902,S2022,Linea 1883,S556,Linea 142,S2578,Linea 1821,S555,Linea 112,S767,Linea 108,S719,Linea 106,S763,Linea 105,S2206,Linea 104,S538,Linea 141,S690,Linea 144,S2017,Linea 143,S356,Linea 97,S2200,Linea 1847,S2199,Linea 46,S2569,Linea 42,S2032,Linea 34,S308,Linea 33,S2412,Linea 27,S2195;S2195,Linea 10,S309,Linea 4,S329,Linea 3,S993,Linea 2,S2447,Linea 1506,S176,Linea 1,Base</t>
  </si>
  <si>
    <t>Base,Linea 984,S2185,Linea 985,S310,Linea 1004,S178,Linea 998,S277,Linea 945,S229,Linea 944,S56,Linea 940,S78,Linea 932,S645,Linea 931,S2111,Linea 930,S2110,Linea 736,S2167,Linea 1617,S2168,Linea 584,S849,Linea 582,S938,Linea 581,S2443,Linea 578,S2132,Linea 579,S949,Linea 591,S2129,Linea 592,S2259,Linea 594,S17,Linea 596,S2293,Linea 597,S4,Linea 598,S2324,Linea 600,S2196,Linea 599,S2689,Linea 601,S2683,Linea 606,S2619,Linea 608,S2694,Linea 1336,S2711,Linea 1335,S2698,Linea 1334,S2718,Linea 1333,S2717,Linea 1330,S924,Linea 1337,S925,Linea 1251,S946,Linea 1250,S2221;S2221,Linea 1250,S946,Linea 1251,S925,Linea 1337,S924,Linea 1330,S2717,Linea 1333,S2718,Linea 1334,S2698,Linea 1335,S2711,Linea 1336,S2694,Linea 608,S2619,Linea 606,S2683,Linea 1890,S2697;S2697,Linea 1890,S2683,Linea 601,S2689,Linea 605,S581,Linea 610,S2688,Linea 611,S2685;S2685,Linea 611,S2688;S2688,Linea 610,S581,Linea 605,S2689,Linea 601,S2683,Linea 606,S2619,Linea 604,S2674;S2674,Linea 604,S2619,Linea 606,S2683,Linea 601,S2689,Linea 605,S581,Linea 1867,S2686;S2686,Linea 1867,S581,Linea 605,S2689,Linea 599,S2196,Linea 600,S2324,Linea 598,S4,Linea 597,S2293,Linea 596,S17,Linea 594,S2259,Linea 592,S2129,Linea 591,S949,Linea 579,S2132,Linea 578,S2443,Linea 581,S938,Linea 582,S849,Linea 584,S2168,Linea 1617,S2167,Linea 736,S2110,Linea 930,S2111,Linea 931,S645,Linea 932,S78,Linea 940,S56,Linea 944,S229,Linea 945,S277,Linea 998,S178,Linea 1004,S310,Linea 985,S2185,Linea 984,Base</t>
  </si>
  <si>
    <t>Base,Linea 14,S278,Linea 15,S2250,Linea 16,S977,Linea 17,S245,Linea 1340,S186,Linea 901,S539,Linea 1408,S2376,Linea 1346,S190,Linea 1395,S232,Linea 1348,S2314,Linea 1347,S643,Linea 1350,S291,Linea 1375,S2257,Linea 1377,S298,Linea 1398,S2494;S2494,Linea 1398,S298,Linea 1377,S2257,Linea 1375,S291,Linea 1351,S292,Linea 1352,S117,Linea 1382,S2086,Linea 1383,S318,Linea 1384,S242,Linea 1385,S2085,Linea 1386,S2214,Linea 1411,S2088;S2088,Linea 1411,S2214,Linea 1386,S2085,Linea 1385,S242,Linea 1384,S318,Linea 1383,S2086,Linea 1382,S117,Linea 1352,S292,Linea 1351,S291,Linea 1350,S643,Linea 1347,S2314,Linea 1348,S232,Linea 1395,S190,Linea 1346,S2376,Linea 896,S413,Linea 1692,S2155,Linea 1345,S2247;S2247,Linea 1345,S2155,Linea 1692,S413,Linea 896,S2376,Linea 1346,S190,Linea 1395,S232,Linea 1775,S2184;S2184,Linea 1775,S232,Linea 1395,S190,Linea 1346,S2376,Linea 1408,S539,Linea 901,S186,Linea 1340,S245,Linea 17,S977,Linea 16,S2250,Linea 15,S278,Linea 14,Base</t>
  </si>
  <si>
    <t>Base,Linea 984,S2185,Linea 985,S310,Linea 1004,S178,Linea 998,S277,Linea 945,S229,Linea 943,S167,Linea 946,S2147,Linea 966,S2465,Linea 968,S387,Linea 970,S316,Linea 969,S39,Linea 957,S36,Linea 1027,S2695,Linea 1026,S43,Linea 1088,S2707;S2707,Linea 1098,S42,Linea 1853,S2723,Linea 1118,S841,Linea 1113,S2194,Linea 1110,S803,Linea 1138,S815,Linea 1129,S921,Linea 1273,S2055,Linea 1328,S778,Linea 1127,S758,Linea 1884,S814,Linea 1121,S810,Linea 1120,S813;S813,Linea 1120,S810,Linea 1121,S814,Linea 1884,S758,Linea 1127,S778,Linea 1902,Planta Sur,Linea 1901,S834,Linea 1307,S839,Linea 1313,S725,Linea 1310,S744,Linea 1321,S747,Linea 1320,S2493;S2493,Linea 1325,S935;S935,Linea 1325,S2493,Linea 1320,S747,Linea 1321,S744,Linea 1310,S725,Linea 1313,S839,Linea 1307,S834,Linea 1306,S759,Linea 1297,S794,Linea 1073,S760,Linea 1054,S801,Linea 1061,S828,Linea 1060,S826,Linea 1220,S840,Linea 1049,S915;S915,Linea 1049,S840,Linea 1048,S928,Linea 1046,S645,Linea 932,S78,Linea 940,S56,Linea 944,S229,Linea 945,S277,Linea 998,S178,Linea 1004,S310,Linea 985,S2185,Linea 984,Base</t>
  </si>
  <si>
    <t>Base,Linea 1,S176,Linea 1506,S2447,Linea 2,S993,Linea 3,S329,Linea 4,S309,Linea 10,S2195,Linea 27,S2412,Linea 33,S308,Linea 34,S2032,Linea 42,S2569,Linea 46,S2199,Linea 1847,S2200,Linea 97,S356,Linea 143,S2017,Linea 144,S690,Linea 141,S538,Linea 104,S2206,Linea 105,S763,Linea 106,S719,Linea 108,S767,Linea 112,S555,Linea 1532,S2578,Linea 142,S556,Linea 1883,S2022,Linea 902,S2001,Linea 1849,S492,Linea 1848,S1041,Linea 230,S487,Linea 229,S2291,Linea 226,S2054,Linea 222,S2544,Linea 223,S2587;S2587,Linea 225,S2665,Linea 239,S618,Linea 218,S2396,Linea 240,S2395,Linea 243,S1005,Linea 397,S543,Linea 399,S2288,Linea 247,S2418,Linea 249,S611,Linea 250,E291,Linea 252,S853,Linea 254,S851,Linea 257,S591,Linea 259,S2476;S2476,Linea 259,S591,Linea 257,S851,Linea 254,S853,Linea 252,E291,Linea 250,S611,Linea 249,S2418,Linea 247,S2288,Linea 399,S543,Linea 397,S1005,Linea 243,S2395,Linea 240,S2396,Linea 217,S2676,Linea 216,S788,Linea 215,S523,Linea 622,S882,Linea 567,S522,Linea 566,S2273,Linea 615,S2634,Linea 614,S469,Linea 545,S439,Linea 538,S531;S531,Linea 537,S2439;S2439,Linea 537,S531,Linea 538,S439,Linea 545,S469,Linea 616,S460,Linea 632,S2720,Linea 634,S458,Linea 660,S683,Linea 659,S2265,Linea 665,S489,Linea 629,S2077,Linea 631,S629,Linea 905,S783,Linea 1214,Planta Norte,Linea 923,S789,Linea 925,S501,Linea 127,S633,Linea 210,S622,Linea 211,S2552,Linea 1563,S635,Linea 186,S495,Linea 183,S637,Linea 178,S640,Linea 177,S676,Linea 170,S691,Linea 169,S451,Linea 168,S2478,Linea 167,S2510,Linea 164,S678,Linea 162,S662,Linea 161,S246,Linea 158,S680,Linea 1549,S2488,Linea 156,S208,Linea 57,S2253,Linea 52,S326,Linea 8,S2258,Linea 7,S328,Linea 6,S309,Linea 4,S329,Linea 3,S993,Linea 2,S2447,Linea 1506,S176,Linea 1,Base</t>
  </si>
  <si>
    <t>Base,Linea 984,S2185,Linea 985,S310,Linea 1004,S178,Linea 998,S277,Linea 945,S229,Linea 944,S56,Linea 940,S78,Linea 932,S645,Linea 931,S2111,Linea 930,S2110,Linea 736,S2167,Linea 1617,S2168,Linea 584,S849,Linea 582,S938,Linea 581,S2443,Linea 578,S2132,Linea 579,S949,Linea 591,S2129,Linea 592,S2259,Linea 594,S17,Linea 735,S295,Linea 734,S3,Linea 613,Q16,Linea 1626,S2240,Linea 471,S2,Linea 1886,S13,Linea 1887,S2523,Linea 469,S26,Linea 467,S2223,Linea 466,S2621,Linea 457,S2642;S2642,Linea 457,S2621,Linea 466,S2223,Linea 467,S26,Linea 469,S2523,Linea 517,Q17,Linea 516,S2236,Linea 511,S509,Linea 512,S427,Linea 506,S420,Linea 505,S418,Linea 485,S2303,Linea 481,S2156,Linea 478,S510;S510,Linea 478,S2156,Linea 481,S2303,Linea 485,S418,Linea 505,S420,Linea 506,S427,Linea 507,S2307,Linea 649,S426,Linea 645,S470,Linea 534,S506,Linea 536,S533,Linea 540,S531,Linea 538,S439,Linea 545,S469,Linea 616,S460,Linea 632,S2720,Linea 662,S2445,Linea 628,S2262,Linea 627,S2560,Linea 626,S958,Linea 238,S2386,Linea 236,S487,Linea 228,S2038,Linea 227,S2456;S2456,Linea 227,S2038,Linea 228,S487,Linea 229,S2291,Linea 226,S2054,Linea 220,S2458,Linea 214,S788,Linea 216,S2676,Linea 217,S2396,Linea 240,S2395,Linea 242,S2294,Linea 572,S874,Linea 571,S2485;S2485,Linea 571,S874,Linea 572,S2294;S2294,Linea 242,S2395,Linea 240,S2396,Linea 217,S2676,Linea 216,S788,Linea 214,S2458,Linea 220,S2054,Linea 226,S2291,Linea 229,S487,Linea 230,S1041,Linea 1848,S492,Linea 1849,S2001,Linea 902,S2022,Linea 1883,S556,Linea 142,S2578,Linea 1821,S555,Linea 112,S767,Linea 108,S719,Linea 106,S763,Linea 105,S2206,Linea 104,S538,Linea 141,S690,Linea 144,S2017,Linea 143,S356,Linea 97,S2200,Linea 1847,S2199,Linea 46,S2569,Linea 42,S2032,Linea 34,S308,Linea 33,S2412,Linea 27,S2195,Linea 10,S309,Linea 4,S329,Linea 3,S993,Linea 2,S2447,Linea 1506,S176,Linea 1,Base</t>
  </si>
  <si>
    <t>Base,Linea 12,S2401,Linea 1510,S2249,Linea 973,S192,Linea 754,S2408,Linea 752,S370,Linea 1842,S2421,Linea 741,S980,Linea 740,S377,Linea 748,S381,Linea 747,S2572,Linea 746,S315,Linea 1017,S59,Linea 1295,S2116,Linea 1293,S1,Linea 1292,S2189,Linea 797,S2095,Linea 1828,S198,Linea 805,S287;S287,Linea 840,S957,Linea 804,S9,Linea 1659,S2143;S2143,Linea 1659,S9,Linea 804,S957,Linea 840,S287,Linea 839,S312,Linea 1834,S339,Linea 1833,S2548,Linea 1678,S249,Linea 830,S285,Linea 1832,S2406,Linea 823,S2441,Linea 821,S2242,Linea 1831,S195,Linea 818,S2442;S2442,Linea 818,S195,Linea 1831,S2242,Linea 815,S2177,Linea 820,S194,Linea 1206,S184,Linea 1804,S2080,Linea 1490,S138,Linea 1208,S2101,Linea 1462,S183,Linea 1829,S2135,Linea 1814,S2541,Linea 1459,S206,Linea 826,S715,Linea 827,S2356,Linea 1456,S151,Linea 1489,S2304;S2304,Linea 1489,S151,Linea 1456,S2356,Linea 827,S715,Linea 826,S206,Linea 1459,S2541,Linea 1794,S2135,Linea 1829,S183,Linea 1462,S2101,Linea 1208,S138,Linea 1490,S2080,Linea 1804,S184,Linea 1206,S194,Linea 820,S2177,Linea 815,S2242,Linea 821,S2441;S2441,Linea 823,S2406,Linea 1832,S285,Linea 830,S249,Linea 1678,S2548,Linea 1833,S339,Linea 1834,S312,Linea 839,S287,Linea 805,S198,Linea 1176,S2479,Linea 1170,S79,Linea 1168,S188,Linea 1169,S2079;S2079,Linea 1169,S188,Linea 1168,S79,Linea 1170,S2479,Linea 1825,S2095,Linea 797,S2189,Linea 1292,S1,Linea 1293,S2116,Linea 1295,S59,Linea 1017,S315,Linea 746,S2572,Linea 747,S381,Linea 748,S377,Linea 740,S980,Linea 741,S2421,Linea 1842,S370,Linea 752,S2408,Linea 754,S192,Linea 973,S2249,Linea 1816,S2401,Linea 12,Base</t>
  </si>
  <si>
    <t>Base,Linea 12,S2401,Linea 1510,S2249,Linea 973,S192,Linea 754,S2408,Linea 752,S370,Linea 1842,S2421,Linea 741,S980,Linea 740,S377,Linea 748,S381,Linea 747,S2572,Linea 746,S315,Linea 1017,S59,Linea 1295,S2116,Linea 1293,S1,Linea 1292,S2189,Linea 797,S2095,Linea 1825,S2479,Linea 795,S189,Linea 1826,S18,Linea 1177,S2243,Linea 807,S205,Linea 1181,S2139,Linea 1180,S8,Linea 1183,S223,Linea 1189,S224,Linea 1190,S203,Linea 1187,S2586,Linea 1192,S2584,Linea 1205,S138,Linea 1208,S2101,Linea 1462,S183,Linea 1829,S2135,Linea 1814,S2541,Linea 1459,S206,Linea 826,S715,Linea 827,S2356,Linea 1456,S151,Linea 1489,S2304,Linea 1461,S984,Linea 1447,S2093,Linea 1440,S2089,Linea 1438,S257,Linea 1437,S2074,Linea 1431,S2152;S2152,Linea 1431,S2074,Linea 1437,S257,Linea 1438,S2089,Linea 1440,S2093,Linea 1447,S984,Linea 1461,S2304,Linea 1489,S151,Linea 1456,S2356,Linea 827,S715,Linea 826,S206,Linea 1459,S2541,Linea 1794,S2135,Linea 1829,S183,Linea 1462,S2101,Linea 1208,S138,Linea 1205,S2584,Linea 1192,S2586,Linea 1187,S203,Linea 1190,S224,Linea 1189,S223,Linea 1183,S8,Linea 1180,S2139,Linea 1181,S205,Linea 807,S2243,Linea 1177,S18,Linea 1826,S189,Linea 795,S2479,Linea 1825,S2095,Linea 797,S2189,Linea 1292,S1,Linea 1293,S2116,Linea 1295,S59,Linea 1017,S315,Linea 1008,S962,Linea 1212,S546,Linea 1753,S2465,Linea 968,S387,Linea 970,S316,Linea 969,S39,Linea 957,S36,Linea 1027,S2695,Linea 1026,S43,Linea 1088,S2707,Linea 1098,S42,Linea 1856,S2724,Linea 1092,S163,Linea 1854,S66,Linea 1156,S63,Linea 1154,S65,Linea 1153,S47,Linea 1150,S832,Linea 1287,S54,Linea 1288,S907,Linea 1289,S930;S930,Linea 1289,S907,Linea 1288,S54,Linea 1287,S832,Linea 1149,S806,Linea 1148,S2672;S2672,Linea 1148,S806,Linea 1149,S832,Linea 1150,S47,Linea 1153,S65,Linea 1154,S63,Linea 1156,S66,Linea 1115,S841,Linea 1112,S2467,Linea 1224,S846;S846,Linea 1224,S2467,Linea 1112,S841,Linea 1118,S2723,Linea 1853,S42,Linea 1098,S2707,Linea 1088,S43,Linea 1026,S2695,Linea 1027,S36,Linea 957,S39,Linea 969,S316,Linea 970,S387,Linea 968,S2465,Linea 966,S2147,Linea 946,S167,Linea 943,S229,Linea 945,S277,Linea 998,S178,Linea 1004,S310,Linea 985,S2185,Linea 984,Base</t>
  </si>
  <si>
    <t>Base,Linea 1,S176,Linea 1506,S2447,Linea 2,S993,Linea 3,S329,Linea 4,S309,Linea 6,S328,Linea 7,S2258,Linea 8,S326,Linea 52,S2253,Linea 57,S208,Linea 156,S2488,Linea 1548,S680,Linea 158,S246,Linea 161,S662,Linea 162,S678,Linea 164,S2510,Linea 167,S2478,Linea 168,S451,Linea 169,S691,Linea 170,S676;S676,Linea 177,S640,Linea 178,S637,Linea 183,S495,Linea 186,S635,Linea 1555,S2552,Linea 211,S622,Linea 210,S633,Linea 127,S501,Linea 925,S789,Linea 923,Planta Norte,Linea 1214,S783,Linea 905,S629,Linea 631,S2077,Linea 629,S489,Linea 665,S2265,Linea 659,S683,Linea 637,S458,Linea 634,S2720,Linea 632,S460,Linea 616,S469,Linea 614,S2634,Linea 615,S2273,Linea 552,S525,Linea 551,S529,Linea 549,S437,Linea 546,S773,Linea 531,S2151,Linea 415,S774,Linea 414,S722,Linea 413,S710,Linea 393,S709,Linea 392,S687,Linea 370,S613,Linea 365,S707,Linea 317,S2256;S2256,Linea 317,S707,Linea 365,S613,Linea 370,S687,Linea 392,S709,Linea 393,S710,Linea 413,S722,Linea 414,S774,Linea 415,S2151,Linea 412,S2300,Linea 381,S1037,Linea 380,S544,Linea 379,S1028,Linea 378,S2007,Linea 419,S2654;S2654,Linea 419,S2007,Linea 378,S1028,Linea 379,S544,Linea 380,S1037,Linea 381,S2300,Linea 412,S2151,Linea 531,S773,Linea 546,S437,Linea 549,S529,Linea 551,S525,Linea 552,S2273,Linea 566,S522,Linea 567,S882,Linea 622,S523,Linea 621,E290,Linea 620,S2386,Linea 236,S487,Linea 230,S1041,Linea 1848,S492,Linea 1849,S2001,Linea 902,S2022,Linea 1883,S556,Linea 142,S2578,Linea 1821,S555,Linea 112,S767,Linea 108,S719,Linea 132,S302,Linea 36,S358,Linea 40,S2318;S2318,Linea 40,S358,Linea 36,S302,Linea 132,S719,Linea 106,S763,Linea 105,S2206,Linea 104,S538,Linea 141,S690,Linea 144,S2017,Linea 143,S356,Linea 97,S2200,Linea 1847,S2199,Linea 46,S2569,Linea 42,S2032,Linea 34,S308,Linea 33,S2412,Linea 31,S282,Linea 32,S2571;S2571,Linea 32,S282,Linea 28,S309,Linea 4,S329,Linea 3,S993,Linea 2,S2447,Linea 1506,S176,Linea 1,Base</t>
  </si>
  <si>
    <t>Base,Linea 1,S176,Linea 1506,S2447,Linea 2,S993,Linea 3,S329,Linea 4,S309,Linea 6,S328,Linea 7,S2258,Linea 8,S326,Linea 52,S2253,Linea 57,S208,Linea 156,S2488,Linea 1548,S680,Linea 158,S246,Linea 161,S662,Linea 162,S678,Linea 164,S2510,Linea 167,S2478,Linea 168,S451,Linea 169,S691,Linea 170,S676,Linea 177,S640,Linea 178,S637,Linea 183,S495,Linea 186,S635,Linea 1555,S2552,Linea 211,S622,Linea 914,S2191,Linea 915,S2197,Linea 1701,S2388;S2388,Linea 1701,S2197,Linea 916,S502,Linea 1900,Planta Norte,Linea 1214,S783,Linea 905,S629,Linea 631,S2077,Linea 629,S489,Linea 665,S2265,Linea 659,S683,Linea 637,S458,Linea 634,S2720,Linea 632,S460,Linea 616,S469,Linea 614,S2634,Linea 615,S2273,Linea 552,S525,Linea 551,S529,Linea 553,S524,Linea 554,S2525,Linea 555,S528,Linea 556,S2181;S2181,Linea 556,S528,Linea 555,S2525,Linea 564,S875,Linea 570,S2485,Linea 571,S874,Linea 572,S2294,Linea 242,S2395,Linea 243,S1005,Linea 397,S543,Linea 399,S2288,Linea 247,S2418,Linea 249,S611,Linea 250,E291,Linea 252,S853,Linea 254,S851,Linea 257,S591,Linea 258,S876,Linea 263,S886,Linea 264,S868,Linea 270,S869,Linea 278,S864,Linea 281,S850,Linea 1880,Q50,Linea 271,S858,Linea 267,S2335;S2335,Linea 267,S858,Linea 271,Q50,Linea 1880,S850,Linea 281,S864,Linea 278,S869,Linea 270,S868,Linea 264,S886,Linea 263,S876,Linea 258,S591,Linea 257,S851,Linea 254,S853,Linea 252,E291,Linea 250,S611,Linea 249,S2418,Linea 247,S2288,Linea 399,S543,Linea 397,S1005,Linea 243,S2395,Linea 240,S2396,Linea 217,S2676,Linea 216,S788,Linea 214,S2458,Linea 220,S2054,Linea 226,S2291,Linea 229,S487,Linea 230,S1041,Linea 1848,S492,Linea 1849,S2001,Linea 902,S2022,Linea 1883,S556,Linea 142,S2578,Linea 1821,S555,Linea 112,S767,Linea 108,S719,Linea 106,S763,Linea 105,S2206,Linea 104,S538,Linea 141,S690,Linea 144,S2017,Linea 143,S356,Linea 97,S2200,Linea 1847,S2199,Linea 46,S2569,Linea 42,S2032,Linea 34,S308,Linea 33,S2412,Linea 27,S2195,Linea 10,S309,Linea 4,S329,Linea 3,S993,Linea 2,S2447,Linea 1506,S176,Linea 1,Base</t>
  </si>
  <si>
    <t>Base,Linea 984,S2185,Linea 985,S310,Linea 1004,S178,Linea 998,S277,Linea 945,S229,Linea 943,S167,Linea 946,S2147,Linea 964,S2146,Linea 949,S31,Linea 950,S2094,Linea 1711,S33,Linea 1222,S927,Linea 1754,S115,Linea 1085,S944;S944,Linea 1077,S2667;S2667,Linea 1078,S793,Linea 1076,S791,Linea 1059,S800,Linea 1055,S2316;S2316,Linea 1055,S800,Linea 1059,S791,Linea 1076,S793,Linea 1079,S818,Linea 1080,S737,Linea 1083,S904,Linea 1033,S2656,Linea 955,S2666;S2666,Linea 956,S2680;S2680,Linea 959,S37,Linea 958,S2725,Linea 1025,S36,Linea 957,S39,Linea 969,S316,Linea 970,S387,Linea 968,S2465,Linea 966,S2147,Linea 946,S167,Linea 943,S229,Linea 945,S277,Linea 998,S178,Linea 1004,S310,Linea 985,S2185;S2185,Linea 984,Base</t>
  </si>
  <si>
    <t>Base,Linea 12,S2401,Linea 1510,S2249,Linea 973,S192,Linea 1211,S172,Linea 768,S2417,Linea 759,S402,Linea 760,S2468,Linea 763,S395,Linea 764,S338,Linea 773,S2407;S2407,Linea 850,S2056,Linea 849,S2716,Linea 853,S2504,Linea 854,S997,Linea 1836,S353,Linea 1361,S2006,Linea 1363,S2009,Linea 1365,S354,Linea 1421,S2255,Linea 1373,S323,Linea 1372,S325,Linea 1371,S2091,Linea 1370,S2081,Linea 1426,S2087,Linea 1427,S2406;S2406,Linea 1427,S2087,Linea 1426,S2081;S2081,Linea 1370,S2091,Linea 1371,S325,Linea 1423,S2058;S2058,Linea 1423,S325,Linea 1372,S323,Linea 1373,S2255,Linea 1421,S354,Linea 1365,S2009;S2009,Linea 1363,S2006,Linea 1362,S2071,Linea 1777,S2161;S2161,Linea 1777,S2071,Linea 1362,S2006,Linea 1361,S353,Linea 1836,S997,Linea 854,S2504,Linea 853,S2716,Linea 849,S2056,Linea 850,S2407,Linea 773,S338,Linea 764,S395,Linea 763,S2468,Linea 760,S402,Linea 759,S2417,Linea 768,S172,Linea 1211,S192,Linea 973,S2249,Linea 1816,S2401,Linea 12,Base</t>
  </si>
  <si>
    <t>Base,Linea 1,S176,Linea 1506,S2447,Linea 2,S993,Linea 3,S329,Linea 4,S309,Linea 10,S2195,Linea 27,S2412,Linea 33,S308,Linea 34,S2032,Linea 42,S2569,Linea 46,S2199,Linea 1847,S2200,Linea 97,S356,Linea 143,S2017,Linea 144,S690,Linea 141,S538,Linea 104,S2206,Linea 105,S763,Linea 106,S719,Linea 108,S767,Linea 112,S555,Linea 1532,S2578,Linea 142,S556,Linea 1883,S2022,Linea 902,S2001,Linea 1849,S492,Linea 1848,S1041,Linea 230,S487,Linea 229,S2291,Linea 226,S2054,Linea 220,S2458,Linea 214,S788,Linea 216,S2676,Linea 217,S2396,Linea 240,S2395,Linea 243,S1005,Linea 397,S543,Linea 399,S2288,Linea 247,S2418,Linea 249,S611,Linea 250,E291,Linea 252,S853,Linea 254,S851,Linea 257,S591,Linea 258,S876,Linea 263,S886,Linea 264,S868,Linea 270,S869,Linea 278,S864,Linea 277,S2582,Linea 275,S2279,Linea 274,S892,Linea 340,S594,Linea 260,S616,Linea 315,S2440,Linea 312,S2426,Linea 321,S588,Linea 320,S2207,Linea 322,S734,Linea 323,S762,Linea 324,S2487;S2487,Linea 324,S762,Linea 323,S734,Linea 322,S2207,Linea 320,S588,Linea 321,S2426,Linea 312,S2440,Linea 314,S2496,Linea 1497,S707,Linea 365,S613,Linea 369,S721,Linea 368,Planta La Petiza,Linea 366,S1039,Linea 361,S790,Linea 342,S1029,Linea 349,S2470;S2470,Linea 350,S1020,Linea 1496,S1033,Linea 376,S1036,Linea 416,S1028,Linea 378,S2007,Linea 418,S2040,Linea 433,S2632,Linea 432,S2105,Linea 436,S2617,Linea 440,S2620,Linea 446,S2638,Linea 447,S2652,Linea 448,S2645;S2645,Linea 450,S2642,Linea 457,S2621,Linea 466,S2223,Linea 467,S26,Linea 469,S2523,Linea 517,Q17,Linea 516,S2236,Linea 511,S509,Linea 512,S427,Linea 507,S2307,Linea 650,S455,Linea 502,S398,Linea 498,S419;S419,Linea 498,S398,Linea 500,S2348;S2348,Linea 500,S398,Linea 502,S455,Linea 650,S2307,Linea 507,S427,Linea 512,S509,Linea 511,S2236,Linea 516,Q17,Linea 517,S2523,Linea 1887,S13,Linea 1886,S2,Linea 471,S2240,Linea 1593,Q16,Linea 613,S3,Linea 734,S295,Linea 735,S17,Linea 594,S2259,Linea 592,S2129,Linea 591,S949,Linea 579,S2132,Linea 578,S2443,Linea 581,S938,Linea 582,S849,Linea 584,S2168,Linea 1617,S2167,Linea 736,S2110,Linea 930,S2111,Linea 931,S645,Linea 932,S78,Linea 940,S56,Linea 944,S229,Linea 945,S277,Linea 998,S178,Linea 1004,S310,Linea 985,S2185,Linea 984,Base</t>
  </si>
  <si>
    <t>Base,Linea 1,S176,Linea 1506,S2447,Linea 2,S993,Linea 3,S329,Linea 4,S309,Linea 10,S2195,Linea 27,S2412,Linea 33,S308,Linea 34,S2032,Linea 42,S2569,Linea 46,S2199,Linea 1847,S2200,Linea 97,S356,Linea 143,S2017,Linea 144,S690,Linea 141,S538,Linea 104,S2206,Linea 105,S763,Linea 106,S719,Linea 108,S767,Linea 112,S555,Linea 1532,S2578,Linea 142,S556,Linea 1883,S2022,Linea 902,S2001,Linea 1849,S492,Linea 1848,S1041,Linea 230,S487,Linea 229,S2291,Linea 226,S2054,Linea 220,S2458,Linea 214,S788,Linea 216,S2676,Linea 217,S2396,Linea 240,S2395,Linea 243,S1005,Linea 397,S543,Linea 399,S2288,Linea 247,S2418,Linea 249,S611,Linea 250,E291,Linea 252,S853,Linea 254,S851,Linea 257,S591,Linea 262,S899,Linea 339,S894;S894,Linea 1500,S886,Linea 264,S868,Linea 270,S869,Linea 278,S864,Linea 281,S850,Linea 280,S856,Linea 289,S884,Linea 290,S1027,Linea 291,S1007,Linea 293,S1025,Linea 298,S593,Linea 297,S1017,Linea 296,S1004;S1004,Linea 296,S1017,Linea 297,S593,Linea 298,S1025,Linea 293,S1007,Linea 291,S1027,Linea 290,S884,Linea 289,S856,Linea 285,S865;S865,Linea 285,S856,Linea 280,S850,Linea 281,S864,Linea 278,S869,Linea 270,S868,Linea 264,S886,Linea 263,S876,Linea 258,S591,Linea 257,S851,Linea 254,S853,Linea 252,E291,Linea 250,S611,Linea 249,S2418;S2418,Linea 247,S2288,Linea 399,S543,Linea 397,S1005,Linea 243,S2395,Linea 240,S2396,Linea 217,S2676,Linea 216,S788,Linea 214,S2458,Linea 220,S2054,Linea 226,S2291,Linea 229,S487,Linea 230,S1041,Linea 1848,S492,Linea 1849,S2001,Linea 902,S2022,Linea 1883,S556,Linea 142,S2578,Linea 1821,S555,Linea 112,S767,Linea 108,S719,Linea 106,S763,Linea 105,S2206,Linea 104,S538,Linea 141,S690,Linea 144,S2017,Linea 143,S356,Linea 97,S2200,Linea 1847,S2199,Linea 46,S2569,Linea 42,S2032,Linea 34,S308,Linea 33,S2412,Linea 27,S2195,Linea 10,S309,Linea 4,S329,Linea 3,S993,Linea 2,S2447,Linea 1506,S176,Linea 1,Base</t>
  </si>
  <si>
    <t>Base,Linea 984,S2185,Linea 985,S310,Linea 1004,S178,Linea 998,S277,Linea 945,S229,Linea 944,S56,Linea 940,S78,Linea 932,S645,Linea 931,S2111,Linea 930,S2110,Linea 736,S2167,Linea 1617,S2168,Linea 584,S849,Linea 582,S938,Linea 581,S2443,Linea 578,S2132,Linea 579,S949,Linea 591,S2129,Linea 592,S2259,Linea 594,S17,Linea 735,S295,Linea 734,S3,Linea 613,Q16,Linea 1626,S2240,Linea 471,S2,Linea 1886,S13,Linea 1887,S2523,Linea 469,S26,Linea 467,S2223,Linea 466,S2621,Linea 457,S2642,Linea 450,S2645,Linea 448,S2652,Linea 447,S2638,Linea 446,S2620,Linea 441,S2595,Linea 444,S2624;S2624,Linea 444,S2595,Linea 441,S2620,Linea 446,S2638,Linea 447,S2652,Linea 448,S2645,Linea 450,S2642,Linea 457,S2621,Linea 466,S2223,Linea 467,S26,Linea 469,S2523,Linea 1887,S13,Linea 1886,S2,Linea 471,S2240,Linea 1593,Q16,Linea 613,S3,Linea 734,S295,Linea 735,S17,Linea 594,S2259,Linea 592,S2129,Linea 591,S949,Linea 579,S2132,Linea 578,S2443,Linea 581,S938,Linea 587,S2511,Linea 588,S932,Linea 589,S577,Linea 1052,S808,Linea 1216,S786,Linea 1065,S809;S809,Linea 1065,S786,Linea 1216,S808,Linea 1052,S577,Linea 589,S932,Linea 588,S2511,Linea 587,S938,Linea 582,S849,Linea 584,S2168,Linea 1617,S2167,Linea 736,S2110,Linea 930,S2111,Linea 931,S645,Linea 932,S78,Linea 940,S56,Linea 944,S229,Linea 945,S277,Linea 998,S178,Linea 1004,S310,Linea 985,S2185,Linea 984,Base</t>
  </si>
  <si>
    <t>Base,Linea 984,S2185,Linea 985,S310,Linea 1004,S178,Linea 998,S277,Linea 945,S229,Linea 943,S167,Linea 946,S2147,Linea 966,S2465,Linea 968,S387,Linea 970,S316,Linea 969,S39,Linea 957,S36,Linea 1027,S2695,Linea 1026,S43,Linea 1088,S2707,Linea 1099,S916;S916,Linea 1099,S2707,Linea 1088,S43,Linea 1026,S2695,Linea 1027,S36,Linea 957,S39,Linea 969,S316,Linea 970,S387,Linea 968,S2465,Linea 966,S2147,Linea 946,S167,Linea 943,S229,Linea 944,S56,Linea 940,S78,Linea 932,S645,Linea 931,S2111,Linea 930,S2110,Linea 736,S2167,Linea 1617,S2168,Linea 584,S849,Linea 582,S938,Linea 581,S2443,Linea 578,S2132,Linea 579,S949,Linea 591,S2129,Linea 592,S2259,Linea 594,S17,Linea 596,S2293,Linea 597,S4,Linea 598,S2324,Linea 600,S2196,Linea 599,S2689,Linea 601,S2683,Linea 603,S2663,Linea 607,S2673,Linea 1866,S2684;S2684,Linea 1866,S2673,Linea 607,S2663;S2663,Linea 603,S2683,Linea 601,S2689,Linea 599,S2196,Linea 600,S2324,Linea 598,S4,Linea 597,S2293,Linea 596,S17,Linea 594,S2259,Linea 592,S2129,Linea 591,S949,Linea 579,S2132,Linea 578,S2443,Linea 581,S938,Linea 582,S849,Linea 584,S2168,Linea 1617,S2167,Linea 736,S2110,Linea 930,S2111,Linea 931,S645,Linea 932,S78,Linea 940,S56,Linea 944,S229,Linea 945,S277,Linea 998,S178,Linea 1004,S310,Linea 985,S2185,Linea 984,Base</t>
  </si>
  <si>
    <t>Base,Linea 1,S176,Linea 1506,S2447,Linea 2,S993,Linea 3,S329,Linea 4,S309,Linea 6,S328,Linea 7,S2258,Linea 8,S326,Linea 52,S2253,Linea 57,S208,Linea 156,S2488,Linea 1548,S680,Linea 158,S246,Linea 161,S662,Linea 162,S678,Linea 164,S2510,Linea 167,S2478,Linea 168,S451,Linea 169,S691,Linea 170,S676,Linea 177,S640,Linea 180,S638,Linea 185,S516,Linea 406,S442,Linea 682,S2527,Linea 193,S625,Linea 189,S624;S624,Linea 189,S625,Linea 194,S697,Linea 681,S401,Linea 493,S2013;S2013,Linea 492,S397,Linea 494,S2351,Linea 495,S2035,Linea 679,S642,Linea 680,S2575,Linea 408,S430,Linea 203,S632,Linea 676,S431,Linea 1638,S692,Linea 1215,S423,Linea 653,S2019,Linea 654,S2332;S2332,Linea 657,S2275,Linea 1634,S2274;S2274,Linea 1632,S2275,Linea 657,S2332,Linea 654,S2019,Linea 653,S423,Linea 1215,S692,Linea 1703,S431,Linea 676,S632,Linea 205,S2387,Linea 1558,S634;S634,Linea 1558,S2387,Linea 912,S622,Linea 211,S2552,Linea 1563,S635,Linea 186,S495,Linea 183,S637,Linea 178,S640,Linea 177,S676,Linea 170,S691,Linea 169,S451,Linea 168,S2478,Linea 167,S2510,Linea 164,S678,Linea 162,S662,Linea 161,S246,Linea 158,S680,Linea 1549,S2488,Linea 156,S208,Linea 57,S2253,Linea 52,S326,Linea 8,S2258,Linea 7,S328,Linea 6,S309,Linea 4,S329,Linea 3,S993,Linea 2,S2447,Linea 1506,S176,Linea 1,Base</t>
  </si>
  <si>
    <t>Base,Linea 984,S2185,Linea 985,S310,Linea 1004,S178,Linea 998,S277,Linea 945,S229,Linea 944,S56,Linea 940,S78,Linea 932,S645,Linea 1046,S928,Linea 1048,S840,Linea 1058,S825;S825,Linea 1219,S826,Linea 1060,S828,Linea 1061,S801,Linea 1054,S760,Linea 1073,S794,Linea 1297,S759,Linea 1306,S834,Linea 1307,S839,Linea 1313,S725,Linea 1310,S744,Linea 1311,S2379,Linea 1302,S2519,Linea 1303,S2310,Linea 1768,S748,Linea 1263,S757,Linea 1262,S2629,Linea 1232,S812,Linea 1261,S2287,Linea 1229,S756,Linea 1226,S920;S920,Linea 1226,S756,Linea 1227,S2551;S2551,Linea 1227,S756,Linea 1229,S2287,Linea 1261,S812,Linea 1232,S2629,Linea 1262,S757,Linea 1263,S748,Linea 1762,S2310,Linea 1303,S2519,Linea 1302,S2379,Linea 1311,S744,Linea 1310,S725,Linea 1313,S839,Linea 1307,S834,Linea 1306,S759,Linea 1297,S794,Linea 1073,S760,Linea 1062,S827,Linea 1071,S724,Linea 1070,S787;S787,Linea 1070,S724,Linea 1071,S827,Linea 1062,S760,Linea 1221,S791,Linea 1076,S793,Linea 1079,S818,Linea 1080,S737,Linea 1083,S904,Linea 1033,S2656,Linea 955,S2666,Linea 956,S2680,Linea 959,S37,Linea 1024,S2695;S2695,Linea 1027,S36,Linea 957,S39,Linea 969,S316,Linea 970,S387,Linea 968,S2465,Linea 966,S2147,Linea 946,S167,Linea 943,S229,Linea 945,S277,Linea 998,S178,Linea 1004,S310,Linea 985,S2185,Linea 984,Base</t>
  </si>
  <si>
    <t>Base,Linea 1,S176,Linea 1506,S2447,Linea 2,S993,Linea 3,S329,Linea 4,S309,Linea 6,S328,Linea 7,S2258,Linea 8,S326,Linea 52,S2253,Linea 57,S208,Linea 156,S2488,Linea 1548,S680,Linea 158,S246,Linea 161,S662,Linea 162,S678,Linea 164,S2510,Linea 167,S2478,Linea 168,S451,Linea 169,S691,Linea 170,S676,Linea 177,S640,Linea 178,S637,Linea 183,S495,Linea 186,S635,Linea 1555,S2552,Linea 211,S622,Linea 912,S2387,Linea 205,S632,Linea 203,S430,Linea 408,S2575,Linea 680,S642,Linea 679,S2035;S2035,Linea 495,S2351,Linea 494,S397,Linea 490,S2036,Linea 1599,S2359,Linea 687,S440,Linea 689,S2047;S2047,Linea 688,S2278;S2278,Linea 686,S2025,Linea 1823,S424;S424,Linea 1823,S2025,Linea 686,S2278,Linea 927,S2231,Linea 708,S963,Linea 707,S2039;S2039,Linea 732,S975,Linea 724,S2306;S2306,Linea 723,S2454,Linea 1650,S578,Linea 727,S379,Linea 729,S950,Linea 989,S271,Linea 987,S234,Linea 60,S254,Linea 55,S2253,Linea 52,S326,Linea 8,S2258,Linea 7,S328,Linea 6,S309,Linea 4,S329,Linea 3,S993,Linea 2,S2447,Linea 1506,S176,Linea 1,Base</t>
  </si>
  <si>
    <t>Base,Linea 984,S2185,Linea 985,S310,Linea 1004,S178,Linea 998,S277,Linea 945,S229,Linea 944,S56,Linea 940,S78,Linea 932,S645,Linea 931,S2111,Linea 934,S2334,Linea 1648,S77,Linea 713,S236,Linea 1646,S2231,Linea 927,S2278,Linea 688,S2047,Linea 689,S440,Linea 687,S2359,Linea 1644,S2036,Linea 490,S397,Linea 685,S2328;S2328,Linea 685,S397,Linea 490,S2036,Linea 1599,S2359,Linea 687,S440,Linea 689,S2047,Linea 688,S2278,Linea 927,S2231,Linea 1649,S236,Linea 713,S77,Linea 1647,S2334,Linea 934,S2111,Linea 931,S645,Linea 932,S78,Linea 940,S56,Linea 944,S229,Linea 945,S277,Linea 998,S178,Linea 1004,S310,Linea 985,S2185,Linea 984,Base,Linea 12,S2401,Linea 1510,S2249,Linea 973,S192,Linea 1211,S172,Linea 768,S2417,Linea 759,S402,Linea 760,S2468,Linea 1844,S403,Linea 762,S2422,Linea 765,S968;S968,Linea 765,S2422,Linea 762,S403,Linea 1844,S2468,Linea 760,S402,Linea 759,S2417,Linea 768,S172,Linea 1211,S192,Linea 973,S2249,Linea 1816,S2401,Linea 12,Base</t>
  </si>
  <si>
    <t>Base,Linea 1,S176,Linea 1506,S2447,Linea 2,S993,Linea 3,S329,Linea 4,S309,Linea 10,S2195,Linea 27,S2412,Linea 33,S308,Linea 34,S2032,Linea 42,S2569,Linea 46,S2199,Linea 1847,S2200,Linea 97,S356,Linea 143,S2017,Linea 144,S690,Linea 141,S538,Linea 104,S2206,Linea 105,S763,Linea 106,S719,Linea 108,S767,Linea 112,S555,Linea 1532,S2578,Linea 142,S556,Linea 1883,S2022,Linea 902,S2001,Linea 1849,S492,Linea 1848,S1041,Linea 230,S487,Linea 229,S2291,Linea 226,S2054,Linea 220,S2458,Linea 214,S788,Linea 216,S2676,Linea 217,S2396,Linea 240,S2395,Linea 243,S1005,Linea 397,S543,Linea 399,S2288,Linea 247,S2418,Linea 249,S611,Linea 250,E291,Linea 252,S853,Linea 254,S851,Linea 257,S591,Linea 258,S876,Linea 263,S886,Linea 264,S868,Linea 270,S869,Linea 278,S864,Linea 281,S850,Linea 1880,Q50,Linea 271,S858;S858,Linea 271,Q50,Linea 1880,S850,Linea 279,S873,Linea 276,S2582,Linea 275,S2279,Linea 274,S892,Linea 340,S594,Linea 260,S616,Linea 315,S2440,Linea 314,S2496,Linea 1497,S707,Linea 365,S613,Linea 370,S687,Linea 392,S709,Linea 393,S710,Linea 413,S722,Linea 414,S774,Linea 415,S2151,Linea 412,S2300,Linea 381,S1037,Linea 380,S544,Linea 379,S1028,Linea 378,S2007,Linea 418,S2040,Linea 433,S2632,Linea 432,S2105,Linea 436,S2617,Linea 440,S2620,Linea 446,S2638,Linea 447,S2652;S2652,Linea 447,S2638,Linea 446,S2620,Linea 440,S2617,Linea 437,S2637;S2637,Linea 437,S2617,Linea 440,S2620,Linea 446,S2638,Linea 447,S2652,Linea 448,S2645,Linea 450,S2642,Linea 457,S2621,Linea 466,S2223,Linea 467,S26,Linea 469,S2523,Linea 1887,S13,Linea 1886,S2,Linea 471,S2240,Linea 1593,Q16,Linea 613,S3,Linea 734,S295,Linea 735,S17,Linea 594,S2259,Linea 592,S2129,Linea 591,S949,Linea 579,S2132,Linea 578,S2443,Linea 581,S938,Linea 582,S849,Linea 584,S2168,Linea 1617,S2167,Linea 736,S2110,Linea 930,S2111,Linea 931,S645,Linea 932,S78,Linea 940,S56,Linea 944,S229,Linea 943,S167,Linea 946,S2147,Linea 966,S2465,Linea 1715,S546,Linea 1212,S962,Linea 1008,S315,Linea 790,S2546,Linea 792,S2503,Linea 782,S2547,Linea 785,S2460;S2460,Linea 785,S2547,Linea 782,S2503,Linea 792,S2546,Linea 790,S315;S315,Linea 746,S2572,Linea 747,S381,Linea 748,S377,Linea 740,S980,Linea 741,S2421,Linea 1842,S370,Linea 752,S2408,Linea 754,S192,Linea 973,S2249,Linea 1816,S2401,Linea 12,Base</t>
  </si>
  <si>
    <t>Base,Linea 1,S176,Linea 1506,S2447,Linea 2,S993,Linea 3,S329,Linea 4,S309,Linea 10,S2195,Linea 27,S2412,Linea 33,S308,Linea 34,S2032,Linea 42,S2569,Linea 46,S2199,Linea 1847,S2200,Linea 97,S356,Linea 143,S2017,Linea 144,S690,Linea 141,S538,Linea 104,S2206,Linea 105,S763,Linea 106,S719,Linea 108,S767,Linea 112,S555,Linea 1532,S2578,Linea 142,S556,Linea 1883,S2022,Linea 902,S2001,Linea 1849,S492,Linea 1848,S1041,Linea 230,S487,Linea 229,S2291,Linea 226,S2054,Linea 222,S2544;S2544,Linea 222,S2054;S2054,Linea 220,S2458,Linea 214,S788,Linea 216,S2676,Linea 217,S2396,Linea 240,S2395,Linea 245,S714;S714,Linea 245,S2395,Linea 242,S2294,Linea 572,S874,Linea 571,S2485,Linea 570,S875,Linea 564,S2525,Linea 554,S524,Linea 553,S529,Linea 549,S437,Linea 546,S773,Linea 531,S2151,Linea 415,S774,Linea 414,S722,Linea 413,S710,Linea 393,S709,Linea 392,S687,Linea 370,S613,Linea 369,S721,Linea 368,Planta La Petiza,Linea 367,S1035,Linea 372,S1026,Linea 374,S1015,Linea 373,S1006,Linea 358,S1024,Linea 356,S1034;S1034,Linea 357,S2264;S2264,Linea 357,S1034,Linea 356,S1024,Linea 358,S1006,Linea 373,S1015,Linea 374,S1026,Linea 372,S1035,Linea 367,Planta La Petiza,Linea 368,S721,Linea 369,S613,Linea 370,S687,Linea 392,S709,Linea 393,S710,Linea 413,S722,Linea 414,S774,Linea 415,S2151,Linea 531,S773,Linea 546,S437,Linea 549,S529,Linea 551,S525,Linea 552,S2273,Linea 615,S2634,Linea 614,S469,Linea 616,S460,Linea 632,S2720,Linea 634,S458,Linea 660,S683,Linea 659,S2265,Linea 665,S489,Linea 629,S2077,Linea 631,S629,Linea 905,S783,Linea 1214,Planta Norte,Linea 923,S789,Linea 925,S501,Linea 127,S633,Linea 210,S622,Linea 211,S2552,Linea 1563,S635,Linea 186,S495,Linea 183,S637,Linea 178,S640,Linea 177,S676,Linea 170,S691,Linea 169,S451,Linea 168,S2478,Linea 167,S2510,Linea 164,S678,Linea 162,S662,Linea 161,S246,Linea 158,S680,Linea 1549,S2488,Linea 156,S208,Linea 57,S2253,Linea 52,S326,Linea 8,S2258,Linea 7,S328,Linea 6,S309,Linea 4,S329,Linea 3,S993,Linea 2,S2447,Linea 1506,S176,Linea 1,Base</t>
  </si>
  <si>
    <t>Base,Linea 984,S2185,Linea 985,S310,Linea 1004,S178,Linea 998,S277,Linea 945,S229,Linea 943,S167,Linea 946,S2147,Linea 964,S2146,Linea 949,S31,Linea 950,S2094,Linea 1711,S33,Linea 1222,S927,Linea 1754,S115,Linea 1085,S944,Linea 1077,S2667,Linea 1078,S793,Linea 1076,S791,Linea 1221,S760,Linea 1073,S794,Linea 1297,S759,Linea 1305,S805,Linea 1125,S822,Linea 1122,S905;S905,Linea 1122,S822,Linea 1125,S805,Linea 1305,S759,Linea 1297,S794,Linea 1073,S760,Linea 1054,S801,Linea 1061,S828,Linea 1060,S826,Linea 1220,S840,Linea 1048,S928,Linea 1046,S645,Linea 931,S2111,Linea 930,S2110,Linea 736,S2167,Linea 1617,S2168,Linea 584,S849,Linea 582,S938,Linea 581,S2443,Linea 578,S2132,Linea 579,S949,Linea 591,S2129,Linea 592,S2259,Linea 594,S17,Linea 735,S295,Linea 734,S3,Linea 613,Q16,Linea 1626,S2240,Linea 471,S2,Linea 1886,S13,Linea 1887,S2523,Linea 1888,S2606,Linea 526,S2614,Linea 451,S2122;S2122,Linea 451,S2614,Linea 526,S2606,Linea 1888,S2523,Linea 1887,S13,Linea 1886,S2,Linea 471,S2240,Linea 1593,Q16,Linea 613,S3,Linea 734,S295,Linea 735,S17,Linea 594,S2259,Linea 592,S2129,Linea 591,S949,Linea 579,S2132,Linea 578,S2443,Linea 581,S938,Linea 582,S849,Linea 584,S2168,Linea 1617,S2167,Linea 736,S2110,Linea 930,S2111,Linea 934,S2334,Linea 717,S250,Linea 719,S2349,Linea 720,S986,Linea 722,S2454,Linea 1650,S578,Linea 727,S379,Linea 730,S2336,Linea 704,S667,Linea 159,S246,Linea 158,S680,Linea 1549,S2488,Linea 156,S208,Linea 157,S663,Linea 155,S2482,Linea 151,S550,Linea 150,S2609,Linea 147,S378,Linea 146,S2204,Linea 148,S665,Linea 1545,S2205;S2205,Linea 1545,S665,Linea 148,S2204,Linea 146,S378,Linea 147,S2609,Linea 150,S550,Linea 151,S2482,Linea 155,S663,Linea 157,S208,Linea 57,S2253,Linea 52,S326,Linea 8,S2258,Linea 7,S328,Linea 6,S309,Linea 4,S329,Linea 3,S993,Linea 2,S2447,Linea 1506,S176,Linea 1,Base</t>
  </si>
  <si>
    <t>Base,Linea 984,S2185,Linea 985,S310,Linea 1004,S178,Linea 998,S277,Linea 945,S229,Linea 943,S167,Linea 946,S2147,Linea 966,S2465,Linea 968,S387,Linea 970,S316,Linea 969,S39,Linea 957,S36,Linea 1025,S2725,Linea 958,S37,Linea 959,S2680,Linea 956,S2666,Linea 955,S2656,Linea 1033,S904,Linea 1084,S736,Linea 1032,S926,Linea 1031,S902,Linea 1104,S820,Linea 1105,S2238;S2238,Linea 1105,S820,Linea 1104,S902,Linea 1031,S926,Linea 1032,S736,Linea 1084,S904,Linea 1033,S2656,Linea 955,S2666,Linea 956,S2680,Linea 959,S37,Linea 958,S2725,Linea 1025,S36,Linea 957,S39,Linea 969,S316,Linea 970,S387,Linea 968,S2465,Linea 966,S2147,Linea 946,S167,Linea 943,S229,Linea 945,S277,Linea 998,S178,Linea 1004,S310,Linea 985,S2185,Linea 984,Base,Linea 1,S176,Linea 1506,S2447,Linea 2,S993,Linea 3,S329,Linea 4,S309,Linea 10,S2195,Linea 27,S2412,Linea 33,S308,Linea 34,S2032,Linea 42,S2569,Linea 46,S2199,Linea 1847,S2200,Linea 97,S356,Linea 143,S2017,Linea 144,S690,Linea 141,S538,Linea 104,S2206,Linea 105,S763,Linea 106,S719,Linea 108,S767,Linea 112,S555,Linea 1532,S2578,Linea 142,S556,Linea 1883,S2022,Linea 902,S2001,Linea 1849,S492,Linea 1848,S1041,Linea 230,S487,Linea 229,S2291,Linea 226,S2054,Linea 220,S2458,Linea 214,S788,Linea 216,S2676,Linea 217,S2396,Linea 240,S2395,Linea 243,S1005,Linea 397,S543,Linea 399,S2288,Linea 247,S2418,Linea 249,S611,Linea 250,E291,Linea 252,S853,Linea 254,S851,Linea 257,S591,Linea 258,S876,Linea 263,S886,Linea 264,S868,Linea 270,S869,Linea 278,S864,Linea 277,S2582,Linea 275,S2279,Linea 1571,S879,Linea 332,S1001,Linea 1881,S900;S900,Linea 1881,S1001,Linea 332,S879,Linea 1578,S2279,Linea 274,S892,Linea 340,S594,Linea 260,S616,Linea 315,S2440,Linea 314,S2496,Linea 1497,S707,Linea 365,S613,Linea 370,S687,Linea 392,S709,Linea 393,S710,Linea 413,S722,Linea 414,S774,Linea 415,S2151,Linea 412,S2300,Linea 382,S2011,Linea 421,S966,Linea 530,S2124,Linea 528,S434,Linea 529,S2448,Linea 524,S2109,Linea 523,S2606,Linea 1888,S2523,Linea 1887,S13,Linea 1886,S2,Linea 471,S2240,Linea 1593,Q16,Linea 613,S3,Linea 734,S295,Linea 735,S17,Linea 594,S2259,Linea 592,S2129,Linea 591,S949,Linea 579,S2132,Linea 578,S2443,Linea 581,S938,Linea 587,S2511,Linea 588,S932,Linea 1339,S901;S901,Linea 1339,S932,Linea 588,S2511,Linea 587,S938,Linea 582,S849,Linea 584,S2168,Linea 1617,S2167,Linea 736,S2110,Linea 930,S2111,Linea 931,S645,Linea 932,S78,Linea 940,S56,Linea 944,S229,Linea 945,S277,Linea 998,S178,Linea 1004,S310,Linea 985,S2185,Linea 984,Base</t>
  </si>
  <si>
    <t>Base,Linea 14,S278,Linea 15,S2250,Linea 16,S977,Linea 17,S245,Linea 1340,S186,Linea 901,S539,Linea 1408,S2376,Linea 1346,S190,Linea 1395,S232,Linea 1348,S2314,Linea 1347,S643,Linea 1350,S291,Linea 1351,S292,Linea 1352,S117,Linea 1353,S293,Linea 1355,S231,Linea 890,S2565,Linea 1837,S2037;S2037,Linea 1837,S2565,Linea 890,S231,Linea 1355,S293,Linea 1353,S117,Linea 1352,S292,Linea 1351,S291,Linea 1350,S643,Linea 1347,S2314,Linea 1348,S232,Linea 1395,S190,Linea 1346,S2376,Linea 1408,S539,Linea 901,S186,Linea 1340,S245,Linea 17,S977,Linea 16,S2250,Linea 15,S278,Linea 14,Base,Linea 12,S2401,Linea 1510,S2249,Linea 973,S192,Linea 754,S2408,Linea 752,S370,Linea 1842,S2421,Linea 741,S980,Linea 740,S377,Linea 748,S381,Linea 747,S2572,Linea 746,S315,Linea 1017,S59,Linea 1295,S2116,Linea 1293,S1,Linea 1292,S2189,Linea 797,S2095,Linea 1825,S2479,Linea 795,S189,Linea 1826,S18,Linea 1177,S2243,Linea 807,S205,Linea 1181,S2139,Linea 1180,S8,Linea 1183,S223,Linea 1189,S224,Linea 1190,S203,Linea 1187,S2586,Linea 1192,S2584,Linea 1205,S138,Linea 1208,S2101,Linea 1462,S183,Linea 1829,S2135,Linea 1814,S2541,Linea 1459,S206,Linea 826,S715;S715,Linea 826,S206,Linea 1459,S2541,Linea 1794,S2135,Linea 1829,S183,Linea 1462,S2101,Linea 1208,S138,Linea 1205,S2584,Linea 1192,S2586,Linea 1187,S203,Linea 1190,S224,Linea 1189,S223,Linea 1183,S8,Linea 1180,S2139,Linea 1181,S205,Linea 807,S2243,Linea 1177,S18,Linea 1826,S189,Linea 795,S2479,Linea 1825,S2095,Linea 797,S2189,Linea 1292,S1,Linea 1293,S2116,Linea 1295,S59,Linea 1017,S315,Linea 746,S2572,Linea 747,S381,Linea 748,S377,Linea 740,S980,Linea 741,S2421,Linea 1842,S370,Linea 752,S2408,Linea 754,S192,Linea 973,S2249,Linea 1816,S2401,Linea 12,Base,Linea 1,S176,Linea 1506,S2447,Linea 2,S993,Linea 3,S329,Linea 4,S309,Linea 10,S2195,Linea 27,S2412,Linea 33,S308,Linea 34,S2032,Linea 42,S2569,Linea 46,S2199,Linea 1847,S2200,Linea 97,S356,Linea 143,S2017,Linea 144,S690,Linea 141,S538,Linea 104,S2206,Linea 105,S763,Linea 106,S719,Linea 108,S767,Linea 112,S555,Linea 1532,S2578,Linea 142,S556,Linea 1883,S2022,Linea 902,S2001,Linea 1849,S492,Linea 1848,S1041,Linea 230,S487,Linea 236,S2386,Linea 238,S958,Linea 626,S2560,Linea 627,S2262;S2262,Linea 627,S2560,Linea 626,S958,Linea 238,S2386,Linea 236,S487,Linea 230,S1041,Linea 1848,S492,Linea 1849,S2001,Linea 902,S2022,Linea 1883,S556,Linea 142,S2578,Linea 1821,S555,Linea 112,S767,Linea 108,S719,Linea 106,S763,Linea 105,S2206,Linea 104,S538,Linea 141,S690,Linea 144,S2017,Linea 143,S356,Linea 97,S2200,Linea 1847,S2199,Linea 46,S2569,Linea 42,S2032,Linea 34,S308,Linea 33,S2412,Linea 27,S2195,Linea 10,S309,Linea 4,S329,Linea 3,S993,Linea 2,S2447,Linea 1506,S176,Linea 1,Base</t>
  </si>
  <si>
    <t>Base,Linea 1,S176,Linea 1506,S2447,Linea 2,S993,Linea 3,S329,Linea 4,S309,Linea 6,S328,Linea 7,S2258,Linea 8,S326,Linea 52,S2253,Linea 57,S208,Linea 156,S2488,Linea 1548,S680,Linea 158,S246,Linea 161,S662,Linea 162,S678,Linea 164,S2510;S2510,Linea 163,S2482,Linea 151,S550,Linea 150,S2609,Linea 147,S378,Linea 145,S2017,Linea 144,S690,Linea 141,S538,Linea 104,S2206,Linea 105,S763,Linea 106,S719,Linea 108,S767,Linea 112,S555,Linea 1532,S2578,Linea 142,S556,Linea 1883,S2022,Linea 902,S2001,Linea 1849,S492,Linea 1848,S1041,Linea 230,S487,Linea 236,S2386,Linea 237,S2209;S2209,Linea 237,S2386,Linea 238,S958,Linea 626,S2560,Linea 627,S2262,Linea 628,S2445;S2445,Linea 662,S2720,Linea 632,S460,Linea 616,S469,Linea 545,S439,Linea 538,S531,Linea 540,S533,Linea 536,S506,Linea 534,S470,Linea 645,S426,Linea 649,S2307,Linea 507,S427,Linea 512,S509,Linea 511,S2236,Linea 516,Q17,Linea 517,S2523,Linea 469,S26,Linea 467,S2223,Linea 466,S2621,Linea 457,S2642,Linea 450,S2645,Linea 449,S2660,Linea 1863,S2669;S2669,Linea 1863,S2660;S2660,Linea 449,S2645,Linea 450,S2642,Linea 457,S2621,Linea 461,S2643;S2643,Linea 461,S2621,Linea 466,S2223,Linea 467,S26,Linea 469,S2523,Linea 1887,S13,Linea 1886,S2,Linea 471,S2240,Linea 1593,Q16,Linea 613,S3,Linea 734,S295,Linea 735,S17,Linea 594,S2259,Linea 592,S2129,Linea 591,S949,Linea 579,S2132,Linea 578,S2443,Linea 581,S938,Linea 582,S849,Linea 584,S2168,Linea 1617,S2167,Linea 736,S2110,Linea 930,S2111,Linea 931,S645,Linea 932,S78,Linea 940,S56,Linea 944,S229,Linea 945,S277,Linea 998,S178,Linea 1004,S310,Linea 985,S2185,Linea 984,Base</t>
  </si>
  <si>
    <t>Base,Linea 1,S176,Linea 1506,S2447,Linea 2,S993,Linea 3,S329,Linea 4,S309,Linea 28,S282,Linea 5,S2073;S2073,Linea 5,S282,Linea 31,S2412,Linea 33,S308,Linea 34,S2032,Linea 42,S2569,Linea 46,S2199,Linea 1847,S2200,Linea 97,S356,Linea 143,S2017,Linea 144,S690,Linea 141,S538,Linea 104,S2206,Linea 105,S763,Linea 106,S719,Linea 108,S767,Linea 113,S2302;S2302,Linea 113,S767,Linea 112,S555,Linea 1532,S2578,Linea 142,S556,Linea 1883,S2022,Linea 902,S2001,Linea 1849,S492,Linea 1848,S1041;S1041,Linea 1848,S492,Linea 1849,S2001,Linea 902,S2022,Linea 1883,S556,Linea 142,S2578,Linea 1821,S555,Linea 112,S767,Linea 108,S719,Linea 106,S763,Linea 105,S2206,Linea 104,S538,Linea 141,S690,Linea 144,S2017,Linea 143,S356,Linea 97,S2200,Linea 1847,S2199,Linea 46,S2569,Linea 42,S2032,Linea 34,S308,Linea 33,S2412,Linea 27,S2195,Linea 10,S309,Linea 4,S329,Linea 3,S993,Linea 2,S2447,Linea 1506,S176,Linea 1,Base</t>
  </si>
  <si>
    <t>Base,Linea 984,S2185,Linea 985,S310,Linea 1004,S178,Linea 998,S277,Linea 945,S229,Linea 943,S167,Linea 946,S2147,Linea 966,S2465,Linea 968,S387,Linea 970,S316,Linea 969,S39,Linea 957,S36,Linea 1025,S2725,Linea 958,S37,Linea 959,S2680,Linea 956,S2666,Linea 955,S2656,Linea 1033,S904,Linea 1084,S736;S736,Linea 1084,S904,Linea 1033,S2656,Linea 955,S2666,Linea 956,S2680,Linea 959,S37,Linea 958,S2725,Linea 1025,S36,Linea 957,S39,Linea 969,S316,Linea 970,S387,Linea 968,S2465,Linea 966,S2147,Linea 946,S167,Linea 943,S229,Linea 945,S277,Linea 998,S178,Linea 1004,S310,Linea 985,S2185,Linea 984,Base,Linea 14,S278,Linea 15,S2250,Linea 16,S977,Linea 17,S245,Linea 1340,S186,Linea 901,S539,Linea 1408,S2376,Linea 1346,S190,Linea 1395,S232,Linea 1348,S2314,Linea 1347,S643,Linea 1350,S291,Linea 1351,S292,Linea 1352,S117,Linea 1353,S293,Linea 1355,S231,Linea 890,S2565,Linea 1837,S2037,Linea 860,S2220,Linea 858,S2436;S2436,Linea 858,S2220,Linea 860,S2037,Linea 1837,S2565,Linea 890,S231,Linea 1355,S293,Linea 1353,S117,Linea 1352,S292,Linea 1351,S291,Linea 1350,S643,Linea 1347,S2314,Linea 1348,S232,Linea 1395,S190,Linea 1346,S2376,Linea 1408,S539,Linea 901,S186,Linea 1340,S245,Linea 17,S977,Linea 16,S2250,Linea 15,S278,Linea 14,Base</t>
  </si>
  <si>
    <t>Base,Linea 984,S2185,Linea 985,S310,Linea 1004,S178,Linea 998,S277,Linea 945,S229,Linea 944,S56,Linea 940,S78,Linea 932,S645,Linea 931,S2111,Linea 930,S2110,Linea 736,S2167,Linea 1617,S2168,Linea 584,S849,Linea 582,S938,Linea 581,S2443,Linea 578,S2132,Linea 579,S949,Linea 591,S2129,Linea 592,S2259,Linea 594,S17,Linea 735,S295,Linea 734,S3,Linea 613,Q16,Linea 1626,S2240,Linea 471,S2,Linea 1886,S13,Linea 1887,S2523,Linea 1888,S2606,Linea 526,S2614,Linea 525,S2461,Linea 454,S2594,Linea 438,S2120;S2120,Linea 438,S2594,Linea 442,S2595,Linea 441,S2620;S2620,Linea 446,S2638,Linea 447,S2652,Linea 448,S2645,Linea 450,S2642,Linea 457,S2621,Linea 466,S2223,Linea 467,S26,Linea 469,S2523,Linea 1887,S13,Linea 1886,S2,Linea 471,S2240,Linea 1593,Q16,Linea 613,S3,Linea 734,S295,Linea 735,S17,Linea 594,S2259,Linea 592,S2129,Linea 591,S949,Linea 579,S2132,Linea 578,S2443,Linea 581,S938,Linea 582,S849,Linea 584,S2168,Linea 1617,S2167,Linea 736,S2110,Linea 930,S2111,Linea 931,S645,Linea 932,S78,Linea 940,S56,Linea 944,S229,Linea 945,S277,Linea 998,S178,Linea 1004,S310,Linea 985,S2185,Linea 984,Base</t>
  </si>
  <si>
    <t>Base,Linea 1,S176,Linea 1506,S2447,Linea 2,S993,Linea 3,S329,Linea 4,S309,Linea 6,S328,Linea 7,S2258,Linea 8,S326,Linea 52,S2253,Linea 57,S208,Linea 156,S2488,Linea 1548,S680,Linea 158,S246,Linea 161,S662,Linea 162,S678,Linea 164,S2510,Linea 167,S2478,Linea 168,S451,Linea 169,S691,Linea 170,S676,Linea 177,S640,Linea 178,S637,Linea 183,S495,Linea 186,S635,Linea 1555,S2552,Linea 211,S622,Linea 210,S633,Linea 127,S501,Linea 925,S789,Linea 923,Planta Norte,Linea 1214,S783,Linea 905,S629,Linea 631,S2077,Linea 629,S489,Linea 665,S2265,Linea 659,S683,Linea 637,S458,Linea 634,S2720,Linea 632,S460,Linea 616,S469,Linea 614,S2634,Linea 615,S2273,Linea 552,S525,Linea 551,S529,Linea 553,S524,Linea 554,S2525;S2525,Linea 554,S524,Linea 553,S529,Linea 551,S525,Linea 552,S2273,Linea 615,S2634,Linea 614,S469,Linea 616,S460,Linea 632,S2720,Linea 634,S458,Linea 660,S683,Linea 659,S2265,Linea 665,S489,Linea 629,S2077,Linea 631,S629,Linea 905,S783,Linea 1214,Planta Norte,Linea 923,S789,Linea 925,S501,Linea 127,S633,Linea 210,S622,Linea 211,S2552,Linea 1563,S635,Linea 186,S495,Linea 183,S637,Linea 178,S640,Linea 177,S676,Linea 170,S691,Linea 169,S451,Linea 168,S2478,Linea 167,S2510,Linea 164,S678,Linea 162,S662,Linea 161,S246,Linea 158,S680,Linea 1549,S2488,Linea 156,S208,Linea 57,S2253,Linea 52,S326,Linea 8,S2258,Linea 7,S328,Linea 6,S309,Linea 4,S329,Linea 3,S993,Linea 2,S2447,Linea 1506,S176,Linea 1,Base,Linea 12,S2401,Linea 1510,S2249,Linea 973,S192,Linea 754,S2408,Linea 752,S370,Linea 1842,S2421,Linea 741,S980,Linea 740,S377,Linea 748,S381,Linea 747,S2572,Linea 746,S315,Linea 1017,S59,Linea 1295,S2116,Linea 1293,S1,Linea 1292,S2189,Linea 797,S2095,Linea 1828,S198,Linea 805,S287,Linea 839,S312,Linea 1834,S339,Linea 1833,S2548,Linea 1678,S249,Linea 830,S285,Linea 828,S2305;S2305,Linea 828,S285,Linea 830,S249,Linea 1678,S2548,Linea 1833,S339,Linea 1834,S312,Linea 839,S287,Linea 805,S198,Linea 1828,S2095,Linea 797,S2189,Linea 1292,S1,Linea 1293,S2116,Linea 1295,S59,Linea 1017,S315,Linea 746,S2572,Linea 747,S381,Linea 748,S377,Linea 740,S980,Linea 741,S2421,Linea 1842,S370,Linea 752,S2408,Linea 754,S192,Linea 973,S2249,Linea 1816,S2401,Linea 12,Base</t>
  </si>
  <si>
    <t>Base,Linea 984,S2185,Linea 985,S310,Linea 1004,S178,Linea 998,S277,Linea 945,S229,Linea 944,S56,Linea 940,S78,Linea 932,S645,Linea 931,S2111,Linea 930,S2110,Linea 736,S2167,Linea 1617,S2168,Linea 584,S849,Linea 582,S938,Linea 581,S2443,Linea 578,S2132,Linea 579,S949,Linea 591,S2129,Linea 592,S2259,Linea 594,S17,Linea 596,S2293,Linea 597,S4,Linea 598,S2324,Linea 600,S2196,Linea 599,S2689,Linea 601,S2683,Linea 606,S2619,Linea 608,S2694,Linea 1336,S2711,Linea 1335,S2698,Linea 1334,S2718,Linea 1333,S2717,Linea 1330,S924,Linea 1337,S925;S925,Linea 1260,S2657,Linea 1247,S2627,Linea 1246,S2640,Linea 1326,S752,Linea 1244,S753,Linea 1323,S755,Linea 1236,S2648,Linea 1237,S2644;S2644,Linea 1237,S2648,Linea 1236,S755,Linea 1323,S753,Linea 1244,S752,Linea 1326,S2640,Linea 1246,S2627,Linea 1247,S2657,Linea 1260,S925,Linea 1337,S924;S924,Linea 1330,S2717,Linea 1333,S2718,Linea 1334,S2698,Linea 1335,S2711;S2711,Linea 1335,S2698,Linea 1772,S2702;S2702,Linea 1772,S2698,Linea 1335,S2711,Linea 1336,S2694,Linea 608,S2619,Linea 606,S2683,Linea 601,S2689,Linea 599,S2196,Linea 600,S2324,Linea 598,S4,Linea 597,S2293,Linea 596,S17,Linea 594,S2259,Linea 592,S2129,Linea 591,S949,Linea 579,S2132,Linea 578,S2443,Linea 581,S938,Linea 582,S849,Linea 584,S2168,Linea 1617,S2167,Linea 736,S2110,Linea 930,S2111,Linea 931,S645,Linea 932,S78,Linea 940,S56,Linea 944,S229,Linea 945,S277,Linea 998,S178,Linea 1004,S310,Linea 985,S2185,Linea 984,Base</t>
  </si>
  <si>
    <t>Base,Linea 984,S2185,Linea 985,S310,Linea 1004,S178,Linea 998,S277,Linea 945,S229,Linea 943,S167,Linea 946,S2147,Linea 964,S2146,Linea 949,S31,Linea 950,S2094,Linea 1711,S33,Linea 1222,S927,Linea 1754,S115,Linea 1085,S944,Linea 1077,S2667,Linea 1078,S793,Linea 1076,S791,Linea 1221,S760,Linea 1073,S794,Linea 1297,S759,Linea 1306,S834,Linea 1307,S839,Linea 1313,S725,Linea 1310,S744,Linea 1311,S2379,Linea 1302,S2519,Linea 1303,S2310,Linea 1768,S748,Linea 1263,S757,Linea 1262,S2629,Linea 1232,S812,Linea 1261,S2287;S2287,Linea 1261,S812,Linea 1232,S2629,Linea 1262,S757,Linea 1263,S748,Linea 1762,S2310,Linea 1304,S750,Linea 1322,S752,Linea 1326,S2640,Linea 1246,S2627,Linea 1247,S2657,Linea 1260,S925,Linea 1337,S924,Linea 1330,S2717,Linea 1333,S2718,Linea 1334,S2698,Linea 1335,S2711,Linea 1336,S2694,Linea 608,S2619,Linea 606,S2683,Linea 601,S2689;S2689,Linea 605,S581,Linea 610,S2688,Linea 1869,S2693,Linea 1870,S2703,Linea 1873,S2713;S2713,Linea 1873,S2703;S2703,Linea 1870,S2693,Linea 1869,S2688,Linea 610,S581,Linea 605,S2689,Linea 599,S2196,Linea 600,S2324,Linea 598,S4,Linea 597,S2293,Linea 596,S17,Linea 594,S2259,Linea 592,S2129,Linea 591,S949,Linea 579,S2132,Linea 578,S2443,Linea 581,S938;S938,Linea 582,S849,Linea 584,S2168,Linea 1617,S2167,Linea 736,S2110,Linea 930,S2111,Linea 931,S645,Linea 932,S78,Linea 940,S56,Linea 944,S229,Linea 945,S277,Linea 998,S178,Linea 1004,S310,Linea 985,S2185,Linea 984,Base</t>
  </si>
  <si>
    <t>Base,Linea 12,S2401,Linea 1510,S2249,Linea 973,S192,Linea 1211,S172,Linea 768,S2417,Linea 759,S402,Linea 760,S2468,Linea 763,S395,Linea 764,S338,Linea 773,S2407,Linea 774,S2317;S2317,Linea 774,S2407,Linea 850,S2056,Linea 849,S2716,Linea 853,S2504,Linea 854,S997,Linea 859,S330,Linea 1358,S983,Linea 1357,S363,Linea 843,S119,Linea 845,S998,Linea 846,S2281;S2281,Linea 846,S998,Linea 845,S119,Linea 842,S978,Linea 841,S957,Linea 840,S287,Linea 839,S312,Linea 1834,S339,Linea 1833,S2548,Linea 1678,S249,Linea 830,S285,Linea 1832,S2406,Linea 823,S2441,Linea 821,S2242,Linea 815,S2177,Linea 820,S194,Linea 1206,S184,Linea 1804,S2080,Linea 1490,S138,Linea 1208,S2101,Linea 1462,S183,Linea 1829,S2135,Linea 1814,S2541,Linea 1459,S206,Linea 826,S715,Linea 827,S2356,Linea 1456,S151,Linea 1489,S2304,Linea 1461,S984,Linea 1447,S2093,Linea 1440,S2089,Linea 1438,S257,Linea 1437,S2074,Linea 1442,S2092,Linea 1446,S374,Linea 1453,S2616,Linea 1452,S2528;S2528,Linea 1452,S2616,Linea 1830,S2319;S2319,Linea 1835,S2092,Linea 1442,S2074,Linea 1437,S257,Linea 1438,S2089,Linea 1440,S2093,Linea 1447,S984,Linea 1461,S2304,Linea 1489,S151,Linea 1456,S2356,Linea 827,S715,Linea 826,S206,Linea 1459,S2541,Linea 1794,S2135,Linea 1829,S183,Linea 1462,S2101,Linea 1208,S138,Linea 1490,S2080,Linea 1804,S184,Linea 1206,S194,Linea 820,S2177,Linea 815,S2242,Linea 821,S2441,Linea 823,S2406,Linea 1832,S285,Linea 830,S249,Linea 1678,S2548,Linea 1833,S339,Linea 1834,S312,Linea 839,S287,Linea 840,S957,Linea 804,S9,Linea 803,S2176,Linea 802,S313,Linea 800,S2477;S2477,Linea 800,S313,Linea 802,S2176,Linea 803,S9,Linea 804,S957,Linea 840,S287,Linea 805,S198,Linea 1828,S2095,Linea 797,S2189,Linea 1292,S1,Linea 1293,S2116,Linea 1295,S59,Linea 1017,S315,Linea 746,S2572,Linea 747,S381,Linea 748,S377,Linea 740,S980,Linea 741,S2421,Linea 1842,S370,Linea 752,S2408,Linea 754,S192,Linea 973,S2249,Linea 1816,S2401,Linea 12,Base</t>
  </si>
  <si>
    <t>Base,Linea 1,S176,Linea 1506,S2447,Linea 2,S993,Linea 3,S329,Linea 4,S309,Linea 10,S2195,Linea 27,S2412,Linea 33,S308,Linea 34,S2032,Linea 42,S2569,Linea 46,S2199,Linea 1847,S2200,Linea 97,S356,Linea 143,S2017,Linea 144,S690,Linea 141,S538,Linea 104,S2206,Linea 105,S763,Linea 106,S719,Linea 108,S767,Linea 112,S555,Linea 1532,S2578,Linea 142,S556,Linea 1883,S2022,Linea 902,S2001,Linea 1849,S492,Linea 1848,S1041,Linea 230,S487,Linea 229,S2291,Linea 226,S2054,Linea 220,S2458,Linea 214,S788,Linea 216,S2676,Linea 217,S2396,Linea 240,S2395,Linea 242,S2294,Linea 572,S874,Linea 573,S2501,Linea 574,S881;S881,Linea 574,S2501,Linea 573,S874,Linea 572,S2294,Linea 242,S2395,Linea 240,S2396,Linea 217,S2676,Linea 216,S788,Linea 214,S2458,Linea 220,S2054,Linea 226,S2291,Linea 229,S487,Linea 230,S1041,Linea 1848,S492,Linea 1849,S2001,Linea 902,S2022,Linea 1883,S556,Linea 142,S2578,Linea 1821,S555,Linea 112,S767,Linea 108,S719,Linea 106,S763,Linea 105,S2206,Linea 104,S538,Linea 141,S690,Linea 144,S2017,Linea 143,S356,Linea 99,S551,Linea 100,S781,Linea 409,S2321,Linea 88,S2004;S2004,Linea 82,S2014,Linea 83,S2545;S2545,Linea 84,S2227,Linea 78,S558,Linea 77,S100,Linea 75,S156,Linea 74,S155,Linea 71,S154,Linea 69,S2416,Linea 1341,S245,Linea 17,S977,Linea 16,S2250,Linea 15,S278,Linea 14,Base</t>
  </si>
  <si>
    <t>Base,Linea 14,S278,Linea 15,S2250,Linea 16,S977,Linea 18,S1201;S1201,Linea 18,S977,Linea 16,S2250,Linea 15,S278,Linea 14,Base,Linea 1,S176,Linea 1506,S2447,Linea 2,S993,Linea 3,S329,Linea 4,S309,Linea 6,S328,Linea 7,S2258,Linea 8,S326,Linea 52,S2253,Linea 57,S208,Linea 156,S2488,Linea 1548,S680,Linea 158,S246,Linea 161,S662,Linea 162,S678,Linea 164,S2510,Linea 167,S2478,Linea 168,S451,Linea 169,S691,Linea 170,S676,Linea 177,S640,Linea 178,S637,Linea 183,S495,Linea 186,S635,Linea 1555,S2552,Linea 211,S622,Linea 210,S633,Linea 127,S501,Linea 925,S789,Linea 923,Planta Norte,Linea 1214,S783,Linea 905,S629,Linea 631,S2077,Linea 629,S489,Linea 665,S2265,Linea 659,S683,Linea 637,S458,Linea 634,S2720,Linea 632,S460,Linea 616,S469,Linea 614,S2634,Linea 615,S2273,Linea 552,S525,Linea 551,S529,Linea 549,S437,Linea 546,S773,Linea 531,S2151,Linea 415,S774,Linea 414,S722,Linea 413,S710,Linea 393,S709,Linea 392,S687,Linea 370,S613,Linea 369,S721,Linea 368,Planta La Petiza,Linea 367,S1035,Linea 372,S1026,Linea 374,S1015,Linea 373,S1006,Linea 354,S1023,Linea 359,S2263;S2263,Linea 359,S1023,Linea 354,S1006,Linea 373,S1015,Linea 374,S1026,Linea 372,S1035,Linea 367,Planta La Petiza,Linea 368,S721,Linea 369,S613,Linea 370,S687,Linea 392,S709,Linea 393,S710,Linea 413,S722,Linea 414,S774,Linea 415,S2151,Linea 412,S2300,Linea 411,S2003;S2003,Linea 411,S2300,Linea 381,S1037,Linea 380,S544,Linea 379,S1028,Linea 378,S2007,Linea 418,S2040,Linea 420,S2635;S2635,Linea 439,S2122,Linea 451,S2614,Linea 526,S2606,Linea 1888,S2523,Linea 1887,S13,Linea 1886,S2,Linea 471,S2240,Linea 1593,Q16,Linea 613,S3,Linea 734,S295,Linea 735,S17,Linea 594,S2259,Linea 592,S2129,Linea 591,S949,Linea 579,S2132,Linea 578,S2443,Linea 581,S938,Linea 582,S849,Linea 584,S2168,Linea 1617,S2167,Linea 736,S2110,Linea 930,S2111,Linea 931,S645,Linea 932,S78,Linea 940,S56,Linea 944,S229,Linea 945,S277,Linea 998,S178,Linea 1004,S310,Linea 985,S2185,Linea 984,Base</t>
  </si>
  <si>
    <t>Base,Linea 984,S2185,Linea 1718,S101,Linea 1719,S973;S973,Linea 1719,S101,Linea 1718,S2185,Linea 985,S310,Linea 1004,S178,Linea 998,S277,Linea 945,S229,Linea 943,S167,Linea 946,S2147,Linea 966,S2465,Linea 968,S387,Linea 970,S316,Linea 969,S39,Linea 957,S36,Linea 1027,S2695,Linea 1026,S43,Linea 1088,S2707,Linea 1098,S42,Linea 1853,S2723,Linea 1118,S841,Linea 1113,S2194;S2194,Linea 1113,S841,Linea 1115,S66,Linea 1152,S2658,Linea 1145,S844,Linea 1135,S914,Linea 1274,S2180,Linea 1275,S2486,Linea 1276,S2034,Linea 1281,S929,Linea 1279,S2432;S2432,Linea 1279,S929,Linea 1280,S2366,Linea 1277,S2499;S2499,Linea 1277,S2366,Linea 1280,S929,Linea 1281,S2034,Linea 1276,S2486;S2486,Linea 1275,S2180,Linea 1274,S914,Linea 1135,S844,Linea 1145,S2658,Linea 1152,S66,Linea 1115,S841;S841,Linea 1118,S2723,Linea 1853,S42,Linea 1098,S2707,Linea 1088,S43,Linea 1026,S2695,Linea 1027,S36,Linea 957,S39,Linea 969,S316,Linea 970,S387,Linea 968,S2465,Linea 966,S2147,Linea 946,S167,Linea 943,S229,Linea 945,S277,Linea 998,S178,Linea 1004,S310,Linea 985,S2185,Linea 984,Base</t>
  </si>
  <si>
    <t>Base,Linea 984,S2185,Linea 985,S310,Linea 1004,S178,Linea 998,S277,Linea 945,S229,Linea 944,S56,Linea 940,S78,Linea 932,S645,Linea 931,S2111,Linea 933,S210,Linea 1707,S2435,Linea 1708,S2208;S2208,Linea 1708,S2435;S2435,Linea 1707,S210,Linea 933,S2111,Linea 930,S2110,Linea 736,S2167,Linea 1617,S2168,Linea 584,S849,Linea 582,S938,Linea 581,S2443,Linea 578,S2132,Linea 579,S949,Linea 591,S2129,Linea 592,S2259,Linea 594,S17,Linea 596,S2293,Linea 597,S4,Linea 598,S2324,Linea 600,S2196,Linea 599,S2689,Linea 601,S2683,Linea 603,S2663,Linea 607,S2673;S2673,Linea 607,S2663,Linea 603,S2683,Linea 606,S2619,Linea 608,S2694,Linea 1336,S2711,Linea 1335,S2698,Linea 1334,S2718,Linea 1333,S2717,Linea 1332,S2690;S2690,Linea 1332,S2717,Linea 1333,S2718,Linea 1334,S2698;S2698,Linea 1335,S2711,Linea 1336,S2694;S2694,Linea 608,S2619,Linea 606,S2683,Linea 601,S2689,Linea 599,S2196;S2196,Linea 600,S2324,Linea 598,S4,Linea 597,S2293,Linea 596,S17,Linea 594,S2259,Linea 592,S2129,Linea 591,S949,Linea 579,S2132,Linea 578,S2443,Linea 581,S938,Linea 582,S849,Linea 584,S2168,Linea 1617,S2167,Linea 736,S2110,Linea 930,S2111,Linea 931,S645,Linea 932,S78,Linea 940,S56,Linea 944,S229,Linea 945,S277,Linea 998,S178,Linea 1004,S310,Linea 985,S2185,Linea 984,Base</t>
  </si>
  <si>
    <t>Base,Linea 984,S2185,Linea 985,S310,Linea 1004,S178,Linea 998,S277,Linea 945,S229,Linea 943,S167,Linea 946,S2147,Linea 966,S2465,Linea 968,S387,Linea 970,S316,Linea 969,S39,Linea 957,S36,Linea 1027,S2695,Linea 1026,S43,Linea 1088,S2707,Linea 1098,S42,Linea 1856,S2724,Linea 1092,S163,Linea 1854,S66,Linea 1152,S2658,Linea 1145,S844,Linea 1135,S914,Linea 1274,S2180;S2180,Linea 1274,S914,Linea 1135,S844,Linea 1145,S2658,Linea 1152,S66,Linea 1115,S841,Linea 1113,S2194,Linea 1110,S803,Linea 1109,S831,Linea 1108,S820,Linea 1104,S902,Linea 1865,S2679;S2679,Linea 1865,S902,Linea 1104,S820,Linea 1108,S831,Linea 1109,S803,Linea 1138,S815,Linea 1129,S921,Linea 1273,S2055,Linea 1328,S778,Linea 1902,Planta Sur,Linea 1901,S834,Linea 1307,S839,Linea 1313,S725,Linea 1310,S744,Linea 1321,S747;S747,Linea 1321,S744,Linea 1310,S725,Linea 1313,S839,Linea 1307,S834,Linea 1901,Planta Sur,Linea 1902,S778,Linea 1328,S2055,Linea 1272,S908;S908,Linea 1272,S2055,Linea 1273,S921,Linea 1129,S815,Linea 1138,S803,Linea 1110,S2194,Linea 1113,S841,Linea 1118,S2723,Linea 1853,S42,Linea 1098,S2707,Linea 1088,S43,Linea 1026,S2695,Linea 1027,S36,Linea 957,S39,Linea 969,S316,Linea 970,S387,Linea 968,S2465,Linea 1715,S546,Linea 1212,S962,Linea 1008,S315,Linea 1017,S59,Linea 1295,S2116,Linea 1293,S1,Linea 1292,S2189,Linea 797,S2095,Linea 1828,S198,Linea 805,S287,Linea 839,S312,Linea 1834,S339,Linea 1833,S2548,Linea 1678,S249,Linea 833,S2414;S2414,Linea 833,S249,Linea 1678,S2548,Linea 1833,S339,Linea 1834,S312,Linea 839,S287,Linea 805,S198,Linea 1828,S2095,Linea 797,S2189,Linea 1292,S1,Linea 1293,S2116,Linea 1295,S59,Linea 1017,S315,Linea 746,S2572,Linea 747,S381,Linea 748,S377,Linea 740,S980,Linea 741,S2421,Linea 1842,S370,Linea 752,S2408,Linea 754,S192,Linea 973,S2249,Linea 1816,S2401,Linea 12,Base</t>
  </si>
  <si>
    <t>Base,Linea 984,S2185,Linea 985,S310,Linea 1004,S178,Linea 998,S277,Linea 945,S229,Linea 944,S56,Linea 940,S78,Linea 932,S645,Linea 931,S2111,Linea 930,S2110,Linea 736,S2167,Linea 1617,S2168,Linea 584,S849,Linea 582,S938,Linea 581,S2443,Linea 578,S2132,Linea 579,S949,Linea 591,S2129,Linea 592,S2259,Linea 594,S17,Linea 735,S295,Linea 734,S3,Linea 613,Q16,Linea 1626,S2240,Linea 471,S2,Linea 1886,S13,Linea 1887,S2523,Linea 1888,S2606,Linea 526,S2614,Linea 451,S2122,Linea 439,S2635,Linea 420,S2040,Linea 418,S2007,Linea 378,S1028,Linea 416,S1036,Linea 376,S1033;S1033,Linea 376,S1036,Linea 416,S1028,Linea 378,S2007,Linea 418,S2040,Linea 420,S2635,Linea 439,S2122,Linea 451,S2614,Linea 526,S2606,Linea 1888,S2523,Linea 1887,S13,Linea 1886,S2,Linea 471,S2240,Linea 1593,Q16,Linea 613,S3,Linea 734,S295,Linea 735,S17,Linea 594,S2259,Linea 592,S2129,Linea 591,S949,Linea 579,S2132,Linea 578,S2443,Linea 581,S938,Linea 582,S849,Linea 584,S2168,Linea 1617,S2167,Linea 736,S2110,Linea 930,S2111,Linea 931,S645,Linea 932,S78,Linea 1043,S48,Linea 1042,S57,Linea 941,S46,Linea 1852,S168;S168,Linea 1039,S45,Linea 1038,S158,Linea 1035,S167,Linea 946,S2147,Linea 966,S2465,Linea 968,S387,Linea 970,S316,Linea 969,S39,Linea 957,S36,Linea 1027,S2695,Linea 1026,S43,Linea 1088,S2707,Linea 1098,S42,Linea 1853,S2723,Linea 1118,S841,Linea 1113,S2194,Linea 1110,S803,Linea 1138,S815,Linea 1129,S921,Linea 1273,S2055,Linea 1328,S778,Linea 1127,S758;S758,Linea 1127,S778,Linea 1328,S2055,Linea 1273,S921,Linea 1129,S815,Linea 1138,S803,Linea 1110,S2194,Linea 1113,S841,Linea 1118,S2723,Linea 1853,S42,Linea 1098,S2707,Linea 1088,S43,Linea 1026,S2695,Linea 1027,S36,Linea 957,S39,Linea 969,S316,Linea 970,S387,Linea 968,S2465,Linea 966,S2147,Linea 946,S167,Linea 943,S229,Linea 945,S277,Linea 998,S178,Linea 1004,S310,Linea 985,S2185,Linea 984,Base</t>
  </si>
  <si>
    <t>Base,Linea 1,S176,Linea 1506,S2447,Linea 2,S993,Linea 3,S329,Linea 4,S309,Linea 10,S2195,Linea 27,S2412,Linea 33,S308,Linea 34,S2032,Linea 42,S2569,Linea 46,S2199,Linea 1847,S2200,Linea 97,S356,Linea 143,S2017,Linea 144,S690,Linea 141,S538,Linea 104,S2206,Linea 105,S763,Linea 106,S719,Linea 108,S767,Linea 112,S555,Linea 1532,S2578,Linea 142,S556,Linea 1883,S2022,Linea 902,S2001,Linea 1849,S492,Linea 1848,S1041,Linea 230,S487,Linea 229,S2291,Linea 226,S2054,Linea 220,S2458,Linea 214,S788,Linea 216,S2676,Linea 217,S2396,Linea 240,S2395,Linea 242,S2294,Linea 572,S874,Linea 573,S2501,Linea 574,S881,Linea 576,S712,Linea 395,S2608,Linea 404,S700;S700,Linea 404,S2608,Linea 395,S712,Linea 576,S881,Linea 574,S2501,Linea 573,S874,Linea 571,S2485,Linea 570,S875,Linea 564,S2525,Linea 554,S524,Linea 553,S529,Linea 551,S525,Linea 552,S2273,Linea 615,S2634,Linea 614,S469,Linea 545,S439,Linea 538,S531,Linea 540,S533,Linea 536,S506,Linea 534,S470,Linea 645,S426,Linea 649,S2307,Linea 650,S455,Linea 502,S398,Linea 501,S2016;S2016,Linea 501,S398,Linea 502,S455,Linea 650,S2307,Linea 507,S427,Linea 512,S509,Linea 511,S2236,Linea 516,Q17,Linea 517,S2523,Linea 1887,S13,Linea 1886,S2,Linea 471,S2240,Linea 1593,Q16,Linea 613,S3,Linea 734,S295,Linea 735,S17,Linea 594,S2259,Linea 592,S2129,Linea 591,S949,Linea 579,S2132,Linea 578,S2443,Linea 581,S938,Linea 582,S849,Linea 584,S2168,Linea 1617,S2167,Linea 736,S2110,Linea 930,S2111,Linea 931,S645,Linea 932,S78,Linea 940,S56,Linea 944,S229,Linea 945,S277,Linea 998,S178,Linea 1004,S310,Linea 985,S2185,Linea 984,Base</t>
  </si>
  <si>
    <t>Base,Linea 1,S176,Linea 1506,S2447,Linea 2,S993,Linea 3,S329,Linea 4,S309,Linea 6,S328,Linea 7,S2258,Linea 8,S326,Linea 52,S2253,Linea 57,S208,Linea 156,S2488,Linea 1548,S680,Linea 158,S246,Linea 161,S662,Linea 162,S678,Linea 164,S2510,Linea 167,S2478,Linea 168,S451,Linea 169,S691,Linea 170,S676,Linea 177,S640,Linea 178,S637,Linea 183,S495,Linea 186,S635,Linea 1555,S2552,Linea 211,S622,Linea 210,S633,Linea 127,S501,Linea 925,S789,Linea 923,Planta Norte,Linea 1214,S783;S783,Linea 905,S629,Linea 631,S2077,Linea 629,S489,Linea 665,S2265,Linea 659,S683,Linea 637,S458,Linea 634,S2720,Linea 632,S460,Linea 616,S469,Linea 614,S2634,Linea 615,S2273,Linea 552,S525,Linea 551,S529,Linea 549,S437,Linea 546,S773,Linea 531,S2151,Linea 415,S774,Linea 414,S722,Linea 413,S710,Linea 393,S709,Linea 392,S687,Linea 370,S613,Linea 369,S721,Linea 368,Planta La Petiza,Linea 367,S1035,Linea 372,S1026,Linea 374,S1015,Linea 373,S1006,Linea 354,S1023,Linea 344,S1018,Linea 346,S2518;S2518,Linea 346,S1018,Linea 344,S1023,Linea 354,S1006,Linea 373,S1015,Linea 374,S1026,Linea 372,S1035,Linea 367,Planta La Petiza,Linea 368,S721,Linea 369,S613,Linea 365,S707,Linea 1497,S2496,Linea 314,S2440,Linea 315,S616,Linea 260,S594,Linea 340,S892,Linea 274,S2279,Linea 275,S2582,Linea 276,S873,Linea 279,S850,Linea 331,S877,Linea 330,S885;S885,Linea 330,S877,Linea 331,S850,Linea 279,S873,Linea 276,S2582,Linea 275,S2279,Linea 274,S892,Linea 340,S594,Linea 260,S616,Linea 315,S2440,Linea 314,S2496,Linea 1497,S707,Linea 365,S613,Linea 369,S721,Linea 368,Planta La Petiza,Linea 366,S1039,Linea 361,S790,Linea 342,S1029,Linea 349,S2470,Linea 348,S2655;S2655,Linea 348,S2470,Linea 350,S1020,Linea 1496,S1033,Linea 376,S1036,Linea 416,S1028,Linea 378,S2007,Linea 418,S2040,Linea 420,S2635,Linea 439,S2122,Linea 451,S2614,Linea 526,S2606,Linea 1888,S2523,Linea 1887,S13,Linea 1886,S2,Linea 471,S2240,Linea 1593,Q16,Linea 613,S3,Linea 734,S295,Linea 735,S17,Linea 594,S2259,Linea 592,S2129,Linea 591,S949,Linea 579,S2132,Linea 578,S2443,Linea 581,S938,Linea 582,S849,Linea 584,S2168,Linea 1617,S2167,Linea 736,S2110,Linea 930,S2111,Linea 931,S645,Linea 932,S78,Linea 940,S56,Linea 944,S229,Linea 945,S277,Linea 998,S178,Linea 1004,S310,Linea 985,S2185,Linea 984,Base</t>
  </si>
  <si>
    <t>Base,Linea 984,S2185,Linea 985,S310,Linea 1004,S178,Linea 998,S277,Linea 945,S229,Linea 943,S167,Linea 946,S2147,Linea 964,S2146,Linea 949,S31,Linea 950,S2094,Linea 1711,S33,Linea 1222,S927,Linea 1754,S115,Linea 1085,S944,Linea 1077,S2667,Linea 1078,S793,Linea 1076,S791,Linea 1221,S760,Linea 1073,S794,Linea 1297,S759,Linea 1306,S834,Linea 1307,S839,Linea 1313,S725,Linea 1310,S744,Linea 1321,S747,Linea 1324,S752,Linea 1244,S753,Linea 1323,S755,Linea 1236,S2648,Linea 1237,S2644,Linea 1238,S2524;S2524,Linea 1238,S2644,Linea 1237,S2648,Linea 1236,S755,Linea 1323,S753,Linea 1244,S752,Linea 1324,S747,Linea 1319,S745;S745,Linea 1319,S747,Linea 1324,S752,Linea 1244,S753,Linea 1323,S755,Linea 1236,S2648,Linea 1237,S2644,Linea 1238,S2524,Linea 1861,S2650;S2650,Linea 1861,S2524,Linea 1238,S2644,Linea 1237,S2648,Linea 1236,S755,Linea 1235,S2534,Linea 1234,Q22,Linea 1233,S811;S811,Linea 1231,S812,Linea 1232,S2629,Linea 1262,S757,Linea 1263,S748,Linea 1762,S2310,Linea 1303,S2519,Linea 1302,S2379,Linea 1311,S744,Linea 1310,S725,Linea 1313,S839,Linea 1307,S834,Linea 1306,S759,Linea 1297,S794,Linea 1073,S760,Linea 1221,S791,Linea 1076,S793,Linea 1078,S2667,Linea 1077,S944,Linea 1085,S115,Linea 1733,S927,Linea 1222,S33,Linea 1724,S2094,Linea 950,S31,Linea 949,S2146,Linea 964,S2147,Linea 946,S167,Linea 943,S229,Linea 945,S277,Linea 998,S178,Linea 1004,S310,Linea 985,S2185,Linea 984,Base</t>
  </si>
  <si>
    <t>Base,Linea 984,S2185,Linea 985,S310,Linea 1004,S178,Linea 998,S277,Linea 945,S229,Linea 944,S56,Linea 940,S78,Linea 932,S645,Linea 931,S2111,Linea 930,S2110,Linea 736,S2167,Linea 1617,S2168,Linea 584,S849,Linea 582,S938,Linea 581,S2443,Linea 578,S2132,Linea 579,S949,Linea 591,S2129,Linea 592,S2259,Linea 594,S17,Linea 596,S2293,Linea 597,S4,Linea 598,S2324,Linea 600,S2196,Linea 599,S2689,Linea 605,S581,Linea 609,S2682,Linea 1623,S2678;S2678,Linea 1623,S2682,Linea 609,S581,Linea 610,S2688,Linea 1869,S2693,Linea 1870,S2703,Linea 1873,S2713,Linea 1874,S2710;S2710,Linea 1874,S2713,Linea 1889,S2696;S2696,Linea 1889,S2713,Linea 1873,S2703,Linea 1870,S2693,Linea 1869,S2688,Linea 611,S2685,Linea 612,S2699,Linea 1624,S2704;S2704,Linea 1624,S2699;S2699,Linea 612,S2685,Linea 611,S2688,Linea 610,S581,Linea 605,S2689,Linea 599,S2196,Linea 600,S2324,Linea 598,S4,Linea 597,S2293,Linea 596,S17,Linea 594,S2259,Linea 592,S2129,Linea 591,S949,Linea 579,S2132,Linea 578,S2443,Linea 581,S938,Linea 582,S849,Linea 584,S2168,Linea 1617,S2167,Linea 736,S2110,Linea 930,S2111,Linea 931,S645,Linea 932,S78,Linea 940,S56,Linea 944,S229,Linea 945,S277,Linea 998,S178,Linea 1004,S310,Linea 985,S2185,Linea 984,Base</t>
  </si>
  <si>
    <t>Base,Linea 984,S2185,Linea 985,S310,Linea 1004,S178,Linea 998,S277,Linea 945,S229,Linea 944,S56,Linea 940,S78,Linea 932,S645,Linea 931,S2111,Linea 930,S2110,Linea 736,S2167,Linea 1617,S2168,Linea 584,S849,Linea 582,S938,Linea 581,S2443,Linea 578,S2132,Linea 579,S949,Linea 591,S2129,Linea 592,S2259,Linea 594,S17,Linea 596,S2293,Linea 597,S4,Linea 598,S2324,Linea 600,S2196,Linea 599,S2689,Linea 605,S581,Linea 610,S2688,Linea 1869,S2693,Linea 1871,S2705;S2705,Linea 1871,S2693,Linea 1869,S2688,Linea 610,S581,Linea 605,S2689,Linea 601,S2683,Linea 606,S2619,Linea 608,S2694,Linea 1336,S2711,Linea 1335,S2698,Linea 1334,S2718,Linea 1333,S2717,Linea 1330,S924,Linea 1337,S925,Linea 1260,S2657,Linea 1247,S2627,Linea 1246,S2640,Linea 1326,S752,Linea 1244,S753,Linea 1241,S2292,Linea 1242,S2692;S2692,Linea 1242,S2292,Linea 1241,S753,Linea 1244,S752,Linea 1326,S2640,Linea 1246,S2627,Linea 1247,S2657,Linea 1260,S925,Linea 1337,S924,Linea 1330,S2717,Linea 1333,S2718,Linea 1334,S2698,Linea 1335,S2711,Linea 1336,S2694,Linea 608,S2619,Linea 606,S2683,Linea 601,S2689,Linea 599,S2196,Linea 602,S2677;S2677,Linea 602,S2196,Linea 600,S2324,Linea 598,S4,Linea 597,S2293,Linea 596,S17,Linea 735,S295,Linea 734,S3,Linea 613,Q16,Linea 1626,S2240,Linea 471,S2,Linea 1886,S13,Linea 1887,S2523,Linea 1888,S2606,Linea 526,S2614,Linea 525,S2461;S2461,Linea 525,S2614;S2614,Linea 526,S2606,Linea 1888,S2523,Linea 1887,S13,Linea 1886,S2,Linea 471,S2240,Linea 1593,Q16,Linea 613,S3,Linea 734,S295,Linea 735,S17,Linea 594,S2259,Linea 592,S2129,Linea 591,S949,Linea 579,S2132,Linea 578,S2443,Linea 581,S938,Linea 582,S849,Linea 584,S2168,Linea 1617,S2167,Linea 736,S2110,Linea 930,S2111,Linea 931,S645,Linea 932,S78,Linea 940,S56,Linea 944,S229,Linea 945,S277,Linea 998,S178,Linea 1004,S310,Linea 985,S2185,Linea 984,Base</t>
  </si>
  <si>
    <t>Base,Linea 1,S176,Linea 1506,S2447,Linea 2,S993,Linea 3,S329,Linea 4,S309,Linea 10,S2195,Linea 27,S2412,Linea 33,S308,Linea 34,S2032,Linea 42,S2569,Linea 46,S2199,Linea 1847,S2200,Linea 97,S356,Linea 143,S2017,Linea 144,S690,Linea 141,S538,Linea 104,S2206,Linea 105,S763,Linea 106,S719,Linea 108,S767,Linea 112,S555,Linea 1532,S2578,Linea 142,S556,Linea 1883,S2022,Linea 902,S2001,Linea 1849,S492,Linea 1885,S2556,Linea 234,S2384;S2384,Linea 234,S2556,Linea 1885,S492,Linea 1849,S2001,Linea 902,S2022,Linea 1883,S556,Linea 142,S2578,Linea 1821,S555,Linea 112,S767,Linea 108,S719,Linea 132,S302,Linea 36,S358,Linea 37,S2224,Linea 1515,S2581;S2581,Linea 1515,S2224,Linea 37,S358,Linea 36,S302,Linea 132,S719,Linea 108,S767,Linea 112,S555,Linea 1532,S2578,Linea 142,S556,Linea 1883,S2022,Linea 902,S2001,Linea 1849,S492,Linea 1848,S1041,Linea 230,S487,Linea 236,S2386,Linea 238,S958,Linea 626,S2560,Linea 627,S2262,Linea 628,S2445,Linea 662,S2720,Linea 632,S460,Linea 616,S469,Linea 545,S439,Linea 641,S457,Linea 644,S2309;S2309,Linea 644,S457,Linea 641,S439,Linea 545,S469,Linea 616,S460,Linea 632,S2720,Linea 634,S458,Linea 660,S683,Linea 659,S2265,Linea 665,S489,Linea 629,S2077,Linea 631,S629,Linea 905,S783,Linea 1214,Planta Norte,Linea 923,S789,Linea 925,S501,Linea 127,S633,Linea 210,S622,Linea 211,S2552,Linea 1563,S635,Linea 186,S495,Linea 183,S637,Linea 178,S640,Linea 177,S676,Linea 170,S691,Linea 169,S451,Linea 168,S2478,Linea 167,S2510,Linea 164,S678,Linea 162,S662,Linea 161,S246,Linea 158,S680,Linea 1549,S2488,Linea 156,S208,Linea 57,S2253,Linea 52,S326,Linea 8,S2258,Linea 7,S328,Linea 6,S309,Linea 4,S329,Linea 3,S993,Linea 2,S2447,Linea 1506,S176,Linea 1,Base</t>
  </si>
  <si>
    <t>Base,Linea 984,S2185,Linea 985,S310,Linea 1004,S178,Linea 998,S277,Linea 945,S229,Linea 943,S167,Linea 946,S2147,Linea 966,S2465,Linea 968,S387,Linea 970,S316,Linea 969,S39,Linea 957,S36,Linea 1027,S2695,Linea 1026,S43,Linea 1088,S2707,Linea 1098,S42,Linea 1853,S2723,Linea 1118,S841,Linea 1113,S2194,Linea 1110,S803,Linea 1138,S815,Linea 1129,S921,Linea 1273,S2055,Linea 1328,S778;S778,Linea 1902,Planta Sur,Linea 1901,S834,Linea 1307,S839,Linea 1313,S725,Linea 1310,S744;S744,Linea 1321,S747,Linea 1320,S2493,Linea 1325,S935,Linea 1257,S2515;S2515,Linea 1257,S935,Linea 1325,S2493,Linea 1320,S747,Linea 1324,S752,Linea 1244,S753,Linea 1240,S2449,Linea 1239,S2507;S2507,Linea 1239,S2449,Linea 1240,S753,Linea 1244,S752,Linea 1324,S747,Linea 1321,S744,Linea 1310,S725,Linea 1313,S839,Linea 1307,S834,Linea 1306,S759,Linea 1297,S794,Linea 1073,S760,Linea 1221,S791,Linea 1076,S793,Linea 1078,S2667,Linea 1077,S944,Linea 1085,S115,Linea 1733,S927,Linea 1222,S33,Linea 1724,S2094,Linea 950,S31,Linea 949,S2146,Linea 964,S2147,Linea 966,S2465,Linea 1715,S546,Linea 1212,S962,Linea 1008,S315,Linea 1017,S59,Linea 1295,S2116,Linea 1293,S1,Linea 1292,S2189,Linea 797,S2095,Linea 1825,S2479,Linea 795,S189,Linea 1826,S18,Linea 1177,S2243,Linea 807,S205,Linea 1181,S2139,Linea 1180,S8,Linea 1183,S223,Linea 1189,S224,Linea 1190,S203,Linea 1187,S2586,Linea 1192,S2584,Linea 1205,S138,Linea 1751,S2438;S2438,Linea 1803,S138,Linea 1205,S2584,Linea 1192,S2586,Linea 1187,S203,Linea 1190,S224,Linea 1189,S223,Linea 1183,S8,Linea 1180,S2139,Linea 1181,S205,Linea 807,S2243,Linea 1177,S18,Linea 1826,S189,Linea 795,S2479,Linea 1825,S2095,Linea 797,S2189,Linea 1292,S1,Linea 1293,S2116,Linea 1295,S59,Linea 1017,S315,Linea 746,S2572,Linea 747,S381,Linea 748,S377,Linea 740,S980,Linea 741,S2421,Linea 1842,S370,Linea 752,S2408,Linea 754,S192,Linea 973,S2249,Linea 1816,S2401,Linea 12,Base</t>
  </si>
  <si>
    <t>Base,Linea 1,S176,Linea 1506,S2447,Linea 2,S993,Linea 3,S329,Linea 4,S309,Linea 6,S328,Linea 7,S2258,Linea 8,S326,Linea 52,S2253,Linea 57,S208,Linea 156,S2488,Linea 1548,S680,Linea 158,S246,Linea 161,S662,Linea 162,S678,Linea 164,S2510,Linea 167,S2478,Linea 168,S451,Linea 169,S691,Linea 170,S676,Linea 177,S640,Linea 178,S637,Linea 183,S495,Linea 186,S635,Linea 1555,S2552,Linea 211,S622,Linea 210,S633,Linea 127,S501,Linea 925,S789,Linea 923,Planta Norte,Linea 1214,S783,Linea 905,S629,Linea 631,S2077,Linea 629,S489,Linea 665,S2265,Linea 664,S2444,Linea 666,S782,Linea 906,S2171;S2171,Linea 906,S782,Linea 666,S2444,Linea 664,S2265,Linea 659,S683,Linea 637,S458,Linea 634,S2720,Linea 632,S460,Linea 616,S469,Linea 614,S2634,Linea 615,S2273,Linea 552,S525,Linea 551,S529,Linea 549,S437,Linea 546,S773,Linea 531,S2151,Linea 415,S774,Linea 414,S722,Linea 413,S710,Linea 393,S709,Linea 392,S687,Linea 370,S613,Linea 365,S707,Linea 1497,S2496,Linea 314,S2440,Linea 311,S1009;S1009,Linea 311,S2440,Linea 315,S616;S616,Linea 315,S2440,Linea 314,S2496,Linea 1497,S707,Linea 365,S613,Linea 369,S721,Linea 368,Planta La Petiza,Linea 362,S706;S706,Linea 362,Planta La Petiza,Linea 368,S721,Linea 369,S613,Linea 370,S687,Linea 392,S709,Linea 393,S710,Linea 413,S722,Linea 414,S774,Linea 415,S2151,Linea 531,S773,Linea 546,S437,Linea 549,S529,Linea 551,S525,Linea 552,S2273,Linea 615,S2634,Linea 614,S469,Linea 616,S460,Linea 632,S2720,Linea 634,S458,Linea 660,S683,Linea 659,S2265,Linea 665,S489,Linea 629,S2077,Linea 631,S629,Linea 905,S783,Linea 1214,Planta Norte,Linea 923,S789,Linea 925,S501,Linea 127,S633,Linea 210,S622,Linea 211,S2552,Linea 1563,S635,Linea 186,S495,Linea 183,S637,Linea 178,S640,Linea 177,S676,Linea 170,S691,Linea 169,S451,Linea 168,S2478,Linea 167,S2510,Linea 164,S678,Linea 162,S662,Linea 161,S246,Linea 158,S680,Linea 1549,S2488,Linea 156,S208,Linea 57,S2253,Linea 52,S326,Linea 8,S2258,Linea 7,S328,Linea 6,S309,Linea 4,S329,Linea 3,S993,Linea 2,S2447,Linea 1506,S176,Linea 1,Base</t>
  </si>
  <si>
    <t>Base,Linea 1,S176,Linea 1506,S2447,Linea 2,S993,Linea 3,S329,Linea 4,S309,Linea 6,S328,Linea 7,S2258,Linea 8,S326,Linea 52,S2253,Linea 57,S208,Linea 156,S2488,Linea 1548,S680,Linea 158,S246,Linea 161,S662,Linea 701,S668,Linea 731,S567,Linea 700,S677;S677,Linea 175,S661,Linea 174,S2601,Linea 173,S691,Linea 170,S676,Linea 177,S640;S640,Linea 178,S637,Linea 183,S495,Linea 186,S635,Linea 1555,S2552,Linea 211,S622,Linea 210,S633,Linea 127,S501,Linea 925,S789,Linea 923,Planta Norte,Linea 1899,S2239;S2239,Linea 1899,Planta Norte,Linea 1214,S783,Linea 905,S629,Linea 631,S2077,Linea 629,S489,Linea 665,S2265,Linea 659,S683,Linea 637,S458,Linea 634,S2720,Linea 662,S2445,Linea 628,S2262,Linea 627,S2560,Linea 626,S958,Linea 238,S2386,Linea 236,S487,Linea 230,S1041,Linea 1848,S492,Linea 1849,S2001,Linea 232,S2027,Linea 231,S2593;S2593,Linea 231,S2027,Linea 232,S2001,Linea 902,S2022,Linea 1883,S556,Linea 142,S2578,Linea 1821,S555,Linea 112,S767,Linea 115,S498,Linea 129,S2389,Linea 133,S693,Linea 134,S679;S679,Linea 134,S693,Linea 133,S2389;S2389,Linea 129,S498;S498,Linea 115,S767,Linea 108,S719,Linea 106,S763,Linea 105,S2206,Linea 104,S538,Linea 141,S690,Linea 144,S2017,Linea 143,S356,Linea 97,S2200,Linea 1847,S2199,Linea 46,S2569,Linea 42,S2032,Linea 34,S308,Linea 33,S2412,Linea 27,S2195,Linea 10,S309,Linea 4,S329,Linea 3,S993,Linea 2,S2447,Linea 1506,S176,Linea 1,Base</t>
  </si>
  <si>
    <t>Base,Linea 984,S2185,Linea 985,S310,Linea 1004,S178,Linea 998,S277,Linea 945,S229,Linea 943,S167,Linea 946,S2147,Linea 966,S2465,Linea 968,S387,Linea 970,S316,Linea 969,S39,Linea 957,S36,Linea 1027,S2695,Linea 1026,S43,Linea 1088,S2707,Linea 1098,S42,Linea 1856,S2724,Linea 1092,S163,Linea 1854,S66,Linea 1152,S2658,Linea 1145,S844,Linea 1135,S914,Linea 1274,S2180,Linea 1275,S2486,Linea 1276,S2034,Linea 1281,S929;S929,Linea 1281,S2034,Linea 1276,S2486,Linea 1275,S2180,Linea 1274,S914,Linea 1134,S2433;S2433,Linea 1134,S914,Linea 1135,S844;S844,Linea 1145,S2658,Linea 1151,S909,Linea 1146,S824,Linea 1144,S823,Linea 1143,S2380;S2380,Linea 1143,S823,Linea 1139,S815,Linea 1138,S803,Linea 1110,S2194,Linea 1113,S841,Linea 1118,S2723,Linea 1853,S42,Linea 1098,S2707,Linea 1088,S43,Linea 1026,S2695,Linea 1027,S36,Linea 957,S39,Linea 969,S316,Linea 970,S387,Linea 968,S2465,Linea 966,S2147,Linea 946,S167,Linea 943,S229,Linea 945,S277,Linea 998,S178,Linea 1004,S310,Linea 985,S2185,Linea 984,Base</t>
  </si>
  <si>
    <t>Base,Linea 984,S2185,Linea 985,S310,Linea 1004,S178,Linea 998,S277,Linea 945,S229,Linea 943,S167,Linea 946,S2147,Linea 966,S2465,Linea 968,S387,Linea 970,S316,Linea 969,S39,Linea 957,S36,Linea 1027,S2695,Linea 1026,S43,Linea 1088,S2707,Linea 1098,S42,Linea 1856,S2724,Linea 1092,S163,Linea 1854,S66,Linea 1156,S63,Linea 1154,S65,Linea 1153,S47,Linea 1150,S832,Linea 1287,S54,Linea 1288,S907,Linea 1493,S187,Linea 1806,S933;S933,Linea 1806,S187,Linea 1493,S907,Linea 1288,S54,Linea 1287,S832,Linea 1150,S47,Linea 1153,S65,Linea 1154,S63,Linea 1156,S66,Linea 1854,S163,Linea 1092,S2724,Linea 1856,S42,Linea 1098,S2707,Linea 1088,S43,Linea 1026,S2695,Linea 1027,S36,Linea 957,S39,Linea 969,S316,Linea 970,S387,Linea 968,S2465,Linea 966,S2147,Linea 946,S167,Linea 943,S229,Linea 945,S277,Linea 998,S178,Linea 1004,S310,Linea 985,S2185,Linea 984,Base,Linea 14,S278,Linea 15,S2250,Linea 16,S977,Linea 17,S245,Linea 1341,S2416,Linea 69,S154,Linea 71,S155,Linea 74,S156,Linea 75,S100,Linea 76,S2252,Linea 79,S2014,Linea 82,S2004,Linea 89,S2065,Linea 91,S2326,Linea 92,S2233;S2233,Linea 92,S2326,Linea 91,S2065,Linea 89,S2004,Linea 82,S2014,Linea 79,S2252,Linea 76,S100,Linea 75,S156,Linea 74,S155,Linea 71,S154,Linea 69,S2416,Linea 1341,S245,Linea 17,S977,Linea 16,S2250,Linea 15,S278,Linea 14,Base</t>
  </si>
  <si>
    <t>Base,Linea 13,S961;S961,Linea 13,Base,Linea 14,S278,Linea 15,S2250,Linea 16,S977,Linea 1512,S2484;S2484,Linea 1512,S977,Linea 17,S245,Linea 1341,S2416;S2416,Linea 1341,S245,Linea 17,S977;S977,Linea 17,S245,Linea 1340,S186,Linea 901,S539,Linea 1408,S2376,Linea 1346,S190,Linea 1395,S232,Linea 1348,S2314;S2314,Linea 1347,S643,Linea 892,S290,Linea 891,S2061,Linea 877,S2190,Linea 867,S2044,Linea 864,S288;S288,Linea 864,S2044;S2044,Linea 867,S2190;S2190,Linea 877,S2061,Linea 891,S290,Linea 892,S643,Linea 1347,S2314,Linea 1348,S232,Linea 1395,S190,Linea 1346,S2376,Linea 1408,S539,Linea 901,S186,Linea 1340,S245,Linea 17,S977,Linea 16,S2250,Linea 15,S278,Linea 14,Base</t>
  </si>
  <si>
    <t>Base,Linea 984,S2185,Linea 985,S310,Linea 1004,S178,Linea 998,S277,Linea 945,S229,Linea 944,S56,Linea 940,S78,Linea 932,S645,Linea 931,S2111,Linea 930,S2110,Linea 736,S2167,Linea 1617,S2168,Linea 584,S849,Linea 582,S938,Linea 581,S2443,Linea 578,S2132,Linea 579,S949,Linea 591,S2129,Linea 592,S2259,Linea 594,S17,Linea 596,S2293,Linea 597,S4,Linea 598,S2324,Linea 600,S2196,Linea 599,S2689,Linea 601,S2683,Linea 606,S2619,Linea 608,S2694,Linea 1336,S2711,Linea 1335,S2698,Linea 1334,S2718,Linea 1333,S2717,Linea 1330,S924,Linea 1337,S925,Linea 1260,S2657,Linea 1247,S2627,Linea 1246,S2640;S2640,Linea 1246,S2627,Linea 1247,S2657,Linea 1260,S925,Linea 1337,S924,Linea 1330,S2717,Linea 1333,S2718,Linea 1334,S2698,Linea 1335,S2711,Linea 1336,S2694,Linea 608,S2619,Linea 606,S2683,Linea 601,S2689,Linea 599,S2196,Linea 600,S2324,Linea 598,S4,Linea 597,S2293,Linea 596,S17,Linea 735,S295,Linea 734,S3,Linea 613,Q16,Linea 1626,S2240,Linea 471,S2,Linea 1886,S13,Linea 1887,S2523,Linea 1888,S2606,Linea 526,S2614,Linea 525,S2461,Linea 454,S2594,Linea 438,S2120,Linea 434,S2668;S2668,Linea 435,S2105,Linea 432,S2632,Linea 433,S2040,Linea 418,S2007,Linea 378,S1028,Linea 379,S544,Linea 380,S1037,Linea 381,S2300,Linea 412,S2151,Linea 531,S773,Linea 546,S437,Linea 549,S529,Linea 553,S524,Linea 554,S2525,Linea 564,S875,Linea 570,S2485,Linea 569,S870,Linea 563,S527,Linea 560,S795;S795,Linea 560,S527,Linea 563,S870,Linea 569,S2485,Linea 570,S875,Linea 564,S2525,Linea 554,S524,Linea 553,S529,Linea 549,S437,Linea 546,S773,Linea 531,S2151,Linea 412,S2300,Linea 381,S1037,Linea 380,S544,Linea 379,S1028,Linea 378,S2007,Linea 418,S2040,Linea 433,S2632,Linea 432,S2105,Linea 435,S2668,Linea 434,S2120,Linea 438,S2594;S2594,Linea 454,S2461,Linea 525,S2614,Linea 526,S2606,Linea 1888,S2523,Linea 1887,S13,Linea 1886,S2,Linea 471,S2240,Linea 1593,Q16,Linea 613,S3,Linea 734,S295,Linea 735,S17,Linea 594,S2259,Linea 592,S2129,Linea 591,S949,Linea 579,S2132,Linea 578,S2443,Linea 581,S938,Linea 582,S849,Linea 584,S2168,Linea 1617,S2167,Linea 736,S2110,Linea 930,S2111,Linea 931,S645,Linea 932,S78,Linea 940,S56,Linea 944,S229,Linea 945,S277,Linea 998,S178,Linea 1004,S310,Linea 985,S2185,Linea 984,Base</t>
  </si>
  <si>
    <t>Base,Linea 1,S176,Linea 1506,S2447,Linea 2,S993,Linea 3,S329,Linea 4,S309,Linea 6,S328,Linea 7,S2258,Linea 8,S326,Linea 52,S2253,Linea 57,S208,Linea 156,S2488,Linea 1548,S680,Linea 158,S246,Linea 161,S662,Linea 162,S678,Linea 164,S2510,Linea 167,S2478,Linea 168,S451,Linea 169,S691,Linea 170,S676,Linea 177,S640,Linea 178,S637,Linea 183,S495,Linea 186,S635,Linea 1555,S2552,Linea 211,S622,Linea 210,S633,Linea 127,S501,Linea 925,S789,Linea 923,Planta Norte,Linea 1214,S783,Linea 903,S2521,Linea 1694,S2490;S2490,Linea 1694,S2521,Linea 903,S783,Linea 905,S629,Linea 631,S2077,Linea 629,S489,Linea 665,S2265,Linea 659,S683,Linea 637,S458,Linea 634,S2720,Linea 632,S460,Linea 616,S469,Linea 545,S439,Linea 538,S531,Linea 540,S533,Linea 536,S506,Linea 534,S470,Linea 645,S426,Linea 649,S2307,Linea 507,S427,Linea 513,S508,Linea 515,S2437;S2437,Linea 515,S508,Linea 513,S427,Linea 507,S2307,Linea 649,S426,Linea 645,S470,Linea 534,S506,Linea 536,S533,Linea 540,S531,Linea 537,S2439;S2439,Linea 537,S531,Linea 538,S439,Linea 545,S469,Linea 616,S460,Linea 632,S2720,Linea 634,S458,Linea 660,S683,Linea 659,S2265,Linea 665,S489,Linea 629,S2077,Linea 631,S629,Linea 905,S783,Linea 1214,Planta Norte,Linea 923,S789,Linea 925,S501,Linea 127,S633,Linea 210,S622,Linea 211,S2552,Linea 1563,S635,Linea 186,S495,Linea 183,S637,Linea 178,S640,Linea 177,S676,Linea 170,S691,Linea 169,S451,Linea 168,S2478,Linea 167,S2510,Linea 164,S678,Linea 162,S662,Linea 161,S246,Linea 158,S680,Linea 1549,S2488,Linea 156,S208,Linea 57,S2253,Linea 52,S326,Linea 8,S2258,Linea 7,S328,Linea 6,S309,Linea 4,S329,Linea 3,S993,Linea 2,S2447,Linea 1506,S176,Linea 1,Base</t>
  </si>
  <si>
    <t>Base,Linea 984,S2185,Linea 985,S310,Linea 1004,S178,Linea 998,S277,Linea 945,S229,Linea 944,S56,Linea 940,S78,Linea 932,S645,Linea 931,S2111,Linea 930,S2110,Linea 736,S2167,Linea 1617,S2168,Linea 584,S849,Linea 582,S938,Linea 587,S2511;S2511,Linea 588,S932,Linea 1339,S901,Linea 1338,S2687;S2687,Linea 1892,S2714;S2714,Linea 1892,S2687,Linea 1338,S901,Linea 1339,S932,Linea 588,S2511,Linea 587,S938,Linea 582,S849,Linea 584,S2168,Linea 1617,S2167,Linea 736,S2110,Linea 930,S2111,Linea 931,S645,Linea 932,S78,Linea 940,S56,Linea 944,S229,Linea 945,S277,Linea 998,S178,Linea 1004,S310,Linea 985,S2185,Linea 984,Base</t>
  </si>
  <si>
    <t>Base,Linea 12,S2401,Linea 1510,S2249,Linea 973,S192,Linea 1211,S172,Linea 768,S2417,Linea 759,S402,Linea 760,S2468,Linea 1844,S403,Linea 762,S2422;S2422,Linea 762,S403,Linea 1844,S2468,Linea 760,S402,Linea 759,S2417,Linea 768,S172,Linea 1211,S192,Linea 973,S2249,Linea 1816,S2401,Linea 12,Base,Linea 14,S278,Linea 15,S2250,Linea 16,S977,Linea 17,S245,Linea 1341,S2416,Linea 69,S154,Linea 71,S155,Linea 74,S156,Linea 75,S100,Linea 76,S2252,Linea 79,S2014,Linea 82,S2004,Linea 88,S2321;S2321,Linea 88,S2004,Linea 82,S2014,Linea 79,S2252,Linea 76,S100,Linea 75,S156,Linea 74,S155,Linea 71,S154,Linea 69,S2416,Linea 1341,S245,Linea 900,S170,Linea 63,S992,Linea 22,S159,Linea 21,S2010;S2010,Linea 21,S159,Linea 19,Base</t>
  </si>
  <si>
    <t>Base,Linea 1,S176,Linea 1506,S2447,Linea 2,S993,Linea 3,S329,Linea 4,S309,Linea 10,S2195,Linea 27,S2412,Linea 33,S308,Linea 34,S2032,Linea 42,S2569,Linea 46,S2199,Linea 1847,S2200;S2200,Linea 97,S356,Linea 143,S2017,Linea 144,S690,Linea 141,S538,Linea 104,S2206,Linea 105,S763,Linea 106,S719,Linea 108,S767,Linea 112,S555,Linea 1532,S2578,Linea 142,S556,Linea 1883,S2022,Linea 902,S2001,Linea 1849,S492,Linea 1848,S1041,Linea 230,S487,Linea 229,S2291,Linea 226,S2054,Linea 220,S2458,Linea 214,S788,Linea 216,S2676,Linea 217,S2396,Linea 240,S2395,Linea 243,S1005,Linea 397,S543,Linea 399,S2288,Linea 247,S2418,Linea 249,S611,Linea 250,E291,Linea 252,S853,Linea 254,S851,Linea 257,S591,Linea 258,S876,Linea 263,S886,Linea 264,S868,Linea 270,S869,Linea 278,S864,Linea 277,S2582,Linea 275,S2279,Linea 1571,S879,Linea 332,S1001;S1001,Linea 332,S879,Linea 1578,S2279,Linea 274,S892,Linea 340,S594,Linea 260,S616,Linea 315,S2440,Linea 312,S2426,Linea 321,S588,Linea 320,S2207,Linea 322,S734,Linea 323,S762;S762,Linea 323,S734,Linea 322,S2207,Linea 320,S588,Linea 321,S2426,Linea 312,S2440,Linea 315,S616,Linea 260,S594,Linea 340,S892,Linea 274,S2279,Linea 275,S2582,Linea 276,S873,Linea 279,S850,Linea 280,S856,Linea 283,S857;S857,Linea 283,S856,Linea 280,S850,Linea 281,S864,Linea 278,S869,Linea 270,S868,Linea 264,S886;S886,Linea 263,S876,Linea 258,S591,Linea 257,S851,Linea 254,S853,Linea 252,E291,Linea 250,S611,Linea 249,S2418,Linea 247,S2288,Linea 399,S543,Linea 397,S1005,Linea 243,S2395,Linea 240,S2396,Linea 217,S2676,Linea 216,S788,Linea 214,S2458,Linea 220,S2054,Linea 226,S2291,Linea 229,S487,Linea 230,S1041,Linea 1848,S492,Linea 1849,S2001,Linea 902,S2022,Linea 1883,S556,Linea 142,S2578,Linea 1821,S555,Linea 112,S767,Linea 108,S719,Linea 106,S763,Linea 105,S2206,Linea 104,S538,Linea 141,S690,Linea 144,S2017,Linea 143,S356,Linea 97,S2200,Linea 1847,S2199,Linea 46,S2569,Linea 42,S2032,Linea 34,S308,Linea 33,S2412,Linea 27,S2195,Linea 10,S309,Linea 4,S329,Linea 3,S993,Linea 2,S2447,Linea 1506,S176,Linea 1,Base</t>
  </si>
  <si>
    <t>Base,Linea 984,S2185,Linea 985,S310,Linea 1004,S178,Linea 998,S277,Linea 945,S229,Linea 943,S167,Linea 946,S2147,Linea 966,S2465,Linea 968,S387,Linea 970,S316,Linea 969,S39,Linea 957,S36,Linea 1027,S2695,Linea 1028,S942,Linea 1100,S2463;S2463,Linea 1102,S916,Linea 1099,S2707,Linea 1098,S42,Linea 1853,S2723,Linea 1118,S841,Linea 1112,S2467,Linea 1224,S846;S846,Linea 1224,S2467,Linea 1112,S841,Linea 1115,S66,Linea 1152,S2658;S2658,Linea 1145,S844,Linea 1140,S2298;S2298,Linea 1140,S844,Linea 1135,S914,Linea 1274,S2180,Linea 1275,S2486,Linea 1276,S2034,Linea 1281,S929,Linea 1280,S2366;S2366,Linea 1278,S2451,Linea 1283,S913,Linea 1285,S2286,Linea 1286,S832;S832,Linea 1287,S54,Linea 1288,S907,Linea 1495,S20,Linea 1161,S2517;S2517,Linea 1161,S20,Linea 1160,S81,Linea 1166,S2148,Linea 1857,S63,Linea 1156,S66,Linea 1854,S163,Linea 1092,S2724,Linea 1856,S42,Linea 1098,S2707,Linea 1088,S43,Linea 1026,S2695,Linea 1027,S36,Linea 957,S39,Linea 969,S316,Linea 970,S387,Linea 968,S2465,Linea 966,S2147,Linea 946,S167,Linea 943,S229,Linea 945,S277,Linea 998,S178,Linea 1004,S310,Linea 985,S2185,Linea 984,Base</t>
  </si>
  <si>
    <t>Base,Linea 984,S2185,Linea 985,S310,Linea 1004,S178,Linea 998,S277,Linea 945,S229,Linea 943,S167,Linea 946,S2147,Linea 966,S2465,Linea 968,S387,Linea 970,S316,Linea 969,S39,Linea 957,S36,Linea 1027,S2695,Linea 1026,S43,Linea 1088,S2707,Linea 1098,S42,Linea 1853,S2723,Linea 1118,S841,Linea 1113,S2194,Linea 1110,S803;S803,Linea 1138,S815,Linea 1139,S823,Linea 1144,S824;S824,Linea 1144,S823,Linea 1139,S815,Linea 1129,S921,Linea 1273,S2055;S2055,Linea 1273,S921,Linea 1129,S815,Linea 1138,S803,Linea 1110,S2194,Linea 1113,S841,Linea 1118,S2723,Linea 1853,S42,Linea 1098,S2707,Linea 1088,S43,Linea 1026,S2695,Linea 1027,S36,Linea 957,S39,Linea 969,S316,Linea 970,S387,Linea 968,S2465,Linea 966,S2147,Linea 946,S167,Linea 943,S229,Linea 944,S56,Linea 940,S78,Linea 932,S645,Linea 931,S2111,Linea 930,S2110,Linea 736,S2167,Linea 1617,S2168,Linea 584,S849,Linea 582,S938,Linea 587,S2511,Linea 586,S948,Linea 585,S2662,Linea 1051,S911,Linea 1218,S2315;S2315,Linea 1217,S906;S906,Linea 1217,S2315,Linea 1218,S911,Linea 1051,S2662,Linea 585,S948,Linea 586,S2511,Linea 587,S938,Linea 582,S849,Linea 584,S2168,Linea 1617,S2167,Linea 736,S2110,Linea 930,S2111,Linea 931,S645,Linea 932,S78,Linea 940,S56,Linea 944,S229,Linea 945,S277,Linea 998,S178,Linea 1004,S310,Linea 985,S2185,Linea 984,Base</t>
  </si>
  <si>
    <t>Base,Linea 984,S2185,Linea 985,S310,Linea 986,S951,Linea 996,S255,Linea 997,S953;S953,Linea 997,S255,Linea 996,S951,Linea 986,S310,Linea 1004,S178,Linea 998,S277,Linea 945,S229,Linea 944,S56,Linea 940,S78,Linea 932,S645,Linea 931,S2111,Linea 934,S2334,Linea 717,S250,Linea 716,S2277;S2277,Linea 715,S2360,Linea 938,S2377;S2377,Linea 938,S2360,Linea 715,S2277,Linea 716,S250,Linea 718,S2231,Linea 927,S2278,Linea 688,S2047,Linea 689,S440,Linea 687,S2359,Linea 1644,S2036,Linea 490,S397,Linea 494,S2351;S2351,Linea 495,S2035,Linea 679,S642,Linea 680,S2575,Linea 408,S430,Linea 203,S632,Linea 205,S2387,Linea 912,S622,Linea 211,S2552,Linea 1563,S635,Linea 186,S495,Linea 183,S637,Linea 178,S640,Linea 212,S639;S639,Linea 212,S640,Linea 177,S676,Linea 170,S691,Linea 169,S451,Linea 168,S2478,Linea 167,S2510,Linea 164,S678,Linea 162,S662,Linea 161,S246,Linea 158,S680,Linea 1549,S2488,Linea 156,S208,Linea 57,S2253,Linea 52,S326,Linea 8,S2258,Linea 7,S328,Linea 6,S309,Linea 4,S329,Linea 3,S993,Linea 2,S2447;S2447,Linea 1506,S176,Linea 1,Base</t>
  </si>
  <si>
    <t>Base,Linea 984,S2185,Linea 985,S310,Linea 1004,S178,Linea 998,S277,Linea 945,S229,Linea 943,S167,Linea 946,S2147,Linea 966,S2465,Linea 968,S387,Linea 970,S316,Linea 969,S39,Linea 957,S36,Linea 1027,S2695,Linea 1026,S43,Linea 1088,S2707,Linea 1098,S42,Linea 1856,S2724,Linea 1092,S163,Linea 1854,S66,Linea 1858,S61,Linea 1505,S60,Linea 1808,SXP2670,Linea 1296,S2113,Linea 1819,S50,Linea 1014,S41;S41,Linea 1014,S50,Linea 1819,S2113,Linea 1296,SXP2670,Linea 1808,S60,Linea 1505,S61,Linea 1858,S66,Linea 1854,S163,Linea 1092,S2724,Linea 1856,S42,Linea 1098,S2707,Linea 1088,S43,Linea 1026,S2695,Linea 1027,S36,Linea 957,S39,Linea 969,S316,Linea 970,S387,Linea 968,S2465,Linea 966,S2147,Linea 946,S167,Linea 943,S229,Linea 944,S56,Linea 940,S78,Linea 932,S645,Linea 1046,S928,Linea 1041,S58,Linea 1727,S945;S945,Linea 1727,S58,Linea 1041,S928,Linea 1046,S645,Linea 932,S78,Linea 940,S56,Linea 944,S229,Linea 945,S277,Linea 998,S178,Linea 1004,S310,Linea 985,S2185,Linea 984,Base,Linea 12,S2401,Linea 1510,S2249,Linea 973,S192,Linea 1211,S172,Linea 768,S2417,Linea 759,S402,Linea 760,S2468,Linea 763,S395,Linea 764,S338,Linea 773,S2407,Linea 850,S2056,Linea 849,S2716,Linea 853,S2504,Linea 854,S997,Linea 1836,S353;S353,Linea 1836,S997,Linea 859,S330,Linea 1358,S983,Linea 1357,S363,Linea 843,S119,Linea 842,S978,Linea 841,S957,Linea 840,S287,Linea 805,S198,Linea 1828,S2095,Linea 865,S134,Linea 1683,S967;S967,Linea 1683,S134,Linea 865,S2095,Linea 797,S2189,Linea 1292,S1,Linea 1293,S2116,Linea 1295,S59,Linea 1017,S315,Linea 746,S2572,Linea 747,S381,Linea 748,S377,Linea 740,S980,Linea 741,S2421,Linea 1842,S370,Linea 752,S2408,Linea 754,S192,Linea 973,S2249,Linea 1816,S2401,Linea 12,Base</t>
  </si>
  <si>
    <t>Base,Linea 1,S176,Linea 1506,S2447,Linea 2,S993,Linea 3,S329,Linea 4,S309,Linea 6,S328,Linea 7,S2258,Linea 8,S326,Linea 52,S2253,Linea 57,S208,Linea 156,S2488,Linea 1548,S680,Linea 158,S246,Linea 161,S662,Linea 162,S678,Linea 164,S2510,Linea 167,S2478,Linea 168,S451,Linea 169,S691,Linea 170,S676,Linea 177,S640,Linea 178,S637,Linea 183,S495,Linea 186,S635,Linea 1555,S2552,Linea 211,S622,Linea 210,S633,Linea 127,S501,Linea 925,S789,Linea 923,Planta Norte,Linea 1214,S783,Linea 905,S629,Linea 631,S2077,Linea 629,S489,Linea 665,S2265,Linea 659,S683,Linea 637,S458,Linea 634,S2720,Linea 632,S460,Linea 616,S469,Linea 614,S2634,Linea 615,S2273,Linea 552,S525,Linea 551,S529,Linea 549,S437,Linea 546,S773,Linea 531,S2151,Linea 415,S774,Linea 414,S722,Linea 413,S710,Linea 393,S709,Linea 392,S687,Linea 370,S613,Linea 365,S707,Linea 318,S2404,Linea 313,S2497;S2497,Linea 313,S2404,Linea 318,S707,Linea 1497,S2496,Linea 314,S2440,Linea 312,S2426,Linea 321,S588,Linea 320,S2207;S2207,Linea 320,S588,Linea 321,S2426,Linea 312,S2440,Linea 315,S616,Linea 260,S594,Linea 340,S892,Linea 274,S2279,Linea 275,S2582,Linea 277,S864,Linea 278,S869,Linea 270,S868,Linea 264,S886,Linea 263,S876,Linea 258,S591,Linea 257,S851;S851,Linea 254,S853,Linea 252,E291,Linea 250,S611,Linea 249,S2418,Linea 247,S2288,Linea 399,S543,Linea 397,S1005,Linea 243,S2395,Linea 240,S2396,Linea 217,S2676,Linea 216,S788,Linea 214,S2458,Linea 220,S2054,Linea 226,S2291,Linea 229,S487,Linea 228,S2038,Linea 227,S2456;S2456,Linea 227,S2038,Linea 228,S487,Linea 229,S2291,Linea 226,S2054,Linea 222,S2544,Linea 223,S2587;S2587,Linea 223,S2544,Linea 222,S2054,Linea 226,S2291,Linea 229,S487,Linea 230,S1041,Linea 1848,S492,Linea 1849,S2001,Linea 902,S2022,Linea 1883,S556,Linea 142,S2578,Linea 1821,S555,Linea 112,S767,Linea 108,S719,Linea 106,S763,Linea 105,S2206,Linea 104,S538,Linea 141,S690,Linea 144,S2017,Linea 143,S356,Linea 97,S2200,Linea 1847,S2199,Linea 46,S2569,Linea 42,S2032,Linea 34,S308,Linea 33,S2412,Linea 27,S2195,Linea 10,S309,Linea 4,S329,Linea 3,S993,Linea 2,S2447,Linea 1506,S176,Linea 1,Base</t>
  </si>
  <si>
    <t>Base,Linea 984,S2185,Linea 985,S310,Linea 1004,S178,Linea 998,S277,Linea 945,S229,Linea 944,S56,Linea 940,S78,Linea 932,S645,Linea 931,S2111,Linea 930,S2110,Linea 736,S2167,Linea 1617,S2168,Linea 584,S849,Linea 582,S938,Linea 581,S2443,Linea 578,S2132,Linea 579,S949,Linea 591,S2129,Linea 592,S2259,Linea 594,S17,Linea 735,S295,Linea 734,S3,Linea 613,Q16,Linea 1626,S2240,Linea 471,S2,Linea 1886,S13,Linea 1887,S2523,Linea 517,Q17,Linea 516,S2236,Linea 511,S509,Linea 512,S427,Linea 506,S420,Linea 505,S418,Linea 485,S2303,Linea 481,S2156;S2156,Linea 478,S510;S510,Linea 478,S2156,Linea 481,S2303,Linea 485,S418,Linea 505,S420,Linea 506,S427,Linea 512,S509,Linea 511,S2236,Linea 516,Q17,Linea 517,S2523,Linea 1887,S13,Linea 1886,S2,Linea 471,S2240,Linea 1593,Q16,Linea 613,S3,Linea 734,S295,Linea 735,S17,Linea 596,S2293,Linea 597,S4,Linea 598,S2324,Linea 600,S2196,Linea 599,S2689,Linea 601,S2683,Linea 603,S2663;S2663,Linea 603,S2683,Linea 606,S2619,Linea 608,S2694,Linea 1336,S2711,Linea 1335,S2698,Linea 1893,S2709;S2709,Linea 1893,S2698,Linea 1335,S2711,Linea 1336,S2694,Linea 608,S2619,Linea 606,S2683,Linea 601,S2689,Linea 605,S581,Linea 610,S2688,Linea 611,S2685;S2685,Linea 611,S2688,Linea 610,S581,Linea 605,S2689,Linea 599,S2196,Linea 600,S2324,Linea 598,S4,Linea 597,S2293,Linea 596,S17,Linea 594,S2259,Linea 592,S2129,Linea 591,S949,Linea 579,S2132,Linea 578,S2443,Linea 581,S938,Linea 582,S849,Linea 584,S2168,Linea 1617,S2167,Linea 736,S2110,Linea 930,S2111,Linea 931,S645,Linea 932,S78,Linea 940,S56,Linea 1709,S859;S859,Linea 1709,S56,Linea 944,S229,Linea 945,S277,Linea 998,S178,Linea 1004,S310,Linea 985,S2185,Linea 984,Base</t>
  </si>
  <si>
    <t>Base,Linea 12,S2401,Linea 1510,S2249,Linea 973,S192,Linea 1211,S172,Linea 768,S2417,Linea 759,S402,Linea 760,S2468,Linea 763,S395,Linea 764,S338,Linea 773,S2407,Linea 850,S2056,Linea 849,S2716,Linea 853,S2504,Linea 854,S997,Linea 1836,S353,Linea 1361,S2006,Linea 1363,S2009,Linea 1688,S2289;S2289,Linea 1688,S2009,Linea 1365,S354,Linea 1421,S2255,Linea 1373,S323,Linea 1372,S325,Linea 1371,S2091,Linea 1370,S2081,Linea 1426,S2087,Linea 1427,S2406,Linea 823,S2441,Linea 821,S2242,Linea 815,S2177,Linea 820,S194,Linea 1206,S184,Linea 1804,S2080,Linea 1490,S138,Linea 1208,S2101,Linea 1462,S183,Linea 1473,S148,Linea 1474,S2429,Linea 1476,S207,Linea 1475,S243,Linea 1482,S2104,Linea 1481,S2597;S2597,Linea 1481,S2104,Linea 1482,S243,Linea 1475,S207,Linea 1476,S2429,Linea 1467,S197,Linea 1201,S127,Linea 1197,S2622,Linea 1195,S2365,Linea 1191,S223,Linea 1183,S8,Linea 1180,S2139,Linea 1181,S205,Linea 807,S2243,Linea 1177,S18,Linea 1826,S189,Linea 795,S2479,Linea 1825,S2095,Linea 797,S2189,Linea 1292,S1,Linea 1293,S2116,Linea 1295,S59,Linea 1017,S315,Linea 1008,S962,Linea 1212,S546,Linea 1753,S2465,Linea 968,S387,Linea 970,S316,Linea 969,S39,Linea 957,S36,Linea 1025,S2725,Linea 958,S37,Linea 959,S2680,Linea 956,S2666,Linea 955,S2656,Linea 1033,S904,Linea 1084,S736,Linea 1032,S926,Linea 1029,S2671;S2671,Linea 1029,S926,Linea 1032,S736,Linea 1084,S904,Linea 1033,S2656,Linea 955,S2666,Linea 956,S2680,Linea 959,S37,Linea 1846,S2722,Linea 961,S2681;S2681,Linea 954,S38,Linea 963,S2721,Linea 947,S2146,Linea 964,S2147,Linea 946,S167,Linea 943,S229,Linea 945,S277,Linea 998,S178,Linea 1004,S310,Linea 985,S2185,Linea 984,Base</t>
  </si>
  <si>
    <t>Base,Linea 12,S2401,Linea 1510,S2249,Linea 973,S192,Linea 754,S2408,Linea 752,S370,Linea 1842,S2421,Linea 741,S980,Linea 740,S377,Linea 748,S381,Linea 747,S2572,Linea 746,S315,Linea 1017,S59,Linea 1295,S2116,Linea 1293,S1,Linea 1292,S2189,Linea 797,S2095,Linea 1825,S2479,Linea 795,S189,Linea 1826,S18,Linea 1177,S2243,Linea 807,S205,Linea 1181,S2139,Linea 1180,S8,Linea 1183,S223,Linea 1191,S2365,Linea 1195,S2622,Linea 1197,S127,Linea 1201,S197,Linea 1467,S2429,Linea 1476,S207,Linea 1475,S243,Linea 1482,S2104;S2104,Linea 1482,S243,Linea 1475,S207,Linea 1476,S2429,Linea 1467,S197,Linea 1201,S127,Linea 1197,S2622,Linea 1195,S2365,Linea 1191,S223,Linea 1183,S8,Linea 1180,S2139,Linea 1181,S205,Linea 807,S2243,Linea 1177,S18,Linea 1826,S189,Linea 795,S2479,Linea 1825,S2095,Linea 797,S2189,Linea 1292,S1,Linea 1293,S2116,Linea 1295,S59,Linea 1017,S315,Linea 1008,S962,Linea 1212,S546,Linea 1753,S2465,Linea 968,S387,Linea 970,S316,Linea 969,S39,Linea 957,S36,Linea 1027,S2695,Linea 1026,S43,Linea 1088,S2707,Linea 1098,S42,Linea 1856,S2724,Linea 1092,S163,Linea 1854,S66,Linea 1156,S63,Linea 1857,S2148,Linea 1166,S81,Linea 1160,S20,Linea 1161,S2517,Linea 1741,39SColCA1,Linea 1171,S91,Linea 1172,S2480,Linea 1174,S2568;S2568,Linea 1174,S2480,Linea 1172,S91,Linea 1171,39SColCA1,Linea 1741,S2517,Linea 1161,S20,Linea 1160,S81,Linea 1166,S2148,Linea 1857,S63,Linea 1156,S66,Linea 1854,S163,Linea 1092,S2724,Linea 1856,S42,Linea 1098,S2707,Linea 1088,S43,Linea 1026,S2695,Linea 1027,S36,Linea 957,S39,Linea 969,S316,Linea 970,S387,Linea 968,S2465,Linea 966,S2147,Linea 946,S167,Linea 943,S229,Linea 945,S277,Linea 998,S178,Linea 1004,S310,Linea 985,S2185,Linea 984,Base</t>
  </si>
  <si>
    <t>Base,Linea 1,S176,Linea 1506,S2447,Linea 2,S993,Linea 3,S329,Linea 4,S309,Linea 10,S2195,Linea 27,S2412,Linea 33,S308,Linea 34,S2032,Linea 42,S2569,Linea 46,S2199,Linea 1847,S2200,Linea 97,S356,Linea 143,S2017,Linea 144,S690,Linea 141,S538,Linea 104,S2206,Linea 105,S763,Linea 106,S719,Linea 108,S767,Linea 112,S555,Linea 1532,S2578,Linea 142,S556,Linea 1883,S2022,Linea 902,S2001,Linea 1849,S492,Linea 1848,S1041,Linea 230,S487,Linea 229,S2291,Linea 226,S2054,Linea 220,S2458,Linea 214,S788,Linea 216,S2676,Linea 217,S2396,Linea 240,S2395,Linea 243,S1005,Linea 397,S543,Linea 399,S2288,Linea 247,S2418,Linea 249,S611,Linea 250,E291,Linea 252,S853,Linea 254,S851,Linea 257,S591,Linea 258,S876,Linea 263,S886,Linea 264,S868,Linea 270,S869,Linea 278,S864,Linea 281,S850,Linea 280,S856,Linea 286,S883,Linea 302,S890,Linea 300,S895,Linea 308,S1011,Linea 305,S1013,Linea 303,S2172;S2172,Linea 303,S1013,Linea 305,S1011,Linea 308,S895,Linea 300,S890,Linea 302,S883,Linea 286,S856,Linea 280,S850,Linea 281,S864,Linea 278,S869,Linea 270,S868,Linea 264,S886,Linea 263,S876,Linea 258,S591,Linea 257,S851,Linea 254,S853,Linea 252,E291,Linea 250,S611,Linea 249,S2418,Linea 247,S2288,Linea 399,S543,Linea 397,S1005,Linea 243,S2395,Linea 240,S2396,Linea 217,S2676,Linea 216,S788,Linea 215,S523,Linea 621,E290,Linea 620,S2386,Linea 238,S958,Linea 626,S2560,Linea 627,S2262,Linea 628,S2445,Linea 662,S2720,Linea 634,S458,Linea 660,S683,Linea 659,S2265,Linea 665,S489,Linea 629,S2077,Linea 631,S629,Linea 905,S783,Linea 1214,Planta Norte,Linea 1900,S502,Linea 916,S2197,Linea 915,S2191,Linea 1698,S503,Linea 207,S464,Linea 204,S430,Linea 408,S2575,Linea 680,S642,Linea 679,S2035,Linea 495,S2351,Linea 494,S397,Linea 490,S2036,Linea 1599,S2359,Linea 687,S440,Linea 689,S2047,Linea 688,S2278,Linea 686,S2025,Linea 706,S580,Linea 695,S976;S976,Linea 695,S580,Linea 706,S2025,Linea 686,S2278,Linea 927,S2231,Linea 1649,S236,Linea 713,S77,Linea 1647,S2334,Linea 934,S2111,Linea 931,S645,Linea 932,S78,Linea 940,S56,Linea 944,S229,Linea 945,S277,Linea 998,S178,Linea 1004,S310,Linea 985,S2185,Linea 984,Base</t>
  </si>
  <si>
    <t>Base,Linea 984,S2185,Linea 985,S310,Linea 1004,S178,Linea 998,S277,Linea 945,S229,Linea 943,S167,Linea 946,S2147,Linea 966,S2465;S2465,Linea 968,S387,Linea 970,S316,Linea 969,S39,Linea 957,S36,Linea 1027,S2695,Linea 1026,S43,Linea 1088,S2707,Linea 1098,S42,Linea 1853,S2723,Linea 1118,S841,Linea 1114,S2345;S2345,Linea 1114,S841,Linea 1118,S2723,Linea 1853,S42,Linea 1098,S2707,Linea 1088,S43,Linea 1026,S2695,Linea 1027,S36,Linea 957,S39,Linea 969,S316,Linea 970,S387,Linea 968,S2465,Linea 1715,S546,Linea 1212,S962,Linea 1008,S315,Linea 935,S2520,Linea 794,S260,Linea 775,S2540;S2540,Linea 775,S260,Linea 794,S2520,Linea 935,S315,Linea 1008,S962,Linea 1212,S546,Linea 1753,S2465,Linea 968,S387,Linea 970,S316,Linea 969,S39,Linea 957,S36,Linea 1027,S2695,Linea 1026,S43,Linea 1088,S2707,Linea 1098,S42,Linea 1853,S2723,Linea 1118,S841,Linea 1113,S2194,Linea 1110,S803,Linea 1138,S815,Linea 1129,S921,Linea 1130,S2179;S2179,Linea 1130,S921,Linea 1131,S848,Linea 1133,S847;S847,Linea 1136,S2344;S2344,Linea 1136,S847,Linea 1142,S2380,Linea 1143,S823,Linea 1139,S815,Linea 1138,S803,Linea 1110,S2194,Linea 1113,S841,Linea 1118,S2723,Linea 1853,S42,Linea 1098,S2707,Linea 1088,S43,Linea 1026,S2695,Linea 1027,S36,Linea 957,S39,Linea 969,S316,Linea 970,S387,Linea 968,S2465,Linea 966,S2147,Linea 946,S167,Linea 943,S229,Linea 945,S277,Linea 998,S178,Linea 1004,S310,Linea 985,S2185,Linea 984,Base</t>
  </si>
  <si>
    <t>Base,Linea 984,S2185,Linea 985,S310,Linea 1004,S178,Linea 998,S277,Linea 945,S229,Linea 943,S167,Linea 946,S2147,Linea 966,S2465,Linea 968,S387,Linea 970,S316,Linea 969,S39,Linea 957,S36,Linea 1027,S2695;S2695,Linea 1026,S43,Linea 1088,S2707,Linea 1098,S42,Linea 1853,S2723,Linea 1118,S841,Linea 1113,S2194,Linea 1110,S803,Linea 1138,S815,Linea 1129,S921,Linea 1273,S2055,Linea 1272,S908,Linea 1271,S597,Linea 1270,S2628;S2628,Linea 1270,S597,Linea 1299,S842,Linea 1268,S912,Linea 1850,S802,Linea 1266,S903,Linea 1267,S2505;S2505,Linea 1267,S903,Linea 1301,S2379,Linea 1311,S744,Linea 1321,S747,Linea 1324,S752,Linea 1244,S753,Linea 1323,S755;S755,Linea 1235,S2534,Linea 1234,Q22,Linea 1233,S811,Linea 1231,S812,Linea 1261,S2287,Linea 1229,S756,Linea 1227,S2551;S2551,Linea 1227,S756,Linea 1229,S2287,Linea 1261,S812,Linea 1232,S2629,Linea 1262,S757,Linea 1263,S748,Linea 1762,S2310,Linea 1303,S2519,Linea 1302,S2379,Linea 1311,S744,Linea 1310,S725,Linea 1313,S839,Linea 1307,S834,Linea 1306,S759,Linea 1297,S794,Linea 1073,S760,Linea 1221,S791,Linea 1076,S793,Linea 1078,S2667,Linea 1077,S944,Linea 1085,S115,Linea 1733,S927,Linea 1222,S33,Linea 1724,S2094,Linea 950,S31,Linea 949,S2146,Linea 964,S2147,Linea 946,S167,Linea 943,S229,Linea 945,S277,Linea 998,S178,Linea 1004,S310,Linea 985,S2185,Linea 984,Base</t>
  </si>
  <si>
    <t>Base,Linea 12,S2401,Linea 1510,S2249,Linea 973,S192,Linea 754,S2408,Linea 752,S370,Linea 1842,S2421,Linea 741,S980,Linea 740,S377,Linea 748,S381,Linea 747,S2572,Linea 746,S315,Linea 45,S2446,Linea 778,S2495;S2495,Linea 778,S2446,Linea 45,S315,Linea 1017,S59,Linea 1295,S2116,Linea 1293,S1,Linea 1292,S2189,Linea 797,S2095,Linea 1825,S2479,Linea 795,S189,Linea 1826,S18,Linea 1177,S2243,Linea 807,S205,Linea 1181,S2139,Linea 1180,S8,Linea 1183,S223,Linea 1189,S224,Linea 1190,S203,Linea 1187,S2586,Linea 1192,S2584,Linea 1205,S138,Linea 1208,S2101,Linea 1462,S183,Linea 1829,S2135,Linea 1814,S2541,Linea 1459,S206,Linea 826,S715,Linea 827,S2356,Linea 1456,S151,Linea 1489,S2304,Linea 1461,S984,Linea 1447,S2093,Linea 1440,S2089,Linea 1438,S257,Linea 1437,S2074,Linea 1442,S2092,Linea 1835,S2319,Linea 1414,S2285;S2285,Linea 1414,S2319,Linea 1835,S2092,Linea 1442,S2074,Linea 1431,S2152;S2152,Linea 1431,S2074,Linea 1437,S257,Linea 1438,S2089,Linea 1440,S2093,Linea 1447,S984,Linea 1466,S284,Linea 1465,S2466;S2466,Linea 1465,S284,Linea 1466,S984,Linea 1461,S2304,Linea 1489,S151,Linea 1456,S2356,Linea 827,S715,Linea 826,S206,Linea 1459,S2541,Linea 1794,S2135,Linea 1829,S183,Linea 1462,S2101,Linea 1208,S138,Linea 1205,S2584,Linea 1192,S2586,Linea 1187,S203,Linea 1186,S2365;S2365,Linea 1186,S203,Linea 1187,S2586,Linea 1192,S2584,Linea 1205,S138,Linea 1490,S2080,Linea 1804,S184,Linea 1206,S194,Linea 820,S2177,Linea 815,S2242,Linea 821,S2441,Linea 823,S2406,Linea 1427,S2087,Linea 1426,S2081,Linea 1370,S2091,Linea 1371,S325,Linea 1423,S2058;S2058,Linea 1423,S325,Linea 1372,S323,Linea 1373,S2255,Linea 1421,S354,Linea 1365,S2009,Linea 1363,S2006,Linea 1361,S353,Linea 1836,S997,Linea 854,S2504,Linea 853,S2716,Linea 849,S2056,Linea 850,S2407,Linea 773,S338,Linea 764,S395,Linea 763,S2468,Linea 760,S402,Linea 759,S2417,Linea 768,S172,Linea 1211,S192,Linea 973,S2249,Linea 1816,S2401,Linea 12,Base</t>
  </si>
  <si>
    <t>Base,Linea 984,S2185,Linea 985,S310,Linea 1004,S178,Linea 998,S277,Linea 945,S229,Linea 944,S56,Linea 940,S78,Linea 932,S645,Linea 931,S2111,Linea 934,S2334,Linea 1648,S77,Linea 713,S236,Linea 1646,S2231,Linea 927,S2278,Linea 686,S2025,Linea 706,S580,Linea 696,S979,Linea 697,S2327,Linea 698,S2369;S2369,Linea 698,S2327,Linea 697,S979,Linea 696,S580,Linea 706,S2025,Linea 686,S2278,Linea 927,S2231,Linea 1649,S236,Linea 713,S77,Linea 1647,S2334,Linea 934,S2111,Linea 931,S645,Linea 932,S78,Linea 940,S56,Linea 944,S229,Linea 943,S167,Linea 946,S2147,Linea 966,S2465,Linea 968,S387,Linea 970,S316,Linea 969,S39,Linea 957,S36,Linea 1025,S2725,Linea 958,S37,Linea 1846,S2722,Linea 960,S44;S44,Linea 960,S2722,Linea 1846,S37,Linea 958,S2725,Linea 1025,S36,Linea 957,S39,Linea 969,S316,Linea 970,S387,Linea 968,S2465,Linea 966,S2147,Linea 946,S167,Linea 943,S229,Linea 945,S277,Linea 998,S178,Linea 1004,S310,Linea 985,S2185,Linea 984,Base</t>
  </si>
  <si>
    <t>Base,Linea 984,S2185,Linea 985,S310,Linea 1004,S178,Linea 998,S277,Linea 945,S229,Linea 943,S167,Linea 1035,S158,Linea 1038,S45,Linea 1039,S168,Linea 1040,S52,Linea 1086,S845;S845,Linea 1086,S52,Linea 1040,S168,Linea 1039,S45,Linea 1038,S158,Linea 1035,S167,Linea 946,S2147,Linea 966,S2465,Linea 1715,S546,Linea 1212,S962,Linea 1008,S315,Linea 45,S2446;S2446,Linea 45,S315,Linea 746,S2572,Linea 747,S381,Linea 748,S377,Linea 740,S980,Linea 741,S2421,Linea 1842,S370,Linea 752,S2408,Linea 754,S192,Linea 973,S2249,Linea 1816,S2401,Linea 12,Base</t>
  </si>
  <si>
    <t>Base,Linea 984,S2185,Linea 985,S310,Linea 1004,S178,Linea 998,S277,Linea 945,S229,Linea 944,S56,Linea 940,S78,Linea 932,S645,Linea 931,S2111,Linea 930,S2110,Linea 736,S2167,Linea 1617,S2168,Linea 584,S849,Linea 582,S938,Linea 581,S2443,Linea 578,S2132,Linea 579,S949,Linea 591,S2129,Linea 592,S2259,Linea 594,S17,Linea 735,S295,Linea 734,S3,Linea 613,Q16,Linea 1626,S2240,Linea 471,S2,Linea 1886,S13,Linea 1887,S2523,Linea 469,S26,Linea 467,S2223,Linea 466,S2621,Linea 457,S2642,Linea 450,S2645,Linea 448,S2652,Linea 447,S2638,Linea 446,S2620,Linea 443,S2646;S2646,Linea 443,S2620,Linea 441,S2595;S2595,Linea 442,S2594,Linea 454,S2461,Linea 525,S2614,Linea 526,S2606,Linea 523,S2109,Linea 521,S2123,Linea 519,S2228;S2228,Linea 519,S2123,Linea 521,S2109,Linea 523,S2606,Linea 1888,S2523,Linea 1887,S13,Linea 1886,S2,Linea 471,S2240,Linea 1593,Q16,Linea 613,S3,Linea 734,S295,Linea 735,S17,Linea 596,S2293,Linea 597,S4,Linea 598,S2324,Linea 600,S2196,Linea 599,S2689,Linea 605,S581,Linea 610,S2688,Linea 1869,S2693;S2693,Linea 1869,S2688;S2688,Linea 610,S581,Linea 605,S2689,Linea 599,S2196,Linea 600,S2324,Linea 598,S4,Linea 597,S2293,Linea 596,S17,Linea 594,S2259,Linea 592,S2129,Linea 591,S949,Linea 579,S2132,Linea 578,S2443,Linea 581,S938,Linea 582,S849,Linea 584,S2168,Linea 1617,S2167,Linea 736,S2110,Linea 930,S2111,Linea 934,S2334,Linea 1648,S77,Linea 713,S236,Linea 1646,S2231,Linea 708,S963,Linea 707,S2039,Linea 709,S2046,Linea 710,S982,Linea 712,S567,Linea 700,S677,Linea 175,S661,Linea 174,S2601,Linea 173,S691,Linea 169,S451,Linea 168,S2478;S2478,Linea 167,S2510,Linea 164,S678,Linea 162,S662,Linea 161,S246,Linea 158,S680,Linea 1549,S2488,Linea 156,S208,Linea 57,S2253,Linea 52,S326,Linea 8,S2258,Linea 7,S328,Linea 6,S309,Linea 4,S329,Linea 3,S993,Linea 2,S2447,Linea 1506,S176,Linea 1,Base</t>
  </si>
  <si>
    <t>Base,Linea 12,S2401,Linea 1510,S2249,Linea 973,S192,Linea 754,S2408,Linea 752,S370,Linea 1842,S2421,Linea 741,S980,Linea 740,S377,Linea 748,S381,Linea 747,S2572,Linea 746,S315,Linea 1017,S59,Linea 1295,S2116,Linea 1293,S1,Linea 1292,S2189,Linea 797,S2095,Linea 1825,S2479,Linea 795,S189,Linea 1826,S18,Linea 1177,S2243,Linea 807,S205,Linea 1181,S2139,Linea 1180,S8,Linea 1183,S223,Linea 1189,S224,Linea 1190,S203,Linea 1748,S2136;S2136,Linea 1748,S203,Linea 1187,S2586,Linea 1192,S2584,Linea 1205,S138,Linea 1490,S2080,Linea 1804,S184,Linea 1206,S194,Linea 820,S2177,Linea 815,S2242,Linea 1831,S195,Linea 1670,S862,Linea 812,S2425;S2425,Linea 812,S862,Linea 1666,S195,Linea 1831,S2242,Linea 821,S2441,Linea 823,S2406,Linea 1427,S2087,Linea 1426,S2081,Linea 1370,S2091,Linea 1371,S325,Linea 1372,S323,Linea 1373,S2255,Linea 1421,S354,Linea 1365,S2009,Linea 1363,S2006,Linea 1361,S353,Linea 1836,S997,Linea 854,S2504,Linea 853,S2716,Linea 852,S2041;S2041,Linea 852,S2716,Linea 849,S2056,Linea 850,S2407,Linea 773,S338,Linea 764,S395,Linea 763,S2468,Linea 760,S402,Linea 759,S2417,Linea 768,S172,Linea 1211,S192,Linea 973,S2249,Linea 1816,S2401,Linea 12,Base</t>
  </si>
  <si>
    <t>Base,Linea 12,S2401,Linea 1510,S2249,Linea 973,S192,Linea 754,S2408,Linea 752,S370,Linea 1842,S2421,Linea 741,S980,Linea 740,S377,Linea 748,S381,Linea 747,S2572,Linea 746,S315,Linea 1017,S59,Linea 1295,S2116,Linea 1293,S1,Linea 1292,S2189,Linea 797,S2095,Linea 1828,S198,Linea 805,S287,Linea 840,S957,Linea 804,S9,Linea 1659,S2143;S2143,Linea 1659,S9,Linea 804,S957,Linea 841,S978,Linea 842,S119,Linea 843,S363,Linea 1357,S983,Linea 1358,S330,Linea 859,S997,Linea 854,S2504,Linea 853,S2716,Linea 849,S2056,Linea 850,S2407;S2407,Linea 773,S338,Linea 764,S395,Linea 763,S2468,Linea 760,S402,Linea 759,S2417,Linea 768,S172,Linea 1211,S192,Linea 973,S2249,Linea 1816,S2401,Linea 12,Base,Linea 1,S176,Linea 1506,S2447,Linea 2,S993,Linea 3,S329,Linea 4,S309,Linea 6,S328,Linea 7,S2258,Linea 8,S326,Linea 52,S2253,Linea 57,S208,Linea 156,S2488,Linea 1548,S680,Linea 158,S246,Linea 161,S662,Linea 162,S678,Linea 164,S2510,Linea 167,S2478,Linea 168,S451,Linea 169,S691,Linea 170,S676,Linea 177,S640,Linea 178,S637,Linea 183,S495,Linea 186,S635,Linea 1555,S2552,Linea 211,S622,Linea 210,S633,Linea 127,S501,Linea 925,S789,Linea 923,Planta Norte,Linea 1214,S783,Linea 905,S629,Linea 631,S2077,Linea 629,S489,Linea 665,S2265,Linea 659,S683,Linea 637,S458,Linea 634,S2720,Linea 632,S460,Linea 616,S469,Linea 614,S2634,Linea 615,S2273,Linea 552,S525,Linea 551,S529,Linea 549,S437,Linea 546,S773,Linea 531,S2151,Linea 415,S774,Linea 414,S722,Linea 413,S710,Linea 393,S709,Linea 392,S687,Linea 370,S613,Linea 369,S721,Linea 368,Planta La Petiza,Linea 367,S1035,Linea 372,S1026,Linea 374,S1015,Linea 373,S1006,Linea 358,S1024;S1024,Linea 358,S1006,Linea 373,S1015,Linea 374,S1026,Linea 372,S1035,Linea 367,Planta La Petiza,Linea 368,S721,Linea 369,S613,Linea 370,S687,Linea 392,S709,Linea 393,S710,Linea 413,S722,Linea 414,S774,Linea 415,S2151,Linea 531,S773,Linea 546,S437,Linea 549,S529,Linea 551,S525,Linea 552,S2273,Linea 566,S522,Linea 567,S882,Linea 622,S523,Linea 621,E290,Linea 620,S2386,Linea 236,S487,Linea 230,S1041;S1041,Linea 1848,S492,Linea 1849,S2001,Linea 902,S2022,Linea 1883,S556,Linea 142,S2578,Linea 1821,S555,Linea 112,S767,Linea 108,S719,Linea 106,S763,Linea 105,S2206,Linea 104,S538,Linea 141,S690,Linea 144,S2017,Linea 143,S356,Linea 97,S2200,Linea 1847,S2199,Linea 46,S2569,Linea 42,S2032,Linea 34,S308,Linea 33,S2412,Linea 27,S2195,Linea 10,S309,Linea 4,S329,Linea 3,S993,Linea 2,S2447,Linea 1506,S176,Linea 1,Base</t>
  </si>
  <si>
    <t>Base,Linea 1,S176,Linea 1506,S2447,Linea 2,S993,Linea 3,S329,Linea 4,S309,Linea 6,S328,Linea 7,S2258,Linea 8,S326,Linea 52,S2253,Linea 57,S208,Linea 156,S2488,Linea 1548,S680,Linea 158,S246,Linea 161,S662,Linea 162,S678,Linea 164,S2510,Linea 167,S2478,Linea 168,S451,Linea 169,S691,Linea 170,S676,Linea 177,S640,Linea 178,S637,Linea 183,S495,Linea 186,S635,Linea 1555,S2552,Linea 211,S622,Linea 210,S633,Linea 127,S501,Linea 925,S789,Linea 923,Planta Norte,Linea 1214,S783,Linea 905,S629,Linea 631,S2077,Linea 629,S489,Linea 665,S2265,Linea 659,S683,Linea 637,S458,Linea 634,S2720,Linea 632,S460,Linea 616,S469,Linea 614,S2634,Linea 615,S2273,Linea 552,S525,Linea 551,S529,Linea 549,S437,Linea 546,S773,Linea 531,S2151,Linea 415,S774,Linea 414,S722,Linea 413,S710,Linea 393,S709,Linea 392,S687,Linea 370,S613,Linea 369,S721,Linea 368,Planta La Petiza,Linea 367,S1035,Linea 372,S1026,Linea 374,S1015,Linea 373,S1006,Linea 358,S1024,Linea 356,S1034;S1034,Linea 356,S1024,Linea 358,S1006,Linea 373,S1015,Linea 374,S1026,Linea 372,S1035,Linea 367,Planta La Petiza,Linea 368,S721,Linea 369,S613,Linea 365,S707,Linea 1497,S2496,Linea 314,S2440,Linea 315,S616,Linea 260,S594,Linea 340,S892,Linea 272,S888;S888,Linea 272,S892;S892,Linea 340,S594,Linea 260,S616,Linea 315,S2440,Linea 314,S2496,Linea 1497,S707,Linea 365,S613,Linea 370,S687,Linea 392,S709,Linea 393,S710,Linea 413,S722,Linea 414,S774,Linea 415,S2151,Linea 412,S2300,Linea 382,S2011,Linea 421,S966,Linea 530,S2124,Linea 528,S434,Linea 529,S2448,Linea 524,S2109,Linea 523,S2606,Linea 1888,S2523,Linea 1887,S13,Linea 1886,S2,Linea 471,S2240,Linea 1593,Q16,Linea 613,S3,Linea 734,S295,Linea 735,S17,Linea 596,S2293,Linea 597,S4,Linea 598,S2324,Linea 600,S2196,Linea 599,S2689,Linea 605,S581,Linea 1867,S2686;S2686,Linea 1867,S581,Linea 605,S2689,Linea 601,S2683,Linea 606,S2619,Linea 604,S2674;S2674,Linea 604,S2619,Linea 606,S2683,Linea 601,S2689,Linea 599,S2196,Linea 600,S2324,Linea 598,S4,Linea 597,S2293,Linea 596,S17,Linea 594,S2259,Linea 592,S2129,Linea 591,S949,Linea 579,S2132,Linea 578,S2443,Linea 581,S938,Linea 582,S849,Linea 584,S2168,Linea 1617,S2167,Linea 736,S2110,Linea 930,S2111,Linea 931,S645,Linea 932,S78,Linea 940,S56,Linea 944,S229,Linea 945,S277,Linea 998,S178,Linea 1004,S310,Linea 985,S2185,Linea 984,Base</t>
  </si>
  <si>
    <t>Base,Linea 984,S2185,Linea 985,S310,Linea 1004,S178,Linea 998,S277,Linea 945,S229,Linea 944,S56,Linea 940,S78,Linea 932,S645,Linea 931,S2111,Linea 930,S2110,Linea 736,S2167,Linea 1617,S2168,Linea 584,S849,Linea 582,S938,Linea 581,S2443,Linea 578,S2132,Linea 579,S949,Linea 591,S2129,Linea 592,S2259,Linea 594,S17,Linea 596,S2293,Linea 597,S4,Linea 598,S2324,Linea 600,S2196,Linea 599,S2689,Linea 601,S2683,Linea 1890,S2697;S2697,Linea 1890,S2683,Linea 601,S2689,Linea 599,S2196,Linea 600,S2324,Linea 598,S4,Linea 597,S2293,Linea 596,S17,Linea 735,S295,Linea 734,S3,Linea 613,Q16,Linea 1626,S2240,Linea 471,S2,Linea 1886,S13,Linea 1887,S2523,Linea 517,Q17,Linea 516,S2236,Linea 511,S509,Linea 512,S427,Linea 507,S2307,Linea 649,S426,Linea 645,S470,Linea 642,S2296;S2296,Linea 642,S470,Linea 534,S506,Linea 536,S533,Linea 540,S531,Linea 538,S439,Linea 545,S469,Linea 616,S460,Linea 632,S2720,Linea 662,S2445,Linea 628,S2262,Linea 627,S2560,Linea 626,S958,Linea 238,S2386,Linea 236,S487,Linea 230,S1041,Linea 1848,S492,Linea 1849,S2001,Linea 902,S2022,Linea 1883,S556,Linea 142,S2578,Linea 1821,S555,Linea 112,S767,Linea 108,S719,Linea 132,S302,Linea 36,S358,Linea 40,S2318;S2318,Linea 40,S358,Linea 36,S302,Linea 132,S719,Linea 106,S763,Linea 105,S2206,Linea 104,S538,Linea 141,S690,Linea 144,S2017,Linea 143,S356,Linea 97,S2200,Linea 1847,S2199,Linea 46,S2569,Linea 1517,S2588,Linea 48,S2589,Linea 49,S269,Linea 51,S560,Linea 9,S326,Linea 8,S2258;S2258,Linea 7,S328,Linea 6,S309,Linea 4,S329,Linea 3,S993,Linea 2,S2447,Linea 1506,S176,Linea 1,Base</t>
  </si>
  <si>
    <t>Base,Linea 1,S176,Linea 1506,S2447,Linea 2,S993,Linea 3,S329,Linea 4,S309,Linea 28,S282,Linea 30,S2045;S2045,Linea 30,S282,Linea 28,S309,Linea 6,S328,Linea 7,S2258,Linea 8,S326,Linea 52,S2253,Linea 57,S208,Linea 156,S2488,Linea 1548,S680,Linea 158,S246,Linea 161,S662,Linea 162,S678,Linea 164,S2510,Linea 167,S2478,Linea 168,S451,Linea 169,S691,Linea 170,S676,Linea 177,S640,Linea 180,S638,Linea 185,S516,Linea 406,S442,Linea 682,S2527;S2527,Linea 682,S442,Linea 406,S516,Linea 185,S638,Linea 181,S443,Linea 184,S637,Linea 183,S495,Linea 186,S635,Linea 1555,S2552,Linea 211,S622,Linea 210,S633,Linea 127,S501,Linea 925,S789,Linea 923,Planta Norte,Linea 1214,S783,Linea 905,S629,Linea 631,S2077,Linea 629,S489,Linea 665,S2265,Linea 659,S683,Linea 637,S458,Linea 634,S2720,Linea 632,S460,Linea 616,S469,Linea 614,S2634,Linea 615,S2273,Linea 552,S525,Linea 551,S529,Linea 549,S437,Linea 546,S773,Linea 531,S2151,Linea 412,S2300,Linea 382,S2011,Linea 421,S966;S966,Linea 421,S2011;S2011,Linea 421,S966,Linea 530,S2124,Linea 528,S434,Linea 529,S2448,Linea 524,S2109,Linea 523,S2606,Linea 1888,S2523,Linea 1887,S13,Linea 1886,S2,Linea 471,S2240,Linea 1593,Q16,Linea 613,S3,Linea 734,S295,Linea 735,S17,Linea 594,S2259,Linea 592,S2129,Linea 591,S949,Linea 579,S2132,Linea 578,S2443,Linea 581,S938,Linea 582,S849,Linea 584,S2168,Linea 1617,S2167,Linea 736,S2110,Linea 930,S2111,Linea 931,S645,Linea 932,S78,Linea 940,S56,Linea 944,S229,Linea 943,S167,Linea 946,S2147,Linea 966,S2465,Linea 968,S387,Linea 970,S316,Linea 969,S39,Linea 957,S36,Linea 1025,S2725,Linea 958,S37,Linea 959,S2680,Linea 956,S2666,Linea 955,S2656;S2656,Linea 955,S2666,Linea 956,S2680,Linea 959,S37,Linea 958,S2725,Linea 1025,S36,Linea 957,S39,Linea 969,S316,Linea 970,S387,Linea 968,S2465,Linea 966,S2147,Linea 946,S167,Linea 943,S229,Linea 945,S277,Linea 998,S178,Linea 1004,S310,Linea 985,S2185,Linea 984,Base</t>
  </si>
  <si>
    <t>Base,Linea 984,S2185,Linea 985,S310,Linea 1004,S178,Linea 998,S277,Linea 945,S229,Linea 944,S56,Linea 940,S78,Linea 932,S645,Linea 931,S2111,Linea 930,S2110,Linea 736,S2167,Linea 1617,S2168,Linea 584,S849,Linea 582,S938,Linea 587,S2511,Linea 586,S948;S948,Linea 585,S2662,Linea 1050,S937;S937,Linea 1050,S2662,Linea 585,S948,Linea 586,S2511,Linea 587,S938,Linea 582,S849;S849,Linea 584,S2168;S2168,Linea 1617,S2167,Linea 736,S2110,Linea 930,S2111,Linea 931,S645,Linea 932,S78,Linea 940,S56,Linea 944,S229,Linea 945,S277,Linea 998,S178,Linea 1004,S310,Linea 985,S2185,Linea 984,Base</t>
  </si>
  <si>
    <t>Base,Linea 976,S2230,Linea 977,S360,Linea 982,S1203,Linea 981,S2450,Linea 35,S969;S969,Linea 749,S381,Linea 747,S2572,Linea 745,S999;S999,Linea 745,S2572,Linea 746,S315,Linea 1008,S962,Linea 1212,S546,Linea 1753,S2465,Linea 968,S387,Linea 970,S316,Linea 969,S39,Linea 957,S36,Linea 1027,S2695,Linea 1026,S43,Linea 1088,S2707,Linea 1098,S42,Linea 1853,S2723,Linea 1118,S841,Linea 1113,S2194,Linea 1110,S803,Linea 1138,S815,Linea 1129,S921,Linea 1273,S2055,Linea 1328,S778,Linea 1127,S758,Linea 1884,S814,Linea 1121,S810,Linea 1120,S813;S813,Linea 1120,S810,Linea 1121,S814,Linea 1884,S758,Linea 1127,S778,Linea 1328,S2055,Linea 1273,S921,Linea 1129,S815,Linea 1138,S803,Linea 1110,S2194,Linea 1113,S841,Linea 1118,S2723,Linea 1853,S42,Linea 1098,S2707;S2707,Linea 1088,S43,Linea 1026,S2695,Linea 1024,S37,Linea 959,S2680;S2680,Linea 959,S37,Linea 958,S2725,Linea 1025,S36,Linea 957,S39,Linea 969,S316,Linea 970,S387,Linea 968,S2465,Linea 966,S2147,Linea 946,S167,Linea 943,S229,Linea 945,S277,Linea 998,S178,Linea 1004,S310,Linea 985,S2185,Linea 984,Base</t>
  </si>
  <si>
    <t>Base,Linea 984,S2185,Linea 985,S310,Linea 1004,S178,Linea 998,S277,Linea 945,S229,Linea 943,S167,Linea 946,S2147,Linea 966,S2465,Linea 968,S387,Linea 970,S316,Linea 969,S39,Linea 957,S36,Linea 1027,S2695,Linea 1026,S43,Linea 1088,S2707,Linea 1099,S916;S916,Linea 1099,S2707,Linea 1090,S2457;S2457,Linea 1095,S34,Linea 1855,S2724,Linea 1092,S163,Linea 1854,S66,Linea 1152,S2658,Linea 1145,S844,Linea 1135,S914,Linea 1274,S2180,Linea 1275,S2486,Linea 1276,S2034;S2034,Linea 1281,S929,Linea 1282,S910,Linea 1147,S2672;S2672,Linea 1147,S910,Linea 1282,S929,Linea 1281,S2034,Linea 1276,S2486,Linea 1275,S2180,Linea 1274,S914,Linea 1135,S844,Linea 1145,S2658,Linea 1151,S909,Linea 1146,S824,Linea 1144,S823,Linea 1139,S815,Linea 1129,S921,Linea 1273,S2055,Linea 1272,S908,Linea 1271,S597,Linea 1299,S842,Linea 1268,S912,Linea 1230,S2215;S2215,Linea 1230,S912,Linea 1268,S842,Linea 1269,TS1,Linea 1300,S839,Linea 1307,S834,Linea 1306,S759,Linea 1297,S794,Linea 1073,S760,Linea 1221,S791,Linea 1076,S793,Linea 1078,S2667,Linea 1077,S944,Linea 1085,S115,Linea 1733,S927,Linea 1222,S33,Linea 1724,S2094,Linea 950,S31,Linea 949,S2146,Linea 947,S2721,Linea 963,S38,Linea 953,S136,Linea 952,S2706;S2706,Linea 952,S136,Linea 953,S38,Linea 963,S2721,Linea 947,S2146,Linea 964,S2147,Linea 946,S167,Linea 943,S229,Linea 945,S277,Linea 998,S178,Linea 1004,S310,Linea 985,S2185,Linea 984,Base</t>
  </si>
  <si>
    <t>Base,Linea 984,S2185,Linea 985,S310,Linea 1004,S178,Linea 998,S277,Linea 945,S229,Linea 943,S167,Linea 946,S2147,Linea 966,S2465,Linea 968,S387,Linea 970,S316,Linea 969,S39,Linea 957,S36,Linea 1027,S2695,Linea 1026,S43,Linea 1088,S2707,Linea 1098,S42,Linea 1856,S2724,Linea 1092,S163,Linea 1854,S66,Linea 1156,S63,Linea 1154,S65,Linea 1153,S47,Linea 1150,S832,Linea 1286,S2286;S2286,Linea 1286,S832,Linea 1287,S54,Linea 1288,S907,Linea 1289,S930;S930,Linea 1289,S907,Linea 1288,S54,Linea 1287,S832,Linea 1150,S47,Linea 1153,S65,Linea 1154,S63,Linea 1156,S66,Linea 1152,S2658,Linea 1151,S909,Linea 1146,S824,Linea 1144,S823,Linea 1139,S815,Linea 1129,S921,Linea 1273,S2055,Linea 1328,S778,Linea 1128,S779;S779,Linea 1128,S778,Linea 1127,S758,Linea 1126,S805,Linea 1125,S822,Linea 1123,S821,Linea 1103,S738;S738,Linea 1103,S821,Linea 1123,S822,Linea 1125,S805,Linea 1305,S759,Linea 1306,S834,Linea 1307,S839,Linea 1313,S725,Linea 1310,S744,Linea 1321,S747,Linea 1320,S2493,Linea 1325,S935;S935,Linea 1325,S2493,Linea 1320,S747,Linea 1321,S744,Linea 1310,S725,Linea 1313,S839,Linea 1307,S834,Linea 1306,S759,Linea 1297,S794,Linea 1073,S760,Linea 1221,S791,Linea 1076,S793,Linea 1078,S2667,Linea 1077,S944,Linea 1085,S115,Linea 1733,S927,Linea 1222,S33,Linea 1724,S2094,Linea 950,S31,Linea 949,S2146,Linea 964,S2147,Linea 946,S167,Linea 943,S229,Linea 945,S277,Linea 998,S178,Linea 1004,S310,Linea 985,S2185,Linea 984,Base</t>
  </si>
  <si>
    <t>Base,Linea 1,S176,Linea 1506,S2447,Linea 2,S993,Linea 3,S329,Linea 4,S309,Linea 6,S328,Linea 7,S2258,Linea 8,S326,Linea 52,S2253,Linea 57,S208,Linea 156,S2488,Linea 1548,S680,Linea 158,S246,Linea 161,S662,Linea 162,S678,Linea 164,S2510,Linea 167,S2478,Linea 168,S451,Linea 169,S691,Linea 170,S676,Linea 177,S640,Linea 178,S637,Linea 183,S495,Linea 186,S635,Linea 1555,S2552,Linea 211,S622,Linea 912,S2387,Linea 205,S632,Linea 676,S431,Linea 1638,S692,Linea 1215,S423,Linea 653,S2019,Linea 654,S2332,Linea 657,S2275,Linea 1634,S2274;S2274,Linea 1632,S2275,Linea 657,S2332,Linea 654,S2019,Linea 653,S423,Linea 1215,S692,Linea 1703,S431,Linea 676,S632,Linea 205,S2387,Linea 912,S622,Linea 914,S2191,Linea 915,S2197,Linea 1701,S2388;S2388,Linea 1701,S2197,Linea 916,S502,Linea 1900,Planta Norte,Linea 1214,S783,Linea 905,S629,Linea 631,S2077,Linea 629,S489,Linea 665,S2265,Linea 659,S683,Linea 637,S458,Linea 634,S2720,Linea 632,S460,Linea 616,S469,Linea 545,S439,Linea 538,S531,Linea 540,S533,Linea 536,S506,Linea 534,S470,Linea 645,S426,Linea 649,S2307,Linea 650,S455,Linea 502,S398,Linea 503,S2276;S2276,Linea 503,S398,Linea 498,S419;S419,Linea 498,S398,Linea 502,S455,Linea 650,S2307,Linea 507,S427,Linea 512,S509,Linea 511,S2236,Linea 516,Q17,Linea 517,S2523,Linea 469,S26,Linea 467,S2223,Linea 466,S2621,Linea 457,S2642,Linea 450,S2645;S2645,Linea 449,S2660;S2660,Linea 449,S2645,Linea 450,S2642,Linea 457,S2621,Linea 466,S2223,Linea 467,S26,Linea 469,S2523,Linea 1887,S13,Linea 1886,S2,Linea 471,S2240,Linea 1593,Q16,Linea 613,S3,Linea 734,S295,Linea 735,S17,Linea 594,S2259,Linea 592,S2129,Linea 591,S949,Linea 579,S2132,Linea 578,S2443,Linea 581,S938,Linea 582,S849,Linea 584,S2168,Linea 1617,S2167,Linea 736,S2110,Linea 930,S2111,Linea 931,S645,Linea 932,S78,Linea 940,S56,Linea 944,S229,Linea 945,S277,Linea 998,S178,Linea 1004,S310,Linea 985,S2185,Linea 984,Base</t>
  </si>
  <si>
    <t>Base,Linea 12,S2401,Linea 1510,S2249,Linea 973,S192,Linea 754,S2408,Linea 752,S370,Linea 1842,S2421,Linea 741,S980,Linea 740,S377,Linea 748,S381,Linea 747,S2572,Linea 746,S315,Linea 1017,S59,Linea 1295,S2116,Linea 1293,S1,Linea 1292,S2189,Linea 797,S2095;S2095,Linea 1825,S2479,Linea 1170,S79,Linea 1168,S188,Linea 1169,S2079;S2079,Linea 1169,S188,Linea 1168,S79,Linea 1170,S2479,Linea 1825,S2095,Linea 797,S2189,Linea 1292,S1,Linea 1293,S2116,Linea 1295,S59,Linea 1017,S315,Linea 746,S2572,Linea 745,S999,Linea 744,S2529,Linea 791,S2630;S2630,Linea 791,S2529,Linea 744,S999,Linea 745,S2572,Linea 747,S381,Linea 748,S377,Linea 740,S980,Linea 741,S2421,Linea 1842,S370,Linea 752,S2408,Linea 754,S192,Linea 973,S2249,Linea 1816,S2401,Linea 12,Base</t>
  </si>
  <si>
    <t>Base,Linea 14,S278,Linea 15,S2250,Linea 16,S977,Linea 17,S245,Linea 1340,S186,Linea 901,S539,Linea 1408,S2376,Linea 1346,S190,Linea 1395,S232,Linea 1396,S2125,Linea 1397,S272,Linea 1838,S304,Linea 1400,S337;S337,Linea 1400,S304,Linea 1838,S272,Linea 1397,S2125,Linea 1396,S232,Linea 1395,S190,Linea 1346,S2376,Linea 896,S413,Linea 1692,S2155,Linea 1345,S2247,Linea 1685,S2226;S2226,Linea 1685,S2247,Linea 1345,S2155,Linea 1692,S413,Linea 896,S2376,Linea 1346,S190,Linea 1395,S232,Linea 1348,S2314,Linea 1347,S643,Linea 1350,S291,Linea 1375,S2257,Linea 1377,S298,Linea 1398,S2494;S2494,Linea 1398,S298,Linea 1377,S2257,Linea 1375,S291,Linea 1351,S292,Linea 1403,S872,Linea 1405,S2153,Linea 1784,S2154;S2154,Linea 1784,S2153,Linea 1405,S872;S872,Linea 1403,S292,Linea 1351,S291,Linea 1350,S643,Linea 888,S299,Linea 894,S2489,Linea 895,S259,Linea 1691,S2127;S2127,Linea 1691,S259,Linea 895,S2489,Linea 894,S299,Linea 888,S643,Linea 1347,S2314,Linea 1348,S232,Linea 1395,S190,Linea 1346,S2376,Linea 1408,S539,Linea 901,S186,Linea 1340,S245,Linea 17,S977,Linea 16,S2250,Linea 15,S278,Linea 14,Base</t>
  </si>
  <si>
    <t>Base,Linea 1,S176,Linea 1506,S2447,Linea 2,S993,Linea 3,S329,Linea 4,S309,Linea 6,S328,Linea 7,S2258,Linea 8,S326,Linea 52,S2253,Linea 57,S208,Linea 156,S2488,Linea 1548,S680,Linea 158,S246,Linea 161,S662,Linea 162,S678,Linea 164,S2510,Linea 167,S2478,Linea 168,S451,Linea 169,S691,Linea 170,S676,Linea 177,S640,Linea 178,S637,Linea 183,S495,Linea 186,S635,Linea 1555,S2552,Linea 211,S622,Linea 210,S633,Linea 127,S501,Linea 925,S789,Linea 923,Planta Norte,Linea 1214,S783,Linea 905,S629,Linea 631,S2077,Linea 629,S489,Linea 665,S2265,Linea 659,S683,Linea 637,S458,Linea 634,S2720,Linea 632,S460,Linea 616,S469,Linea 614,S2634,Linea 615,S2273,Linea 552,S525,Linea 551,S529,Linea 549,S437,Linea 546,S773,Linea 531,S2151,Linea 415,S774,Linea 414,S722,Linea 413,S710,Linea 393,S709,Linea 392,S687,Linea 370,S613,Linea 365,S707,Linea 317,S2256;S2256,Linea 317,S707,Linea 365,S613,Linea 370,S687,Linea 392,S709,Linea 393,S710,Linea 413,S722,Linea 414,S774,Linea 415,S2151,Linea 531,S773,Linea 546,S437,Linea 549,S529,Linea 551,S525,Linea 552,S2273,Linea 615,S2634,Linea 614,S469,Linea 616,S460,Linea 632,S2720,Linea 634,S458,Linea 660,S683,Linea 659,S2265,Linea 665,S489,Linea 629,S2077,Linea 631,S629,Linea 905,S783,Linea 1214,Planta Norte,Linea 923,S789,Linea 925,S501,Linea 127,S633,Linea 210,S622,Linea 211,S2552,Linea 1563,S635,Linea 186,S495,Linea 183,S637,Linea 178,S640,Linea 177,S676,Linea 170,S691,Linea 173,S2601,Linea 174,S661,Linea 175,S677,Linea 700,S567,Linea 712,S982,Linea 710,S2046,Linea 709,S2039;S2039,Linea 732,S975,Linea 724,S2306,Linea 723,S2454,Linea 1650,S578,Linea 727,S379,Linea 730,S2336,Linea 704,S667,Linea 159,S246,Linea 158,S680,Linea 1549,S2488,Linea 156,S208,Linea 1876,S2216,Linea 1877,S2411,Linea 87,S2200,Linea 97,S356,Linea 143,S2017,Linea 144,S690,Linea 141,S538,Linea 104,S2206,Linea 105,S763,Linea 106,S719,Linea 108,S767,Linea 112,S555,Linea 1532,S2578,Linea 142,S556,Linea 1883,S2022,Linea 902,S2001,Linea 1849,S492,Linea 1885,S2556;S2556,Linea 1885,S492,Linea 1848,S1041,Linea 230,S487,Linea 236,S2386,Linea 238,S958,Linea 626,S2560,Linea 627,S2262,Linea 628,S2445,Linea 662,S2720,Linea 632,S460,Linea 616,S469,Linea 545,S439,Linea 538,S531,Linea 540,S533,Linea 536,S506,Linea 534,S470,Linea 645,S426,Linea 649,S2307,Linea 507,S427,Linea 512,S509,Linea 511,S2236,Linea 516,Q17,Linea 517,S2523,Linea 1887,S13,Linea 1886,S2,Linea 471,S2240,Linea 1593,Q16,Linea 613,S3,Linea 734,S295,Linea 735,S17,Linea 596,S2293,Linea 597,S4,Linea 598,S2324,Linea 600,S2196,Linea 599,S2689,Linea 605,S581,Linea 610,S2688,Linea 1869,S2693,Linea 1870,S2703,Linea 1873,S2713;S2713,Linea 1873,S2703,Linea 1870,S2693,Linea 1869,S2688,Linea 610,S581,Linea 605,S2689,Linea 599,S2196,Linea 600,S2324,Linea 598,S4,Linea 597,S2293,Linea 596,S17,Linea 594,S2259,Linea 592,S2129,Linea 591,S949,Linea 579,S2132,Linea 578,S2443,Linea 581,S938,Linea 582,S849,Linea 584,S2168,Linea 1617,S2167,Linea 736,S2110,Linea 930,S2111,Linea 931,S645,Linea 932,S78,Linea 940,S56,Linea 944,S229,Linea 945,S277,Linea 998,S178,Linea 1004,S310,Linea 985,S2185,Linea 984,Base</t>
  </si>
  <si>
    <t>Base,Linea 1,S176,Linea 1506,S2447,Linea 2,S993,Linea 3,S329,Linea 4,S309,Linea 10,S2195,Linea 27,S2412,Linea 33,S308,Linea 34,S2032,Linea 42,S2569,Linea 46,S2199,Linea 1847,S2200,Linea 97,S356,Linea 143,S2017,Linea 144,S690,Linea 141,S538,Linea 104,S2206,Linea 105,S763,Linea 106,S719,Linea 108,S767,Linea 112,S555,Linea 1532,S2578,Linea 142,S556,Linea 1883,S2022,Linea 902,S2001,Linea 1849,S492,Linea 1848,S1041,Linea 230,S487,Linea 229,S2291,Linea 226,S2054,Linea 220,S2458,Linea 214,S788,Linea 216,S2676,Linea 217,S2396,Linea 240,S2395,Linea 243,S1005,Linea 397,S543,Linea 399,S2288,Linea 247,S2418,Linea 249,S611,Linea 250,E291,Linea 252,S853,Linea 254,S851,Linea 255,S893;S893,Linea 256,S591,Linea 258,S876,Linea 263,S886,Linea 264,S868,Linea 270,S869,Linea 278,S864,Linea 277,S2582,Linea 275,S2279,Linea 274,S892,Linea 340,S594,Linea 260,S616,Linea 315,S2440,Linea 314,S2496,Linea 1497,S707,Linea 365,S613,Linea 369,S721,Linea 368,Planta La Petiza,Linea 367,S1035,Linea 372,S1026,Linea 374,S1015,Linea 373,S1006,Linea 353,S1042,Linea 355,S514,Linea 351,S2096;S2096,Linea 351,S514,Linea 355,S1042,Linea 353,S1006,Linea 373,S1015,Linea 374,S1026,Linea 372,S1035,Linea 367,Planta La Petiza,Linea 368,S721,Linea 369,S613,Linea 370,S687,Linea 392,S709,Linea 393,S710,Linea 413,S722,Linea 414,S774,Linea 415,S2151,Linea 531,S773,Linea 546,S437,Linea 549,S529,Linea 551,S525,Linea 552,S2273,Linea 615,S2634,Linea 614,S469,Linea 616,S460,Linea 632,S2720,Linea 634,S458,Linea 660,S683,Linea 659,S2265,Linea 665,S489,Linea 629,S2077,Linea 631,S629,Linea 905,S783,Linea 1214,Planta Norte,Linea 923,S789,Linea 925,S501,Linea 127,S633,Linea 210,S622,Linea 211,S2552,Linea 1563,S635,Linea 186,S495,Linea 183,S637,Linea 178,S640,Linea 177,S676,Linea 170,S691,Linea 169,S451,Linea 168,S2478,Linea 167,S2510,Linea 164,S678,Linea 162,S662,Linea 161,S246,Linea 158,S680,Linea 1549,S2488,Linea 156,S208,Linea 57,S2253,Linea 52,S326,Linea 8,S2258,Linea 7,S328,Linea 6,S309,Linea 4,S329,Linea 3,S993,Linea 2,S2447,Linea 1506,S176,Linea 1,Base</t>
  </si>
  <si>
    <t>Base,Linea 984,S2185,Linea 985,S310,Linea 1004,S178,Linea 998,S277,Linea 945,S229,Linea 944,S56,Linea 940,S78,Linea 932,S645,Linea 1046,S928,Linea 1048,S840,Linea 1049,S915;S915,Linea 1049,S840,Linea 1058,S825;S825,Linea 1058,S840,Linea 1048,S928,Linea 1046,S645,Linea 931,S2111,Linea 930,S2110,Linea 736,S2167,Linea 1617,S2168,Linea 584,S849,Linea 582,S938,Linea 581,S2443,Linea 578,S2132,Linea 579,S949,Linea 591,S2129,Linea 592,S2259,Linea 594,S17,Linea 735,S295,Linea 734,S3,Linea 613,Q16,Linea 1626,S2240,Linea 471,S2,Linea 1886,S13,Linea 1887,S2523,Linea 1888,S2606,Linea 523,S2109,Linea 521,S2123;S2123,Linea 521,S2109,Linea 523,S2606,Linea 526,S2614,Linea 525,S2461,Linea 454,S2594,Linea 438,S2120,Linea 434,S2668,Linea 435,S2105,Linea 436,S2617,Linea 437,S2637;S2637,Linea 437,S2617,Linea 436,S2105,Linea 432,S2632,Linea 433,S2040,Linea 418,S2007,Linea 378,S1028,Linea 379,S544,Linea 380,S1037,Linea 381,S2300,Linea 411,S2003;S2003,Linea 411,S2300,Linea 412,S2151,Linea 531,S773,Linea 546,S437,Linea 549,S529,Linea 551,S525,Linea 552,S2273,Linea 566,S522,Linea 567,S882,Linea 622,S523,Linea 621,E290,Linea 620,S2386,Linea 236,S487,Linea 230,S1041,Linea 1848,S492,Linea 1849,S2001,Linea 902,S2022,Linea 1883,S556,Linea 142,S2578,Linea 1821,S555,Linea 112,S767,Linea 108,S719,Linea 132,S302,Linea 1538,S696,Linea 1539,S2192;S2192,Linea 1539,S696,Linea 1538,S302,Linea 132,S719,Linea 106,S763,Linea 105,S2206,Linea 104,S538,Linea 141,S690,Linea 144,S2017,Linea 143,S356,Linea 97,S2200,Linea 1847,S2199,Linea 46,S2569,Linea 42,S2032,Linea 34,S308,Linea 33,S2412,Linea 27,S2195,Linea 10,S309,Linea 4,S329,Linea 3,S993,Linea 2,S2447,Linea 1506,S176,Linea 1,Base</t>
  </si>
  <si>
    <t>Base,Linea 984,S2185,Linea 985,S310,Linea 1004,S178,Linea 998,S277,Linea 945,S229,Linea 943,S167,Linea 946,S2147,Linea 964,S2146,Linea 949,S31,Linea 950,S2094,Linea 1711,S33,Linea 1222,S927,Linea 1754,S115,Linea 1085,S944,Linea 1077,S2667,Linea 1078,S793,Linea 1076,S791,Linea 1059,S800,Linea 1055,S2316;S2316,Linea 1055,S800,Linea 1059,S791,Linea 1076,S793,Linea 1078,S2667,Linea 1077,S944;S944,Linea 1077,S2667,Linea 1078,S793,Linea 1076,S791,Linea 1221,S760,Linea 1073,S794,Linea 1297,S759,Linea 1305,S805,Linea 1126,S758,Linea 1298,S830;S830,Linea 1298,S758;S758,Linea 1127,S778,Linea 1328,S2055,Linea 1272,S908;S908,Linea 1272,S2055,Linea 1273,S921,Linea 1129,S815,Linea 1138,S803,Linea 1110,S2194;S2194,Linea 1113,S841,Linea 1118,S2723,Linea 1853,S42,Linea 1098,S2707,Linea 1088,S43,Linea 1026,S2695,Linea 1027,S36,Linea 957,S39,Linea 969,S316,Linea 970,S387,Linea 968,S2465,Linea 966,S2147,Linea 946,S167,Linea 943,S229,Linea 945,S277,Linea 998,S178,Linea 1004,S310,Linea 985,S2185,Linea 984,Base</t>
  </si>
  <si>
    <t>Base,Linea 14,S278,Linea 15,S2250,Linea 16,S977,Linea 17,S245,Linea 1340,S186,Linea 901,S539,Linea 1408,S2376,Linea 1346,S190,Linea 1395,S232,Linea 1348,S2314,Linea 1347,S643,Linea 1350,S291,Linea 1351,S292,Linea 1352,S117,Linea 1382,S2086,Linea 1383,S318,Linea 1384,S242,Linea 1385,S2085,Linea 1386,S2214,Linea 1411,S2088;S2088,Linea 1411,S2214,Linea 1386,S2085,Linea 1385,S242,Linea 1384,S318,Linea 1383,S2086,Linea 1382,S117,Linea 1353,S293,Linea 1355,S231,Linea 890,S2565;S2565,Linea 890,S231,Linea 1355,S293,Linea 1353,S117,Linea 1352,S292,Linea 1401,S177,Linea 1402,S2371;S2371,Linea 1402,S177,Linea 1401,S292,Linea 1351,S291,Linea 1350,S643,Linea 1347,S2314,Linea 1348,S232,Linea 1395,S190,Linea 1346,S2376,Linea 896,S413,Linea 1692,S2155,Linea 1345,S2247,Linea 1685,S2226,Linea 879,S971,Linea 878,S2005B;S2005B,Linea 878,S971,Linea 897,S2160,Linea 898,S2573;S2573,Linea 898,S2160,Linea 897,S971,Linea 879,S2226,Linea 1685,S2247;S2247,Linea 1685,S2226,Linea 879,S971,Linea 1394,S539,Linea 901,S186,Linea 1340,S245,Linea 17,S977,Linea 16,S2250,Linea 15,S278,Linea 14,Base</t>
  </si>
  <si>
    <t>Base,Linea 1,S176,Linea 1506,S2447,Linea 2,S993,Linea 3,S329,Linea 4,S309,Linea 6,S328,Linea 7,S2258,Linea 8,S326,Linea 52,S2253,Linea 57,S208,Linea 156,S2488,Linea 1548,S680,Linea 158,S246,Linea 161,S662,Linea 162,S678,Linea 164,S2510,Linea 167,S2478,Linea 168,S451,Linea 169,S691,Linea 170,S676,Linea 177,S640,Linea 178,S637,Linea 183,S495,Linea 186,S635,Linea 1555,S2552,Linea 211,S622,Linea 210,S633,Linea 127,S501,Linea 925,S789,Linea 923,Planta Norte,Linea 1214,S783,Linea 905,S629,Linea 631,S2077,Linea 629,S489,Linea 665,S2265,Linea 664,S2444,Linea 667,S2290;S2290,Linea 667,S2444,Linea 664,S2265,Linea 659,S683,Linea 637,S458,Linea 634,S2720,Linea 632,S460,Linea 616,S469,Linea 614,S2634,Linea 615,S2273,Linea 552,S525,Linea 551,S529,Linea 549,S437,Linea 546,S773,Linea 531,S2151,Linea 415,S774,Linea 414,S722,Linea 413,S710,Linea 402,S2150,Linea 405,S784;S784,Linea 405,S2150,Linea 402,S710,Linea 413,S722,Linea 414,S774,Linea 415,S2151,Linea 412,S2300,Linea 382,S2011,Linea 421,S966,Linea 530,S2124,Linea 528,S434,Linea 529,S2448,Linea 524,S2109,Linea 523,S2606,Linea 1888,S2523,Linea 1887,S13,Linea 1886,S2,Linea 471,S2240,Linea 1593,Q16,Linea 613,S3,Linea 734,S295,Linea 735,S17,Linea 594,S2259,Linea 592,S2129,Linea 591,S949,Linea 579,S2132,Linea 578,S2443,Linea 581,S938,Linea 582,S849,Linea 584,S2168,Linea 1617,S2167,Linea 736,S2110,Linea 930,S2111,Linea 931,S645,Linea 932,S78,Linea 940,S56,Linea 944,S229,Linea 943,S167,Linea 946,S2147,Linea 966,S2465,Linea 968,S387,Linea 970,S316,Linea 969,S39,Linea 957,S36,Linea 1027,S2695,Linea 1026,S43,Linea 1088,S2707,Linea 1098,S42,Linea 1856,S2724,Linea 1092,S163,Linea 1854,S66,Linea 1156,S63,Linea 1154,S65,Linea 1153,S47,Linea 1150,S832,Linea 1149,S806;S806,Linea 1149,S832,Linea 1150,S47,Linea 1153,S65,Linea 1154,S63,Linea 1156,S66,Linea 1854,S163,Linea 1092,S2724,Linea 1856,S42,Linea 1098,S2707,Linea 1088,S43,Linea 1026,S2695,Linea 1027,S36,Linea 957,S39,Linea 969,S316,Linea 970,S387,Linea 968,S2465,Linea 966,S2147,Linea 946,S167,Linea 943,S229,Linea 945,S277,Linea 998,S178,Linea 1004,S310,Linea 985,S2185,Linea 984,Base</t>
  </si>
  <si>
    <t>Base,Linea 984,S2185,Linea 985,S310,Linea 1004,S178,Linea 998,S277,Linea 945,S229,Linea 944,S56,Linea 940,S78,Linea 932,S645,Linea 931,S2111,Linea 930,S2110,Linea 736,S2167,Linea 1617,S2168,Linea 584,S849,Linea 582,S938,Linea 581,S2443,Linea 578,S2132,Linea 579,S949,Linea 591,S2129,Linea 592,S2259,Linea 594,S17,Linea 735,S295,Linea 734,S3,Linea 613,Q16,Linea 1626,S2240,Linea 471,S2,Linea 1886,S13,Linea 1887,S2523,Linea 1888,S2606,Linea 526,S2614,Linea 525,S2461,Linea 454,S2594,Linea 438,S2120,Linea 434,S2668,Linea 435,S2105,Linea 432,S2632,Linea 431,S2121,Linea 424,S2576,Linea 429,S2641,Linea 428,S2500;S2500,Linea 428,S2641,Linea 429,S2576,Linea 424,S2121,Linea 431,S2632;S2632,Linea 433,S2040,Linea 418,S2007,Linea 378,S1028,Linea 379,S544,Linea 380,S1037,Linea 381,S2300,Linea 412,S2151,Linea 531,S773,Linea 546,S437,Linea 549,S529,Linea 551,S525,Linea 552,S2273,Linea 566,S522,Linea 567,S882,Linea 622,S523,Linea 621,E290,Linea 620,S2386,Linea 236,S487,Linea 230,S1041,Linea 1848,S492,Linea 1849,S2001,Linea 902,S2022,Linea 1883,S556,Linea 142,S2578,Linea 1821,S555,Linea 112,S767,Linea 108,S719,Linea 106,S763,Linea 105,S2206,Linea 104,S538,Linea 141,S690,Linea 144,S2017,Linea 143,S356,Linea 99,S551,Linea 100,S781,Linea 409,S2321,Linea 88,S2004,Linea 89,S2065,Linea 91,S2326,Linea 94,S2272;S2272,Linea 94,S2326,Linea 91,S2065,Linea 89,S2004,Linea 82,S2014,Linea 79,S2252,Linea 76,S100,Linea 75,S156,Linea 74,S155,Linea 71,S154,Linea 69,S2416,Linea 1341,S245,Linea 17,S977,Linea 16,S2250,Linea 15,S278,Linea 14,Base</t>
  </si>
  <si>
    <t>Base,Linea 12,S2401,Linea 1510,S2249,Linea 973,S192,Linea 1211,S172,Linea 768,S2417,Linea 759,S402,Linea 760,S2468,Linea 763,S395,Linea 764,S338,Linea 773,S2407,Linea 774,S2317;S2317,Linea 774,S2407,Linea 850,S2056,Linea 849,S2716,Linea 853,S2504,Linea 854,S997,Linea 859,S330,Linea 1358,S983,Linea 1357,S363,Linea 843,S119,Linea 842,S978,Linea 841,S957,Linea 804,S9,Linea 803,S2176,Linea 802,S313,Linea 800,S2477;S2477,Linea 800,S313,Linea 802,S2176,Linea 803,S9,Linea 804,S957,Linea 840,S287,Linea 839,S312,Linea 1834,S339,Linea 1833,S2548,Linea 1678,S249,Linea 833,S2414;S2414,Linea 833,S249,Linea 830,S285,Linea 1832,S2406,Linea 823,S2441,Linea 821,S2242,Linea 815,S2177,Linea 820,S194,Linea 1206,S184,Linea 1804,S2080,Linea 1490,S138,Linea 1208,S2101,Linea 1462,S183,Linea 1829,S2135,Linea 1814,S2541,Linea 1459,S206,Linea 826,S715,Linea 827,S2356;S2356,Linea 1456,S151,Linea 1489,S2304,Linea 1461,S984,Linea 1447,S2093,Linea 1440,S2089,Linea 1438,S257,Linea 1437,S2074,Linea 1442,S2092,Linea 1835,S2319;S2319,Linea 1835,S2092,Linea 1442,S2074,Linea 1437,S257,Linea 1438,S2089,Linea 1440,S2093,Linea 1447,S984,Linea 1461,S2304,Linea 1489,S151,Linea 1456,S2356,Linea 827,S715,Linea 826,S206,Linea 1459,S2541,Linea 1794,S2135,Linea 1829,S183,Linea 1462,S2101,Linea 1208,S138,Linea 1490,S2080,Linea 1804,S184,Linea 1206,S194,Linea 820,S2177,Linea 815,S2242,Linea 821,S2441,Linea 823,S2406;S2406,Linea 1832,S285,Linea 830,S249,Linea 1678,S2548,Linea 1833,S339,Linea 1834,S312,Linea 839,S287,Linea 805,S198,Linea 1828,S2095,Linea 797,S2189,Linea 1292,S1,Linea 1293,S2116,Linea 1295,S59,Linea 1017,S315,Linea 746,S2572,Linea 747,S381,Linea 748,S377,Linea 740,S980,Linea 741,S2421,Linea 1842,S370,Linea 752,S2408,Linea 754,S192,Linea 973,S2249,Linea 1816,S2401,Linea 12,Base</t>
  </si>
  <si>
    <t>Base,Linea 984,S2185,Linea 985,S310,Linea 1004,S178,Linea 998,S277,Linea 945,S229,Linea 944,S56,Linea 940,S78,Linea 932,S645,Linea 931,S2111,Linea 930,S2110,Linea 736,S2167,Linea 1617,S2168,Linea 584,S849,Linea 582,S938,Linea 581,S2443,Linea 578,S2132,Linea 579,S949,Linea 591,S2129,Linea 592,S2259,Linea 594,S17,Linea 596,S2293,Linea 597,S4,Linea 598,S2324,Linea 600,S2196,Linea 599,S2689,Linea 601,S2683,Linea 603,S2663,Linea 607,S2673;S2673,Linea 607,S2663,Linea 603,S2683,Linea 606,S2619,Linea 608,S2694,Linea 1336,S2711,Linea 1335,S2698,Linea 1334,S2718,Linea 1333,S2717,Linea 1330,S924,Linea 1337,S925,Linea 1260,S2657,Linea 1247,S2627,Linea 1246,S2640,Linea 1326,S752,Linea 1244,S753,Linea 1323,S755,Linea 1236,S2648,Linea 1237,S2644;S2644,Linea 1238,S2524;S2524,Linea 1238,S2644,Linea 1237,S2648;S2648,Linea 1236,S755,Linea 1323,S753,Linea 1244,S752,Linea 1326,S2640,Linea 1246,S2627,Linea 1247,S2657,Linea 1260,S925,Linea 1337,S924,Linea 1330,S2717,Linea 1333,S2718,Linea 1334,S2698,Linea 1335,S2711,Linea 1336,S2694,Linea 608,S2619,Linea 606,S2683,Linea 601,S2689,Linea 605,S581,Linea 610,S2688,Linea 1869,S2693,Linea 1870,S2703;S2703,Linea 1870,S2693,Linea 1869,S2688,Linea 610,S581,Linea 605,S2689,Linea 599,S2196,Linea 600,S2324,Linea 598,S4,Linea 597,S2293,Linea 596,S17,Linea 594,S2259,Linea 592,S2129,Linea 591,S949,Linea 579,S2132,Linea 578,S2443,Linea 581,S938,Linea 582,S849,Linea 584,S2168,Linea 1617,S2167,Linea 736,S2110,Linea 930,S2111,Linea 931,S645,Linea 932,S78,Linea 940,S56,Linea 944,S229,Linea 945,S277,Linea 998,S178,Linea 1004,S310,Linea 985,S2185,Linea 984,Base</t>
  </si>
  <si>
    <t>Base,Linea 984,S2185,Linea 985,S310,Linea 1004,S178,Linea 998,S277,Linea 945,S229,Linea 944,S56,Linea 940,S78,Linea 932,S645,Linea 931,S2111,Linea 930,S2110,Linea 736,S2167,Linea 1617,S2168,Linea 584,S849,Linea 582,S938,Linea 581,S2443,Linea 578,S2132,Linea 579,S949,Linea 591,S2129,Linea 592,S2259,Linea 594,S17,Linea 596,S2293,Linea 597,S4,Linea 598,S2324,Linea 600,S2196,Linea 599,S2689,Linea 601,S2683,Linea 603,S2663,Linea 607,S2673,Linea 1866,S2684;S2684,Linea 1866,S2673,Linea 607,S2663,Linea 603,S2683,Linea 606,S2619,Linea 608,S2694,Linea 1336,S2711;S2711,Linea 1335,S2698,Linea 1334,S2718,Linea 1333,S2717,Linea 1330,S924,Linea 1337,S925,Linea 1251,S946,Linea 1250,S2221;S2221,Linea 1250,S946,Linea 1251,S925,Linea 1337,S924,Linea 1330,S2717,Linea 1333,S2718,Linea 1334,S2698,Linea 1335,S2711,Linea 1336,S2694,Linea 608,S2619,Linea 606,S2683,Linea 601,S2689,Linea 599,S2196,Linea 602,S2677;S2677,Linea 602,S2196,Linea 600,S2324,Linea 598,S4,Linea 597,S2293,Linea 596,S17,Linea 594,S2259,Linea 592,S2129,Linea 591,S949,Linea 579,S2132,Linea 578,S2443,Linea 581,S938,Linea 582,S849,Linea 584,S2168,Linea 1617,S2167,Linea 736,S2110,Linea 930,S2111,Linea 934,S2334,Linea 717,S250,Linea 719,S2349,Linea 720,S986,Linea 722,S2454,Linea 1650,S578,Linea 727,S379,Linea 730,S2336,Linea 704,S667,Linea 159,S246,Linea 161,S662,Linea 162,S678,Linea 164,S2510;S2510,Linea 164,S678,Linea 162,S662,Linea 161,S246,Linea 158,S680,Linea 1549,S2488,Linea 156,S208,Linea 57,S2253,Linea 52,S326,Linea 8,S2258,Linea 7,S328,Linea 6,S309,Linea 4,S329,Linea 3,S993,Linea 2,S2447,Linea 1506,S176,Linea 1,Base</t>
  </si>
  <si>
    <t>Base,Linea 1,S176,Linea 1506,S2447,Linea 2,S993,Linea 3,S329,Linea 4,S309,Linea 6,S328,Linea 7,S2258,Linea 8,S326,Linea 52,S2253,Linea 57,S208,Linea 156,S2488,Linea 1548,S680,Linea 158,S246,Linea 161,S662,Linea 701,S668;S668,Linea 701,S662,Linea 162,S678,Linea 164,S2510,Linea 163,S2482,Linea 151,S550,Linea 150,S2609,Linea 147,S378,Linea 145,S2017,Linea 144,S690,Linea 141,S538,Linea 104,S2206,Linea 105,S763,Linea 106,S719,Linea 108,S767,Linea 112,S555,Linea 1532,S2578,Linea 142,S556,Linea 1883,S2022,Linea 902,S2001,Linea 1849,S492,Linea 1848,S1041,Linea 230,S487,Linea 229,S2291,Linea 226,S2054,Linea 220,S2458,Linea 214,S788,Linea 216,S2676,Linea 217,S2396,Linea 240,S2395,Linea 243,S1005,Linea 397,S543,Linea 399,S2288,Linea 247,S2418,Linea 249,S611,Linea 250,E291,Linea 252,S853,Linea 254,S851,Linea 257,S591,Linea 258,S876,Linea 263,S886,Linea 264,S868,Linea 270,S869,Linea 278,S864,Linea 277,S2582,Linea 275,S2279;S2279,Linea 274,S892,Linea 340,S594,Linea 260,S616,Linea 315,S2440,Linea 312,S2426,Linea 321,S588,Linea 320,S2207,Linea 322,S734,Linea 323,S762,Linea 324,S2487;S2487,Linea 324,S762,Linea 323,S734,Linea 322,S2207,Linea 320,S588,Linea 321,S2426,Linea 312,S2440,Linea 315,S616,Linea 260,S594,Linea 340,S892,Linea 274,S2279,Linea 275,S2582,Linea 276,S873,Linea 279,S850,Linea 280,S856,Linea 285,S865;S865,Linea 285,S856,Linea 289,S884,Linea 290,S1027,Linea 291,S1007,Linea 293,S1025,Linea 298,S593,Linea 297,S1017,Linea 296,S1004;S1004,Linea 296,S1017,Linea 297,S593,Linea 298,S1025,Linea 293,S1007,Linea 291,S1027,Linea 290,S884,Linea 289,S856,Linea 280,S850,Linea 281,S864,Linea 278,S869,Linea 270,S868,Linea 264,S886,Linea 263,S876,Linea 258,S591,Linea 257,S851,Linea 254,S853,Linea 252,E291,Linea 250,S611,Linea 249,S2418,Linea 247,S2288,Linea 399,S543,Linea 397,S1005,Linea 243,S2395,Linea 240,S2396,Linea 217,S2676,Linea 216,S788,Linea 214,S2458,Linea 220,S2054,Linea 226,S2291,Linea 229,S487,Linea 230,S1041,Linea 1848,S492,Linea 1849,S2001,Linea 902,S2022,Linea 1883,S556,Linea 142,S2578,Linea 1821,S555,Linea 112,S767,Linea 108,S719,Linea 106,S763,Linea 105,S2206,Linea 104,S538,Linea 141,S690,Linea 144,S2017,Linea 143,S356,Linea 97,S2200,Linea 1847,S2199,Linea 46,S2569,Linea 42,S2032,Linea 34,S308,Linea 33,S2412,Linea 27,S2195,Linea 10,S309,Linea 4,S329,Linea 3,S993,Linea 2,S2447,Linea 1506,S176,Linea 1,Base</t>
  </si>
  <si>
    <t>Base,Linea 12,S2401,Linea 1510,S2249,Linea 973,S192,Linea 1211,S172,Linea 768,S2417,Linea 759,S402,Linea 760,S2468,Linea 763,S395,Linea 764,S338,Linea 773,S2407,Linea 850,S2056,Linea 849,S2716,Linea 853,S2504,Linea 854,S997,Linea 1836,S353,Linea 1359,S964;S964,Linea 1359,S353,Linea 1836,S997,Linea 854,S2504,Linea 853,S2716,Linea 849,S2056,Linea 850,S2407,Linea 773,S338,Linea 764,S395,Linea 763,S2468,Linea 760,S402,Linea 759,S2417,Linea 768,S172,Linea 1211,S192,Linea 973,S2249,Linea 1816,S2401,Linea 12,Base,Linea 1,S176,Linea 1506,S2447,Linea 2,S993,Linea 3,S329,Linea 4,S309,Linea 10,S2195,Linea 27,S2412,Linea 33,S308,Linea 34,S2032,Linea 42,S2569,Linea 46,S2199,Linea 1847,S2200,Linea 97,S356,Linea 143,S2017,Linea 144,S690,Linea 141,S538,Linea 104,S2206,Linea 105,S763,Linea 106,S719,Linea 108,S767,Linea 112,S555,Linea 1532,S2578,Linea 142,S556,Linea 1883,S2022,Linea 902,S2001,Linea 1849,S492,Linea 1848,S1041,Linea 230,S487,Linea 229,S2291,Linea 226,S2054,Linea 220,S2458,Linea 214,S788,Linea 216,S2676,Linea 217,S2396,Linea 240,S2395,Linea 243,S1005,Linea 397,S543,Linea 399,S2288,Linea 247,S2418,Linea 249,S611,Linea 250,E291,Linea 252,S853,Linea 254,S851,Linea 257,S591,Linea 258,S876,Linea 263,S886,Linea 264,S868;S868,Linea 264,S886,Linea 263,S876,Linea 258,S591,Linea 257,S851,Linea 254,S853,Linea 252,E291,Linea 250,S611,Linea 249,S2418,Linea 247,S2288,Linea 399,S543,Linea 397,S1005,Linea 243,S2395,Linea 242,S2294;S2294,Linea 242,S2395,Linea 240,S2396,Linea 217,S2676,Linea 216,S788,Linea 214,S2458,Linea 220,S2054,Linea 226,S2291;S2291,Linea 229,S487,Linea 230,S1041,Linea 1848,S492,Linea 1849,S2001,Linea 902,S2022,Linea 1883,S556,Linea 142,S2578,Linea 1821,S555,Linea 112,S767,Linea 115,S498;S498,Linea 115,S767,Linea 108,S719,Linea 106,S763,Linea 105,S2206,Linea 104,S538,Linea 141,S690,Linea 144,S2017,Linea 143,S356,Linea 97,S2200,Linea 1847,S2199,Linea 46,S2569,Linea 42,S2032,Linea 34,S308,Linea 33,S2412,Linea 27,S2195,Linea 10,S309,Linea 4,S329,Linea 3,S993,Linea 2,S2447,Linea 1506,S176,Linea 1,Base</t>
  </si>
  <si>
    <t>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t>
  </si>
  <si>
    <t>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t>
  </si>
  <si>
    <t>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t>
  </si>
  <si>
    <t>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t>
  </si>
  <si>
    <t>NA,NA,NA,NA,NA,NA,NA,NA,NA,NA,NA,NA,NA,NA,NA,NA,NA,NA,NA,NA,NA,NA,NA,NA,NA,NA,NA,NA,NA,NA,NA,NA,NA,NA,NA;NA,NA,NA,NA,NA,NA,NA,NA,NA,NA,NA,NA,NA,NA,NA,NA,NA,NA,NA,NA,NA,NA,NA,NA,NA,NA,NA,NA,NA,NA,NA,NA,NA,NA,NA,NA,NA,NA,NA,NA,NA,NA,NA,NA,NA,NA,NA,NA,NA;NA,NA,NA,NA,NA,NA,NA,NA,NA,NA,NA,NA,NA,NA,NA,NA,NA,NA,NA,NA,NA,NA,NA,NA,NA,NA,NA,NA,NA,NA,NA,NA,NA,NA,NA</t>
  </si>
  <si>
    <t>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t>
  </si>
  <si>
    <t>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t>
  </si>
  <si>
    <t>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t>
  </si>
  <si>
    <t>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t>
  </si>
  <si>
    <t>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t>
  </si>
  <si>
    <t>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t>
  </si>
  <si>
    <t>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t>
  </si>
  <si>
    <t>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t>
  </si>
  <si>
    <t>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t>
  </si>
  <si>
    <t>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t>
  </si>
  <si>
    <t>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t>
  </si>
  <si>
    <t>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t>
  </si>
  <si>
    <t>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t>
  </si>
  <si>
    <t>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t>
  </si>
  <si>
    <t>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t>
  </si>
  <si>
    <t>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t>
  </si>
  <si>
    <t>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t>
  </si>
  <si>
    <t>NA,NA,NA,NA,NA,NA,NA,NA,NA,NA,NA,NA,NA,NA,NA,NA,NA,NA,NA,NA,NA,NA,NA,NA,NA,NA,NA,NA,NA,NA,NA,NA,NA,NA,NA,NA,NA,NA,NA;NA,NA,NA,NA,NA,NA,NA,NA,NA,NA,NA;NA,NA,NA,NA,NA,NA,NA,NA,NA,NA,NA,NA,NA,NA,NA,NA,NA,NA,NA,NA,NA,NA,NA,NA,NA,NA,NA;NA,NA,NA,NA,NA,NA,NA,NA,NA,NA,NA,NA,NA,NA,NA,NA,NA,NA,NA,NA,NA,NA,NA,NA,NA,NA,NA</t>
  </si>
  <si>
    <t>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t>
  </si>
  <si>
    <t>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t>
  </si>
  <si>
    <t>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t>
  </si>
  <si>
    <t>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t>
  </si>
  <si>
    <t>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t>
  </si>
  <si>
    <t>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t>
  </si>
  <si>
    <t>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t>
  </si>
  <si>
    <t>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t>
  </si>
  <si>
    <t>NA,NA,NA,NA,NA,NA,NA,NA,NA,NA,NA,NA,NA,NA,NA,NA,NA,NA,NA,NA,NA,NA,NA,NA,NA,NA,NA,NA,NA,NA,NA,NA,NA,NA,NA,NA,NA,NA,NA,NA,NA;NA,NA,NA;NA,NA,NA,NA,NA,NA,NA,NA,NA,NA,NA,NA,NA,NA,NA,NA,NA,NA,NA,NA,NA,NA,NA,NA,NA,NA,NA,NA,NA,NA,NA,NA,NA,NA,NA,NA,NA,NA,NA,NA,NA,NA,NA</t>
  </si>
  <si>
    <t>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t>
  </si>
  <si>
    <t>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t>
  </si>
  <si>
    <t>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t>
  </si>
  <si>
    <t>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t>
  </si>
  <si>
    <t>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t>
  </si>
  <si>
    <t>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t>
  </si>
  <si>
    <t>NA,NA,NA,NA,NA,NA,NA,NA,NA,NA,NA,NA,NA,NA,NA,NA,NA,NA,NA,NA,NA,NA,NA,NA,NA,NA,NA,NA,NA,NA,NA,NA,NA,NA,NA,NA,NA,NA,NA,NA,NA,NA,NA,NA,NA;NA,NA,NA,NA,NA,NA,NA,NA,NA,NA,NA,NA,NA,NA,NA,NA,NA,NA,NA,NA,NA,NA,NA,NA,NA,NA,NA;NA,NA,NA,NA,NA,NA,NA;NA,NA,NA,NA,NA,NA,NA,NA,NA,NA,NA,NA,NA,NA,NA,NA,NA,NA,NA,NA,NA,NA,NA,NA,NA,NA,NA;NA,NA,NA,NA,NA,NA,NA,NA,NA,NA,NA,NA,NA,NA,NA,NA,NA,NA,NA,NA,NA,NA,NA,NA,NA,NA,NA,NA,NA,NA,NA</t>
  </si>
  <si>
    <t>NA,NA,NA,NA,NA,NA,NA,NA,NA,NA,NA,NA,NA,NA,NA,NA,NA,NA,NA,NA,NA,NA,NA,NA,NA,NA,NA,NA,NA,NA,NA,NA,NA,NA,NA,NA,NA,NA,NA,NA,NA,NA,NA;NA,NA,NA,NA,NA,NA,NA,NA,NA,NA,NA,NA,NA,NA,NA,NA,NA,NA,NA,NA,NA,NA,NA,NA,NA,NA,NA,NA,NA,NA,NA,NA,NA,NA,NA,NA,NA,NA,NA,NA,NA,NA,NA,NA,NA,NA,NA,NA,NA,NA,NA;NA,NA,NA,NA,NA,NA,NA,NA,NA,NA,NA,NA,NA,NA,NA,NA,NA,NA,NA,NA,NA,NA,NA,NA,NA,NA,NA,NA,NA,NA,NA,NA,NA,NA,NA,NA,NA,NA,NA,NA,NA</t>
  </si>
  <si>
    <t>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t>
  </si>
  <si>
    <t>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t>
  </si>
  <si>
    <t>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t>
  </si>
  <si>
    <t>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t>
  </si>
  <si>
    <t>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t>
  </si>
  <si>
    <t>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t>
  </si>
  <si>
    <t>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t>
  </si>
  <si>
    <t>NA,NA,NA,NA,NA,NA,NA,NA,NA;NA,NA,NA,NA,NA,NA,NA,NA,NA,NA,NA,NA,NA,NA,NA,NA,NA,NA,NA,NA,NA,NA,NA,NA,NA,NA,NA,NA,NA,NA,NA,NA,NA,NA,NA,NA,NA;NA,NA,NA,NA,NA,NA,NA,NA,NA,NA,NA,NA,NA,NA,NA,NA,NA,NA,NA,NA,NA;NA,NA,NA,NA,NA;NA,NA,NA,NA,NA,NA,NA,NA,NA,NA,NA,NA,NA,NA,NA;NA,NA,NA,NA,NA,NA,NA;NA,NA,NA,NA,NA,NA,NA,NA,NA</t>
  </si>
  <si>
    <t>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t>
  </si>
  <si>
    <t>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t>
  </si>
  <si>
    <t>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t>
  </si>
  <si>
    <t>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t>
  </si>
  <si>
    <t>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t>
  </si>
  <si>
    <t>NA,NA,NA,NA,NA,NA,NA,NA,NA,NA,NA,NA,NA,NA,NA,NA,NA,NA,NA,NA,NA,NA,NA;NA,NA,NA,NA,NA,NA,NA,NA,NA,NA,NA,NA,NA,NA,NA,NA,NA,NA,NA,NA,NA,NA,NA,NA,NA,NA,NA,NA,NA,NA,NA;NA,NA,NA;NA,NA,NA,NA,NA,NA,NA,NA,NA,NA,NA,NA,NA,NA,NA,NA,NA,NA,NA;NA,NA,NA,NA,NA,NA,NA,NA,NA,NA,NA,NA,NA,NA,NA,NA,NA,NA,NA,NA,NA,NA,NA,NA,NA,NA,NA,NA,NA,NA,NA,NA,NA</t>
  </si>
  <si>
    <t>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t>
  </si>
  <si>
    <t>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t>
  </si>
  <si>
    <t>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t>
  </si>
  <si>
    <t>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t>
  </si>
  <si>
    <t>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t>
  </si>
  <si>
    <t>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t>
  </si>
  <si>
    <t>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t>
  </si>
  <si>
    <t>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t>
  </si>
  <si>
    <t>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t>
  </si>
  <si>
    <t>NA,NA,NA,NA,NA,NA,NA,NA,NA,NA,NA,NA,NA,NA,NA,NA,NA,NA,NA,NA,NA;NA,NA,NA,NA,NA,NA,NA,NA,NA,NA,NA,NA,NA,NA,NA,NA,NA,NA,NA,NA,NA,NA,NA,NA,NA,NA,NA,NA,NA,NA,NA,NA,NA,NA,NA,NA,NA,NA,NA,NA,NA,NA,NA,NA,NA,NA,NA,NA,NA,NA,NA,NA,NA,NA,NA,NA,NA,NA,NA,NA,NA;NA,NA,NA,NA,NA,NA,NA,NA,NA,NA,NA,NA,NA,NA,NA,NA,NA,NA,NA,NA,NA,NA,NA,NA,NA,NA,NA,NA,NA,NA,NA,NA,NA,NA,NA,NA,NA,NA,NA,NA,NA</t>
  </si>
  <si>
    <t>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t>
  </si>
  <si>
    <t>NA,NA,NA,NA,NA,NA,NA,NA,NA,NA,NA;NA,NA,NA,NA,NA,NA,NA,NA,NA,NA,NA,NA,NA;NA,NA,NA;NA,NA,NA,NA,NA,NA,NA;NA,NA,NA,NA,NA,NA,NA,NA,NA,NA,NA,NA,NA,NA,NA,NA,NA,NA,NA,NA,NA,NA,NA,NA,NA,NA,NA</t>
  </si>
  <si>
    <t>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t>
  </si>
  <si>
    <t>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t>
  </si>
  <si>
    <t>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t>
  </si>
  <si>
    <t>NA,NA,NA,NA,NA,NA,NA,NA,NA,NA,NA,NA,NA,NA,NA,NA,NA,NA,NA,NA,NA,NA,NA,NA,NA,NA,NA,NA,NA,NA,NA,NA,NA,NA,NA;NA,NA,NA,NA,NA,NA,NA,NA,NA,NA,NA,NA,NA,NA,NA,NA,NA,NA,NA,NA,NA,NA,NA,NA,NA,NA,NA,NA,NA,NA,NA,NA,NA,NA,NA,NA,NA,NA,NA,NA,NA,NA,NA,NA,NA,NA,NA;NA,NA,NA,NA,NA,NA,NA,NA,NA,NA,NA,NA,NA,NA,NA,NA,NA,NA,NA,NA,NA,NA,NA,NA,NA,NA,NA,NA,NA,NA,NA,NA,NA,NA,NA,NA,NA,NA,NA</t>
  </si>
  <si>
    <t>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t>
  </si>
  <si>
    <t>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t>
  </si>
  <si>
    <t>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t>
  </si>
  <si>
    <t>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t>
  </si>
  <si>
    <t>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t>
  </si>
  <si>
    <t>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t>
  </si>
  <si>
    <t>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t>
  </si>
  <si>
    <t>NA,NA,NA,NA,NA,NA,NA,NA,NA,NA,NA,NA,NA,NA,NA,NA,NA,NA,NA,NA,NA,NA,NA,NA,NA,NA,NA;NA,NA,NA,NA,NA,NA,NA,NA,NA,NA,NA,NA,NA,NA,NA,NA,NA,NA,NA,NA,NA;NA,NA,NA,NA,NA,NA,NA,NA,NA,NA,NA;NA,NA,NA,NA,NA,NA,NA,NA,NA,NA,NA,NA,NA;NA,NA,NA,NA,NA;NA,NA,NA,NA,NA,NA,NA,NA,NA,NA,NA,NA,NA,NA,NA,NA,NA,NA,NA,NA,NA,NA,NA,NA,NA,NA,NA,NA,NA,NA,NA,NA,NA,NA,NA,NA,NA,NA,NA,NA,NA,NA,NA,NA,NA</t>
  </si>
  <si>
    <t>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t>
  </si>
  <si>
    <t>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t>
  </si>
  <si>
    <t>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t>
  </si>
  <si>
    <t>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t>
  </si>
  <si>
    <t>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t>
  </si>
  <si>
    <t>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t>
  </si>
  <si>
    <t>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t>
  </si>
  <si>
    <t>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t>
  </si>
  <si>
    <t>NA,NA,NA,NA,NA,NA,NA,NA,NA,NA,NA,NA,NA,NA,NA;NA,NA,NA,NA,NA,NA,NA,NA,NA,NA,NA,NA,NA,NA,NA,NA,NA,NA,NA,NA,NA;NA,NA,NA,NA,NA,NA,NA,NA,NA,NA,NA;NA,NA,NA,NA,NA,NA,NA,NA,NA;NA,NA,NA,NA,NA,NA,NA,NA,NA,NA,NA,NA,NA,NA,NA,NA,NA,NA,NA,NA,NA,NA,NA,NA,NA,NA,NA,NA,NA,NA,NA</t>
  </si>
  <si>
    <t>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t>
  </si>
  <si>
    <t>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t>
  </si>
  <si>
    <t>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t>
  </si>
  <si>
    <t>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t>
  </si>
  <si>
    <t>NA,NA,NA,NA,NA,NA,NA,NA,NA,NA,NA,NA,NA,NA,NA,NA,NA,NA,NA,NA,NA,NA,NA,NA,NA,NA,NA,NA,NA,NA,NA,NA,NA,NA,NA,NA,NA;NA,NA,NA,NA,NA,NA,NA,NA,NA;NA,NA,NA;NA,NA,NA,NA,NA,NA,NA,NA,NA,NA,NA,NA,NA,NA,NA,NA,NA,NA,NA,NA,NA,NA,NA,NA,NA,NA,NA,NA,NA,NA,NA,NA,NA,NA,NA,NA,NA,NA,NA</t>
  </si>
  <si>
    <t>NA,NA,NA,NA,NA,NA,NA,NA,NA,NA,NA,NA,NA,NA,NA,NA,NA,NA,NA,NA,NA,NA,NA,NA,NA,NA,NA;NA,NA,NA,NA,NA,NA,NA,NA,NA;NA,NA,NA,NA,NA,NA,NA,NA,NA,NA,NA,NA,NA;NA,NA,NA,NA,NA,NA,NA,NA,NA,NA,NA,NA,NA,NA,NA,NA,NA,NA,NA,NA,NA;NA,NA,NA,NA,NA,NA,NA,NA,NA,NA,NA,NA,NA,NA,NA,NA,NA,NA,NA,NA,NA,NA,NA,NA,NA,NA,NA,NA,NA;NA,NA,NA,NA,NA,NA,NA,NA,NA,NA,NA,NA,NA,NA,NA</t>
  </si>
  <si>
    <t>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t>
  </si>
  <si>
    <t>NA,NA,NA,NA,NA,NA,NA,NA,NA;NA,NA,NA,NA,NA,NA,NA,NA,NA,NA,NA,NA,NA,NA,NA,NA,NA,NA,NA,NA,NA,NA,NA,NA,NA,NA,NA,NA,NA;NA,NA,NA;NA,NA,NA;NA,NA,NA,NA,NA,NA,NA,NA,NA,NA,NA,NA,NA,NA,NA,NA,NA,NA,NA,NA,NA,NA,NA,NA,NA,NA,NA,NA,NA</t>
  </si>
  <si>
    <t>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t>
  </si>
  <si>
    <t>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t>
  </si>
  <si>
    <t>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t>
  </si>
  <si>
    <t>NA,NA,NA,NA,NA,NA,NA,NA,NA,NA,NA,NA,NA,NA,NA,NA,NA,NA,NA,NA,NA,NA,NA,NA,NA,NA,NA,NA,NA,NA,NA,NA,NA,NA,NA,NA,NA,NA,NA;NA,NA,NA,NA,NA,NA,NA,NA,NA,NA,NA,NA,NA,NA,NA;NA,NA,NA;NA,NA,NA,NA,NA,NA,NA,NA,NA,NA,NA;NA,NA,NA,NA,NA,NA,NA,NA,NA,NA,NA,NA,NA;NA,NA,NA,NA,NA,NA,NA,NA,NA,NA,NA,NA,NA,NA,NA,NA,NA,NA,NA,NA,NA,NA,NA,NA,NA,NA,NA;NA,NA,NA,NA,NA,NA,NA,NA,NA,NA,NA,NA,NA,NA,NA,NA,NA,NA,NA,NA,NA,NA,NA,NA,NA;NA,NA,NA</t>
  </si>
  <si>
    <t>NA,NA,NA,NA,NA,NA,NA,NA,NA,NA,NA,NA,NA,NA,NA,NA,NA,NA,NA,NA,NA,NA,NA,NA,NA,NA,NA;NA,NA,NA,NA,NA,NA,NA,NA,NA,NA,NA,NA,NA,NA,NA,NA,NA,NA,NA,NA,NA,NA,NA,NA,NA,NA,NA,NA,NA,NA,NA,NA,NA,NA,NA,NA,NA,NA,NA,NA,NA,NA,NA,NA,NA,NA,NA,NA,NA;NA,NA,NA,NA,NA,NA,NA,NA,NA,NA,NA,NA,NA,NA,NA,NA,NA,NA,NA,NA,NA,NA,NA</t>
  </si>
  <si>
    <t>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t>
  </si>
  <si>
    <t>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t>
  </si>
  <si>
    <t>NA,NA,NA,NA,NA,NA,NA,NA,NA,NA,NA,NA,NA,NA,NA,NA,NA;NA,NA,NA,NA,NA,NA,NA,NA,NA,NA,NA,NA,NA,NA,NA,NA,NA,NA,NA,NA,NA,NA,NA,NA,NA,NA,NA;NA,NA,NA,NA,NA,NA,NA;NA,NA,NA,NA,NA,NA,NA,NA,NA,NA,NA,NA,NA,NA,NA,NA,NA,NA,NA,NA,NA,NA,NA,NA,NA,NA,NA,NA,NA,NA,NA,NA,NA,NA,NA,NA,NA,NA,NA,NA,NA</t>
  </si>
  <si>
    <t>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t>
  </si>
  <si>
    <t>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t>
  </si>
  <si>
    <t>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t>
  </si>
  <si>
    <t>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t>
  </si>
  <si>
    <t>NA,NA,NA,NA,NA,NA,NA,NA,NA,NA,NA,NA,NA,NA,NA,NA,NA,NA,NA;NA,NA,NA,NA,NA,NA,NA,NA,NA,NA,NA,NA,NA,NA,NA,NA,NA,NA,NA,NA,NA,NA,NA,NA,NA,NA,NA,NA,NA,NA,NA,NA,NA,NA,NA,NA,NA,NA,NA,NA,NA,NA,NA,NA,NA,NA,NA,NA,NA,NA,NA,NA,NA,NA,NA,NA,NA,NA,NA,NA,NA,NA,NA;NA,NA,NA,NA,NA,NA,NA,NA,NA,NA,NA,NA,NA,NA,NA,NA,NA,NA,NA,NA,NA,NA,NA,NA,NA,NA,NA,NA,NA,NA,NA,NA,NA,NA,NA,NA,NA,NA,NA,NA,NA,NA,NA,NA,NA</t>
  </si>
  <si>
    <t>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t>
  </si>
  <si>
    <t>NA,NA,NA,NA,NA,NA,NA,NA,NA,NA,NA,NA,NA,NA,NA,NA,NA,NA,NA,NA,NA,NA,NA,NA,NA,NA,NA,NA,NA,NA,NA,NA,NA,NA,NA,NA,NA,NA,NA,NA,NA,NA,NA,NA,NA,NA,NA,NA,NA,NA,NA,NA,NA,NA,NA,NA,NA,NA,NA;NA,NA,NA,NA,NA,NA,NA,NA,NA;NA,NA,NA,NA,NA,NA,NA,NA,NA,NA,NA,NA,NA,NA,NA;NA,NA,NA,NA,NA,NA,NA,NA,NA,NA,NA,NA,NA,NA,NA,NA,NA,NA,NA,NA,NA,NA,NA,NA,NA,NA,NA,NA,NA,NA,NA,NA,NA,NA,NA,NA,NA,NA,NA,NA,NA,NA,NA,NA,NA</t>
  </si>
  <si>
    <t>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t>
  </si>
  <si>
    <t>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t>
  </si>
  <si>
    <t>NA,NA,NA,NA,NA,NA,NA,NA,NA,NA,NA,NA,NA,NA,NA,NA,NA,NA,NA,NA,NA,NA,NA,NA,NA,NA,NA,NA,NA,NA,NA;NA,NA,NA,NA,NA,NA,NA,NA,NA,NA,NA,NA,NA,NA,NA,NA,NA,NA,NA,NA,NA,NA,NA;NA,NA,NA,NA,NA,NA,NA,NA,NA,NA,NA,NA,NA,NA,NA,NA,NA,NA,NA,NA,NA,NA,NA,NA,NA,NA,NA,NA,NA,NA,NA,NA,NA;NA,NA,NA,NA,NA,NA,NA,NA,NA,NA,NA,NA,NA;NA,NA,NA,NA,NA,NA,NA,NA,NA,NA,NA,NA,NA,NA,NA,NA,NA,NA,NA,NA,NA</t>
  </si>
  <si>
    <t>NA,NA,NA,NA,NA,NA,NA,NA,NA,NA,NA,NA,NA,NA,NA,NA,NA,NA,NA,NA,NA,NA,NA,NA,NA,NA,NA,NA,NA,NA,NA;NA,NA,NA,NA,NA,NA,NA,NA,NA,NA,NA,NA,NA,NA,NA,NA,NA,NA,NA,NA,NA,NA,NA,NA,NA,NA,NA;NA,NA,NA,NA,NA,NA,NA,NA,NA,NA,NA,NA,NA,NA,NA,NA,NA,NA,NA,NA,NA,NA,NA;NA,NA,NA;NA,NA,NA,NA,NA,NA,NA,NA,NA,NA,NA,NA,NA,NA,NA,NA,NA,NA,NA,NA,NA,NA,NA,NA,NA,NA,NA,NA,NA;NA,NA,NA,NA,NA,NA,NA,NA,NA,NA,NA,NA,NA,NA,NA,NA,NA,NA,NA,NA,NA,NA,NA</t>
  </si>
  <si>
    <t>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t>
  </si>
  <si>
    <t>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t>
  </si>
  <si>
    <t>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t>
  </si>
  <si>
    <t>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t>
  </si>
  <si>
    <t>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t>
  </si>
  <si>
    <t>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t>
  </si>
  <si>
    <t>NA,NA,NA,NA,NA,NA,NA,NA,NA,NA,NA,NA,NA,NA,NA,NA,NA,NA,NA,NA,NA,NA,NA,NA,NA,NA,NA,NA,NA;NA,NA,NA;NA,NA,NA,NA,NA,NA,NA,NA,NA;NA,NA,NA,NA,NA,NA,NA,NA,NA,NA,NA,NA,NA,NA,NA,NA,NA;NA,NA,NA;NA,NA,NA,NA,NA,NA,NA,NA,NA,NA,NA,NA,NA,NA,NA,NA,NA,NA,NA,NA,NA,NA,NA,NA,NA,NA,NA,NA,NA;NA,NA,NA</t>
  </si>
  <si>
    <t>NA,NA,NA,NA,NA,NA,NA,NA,NA,NA,NA,NA,NA,NA,NA,NA,NA,NA,NA,NA,NA;NA,NA,NA,NA,NA,NA,NA,NA,NA,NA,NA,NA,NA,NA,NA,NA,NA,NA,NA,NA,NA,NA,NA,NA,NA,NA,NA,NA,NA,NA,NA;NA,NA,NA,NA,NA;NA,NA,NA,NA,NA,NA,NA;NA,NA,NA,NA,NA,NA,NA,NA,NA,NA,NA;NA,NA,NA,NA,NA,NA,NA;NA,NA,NA,NA,NA,NA,NA,NA,NA,NA,NA,NA,NA,NA,NA,NA,NA,NA,NA,NA,NA,NA,NA,NA,NA,NA,NA,NA,NA,NA,NA,NA,NA,NA,NA,NA,NA</t>
  </si>
  <si>
    <t>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t>
  </si>
  <si>
    <t>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t>
  </si>
  <si>
    <t>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t>
  </si>
  <si>
    <t>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t>
  </si>
  <si>
    <t>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t>
  </si>
  <si>
    <t>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t>
  </si>
  <si>
    <t>NA,NA,NA,NA,NA,NA,NA,NA,NA,NA,NA,NA,NA,NA,NA,NA,NA,NA,NA,NA,NA,NA,NA,NA,NA,NA,NA,NA,NA,NA,NA,NA,NA,NA,NA,NA,NA,NA,NA,NA,NA,NA,NA,NA,NA,NA,NA,NA,NA,NA,NA,NA,NA,NA,NA,NA,NA,NA,NA,NA,NA,NA,NA,NA,NA;NA,NA,NA,NA,NA,NA,NA,NA,NA,NA,NA,NA,NA;NA,NA,NA;NA,NA,NA,NA,NA;NA,NA,NA,NA,NA,NA,NA,NA,NA,NA,NA;NA,NA,NA,NA,NA;NA,NA,NA,NA,NA,NA,NA,NA,NA,NA,NA,NA,NA,NA,NA,NA,NA,NA,NA,NA,NA,NA,NA,NA,NA,NA,NA,NA,NA,NA,NA,NA,NA,NA,NA</t>
  </si>
  <si>
    <t>NA,NA,NA,NA,NA,NA,NA,NA,NA,NA,NA,NA,NA,NA,NA,NA,NA,NA,NA,NA,NA,NA,NA,NA,NA,NA,NA,NA,NA,NA,NA,NA,NA,NA,NA,NA,NA,NA,NA,NA,NA;NA,NA,NA,NA,NA,NA,NA,NA,NA,NA,NA,NA,NA,NA,NA,NA,NA,NA,NA,NA,NA,NA,NA,NA,NA,NA,NA,NA,NA,NA,NA,NA,NA,NA,NA,NA,NA,NA,NA,NA,NA,NA,NA,NA,NA,NA,NA,NA,NA,NA,NA,NA,NA,NA,NA,NA,NA,NA,NA,NA,NA;NA,NA,NA,NA,NA,NA,NA,NA,NA,NA,NA,NA,NA,NA,NA,NA,NA,NA,NA,NA,NA</t>
  </si>
  <si>
    <t>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t>
  </si>
  <si>
    <t>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t>
  </si>
  <si>
    <t>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t>
  </si>
  <si>
    <t>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t>
  </si>
  <si>
    <t>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t>
  </si>
  <si>
    <t>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t>
  </si>
  <si>
    <t>NA,NA,NA,NA,NA,NA,NA,NA,NA,NA,NA,NA,NA,NA,NA;NA,NA,NA,NA,NA,NA,NA,NA,NA,NA,NA,NA,NA,NA,NA,NA,NA,NA,NA,NA,NA,NA,NA,NA,NA,NA,NA,NA,NA,NA,NA,NA,NA;NA,NA,NA,NA,NA,NA,NA,NA,NA,NA,NA,NA,NA,NA,NA,NA,NA;NA,NA,NA,NA,NA,NA,NA,NA,NA,NA,NA,NA,NA,NA,NA,NA,NA,NA,NA,NA,NA,NA,NA,NA,NA,NA,NA,NA,NA,NA,NA,NA,NA,NA,NA,NA,NA,NA,NA,NA,NA,NA,NA,NA,NA,NA,NA,NA,NA,NA,NA,NA,NA,NA,NA</t>
  </si>
  <si>
    <t>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t>
  </si>
  <si>
    <t>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t>
  </si>
  <si>
    <t>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t>
  </si>
  <si>
    <t>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t>
  </si>
  <si>
    <t>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t>
  </si>
  <si>
    <t>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t>
  </si>
  <si>
    <t>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t>
  </si>
  <si>
    <t>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t>
  </si>
  <si>
    <t>NA,NA,NA,NA,NA,NA,NA;NA,NA,NA,NA,NA,NA,NA,NA,NA,NA,NA,NA,NA,NA,NA,NA,NA,NA,NA,NA,NA,NA,NA,NA,NA,NA,NA,NA,NA,NA,NA,NA,NA,NA,NA,NA,NA,NA,NA,NA,NA;NA,NA,NA,NA,NA,NA,NA,NA,NA,NA,NA,NA,NA,NA,NA,NA,NA,NA,NA,NA,NA;NA,NA,NA,NA,NA,NA,NA;NA,NA,NA,NA,NA,NA,NA,NA,NA;NA,NA,NA,NA,NA,NA,NA,NA,NA,NA,NA,NA,NA;NA,NA,NA,NA,NA,NA,NA,NA,NA,NA,NA,NA,NA,NA,NA,NA,NA,NA,NA,NA,NA,NA,NA,NA,NA,NA,NA,NA,NA,NA,NA,NA,NA,NA,NA,NA,NA</t>
  </si>
  <si>
    <t>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t>
  </si>
  <si>
    <t>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t>
  </si>
  <si>
    <t>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t>
  </si>
  <si>
    <t>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t>
  </si>
  <si>
    <t>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t>
  </si>
  <si>
    <t>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t>
  </si>
  <si>
    <t>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t>
  </si>
  <si>
    <t>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t>
  </si>
  <si>
    <t>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t>
  </si>
  <si>
    <t>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t>
  </si>
  <si>
    <t>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t>
  </si>
  <si>
    <t>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t>
  </si>
  <si>
    <t>NA,NA,NA,NA,NA,NA,NA,NA,NA,NA,NA,NA,NA,NA,NA,NA,NA,NA,NA,NA,NA,NA,NA,NA,NA,NA,NA,NA,NA,NA,NA,NA,NA,NA,NA,NA,NA,NA,NA,NA,NA,NA,NA,NA,NA,NA,NA,NA,NA,NA,NA,NA,NA;NA,NA,NA,NA,NA,NA,NA,NA,NA,NA,NA;NA,NA,NA,NA,NA;NA,NA,NA,NA,NA,NA,NA,NA,NA,NA,NA;NA,NA,NA,NA,NA,NA,NA,NA,NA,NA,NA,NA,NA,NA,NA,NA,NA,NA,NA,NA,NA,NA,NA,NA,NA,NA,NA,NA,NA,NA,NA,NA,NA,NA,NA,NA,NA,NA,NA,NA,NA,NA,NA,NA,NA,NA,NA</t>
  </si>
  <si>
    <t>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t>
  </si>
  <si>
    <t>NA,NA,NA;NA,NA,NA,NA,NA,NA,NA,NA,NA,NA,NA;NA,NA,NA,NA,NA,NA,NA;NA,NA,NA,NA,NA;NA,NA,NA,NA,NA,NA,NA,NA,NA,NA,NA,NA,NA,NA,NA;NA,NA,NA,NA,NA,NA,NA,NA,NA,NA,NA,NA,NA;NA,NA,NA;NA,NA,NA;NA,NA,NA,NA,NA,NA,NA,NA,NA,NA,NA,NA,NA,NA,NA,NA,NA,NA,NA,NA,NA,NA,NA,NA,NA,NA,NA,NA,NA</t>
  </si>
  <si>
    <t>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t>
  </si>
  <si>
    <t>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t>
  </si>
  <si>
    <t>NA,NA,NA,NA,NA,NA,NA,NA,NA,NA,NA,NA,NA,NA,NA,NA,NA,NA,NA,NA,NA,NA,NA,NA,NA,NA,NA,NA,NA,NA,NA;NA,NA,NA,NA,NA,NA,NA;NA,NA,NA;NA,NA,NA,NA,NA,NA,NA,NA,NA,NA,NA,NA,NA,NA,NA,NA,NA,NA,NA,NA,NA,NA,NA,NA,NA,NA,NA,NA,NA,NA,NA,NA,NA,NA,NA,NA,NA,NA,NA</t>
  </si>
  <si>
    <t>NA,NA,NA,NA,NA,NA,NA,NA,NA,NA,NA,NA,NA,NA,NA,NA,NA,NA,NA;NA,NA,NA,NA,NA,NA,NA,NA,NA,NA,NA,NA,NA,NA,NA,NA,NA,NA,NA,NA,NA,NA,NA,NA,NA,NA,NA,NA,NA,NA,NA,NA,NA,NA,NA,NA,NA,NA,NA,NA,NA,NA,NA,NA,NA;NA,NA,NA,NA,NA,NA,NA,NA,NA,NA,NA,NA,NA,NA,NA,NA,NA,NA,NA,NA,NA,NA,NA,NA,NA,NA,NA;NA,NA,NA,NA,NA</t>
  </si>
  <si>
    <t>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t>
  </si>
  <si>
    <t>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t>
  </si>
  <si>
    <t>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t>
  </si>
  <si>
    <t>NA,NA,NA,NA,NA,NA,NA,NA,NA,NA,NA;NA,NA,NA,NA,NA,NA,NA,NA,NA,NA,NA,NA,NA,NA,NA,NA,NA,NA,NA,NA,NA,NA,NA,NA,NA,NA,NA;NA,NA,NA,NA,NA;NA,NA,NA,NA,NA,NA,NA,NA,NA,NA,NA,NA,NA,NA,NA,NA,NA,NA,NA,NA,NA,NA,NA;NA,NA,NA,NA,NA,NA,NA,NA,NA,NA,NA,NA,NA,NA,NA,NA,NA,NA,NA,NA,NA,NA,NA,NA,NA,NA,NA;NA,NA,NA,NA,NA,NA,NA,NA,NA,NA,NA,NA,NA,NA,NA,NA,NA,NA,NA,NA,NA,NA,NA,NA,NA,NA,NA,NA,NA,NA,NA,NA,NA,NA,NA,NA,NA,NA,NA,NA,NA;NA,NA,NA,NA,NA</t>
  </si>
  <si>
    <t>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t>
  </si>
  <si>
    <t>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t>
  </si>
  <si>
    <t>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t>
  </si>
  <si>
    <t>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t>
  </si>
  <si>
    <t>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t>
  </si>
  <si>
    <t>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t>
  </si>
  <si>
    <t>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t>
  </si>
  <si>
    <t>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t>
  </si>
  <si>
    <t>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t>
  </si>
  <si>
    <t>NA,NA,NA,NA,NA,NA,NA,NA,NA,NA,NA,NA,NA,NA,NA,NA,NA,NA,NA,NA,NA,NA,NA,NA,NA,NA,NA,NA,NA,NA,NA,NA,NA,NA,NA,NA,NA,NA,NA;NA,NA,NA,NA,NA,NA,NA,NA,NA,NA,NA,NA,NA,NA,NA,NA,NA,NA,NA,NA,NA,NA,NA,NA,NA,NA,NA,NA,NA,NA,NA,NA,NA,NA,NA,NA,NA,NA,NA,NA,NA,NA,NA,NA,NA,NA,NA,NA,NA,NA,NA;NA,NA,NA,NA,NA,NA,NA,NA,NA,NA,NA,NA,NA,NA,NA,NA,NA,NA,NA,NA,NA,NA,NA,NA,NA,NA,NA,NA,NA,NA,NA,NA,NA</t>
  </si>
  <si>
    <t>NA,NA,NA,NA,NA,NA,NA,NA,NA,NA,NA,NA,NA,NA,NA,NA,NA,NA,NA,NA,NA,NA,NA;NA,NA,NA,NA,NA,NA,NA,NA,NA,NA,NA,NA,NA,NA,NA,NA,NA,NA,NA,NA,NA,NA,NA;NA,NA,NA,NA,NA,NA,NA,NA,NA,NA,NA,NA,NA,NA,NA,NA,NA,NA,NA,NA,NA,NA,NA,NA,NA</t>
  </si>
  <si>
    <t>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t>
  </si>
  <si>
    <t>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t>
  </si>
  <si>
    <t>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t>
  </si>
  <si>
    <t>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t>
  </si>
  <si>
    <t>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t>
  </si>
  <si>
    <t>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t>
  </si>
  <si>
    <t>NA,NA,NA,NA,NA,NA,NA,NA,NA,NA,NA,NA,NA,NA,NA,NA,NA,NA,NA,NA,NA,NA,NA,NA,NA,NA,NA,NA,NA,NA,NA,NA,NA;NA,NA,NA,NA,NA;NA,NA,NA,NA,NA,NA,NA,NA,NA,NA,NA;NA,NA,NA;NA,NA,NA,NA,NA,NA,NA,NA,NA,NA,NA,NA,NA,NA,NA,NA,NA,NA,NA,NA,NA,NA,NA,NA,NA</t>
  </si>
  <si>
    <t>NA,NA,NA,NA,NA,NA,NA,NA,NA,NA,NA;NA,NA,NA,NA,NA,NA,NA;NA,NA,NA,NA,NA,NA,NA,NA,NA,NA,NA,NA,NA,NA,NA,NA,NA,NA,NA,NA,NA,NA,NA,NA,NA,NA,NA,NA,NA,NA,NA,NA,NA,NA,NA,NA,NA,NA,NA,NA,NA,NA,NA,NA,NA,NA,NA,NA,NA,NA,NA;NA,NA,NA,NA,NA,NA,NA,NA,NA,NA,NA,NA,NA,NA,NA,NA,NA,NA,NA,NA,NA,NA,NA,NA,NA,NA,NA;NA,NA,NA,NA,NA,NA,NA,NA,NA;NA,NA,NA,NA,NA,NA,NA,NA,NA,NA,NA,NA,NA,NA,NA,NA,NA,NA,NA,NA,NA,NA,NA,NA,NA,NA,NA,NA,NA,NA,NA</t>
  </si>
  <si>
    <t>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t>
  </si>
  <si>
    <t>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t>
  </si>
  <si>
    <t>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t>
  </si>
  <si>
    <t>NA,NA,NA,NA,NA,NA,NA,NA,NA,NA,NA,NA,NA,NA,NA,NA,NA,NA,NA,NA,NA,NA,NA,NA,NA,NA,NA,NA,NA,NA,NA,NA,NA;NA,NA,NA,NA,NA,NA,NA,NA,NA;NA,NA,NA,NA,NA,NA,NA,NA,NA,NA,NA,NA,NA,NA,NA,NA,NA,NA,NA,NA,NA,NA,NA,NA,NA,NA,NA;NA,NA,NA,NA,NA,NA,NA,NA,NA,NA,NA,NA,NA,NA,NA,NA,NA,NA,NA,NA,NA,NA,NA,NA,NA,NA,NA</t>
  </si>
  <si>
    <t>NA,NA,NA,NA,NA,NA,NA,NA,NA,NA,NA,NA,NA,NA,NA,NA,NA,NA,NA,NA,NA,NA,NA,NA,NA,NA,NA;NA,NA,NA,NA,NA,NA,NA,NA,NA,NA,NA,NA,NA,NA,NA,NA,NA,NA,NA,NA,NA;NA,NA,NA,NA,NA,NA,NA,NA,NA,NA,NA,NA,NA,NA,NA,NA,NA,NA,NA,NA,NA,NA,NA,NA,NA;NA,NA,NA,NA,NA,NA,NA,NA,NA,NA,NA,NA,NA,NA,NA;NA,NA,NA,NA,NA;NA,NA,NA,NA,NA,NA,NA,NA,NA,NA,NA,NA,NA,NA,NA;NA,NA,NA,NA,NA,NA,NA,NA,NA,NA,NA,NA,NA,NA,NA,NA,NA,NA,NA,NA,NA,NA,NA,NA,NA,NA,NA,NA,NA,NA,NA</t>
  </si>
  <si>
    <t>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t>
  </si>
  <si>
    <t>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t>
  </si>
  <si>
    <t>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t>
  </si>
  <si>
    <t>NA,NA,NA,NA,NA,NA,NA,NA,NA,NA,NA,NA,NA,NA,NA,NA,NA,NA,NA,NA,NA,NA,NA,NA,NA,NA,NA,NA,NA,NA,NA,NA,NA,NA,NA,NA,NA,NA,NA;NA,NA,NA,NA,NA,NA,NA,NA,NA,NA,NA;NA,NA,NA,NA,NA,NA,NA,NA,NA,NA,NA,NA,NA,NA,NA,NA,NA,NA,NA;NA,NA,NA;NA,NA,NA,NA,NA,NA,NA;NA,NA,NA,NA,NA,NA,NA,NA,NA,NA,NA;NA,NA,NA,NA,NA,NA,NA,NA,NA,NA,NA,NA,NA,NA,NA,NA,NA,NA,NA,NA,NA,NA,NA,NA,NA,NA,NA,NA,NA,NA,NA,NA,NA,NA,NA,NA,NA,NA,NA</t>
  </si>
  <si>
    <t>NA,NA,NA,NA,NA,NA,NA,NA,NA,NA,NA,NA,NA,NA,NA,NA,NA,NA,NA,NA,NA,NA,NA,NA,NA,NA,NA,NA,NA,NA,NA,NA,NA,NA,NA,NA,NA,NA,NA,NA,NA;NA,NA,NA,NA,NA,NA,NA,NA,NA,NA,NA,NA,NA,NA,NA,NA,NA,NA,NA;NA,NA,NA,NA,NA,NA,NA,NA,NA,NA,NA,NA,NA;NA,NA,NA,NA,NA,NA,NA,NA,NA,NA,NA,NA,NA,NA,NA,NA,NA,NA,NA,NA,NA,NA,NA,NA,NA,NA,NA,NA,NA;NA,NA,NA,NA,NA,NA,NA;NA,NA,NA,NA,NA,NA,NA,NA,NA;NA,NA,NA,NA,NA,NA,NA,NA,NA,NA,NA,NA,NA,NA,NA,NA,NA,NA,NA</t>
  </si>
  <si>
    <t>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t>
  </si>
  <si>
    <t>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t>
  </si>
  <si>
    <t>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t>
  </si>
  <si>
    <t>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t>
  </si>
  <si>
    <t>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t>
  </si>
  <si>
    <t>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t>
  </si>
  <si>
    <t>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NA</t>
  </si>
  <si>
    <t>Puntos de Operacion</t>
  </si>
  <si>
    <t>Linea 1891</t>
  </si>
  <si>
    <t>Linea 1892</t>
  </si>
  <si>
    <t>Linea 1893</t>
  </si>
  <si>
    <t>Linea 1894</t>
  </si>
  <si>
    <t>Linea 1895</t>
  </si>
  <si>
    <t>Linea 1896</t>
  </si>
  <si>
    <t>Linea 1897</t>
  </si>
  <si>
    <t>Linea 1898</t>
  </si>
  <si>
    <t>Linea 1899</t>
  </si>
  <si>
    <t>Linea 1900</t>
  </si>
  <si>
    <t>Linea 1901</t>
  </si>
  <si>
    <t>Linea 1902</t>
  </si>
  <si>
    <t>-67.9400271 -45.8665472,-67.9383588 -45.8674437,-67.9380584 -45.8682655,-67.9363847 -45.8693786,-67.9365671 -45.8696326,-67.93551008 -45.87004015,-67.936492 -45.8696625,-67.9362881 -45.8694234,-67.9350436 -45.8703273,-67.9347003 -45.8699986,-67.933282 -45.87018527,-67.9337347 -45.872531,-67.9350007 -45.8704245,-67.9346895 -45.8701032,-67.93292309 -45.87290945,-67.9305589 -45.8765722,-67.9309773 -45.8765423,-67.9323184 -45.875011,-67.9336917 -45.8726132,-67.92916705 -45.87686758,-67.9288745 -45.8790371,-67.9299796 -45.8786337,-67.9304302 -45.8776552,-67.9309022 -45.8766245,-67.9306126 -45.8766543,-67.92746283 -45.879252,-67.9288745 -45.8790371,-67.9299796 -45.8786337,-67.9308271 -45.8793582,-67.9310632 -45.8796271,-67.9308057 -45.8796645,-67.92926139 -45.87980166,-67.9308057 -45.8796645,-67.9309773 -45.8795823,-67.9308271 -45.8793582,-67.9319429 -45.8795524,-67.9332089 -45.8799333,-67.9339921 -45.8795524,-67.9349685 -45.8793358,-67.935698 -45.8793209,-67.93512028 -45.8793768,-67.9380155 -45.8812404,-67.938627 -45.880852,-67.9384768 -45.8805682,-67.9371035 -45.8800827,-67.9358482 -45.8797093,-67.9335737 -45.8797616,-67.934432 -45.8794255,-67.9350007 -45.8792835,-67.9357088 -45.8792686,-67.93588984 -45.88149225,-67.9369104 -45.8822487,-67.9367441 -45.8819686,-67.9385787 -45.881274,-67.938568 -45.8809641,-67.9379243 -45.8811844,-67.93623372 -45.88237227,-67.9369962 -45.8822636,-67.9367441 -45.8819686,-67.9343677 -45.8832719,-67.93288041 -45.88347512,,-67.93297197 -45.88384007,-67.9325545 -45.8880964,-67.9324257 -45.8875363,-67.933048 -45.8868642,-67.9335093 -45.8836304,-67.93195275 -45.88880085,,-67.93184093 -45.88869985,-67.929883 -45.8876782,-67.9306018 -45.8878724,-67.9317605 -45.8883727,-67.9326189 -45.888201,-67.92838162 -45.88770662,-67.9286492 -45.8892166,-67.9288638 -45.8878724,-67.9292393 -45.8876931,-67.92758265 -45.88993498,-67.929368 -45.8925994,-67.9296148 -45.8919423,-67.9287994 -45.8913897,-67.9285097 -45.8910014,-67.9286277 -45.8901127,-67.92819602 -45.89300211,-67.9235637 -45.895743,-67.9241538 -45.8953249,-67.9267287 -45.8949142,-67.9271579 -45.8944961,-67.9267287 -45.8942048,-67.9257309 -45.8936448,-67.9256558 -45.8930698,-67.9268682 -45.8923604,-67.9289711 -45.8934208,-67.9293036 -45.893361,-67.92261639 -45.89612501,-67.9221904 -45.8981548,-67.9232204 -45.8984983,-67.9230487 -45.8980652,-67.9224908 -45.89755,-67.9236388 -45.8964449,-67.92046749 -45.89809236,-67.9312027 -45.9008128,-67.9299688 -45.9015296,-67.9282737 -45.9003723,-67.9263103 -45.8994316,-67.9232204 -45.8984983,-67.9221046 -45.8981623,-67.93028301 -45.90068278,-67.9313636 -45.9007755,-67.9299688 -45.9015296,-67.9309559 -45.9024778,-67.931664 -45.9022687,-67.9323721 -45.9010144,-67.9335737 -45.900447,-67.9371786 -45.9012832,-67.9379082 -45.9021045,-67.9396677 -45.9026719,-67.941041 -45.9025674,-67.94048121 -45.90255833,-67.9417276 -45.9060912,-67.9426718 -45.9047623,-67.9416203 -45.9047773,-67.9445601 -45.9035379,-67.942543 -45.9026271,-67.94070253 -45.90708056,-67.9419637 -45.9061061,-67.9426718 -45.9047623,-67.9415345 -45.9048967,-67.938745 -45.9059568,-67.9340029 -45.9072707,-67.9353547 -45.9073006,-67.93482704 -45.9074612,-67.922008 -45.9097193,-67.9201412 -45.9109884,-67.9196906 -45.9109585,-67.9200125 -45.9097492,-67.9210854 -45.909585,-67.9227591 -45.90851,-67.9267287 -45.9077933,-67.9317927 -45.9075544,-67.9344964 -45.9080023,-67.9353762 -45.9076142,-67.92132124 -45.90950332,-67.9221797 -45.9097492,-67.9201412 -45.9109884,-67.91924 -45.911063,-67.9191971 -45.9115109,-67.91938339 -45.91141146,-67.9150558 -45.9126903,-67.9162359 -45.9122126,-67.9164505 -45.9115408,-67.9181457 -45.910645,-67.9202914 -45.9111078,-67.91361731 -45.91301639,-67.9095197 -45.9178556,-67.9090691 -45.9168107,-67.9049706 -45.9149894,-67.9050565 -45.9146311,-67.908597 -45.9143027,-67.9105282 -45.9135114,-67.9126954 -45.9130636,-67.9141974 -45.9123171,-67.90949828 -45.91775832,-67.9105067 -45.9207068,-67.9081678 -45.9205276,-67.9078245 -45.9200798,-67.9065156 -45.9195574,-67.9081035 -45.9191991,-67.9097772 -45.9180049,-67.91006087 -45.92075561,-67.9186392 -45.925737,-67.9181242 -45.9258713,-67.9160213 -45.924319,-67.9144335 -45.9239011,-67.9125881 -45.9236324,-67.911365 -45.9232891,-67.908361 -45.9205575,-67.9107213 -45.9206172,-67.91781996 -45.92567691,-67.9183388 -45.9258713,-67.9167509 -45.9248116,-67.9175448 -45.9264683,-67.9174805 -45.9272444,-67.9163647 -45.9281549,-67.9153562 -45.9282295,-67.9142404 -45.9287071,-67.9133177 -45.9295131,-67.9126954 -45.9289758,-67.912631 -45.9280206,-67.9141116 -45.9273489,-67.9158497 -45.9268415,-67.9161072 -45.9264235,-67.9158711 -45.9259907,-67.91406535 -45.92603076,-67.9160428 -45.9260952,-67.9158497 -45.9268415,-67.9124379 -45.928125,-67.9126954 -45.9289758,-67.9133177 -45.9295131,-67.9122019 -45.9304384,-67.9106355 -45.9306175,-67.9069018 -45.9297071,-67.9082537 -45.9278265,-67.90777463 -45.92772469,-67.9082537 -45.9278265,-67.9069018 -45.9297071,-67.9044557 -45.9301399,-67.9031253 -45.9268564,-67.9025245 -45.9264086,-67.90071017 -45.92674612,-67.9025245 -45.9264086,-67.9055715 -45.9264683,-67.90418073 -45.92703668;-67.90418073 -45.92703668,-67.9025245 -45.9264086,-67.9055715 -45.9264683,-67.90071017 -45.92674612,-67.9082537 -45.9278265,-67.9069018 -45.9297071,-67.9044557 -45.9301399,-67.9031253 -45.9268564,-67.9025245 -45.9264086,-67.90777463 -45.92772469,-67.9160428 -45.9260952,-67.9158497 -45.9268415,-67.9124379 -45.928125,-67.9126954 -45.9289758,-67.9133177 -45.9295131,-67.9122019 -45.9304384,-67.9106355 -45.9306175,-67.9069018 -45.9297071,-67.9082537 -45.9278265,-67.91406535 -45.92603076,-67.9183388 -45.9258713,-67.9167509 -45.9248116,-67.9175448 -45.9264683,-67.9174805 -45.9272444,-67.9163647 -45.9281549,-67.9153562 -45.9282295,-67.9142404 -45.9287071,-67.9133177 -45.9295131,-67.9126954 -45.9289758,-67.912631 -45.9280206,-67.9141116 -45.9273489,-67.9158497 -45.9268415,-67.9161072 -45.9264235,-67.9158711 -45.9259907,-67.91781996 -45.92567691,-67.9186392 -45.925737,-67.9181242 -45.9258713,-67.9160213 -45.924319,-67.9144335 -45.9239011,-67.9125881 -45.9236324,-67.911365 -45.9232891,-67.908361 -45.9205575,-67.9107213 -45.9206172,-67.91006087 -45.92075561,-67.9105067 -45.9207068,-67.9081678 -45.9205276,-67.9078245 -45.9200798,-67.9065156 -45.9195574,-67.9081035 -45.9191991,-67.9097772 -45.9180049,-67.90949828 -45.91775832,-67.9095197 -45.9178556,-67.9090691 -45.9168107,-67.9049706 -45.9149894,-67.9050565 -45.9146311,-67.908597 -45.9143027,-67.9105282 -45.9135114,-67.9126954 -45.9130636,-67.9141974 -45.9123171,-67.91361731 -45.91301639,-67.9150558 -45.9126903,-67.9162359 -45.9122126,-67.9164505 -45.9115408,-67.9181457 -45.910645,-67.9202914 -45.9111078,-67.91938339 -45.91141146,-67.9221797 -45.9097492,-67.9201412 -45.9109884,-67.91924 -45.911063,-67.9191971 -45.9115109,-67.92132124 -45.90950332,-67.922008 -45.9097193,-67.9201412 -45.9109884,-67.9196906 -45.9109585,-67.9200125 -45.9097492,-67.9210854 -45.909585,-67.9227591 -45.90851,-67.9267287 -45.9077933,-67.9317927 -45.9075544,-67.9344964 -45.9080023,-67.9353762 -45.9076142,-67.93482704 -45.9074612,-67.9419637 -45.9061061,-67.9426718 -45.9047623,-67.9415345 -45.9048967,-67.938745 -45.9059568,-67.9340029 -45.9072707,-67.9353547 -45.9073006,-67.94070253 -45.90708056,-67.9420066 -45.9072707, -67.9449141 -45.9072931, -67.9463518 -45.9076291,-67.9477358 -45.9069124,-67.9576063 -45.9040904, -67.9586792 -45.9041949, -67.9598594 -45.9049266, -67.9530573 -45.9053894, -67.948916 -45.9068676,-67.95594313 -45.90408308,-67.9685926 -45.9034484,-67.9653096 -45.9044488,-67.9600525 -45.9049564,-67.9584861 -45.9041651,-67.9576707 -45.9040606,-67.96793825 -45.90348141,-67.9693437 -45.9027914,-67.9659963 -45.8987297,-67.965138 -45.8986401,-67.96354703 -45.89869944,-67.9642367 -45.8983564,-67.9643333 -45.8976993,-67.9650199 -45.8970721,-67.9652989 -45.8964076,-67.9613721 -45.8972065,-67.95956637 -45.89743693,-67.9612112 -45.8971319,-67.9633784 -45.8962807,-67.9639149 -45.8957132,-67.9634535 -45.8934357,-67.9631853 -45.892801,-67.96212496 -45.89267136,-67.963196 -45.8927189,-67.9626918 -45.8927114,-67.9624236 -45.8909043,-67.9618871 -45.8908445,-67.9608786 -45.8903442,-67.95958813 -45.89007642,-67.9609108 -45.8902845,-67.9623485 -45.8909491,-67.9621017 -45.8899111,-67.962445 -45.8899634,-67.9637861 -45.8886864,-67.96290254 -45.88863388;-67.96290254 -45.88863388,-67.9670262 -45.8881263,-67.9660714 -45.8869613,-67.9657602 -45.8876259,-67.9651165 -45.8877678,-67.9650307 -45.887947,-67.964462 -45.8880815,-67.96633372 -45.88873533,-67.9702985 -45.892002,-67.9693437 -45.8927189,-67.9695046 -45.8920393,-67.9694617 -45.8909565,-67.9689038 -45.8902247,-67.9675949 -45.8891494,-67.9695987 -45.89181892,-67.9699337 -45.8946379,-67.9693973 -45.8950411,-67.9688287 -45.894847,-67.9686248 -45.893936,-67.9694724 -45.8926591,-67.9702985 -45.892002,-67.96939983 -45.89469974,-67.9721761 -45.8962209,-67.9716182 -45.8947873,-67.9710388 -45.8947723,-67.97161551 -45.8965517;-67.97161551 -45.8965517,-67.9721761 -45.8962209,-67.9716182 -45.8947873,-67.9710388 -45.8947723,-67.96939983 -45.89469974,-67.9699337 -45.8946379,-67.9693973 -45.8950411,-67.9688287 -45.894847,-67.9686248 -45.893936,-67.9694724 -45.8926591,-67.9702985 -45.892002,-67.9695987 -45.89181892,-67.9702985 -45.892002,-67.9693437 -45.8927189,-67.9695046 -45.8920393,-67.9694617 -45.8909565,-67.9689038 -45.8902247,-67.9675949 -45.8891494,-67.96633372 -45.88873533,-67.9671872 -45.8881412,-67.9659748 -45.8870061,-67.9642153 -45.8869314,-67.9642582 -45.8866849,-67.96291589 -45.88644251,-67.9643977 -45.8867746,-67.9641402 -45.8867895,-67.9629064 -45.8855274,-67.9625845 -45.8842055,-67.9620588 -45.8840412,-67.9608893 -45.8848926,-67.95958113 -45.88533853,-67.960428 -45.8852436,-67.9597843 -45.8853855,-67.9578102 -45.8852959,-67.9558897 -45.8849448,-67.9546167 -45.88506443,-67.9573059 -45.8868268,-67.956748 -45.8864908,-67.9563725 -45.8857215,-67.9556644 -45.8849971,-67.95650174 -45.8868325,-67.957381 -45.8868268,-67.9566729 -45.8866327,-67.953701 -45.8868791,-67.9533148 -45.8869911,-67.9529393 -45.8866103,-67.95178221 -45.88666191,-67.951051 -45.8868418,-67.9516089 -45.886207,-67.952832 -45.8866028,-67.94972726 -45.88693813,-67.948755 -45.886894,-67.9494202 -45.887484,-67.9503751 -45.8875587,-67.9509008 -45.8873571,-67.9508793 -45.8868716,-67.94746568 -45.88694764,-67.9487872 -45.8868418,-67.9495382 -45.8874766,-67.9496884 -45.88726,-67.9485726 -45.886095,-67.9476714 -45.8855871,-67.94628753 -45.88560005,-67.9472744 -45.8852212,-67.9470921 -45.8844967,-67.9472423 -45.883959,-67.9472315 -45.8831823,-67.94607409 -45.88311995,-67.9472744 -45.8827118,-67.9475963 -45.8819051,-67.9476392 -45.8807475,-67.9472208 -45.8805159,-67.9459034 -45.88040255,-67.9468131 -45.8799931,-67.9464698 -45.8794927,-67.9443026 -45.8791491,-67.94258106 -45.87928487,,-67.94257964 -45.87928521;-67.94257964 -45.87928521,,-67.94258106 -45.87928487,-67.9433799 -45.8793582,-67.9425859 -45.8792462,-67.9414809 -45.8788951,-67.9399574 -45.8788802,-67.9395819 -45.8785889,-67.9398179 -45.8784246,-67.93938002 -45.87863178,-67.9364383 -45.8791566,-67.9368889 -45.8790371,-67.9370821 -45.878798,-67.939657 -45.8787906,-67.9398179 -45.8784246,-67.93512028 -45.8793768,-67.9308057 -45.8796645,-67.9309773 -45.8795823,-67.9308271 -45.8793582,-67.9319429 -45.8795524,-67.9332089 -45.8799333,-67.9339921 -45.8795524,-67.9349685 -45.8793358,-67.935698 -45.8793209,-67.92926139 -45.87980166,-67.9288745 -45.8790371,-67.9299796 -45.8786337,-67.9308271 -45.8793582,-67.9310632 -45.8796271,-67.9308057 -45.8796645,-67.92746283 -45.879252,-67.9288745 -45.8790371,-67.9299796 -45.8786337,-67.9304302 -45.8776552,-67.9309022 -45.8766245,-67.9306126 -45.8766543,-67.92916705 -45.87686758,-67.9305589 -45.8765722,-67.9309773 -45.8765423,-67.9323184 -45.875011,-67.9336917 -45.8726132,-67.93292309 -45.87290945,-67.9337347 -45.872531,-67.9350007 -45.8704245,-67.9346895 -45.8701032,-67.933282 -45.87018527,-67.936492 -45.8696625,-67.9362881 -45.8694234,-67.9350436 -45.8703273,-67.9347003 -45.8699986,-67.93551008 -45.87004015;-67.93551008 -45.87004015,-67.9383588 -45.8674437,-67.9380584 -45.8682655,-67.9363847 -45.8693786,-67.9365671 -45.8696326,-67.9400271 -45.8665472</t>
  </si>
  <si>
    <t>-67.9400271 -45.8665472,-67.9383588 -45.8674437,-67.9380101 -45.8666929,-67.9392922 -45.8661064,-67.93822649 -45.86645361,,-67.93820898 -45.86621382,-67.939437 -45.8659907,-67.9410034 -45.8642985,-67.9397787 -45.86446671,-67.9413575 -45.8643508,-67.94191 -45.8638801,-67.9413092 -45.8637717,-67.94026881 -45.86394522,-67.9412395 -45.8636896,-67.94085860000001 -45.8628677,-67.94016816 -45.86304785,-67.9407942 -45.8630844,-67.9403758 -45.8621878,-67.9386914 -45.8624792,-67.93749455 -45.86270022,-67.9389811 -45.8623559,-67.9389596 -45.8618329,-67.9381979 -45.8610783,-67.9390669 -45.8607794,-67.93809539 -45.86091501,-67.9388309 -45.8607794,-67.938112 -45.8611007,-67.9377472 -45.860899,-67.9362881 -45.8614743,-67.9374897 -45.8619749,-67.93652197 -45.86222667,-67.9375219 -45.8620421,-67.9357517 -45.861085800000005,-67.9346144 -45.8614519,-67.93332777 -45.86169272,-67.9343569 -45.8614145,-67.9335523 -45.861549,-67.9334021 -45.8611381,-67.9309666 -45.8609214,-67.92973166 -45.86112334,-67.9307091 -45.86097370000001,-67.9287457 -45.8609588,-67.9288423 -45.860757,-67.92827234 -45.86082887,-67.9288423 -45.860757,-67.9286063 -45.8609812,-67.9269433 -45.8608168,-67.9254305 -45.8610559,-67.9256237 -45.8606898,-67.92472033 -45.86078317,-67.9253769 -45.8604208,-67.9236388 -45.8595317,-67.9233384 -45.8597857,-67.92204432 -45.86025045,-67.9235315 -45.8601219,-67.9222655 -45.8604731,-67.92116295 -45.86077528,-67.9219651 -45.8610335,-67.9157424 -45.8609887,-67.91412974 -45.86109479,-67.9153347 -45.8605702,-67.9157317 -45.8599725,-67.9146159 -45.859457,-67.91347499 -45.85938782,-67.9145408 -45.8594047,-67.9124916 -45.858777,-67.9112792 -45.8592776,-67.91058213 -45.85962973,-67.9112792 -45.8592776,-67.9102921 -45.8588293,-67.9105067 -45.8586425,-67.90964669 -45.85881191,-67.9102653 -45.8586986,-67.9081625 -45.8581195,-67.90707943 -45.8582017,-67.90773330000002 -45.8580522,-67.9073417 -45.8579177,-67.9068965 -45.8568567,-67.9053408 -45.8563822,-67.90400196 -45.85653031,-67.904284 -45.8564084,-67.9033184 -45.8552726,-67.9019022 -45.8551232,-67.90067511 -45.8549717,,-67.90022567 -45.85540767,-67.9008508 -45.8548093,-67.8990161 -45.8545403,-67.898823 -45.8538678,-67.8965485 -45.8545553,-67.89483427 -45.85484841,-67.887429 -45.855564,-67.8894138 -45.853808,-67.8932333 -45.8533447,-67.8969455 -45.8545851,-67.8963768 -45.8546599,-67.88581092 -45.85597227,-67.887429 -45.855564,-67.8882551 -45.8548691,-67.8894138 -45.853808,-67.8920853 -45.8535689,-67.8916454 -45.8538678,-67.8897357 -45.85395,-67.88910 -45.85436,-67.8875685 -45.8562589,-67.885799 -45.8571033,-67.88544 -45.8578281,-67.88523 -45.85794,-67.88402968 -45.85834964,-67.8814316 -45.8592926,-67.8808415 -45.8591357,-67.880863 -45.8587322,-67.8817642 -45.858239,-67.8850043 -45.8580522,-67.88077392 -45.85953999,-67.8790283 -45.8588293,-67.880466 -45.8587397,-67.8813028 -45.8593598,-67.87771797 -45.85914466,-67.875917 -45.8590236,-67.8765607 -45.8587098,-67.8784597 -45.8588443,-67.87446619 -45.85953534,-67.8758311 -45.8590012,-67.8755307 -45.858777,-67.8718829 -45.8588144,-67.8721619 -45.8576637,-67.8733528 -45.857462,-67.8739536 -45.8579028,-67.87227986 -45.85836679,-67.8721619 -45.8576637,-67.8734279 -45.8573798,-67.8740823 -45.8579103,-67.87029294 -45.85782787,-67.8694689 -45.8577534,-67.8703272 -45.8578879,-67.8705525 -45.8574694,-67.8710139 -45.8575441,-67.86752908 -45.85773082,-67.8666365 -45.8577982,-67.8680527 -45.857716,-67.86509618 -45.85797591,-67.8655958 -45.85783560000001,-67.8642118 -45.8570435,-67.86269634 -45.8576934,-67.8630531 -45.8577608,-67.8618944 -45.8580074,-67.86119926 -45.8582863,-67.8617334 -45.8580597,-67.8595233 -45.8583362,-67.85800456 -45.85865306,-67.8602314 -45.85924030000001,-67.8568411 -45.8591506,-67.8585362 -45.8586425,-67.85979998 -45.85959279,-67.8623772 -45.8601145,-67.8619158 -45.8597185,-67.86181930000001 -45.8591954,-67.8608966 -45.8592179,-67.8613425 -45.86055445,-67.8632784 -45.8615042,-67.863096 -45.86128,-67.8622055 -45.8610559,-67.861948 -45.8605105,-67.86252974 -45.86187269;-67.86252974 -45.86187269,-67.8632784 -45.8615042,-67.863096 -45.86128,-67.8622055 -45.8610559,-67.861948 -45.8605105,-67.8613425 -45.86055445,-67.8623772 -45.8601145,-67.8619158 -45.8597185,-67.86181930000001 -45.8591954,-67.8608966 -45.8592179,-67.85979998 -45.85959279,-67.8602314 -45.85924030000001,-67.8568411 -45.8591506,-67.8585362 -45.8586425,-67.85800456 -45.85865306,-67.8585362 -45.8586425,-67.8567231 -45.8591431,-67.8550386 -45.8605852,-67.85325633 -45.86047853,-67.8547168 -45.8600622,-67.8545237 -45.8589862,-67.8537083 -45.858508,-67.852335 -45.8585529,-67.85051371 -45.8587379,-67.8511226 -45.8587172,-67.8489661 -45.8581942,-67.8504252 -45.8565952,-67.84992667 -45.85649082,-67.851541 -45.8561394,-67.8511119 -45.8555416,-67.8497386 -45.8553249,-67.8490841 -45.8555341,-67.84737753 -45.85568862,-67.8480864 -45.8556163,-67.846477 -45.8561992,-67.8452325 -45.8556537,-67.84359994 -45.85582912,-67.8438914 -45.8557508,-67.8414237 -45.8563262,-67.8377545 -45.8563187,-67.83653581 -45.85644197,-67.8371108 -45.8561767,-67.8326368 -45.8556313,-67.83154193 -45.85548135,-67.8319716 -45.855437,-67.8292787 -45.855108200000004,-67.82760578 -45.8552439,-67.8277767 -45.8550036,-67.8251696 -45.8547271,-67.824676 -45.8544207,-67.82322995 -45.85451391,-67.824043 -45.8544731,-67.8235924 -45.8545553,-67.8224766 -45.8545702,-67.82073586 -45.8548351;-67.82073586 -45.8548351,-67.824043 -45.8544731,-67.8235924 -45.8545553,-67.8224766 -45.8545702,-67.82322995 -45.85451391,-67.8244078 -45.8540994,-67.8225088 -45.8518801,-67.82163737 -45.8516816,-67.8223801 -45.8515886,-67.8209639 -45.8504751,-67.8196657 -45.8504079,-67.81800483 -45.85079524,-67.8185713 -45.8505798,-67.816962 -45.851073,-67.8161895 -45.8523658,-67.81497943 -45.85259887,-67.816329 -45.8519921,-67.8167796 -45.8511701,-67.8158462 -45.8513121,-67.8150415 -45.8533148,-67.8138399 -45.8541293,-67.81217316 -45.85421245,-67.809999 -45.85395,-67.81053540000002 -45.8542265,-67.8125417 -45.8543386,-67.80813131 -45.85419968,-67.8064048 -45.853539,-67.8089046 -45.854361,-67.8103852 -45.8542265,-67.8098702 -45.8539126,-67.80441533 -45.8533642,-67.8110075 -45.8532999,-67.8095913 -45.8534045,-67.8081751 -45.8532849,-67.8063512 -45.8536436,-67.81033656 -45.85331184,-67.8119838 -45.8516783,-67.8118229 -45.8524256,-67.8138614 -45.8534792,-67.8134108 -45.8536361,-67.8115761 -45.85313550000001,-67.81172912 -45.8516909;-67.81172912 -45.8516909,-67.8119838 -45.8516783,-67.8118229 -45.8524256,-67.8138614 -45.8534792,-67.8134108 -45.8536361,-67.8115761 -45.85313550000001,-67.81033656 -45.85331184,-67.8110075 -45.8532999,-67.8095913 -45.8534045,-67.8081751 -45.8532849,-67.8063512 -45.8536436,-67.80441533 -45.8533642,-67.8064048 -45.853539,-67.8089046 -45.854361,-67.8103852 -45.8542265,-67.8098702 -45.8539126,-67.80813131 -45.85419968,-67.809999 -45.85395,-67.81053540000002 -45.8542265,-67.8125417 -45.8543386,-67.81217316 -45.85421245,-67.816329 -45.8519921,-67.8167796 -45.8511701,-67.8158462 -45.8513121,-67.8150415 -45.8533148,-67.8138399 -45.8541293,-67.81497943 -45.85259887,-67.8185713 -45.8505798,-67.816962 -45.851073,-67.8161895 -45.8523658,-67.81800483 -45.85079524,-67.8223801 -45.8515886,-67.8209639 -45.8504751,-67.8196657 -45.8504079,-67.82163737 -45.8516816,-67.8244078 -45.8540994,-67.8225088 -45.8518801,-67.82322995 -45.85451391,-67.8277767 -45.8550036,-67.8251696 -45.8547271,-67.824676 -45.8544207,-67.82760578 -45.8552439,-67.8319716 -45.855437,-67.8292787 -45.855108200000004,-67.83154193 -45.85548135,-67.8371108 -45.8561767,-67.8326368 -45.8556313,-67.83653581 -45.85644197,-67.8438914 -45.8557508,-67.8414237 -45.8563262,-67.8377545 -45.8563187,-67.84359994 -45.85582912,-67.8480864 -45.8556163,-67.846477 -45.8561992,-67.8452325 -45.8556537,-67.84737753 -45.85568862,-67.851541 -45.8561394,-67.8511119 -45.8555416,-67.8497386 -45.8553249,-67.8490841 -45.8555341,-67.84992667 -45.85649082,-67.8511226 -45.8587172,-67.8489661 -45.8581942,-67.8504252 -45.8565952,-67.85051371 -45.8587379,-67.8547168 -45.8600622,-67.8545237 -45.8589862,-67.8537083 -45.858508,-67.852335 -45.8585529,-67.85325633 -45.86047853,-67.8585362 -45.8586425,-67.8567231 -45.8591431,-67.8550386 -45.8605852,-67.85800456 -45.85865306,-67.8617334 -45.8580597,-67.8595233 -45.8583362,-67.86119926 -45.8582863,-67.8630531 -45.8577608,-67.8618944 -45.8580074,-67.86269634 -45.8576934,-67.8655958 -45.85783560000001,-67.8642118 -45.8570435,-67.86509618 -45.85797591,-67.8666365 -45.8577982,-67.8680527 -45.857716,-67.86752908 -45.85773082,-67.8694689 -45.8577534,-67.8703272 -45.8578879,-67.8705525 -45.8574694,-67.8710139 -45.8575441,-67.87029294 -45.85782787,-67.8721619 -45.8576637,-67.8734279 -45.8573798,-67.8740823 -45.8579103,-67.87227986 -45.85836679,-67.8758311 -45.8590012,-67.8755307 -45.858777,-67.8718829 -45.8588144,-67.8721619 -45.8576637,-67.8733528 -45.857462,-67.8739536 -45.8579028,-67.87446619 -45.85953534,-67.875917 -45.8590236,-67.8765607 -45.8587098,-67.8784597 -45.8588443,-67.87771797 -45.85914466,-67.8790283 -45.8588293,-67.880466 -45.8587397,-67.8813028 -45.8593598,-67.88077392 -45.85953999,-67.8814316 -45.8592926,-67.8808415 -45.8591357,-67.880863 -45.8587322,-67.8817642 -45.858239,-67.8850043 -45.8580522,-67.88402968 -45.85834964,-67.887429 -45.855564,-67.8882551 -45.8548691,-67.8894138 -45.853808,-67.8920853 -45.8535689,-67.8916454 -45.8538678,-67.8897357 -45.85395,-67.88910 -45.85436,-67.8875685 -45.8562589,-67.885799 -45.8571033,-67.88544 -45.8578281,-67.88523 -45.85794,-67.88581092 -45.85597227,-67.887429 -45.855564,-67.8894138 -45.853808,-67.8932333 -45.8533447,-67.8969455 -45.8545851,-67.8963768 -45.8546599,-67.89483427 -45.85484841,-67.9008508 -45.8548093,-67.8990161 -45.8545403,-67.898823 -45.8538678,-67.8965485 -45.8545553,-67.90022567 -45.85540767,,-67.90067511 -45.8549717,-67.904284 -45.8564084,-67.9033184 -45.8552726,-67.9019022 -45.8551232,-67.90400196 -45.85653031,-67.90773330000002 -45.8580522,-67.9073417 -45.8579177,-67.9068965 -45.8568567,-67.9053408 -45.8563822,-67.90707943 -45.8582017,-67.9102653 -45.8586986,-67.9081625 -45.8581195,-67.90964669 -45.85881191,-67.9112792 -45.8592776,-67.9102921 -45.8588293,-67.9105067 -45.8586425,-67.91058213 -45.85962973,-67.9145408 -45.8594047,-67.9124916 -45.858777,-67.9112792 -45.8592776,-67.91347499 -45.85938782,-67.9153347 -45.8605702,-67.9157317 -45.8599725,-67.9146159 -45.859457,-67.91412974 -45.86109479,-67.9219651 -45.8610335,-67.9157424 -45.8609887,-67.92116295 -45.86077528,-67.9235315 -45.8601219,-67.9222655 -45.8604731,-67.92204432 -45.86025045,-67.9253769 -45.8604208,-67.9236388 -45.8595317,-67.9233384 -45.8597857,-67.92472033 -45.86078317,-67.9257202 -45.8606599,-67.9255271 -45.861085800000005,-67.9269326 -45.8609513,-67.9270506 -45.8613025,-67.9260095 -45.86162722;-67.9260095 -45.86162722,-67.9257202 -45.8606599,-67.9255271 -45.861085800000005,-67.9269326 -45.8609513,-67.9270506 -45.8613025,-67.92472033 -45.86078317;-67.92472033 -45.86078317,-67.9288423 -45.860757,-67.9286063 -45.8609812,-67.9269433 -45.8608168,-67.9254305 -45.8610559,-67.9256237 -45.8606898,-67.92827234 -45.86082887,-67.9307091 -45.86097370000001,-67.9287457 -45.8609588,-67.9288423 -45.860757,-67.92973166 -45.86112334,-67.9343569 -45.8614145,-67.9335523 -45.861549,-67.9334021 -45.8611381,-67.9309666 -45.8609214,-67.93332777 -45.86169272,-67.9375219 -45.8620421,-67.9357517 -45.861085800000005,-67.9346144 -45.8614519,-67.93652197 -45.86222667,-67.9388309 -45.8607794,-67.938112 -45.8611007,-67.9377472 -45.860899,-67.9362881 -45.8614743,-67.9374897 -45.8619749,-67.93809539 -45.86091501,-67.9389811 -45.8623559,-67.9389596 -45.8618329,-67.9381979 -45.8610783,-67.9390669 -45.8607794,-67.93749455 -45.86270022,-67.9407942 -45.8630844,-67.9403758 -45.8621878,-67.9386914 -45.8624792,-67.94016816 -45.86304785,-67.9412395 -45.8636896,-67.94085860000001 -45.8628677,-67.94026881 -45.86394522,-67.9413575 -45.8643508,-67.94191 -45.8638801,-67.9413092 -45.8637717,-67.9397787 -45.86446671,-67.939437 -45.8659907,-67.9410034 -45.8642985,-67.93820898 -45.86621382,,-67.93822649 -45.86645361,-67.9383588 -45.8674437,-67.9380101 -45.8666929,-67.9392922 -45.8661064,-67.9400271 -45.8665472</t>
  </si>
  <si>
    <t>-67.9400271 -45.8665472,-67.9452038 -45.8642219,-67.9464403 -45.8647635,-67.9454304 -45.86503525,,-67.94551194 -45.86495899,-67.949152 -45.8670029,-67.9489589 -45.866338,-67.9464805 -45.8656358,-67.946502 -45.8652099,-67.94827454 -45.86749255,-67.9513514 -45.867951700000006,-67.9506004 -45.8681534,-67.9493558 -45.8665622,-67.9490876 -45.8664576,-67.9492164 -45.8668461,-67.95075242 -45.86791677,-67.9511476 -45.8693039,-67.95089010000001 -45.8697222,-67.9506433 -45.8681011,-67.9512978 -45.867892,-67.95011093 -45.86936834,-67.9526013 -45.869965,-67.9517484 -45.8700734,-67.9508901 -45.8697222,-67.9511476 -45.8693039,-67.95188123 -45.87007275,-67.9518449 -45.870925,-67.9516733 -45.8706037,-67.9509866 -45.870275,-67.95089010000001 -45.8697222,-67.9517484 -45.8700734,-67.9526281 -45.8699912,-67.95082673 -45.87123588,-67.9510081 -45.87218,-67.9515123 -45.8715599,-67.9518449 -45.870925,-67.94974928 -45.87213834,-67.9508579 -45.8736739,-67.9509115 -45.8721426,-67.94983615 -45.87396079,-67.9521346 -45.8759746,-67.951448 -45.8759597,-67.9509008 -45.8738383,-67.95155064 -45.87647635,-67.9521346 -45.8759746,-67.9517162 -45.8759074,-67.9513943 -45.8758999,-67.9525959 -45.87702780000001,-67.95337920000001 -45.8774162,-67.95259842 -45.87763583,-67.95394780000001 -45.8775432,-67.9556751 -45.8774162,-67.9568982 -45.8769083,-67.9582715 -45.8767813,-67.95749384 -45.8768117,-67.9582286 -45.8768411,-67.9568982 -45.8769083,-67.9591405 -45.8758775,-67.95866674 -45.87595626,-67.9605675 -45.8757281,-67.9607499 -45.8763556,-67.960943 -45.8763182,-67.96020228 -45.87662649,-67.9618549 -45.8754667,-67.9605675 -45.8757281,-67.9612454 -45.87560985;-67.9612454 -45.87560985,-67.9618549 -45.8754667,-67.9605675 -45.8757281,-67.96020228 -45.87662649,-67.9605675 -45.8757281,-67.9607499 -45.8763556,-67.960943 -45.8763182,-67.95866674 -45.87595626,-67.9591995 -45.8759074,-67.9568285 -45.8769158,-67.9579389 -45.8758215,-67.9586363 -45.8748728,-67.9576385 -45.8754219,-67.95608568 -45.8759708;-67.95608568 -45.8759708,-67.9539478 -45.8775432,-67.9560077 -45.8773266,-67.9570484 -45.8767328,-67.9579389 -45.8758215,-67.9585665 -45.8748691,-67.9575956 -45.8754443,-67.95259842 -45.87763583,-67.9538298 -45.8776104,-67.9575419 -45.8788205,-67.9596341 -45.8789624,-67.9602242 -45.8794852,-67.95937836 -45.87978501,-67.967391 -45.8796271,-67.9660606 -45.879657,-67.9619408 -45.879179,-67.959795 -45.8789997,-67.9602242 -45.8794852,-67.96661757 -45.87943084,-67.9708028 -45.8792686,-67.9686999 -45.8795524,-67.9682064 -45.8792238,-67.96993071 -45.87922522,-67.9739785 -45.8781632,-67.9745579 -45.8782677,-67.9740644 -45.8788802,-67.9710174 -45.8792537,-67.97210325 -45.8786421,-67.9764569 -45.8790072,-67.9757595 -45.8787084,-67.9755771 -45.8785142,-67.9742253 -45.8787756,-67.974236 -45.878222900000004,-67.9757414 -45.87911165,-67.9764569 -45.8790072,-67.9757595 -45.8787084,-67.9756951 -45.8784321,-67.9790318 -45.877588,-67.9792678 -45.8765199,-67.9792786 -45.8747272,-67.9798257 -45.8760045,-67.9801154 -45.8760643,-67.97932522 -45.87631183,-67.9801047 -45.8737412,-67.9795146 -45.8726879,-67.9791605 -45.8735694,-67.9792249 -45.8748467,-67.9793966 -45.8748467,-67.9797721 -45.8758476,-67.9800725 -45.876012,-67.97905112 -45.87422359,-67.9799759 -45.8737337,-67.9795146 -45.8726879,-67.9809093 -45.8709474,-67.980845 -45.8716421,-67.97987219 -45.87199291,-67.9807377 -45.8716645,-67.9809952 -45.8709175,-67.9819071 -45.8698567,-67.9830122 -45.8690947,-67.9832804 -45.8686614,-67.9840744 -45.8683402,-67.98364252 -45.86827111,-67.9875398 -45.8692665,-67.988205 -45.8691993,-67.9883659 -45.8686465,-67.9866493 -45.8686017,-67.9853296 -45.8685195,-67.9839349 -45.868766,-67.9830122 -45.8690947,-67.9832804 -45.8686614,-67.9841065 -45.8682057,-67.98595749 -45.86942688,,-67.98621539 -45.86906201,-67.9901361 -45.8674661,-67.9900289 -45.8678098,-67.9882801 -45.8686838,-67.9882801 -45.8691246,-67.9875398 -45.8692665,-67.98895281 -45.86742251,-67.9929042 -45.8670777,-67.9928398 -45.8661064,-67.9924321 -45.8655835,-67.9918849 -45.8652398,-67.9909408 -45.867115,-67.9902434 -45.8675334,-67.99174523 -45.8677107,-67.9929578 -45.8671225,-67.9928398 -45.8662783,-67.9924321 -45.8655835,-67.9919815 -45.8652548,-67.992121 -45.8648663,-67.9910159 -45.864672,-67.9918528 -45.8642238,-67.99158422 -45.86437969,-67.9961872 -45.8633197,-67.9955757 -45.8643358,-67.9948568 -45.86456,-67.9938269 -45.8646123,-67.9918849 -45.8652398,-67.992121 -45.8648663,-67.9911447 -45.8646347,-67.9920459 -45.8642163,-67.99515095 -45.86288824;-67.99515095 -45.86288824,-67.9961872 -45.8633197,-67.9955757 -45.8643358,-67.9948568 -45.86456,-67.9938269 -45.8646123,-67.9918849 -45.8652398,-67.992121 -45.8648663,-67.9911447 -45.8646347,-67.9920459 -45.8642163,-67.99158422 -45.86437969,-67.9920459 -45.8642163,-67.9910159 -45.864672,-67.9903078 -45.8650157,-67.9890847 -45.8656208,-67.9855978 -45.8654415,-67.9855227 -45.865322,-67.98422803 -45.86529103,-67.9859948 -45.8647094,-67.9874003 -45.863783,-67.98677491 -45.86342245,-67.9886341 -45.8629088,-67.9906297 -45.8618479,-67.9911232 -45.8617956,-67.99023202 -45.86204363,-67.9911339 -45.8618479,-67.9904687 -45.8619002,-67.9910696 -45.8615117,-67.9918849 -45.861295,-67.9930007 -45.8606151,-67.99220337 -45.86057361,-67.9928935 -45.8605404,-67.9914236 -45.8609588,-67.98931 -45.8614369,-67.9889023 -45.8613323,-67.98715669 -45.86146692,-67.9887307 -45.8607944,-67.9889238 -45.8604806,-67.9867244 -45.8607421,-67.9861665 -45.8609737,-67.9860163 -45.8616088,-67.9854047 -45.8619674,-67.9846215 -45.8621617,-67.9841387 -45.862468,-67.9838812 -45.8630209,-67.9834414 -45.8631927,-67.98206338 -45.86352335,-67.9835165 -45.8632226,-67.9838812 -45.8630209,-67.9841387 -45.8625502,-67.9836881 -45.862991,-67.9831409 -45.8631255,-67.9816282 -45.862737,-67.98026531 -45.86300386,-67.9785919 -45.8629686,-67.9789352 -45.8631031,-67.9796863 -45.8629088,-67.9804587 -45.8629985,-67.9811132 -45.8627967,-67.97692655 -45.86298292,-67.9785061 -45.863768,-67.977562 -45.8638502,-67.9780233 -45.8634692,-67.9789352 -45.8631031,-67.9785919 -45.8629686,-67.97781889 -45.86412305,-67.9784846 -45.8638128,-67.9773581 -45.8639025,-67.9769611 -45.8641416,-67.9760814 -45.864545,-67.975781 -45.8649709,-67.9756951 -45.8656806,-67.9747403 -45.8664725,-67.9738927 -45.8666518,-67.9742575 -45.8674213,-67.9730237 -45.867369,-67.97170451 -45.86764851,-67.9704916 -45.8675259,-67.9713821 -45.8670777,-67.9725838 -45.8673092,-67.96898996 -45.86789944,-67.96972990000002 -45.8689453,-67.96923640000001 -45.8685867,-67.9698372 -45.8679667,-67.9688479 -45.86924263,-67.9710925 -45.8705739,-67.9709744 -45.8714329,-67.9711354 -45.8722173,-67.9706633 -45.8714479,-67.9697943 -45.8691545,-67.96992116 -45.87035971,-67.9711676 -45.8706262,-67.9712427 -45.8723667,-67.9717791 -45.8732033,-67.9711139 -45.8738906,-67.9693866 -45.8740474,-67.9686463 -45.874533,-67.9672039 -45.87497495,-67.96696190000002 -45.8736067,-67.9677129 -45.8742267,-67.9679918 -45.8746077,-67.96572509 -45.87368099,-67.9666829 -45.8734274,-67.9651701 -45.87286720000001,-67.9644513 -45.8730315,-67.9638612 -45.8733752,-67.9632068 -45.8733901,-67.96214261 -45.87344787,-67.9630244 -45.8733005,-67.9618549 -45.87156740000001,-67.9611683 -45.8714553,-67.9596126 -45.871724300000004,-67.95881870000001 -45.8720007,-67.95720623 -45.87256309,-67.9575098 -45.8735619,-67.9580784 -45.8727253,-67.95650202 -45.87386891,-67.9571235 -45.8715898,-67.9572952 -45.8723443,-67.9570484 -45.87342,-67.95743470000001 -45.8736217,-67.95610675 -45.87170205,-67.9570484 -45.8711267,-67.9574454 -45.8693637,-67.9580891 -45.8675707,-67.95709848 -45.86769228,-67.9581213 -45.8673466,-67.9581428 -45.8669731,-67.9568553 -45.866226,-67.9523492 -45.8659869,-67.9491305 -45.866226,-67.9489803 -45.8668834,-67.94827454 -45.86749255,-67.949152 -45.8670029,-67.9489589 -45.866338,-67.9464805 -45.8656358,-67.946502 -45.8652099,-67.94551194 -45.86495899,,-67.9454304 -45.86503525,-67.9452038 -45.8642219,-67.9464403 -45.8647635,-67.9400271 -45.8665472,-67.9383588 -45.8674437,-67.9380101 -45.8666929,-67.9392922 -45.8661064,-67.93822649 -45.86645361,,-67.93820898 -45.86621382,-67.939437 -45.8659907,-67.9410034 -45.8642985,-67.9397787 -45.86446671,-67.9413575 -45.8643508,-67.94191 -45.8638801,-67.9413092 -45.8637717,-67.94026881 -45.86394522,-67.9412395 -45.8636896,-67.94085860000001 -45.8628677,-67.94016816 -45.86304785,-67.9407513 -45.863103100000004,-67.9403973 -45.8622551,-67.93757020000001 -45.8636746,-67.93638614 -45.8639203,-67.9374468 -45.8637643,-67.93648120000002 -45.8648999,-67.93542287 -45.86514387,-67.9364544 -45.8650082,-67.9343033 -45.8651128,-67.93322311 -45.86539389,-67.934196 -45.8650755,-67.9339492 -45.8648887,-67.9318678 -45.8652174,-67.93025624 -45.86524613,-67.92887450000002 -45.8655984,-67.929647 -45.8660093,-67.9311919 -45.8652622,-67.92761571 -45.86576064,-67.9284239 -45.8655835,-67.9270077 -45.8655162,-67.92568273 -45.86555172,,-67.92617947 -45.86596757,-67.9266429 -45.8657927,-67.9259992 -45.8665696,-67.92478129 -45.86687146,-67.9258382 -45.86658460000001,-67.9220402 -45.8663903,-67.92069068 -45.86664171,-67.9224908 -45.8663306,-67.9191971 -45.8656582,-67.91774956 -45.8661538,-67.9187572 -45.8661064,-67.9176843 -45.8663679,-67.9172981 -45.8656657,-67.91575239 -45.86551598,-67.9164934 -45.8652398,-67.9147875 -45.8642536,-67.9133606 -45.865322,-67.9120409 -45.8651352,-67.91093971 -45.86527418,-67.9122448 -45.8649709,-67.911129 -45.8644105,-67.9103887 -45.8645226,-67.90917641 -45.86476613,-67.9100668 -45.8647318,-67.9098523 -45.8659197,-67.9103565 -45.8661513,-67.90947109 -45.86641003,-67.9100454 -45.8663754,-67.9094982 -45.8663306,-67.909627 -45.86429100000001,-67.90869072 -45.86438156,-67.9108179 -45.86391,-67.9094768 -45.8638353,-67.9077816 -45.8657329,-67.9066443 -45.8662484,-67.90565529 -45.8665856,-67.9061723 -45.8665771,-67.905035 -45.8664202,-67.9036188 -45.866734,-67.90238643 -45.86679139,-67.903533 -45.8667116,-67.9017627 -45.8675035,-67.9002507 -45.8689297,-67.89914372 -45.86914198,-67.8994882 -45.8693338,-67.8977072 -45.8699986,-67.8991663 -45.8716197,-67.89860307 -45.87190083,-67.8970957 -45.8693338,-67.8969562 -45.8699688,-67.8972459 -45.8707905,-67.898823 -45.87161220000001,-67.89665012 -45.86917164,-67.8979433 -45.8688258,-67.8980505 -45.8673541,-67.89633441 -45.86762629,-67.9010761 -45.8657478,-67.9006255 -45.8656731,-67.8978789 -45.8672495,-67.90019361 -45.86598642;-67.90019361 -45.86598642,-67.9010761 -45.8657478,-67.9006255 -45.8656731,-67.8978789 -45.8672495,-67.89633441 -45.86762629,-67.8971064 -45.8687063,-67.897085 -45.8680787,-67.8974926 -45.8676155,-67.89593684 -45.869071,-67.8968167 -45.8732108,-67.8973424 -45.8716645,-67.8965807 -45.8705066,-67.89683820000002 -45.8692143,-67.8963447 -45.8685942,-67.895268 -45.8734552,-67.8968275 -45.8739055,-67.8966451 -45.8731809,-67.89611117 -45.87416671,-67.8992522 -45.8749438,-67.8973424 -45.8751455,-67.8970528 -45.8743089,-67.89863672 -45.87485225,-67.8996062 -45.8756758,-67.8981364 -45.8751081,-67.8992522 -45.8749438,-67.89781334 -45.87614703,,-67.89805175 -45.8762384,-67.8998315 -45.8761838,-67.9001212 -45.8769457,-67.900883 -45.8771399,-67.9025674 -45.8764527,-67.90200809 -45.87637167,-67.9027498 -45.8764153,-67.9023206 -45.8766319,-67.9053462 -45.8764079,-67.9049706 -45.8759672,-67.90388535 -45.87594679,-67.9065692 -45.87642280000001,-67.9066443 -45.8758626,-67.9054427 -45.876363,-67.9050243 -45.8759149,-67.90493501 -45.87690763,-67.9108071 -45.880613,-67.9116762 -45.8803665,-67.9099488 -45.8795972,-67.9089832 -45.8795748,-67.908479 -45.879291,-67.9081464 -45.8778345,-67.9075241 -45.8768784,-67.9078567 -45.8763107,-67.9075456 -45.8753322,-67.9072452 -45.8752799,-67.9064727 -45.8764004,-67.90902811 -45.88062544;-67.90902811 -45.88062544,,-67.90891537 -45.88072557,-67.9107428 -45.880501,-67.9119766 -45.880389,-67.9123414 -45.8806952,-67.9129958 -45.8809193,-67.91210808 -45.8814063,,-67.91214619 -45.88124859,-67.9166651 -45.8823159,-67.9169762 -45.8821367,-67.9166543 -45.8815466,-67.913146 -45.8824205,-67.9128242 -45.8814645,-67.91541483 -45.88231338,-67.9166651 -45.8823159,-67.9170835 -45.8822711,-67.9178345 -45.8833989,-67.9184783 -45.8832943,-67.91747464 -45.88372353,-67.9183173 -45.8833018,-67.9179525 -45.8832943,-67.9178452 -45.8829358,-67.9186606 -45.8819873,-67.9191113 -45.8815466,-67.9197979 -45.8813898,-67.91930941 -45.88137118,-67.9231775 -45.8798138,-67.9230273 -45.8801051,-67.9220295 -45.8802022,-67.9198301 -45.8807027,-67.9191542 -45.8814645,-67.9198301 -45.8813375,-67.92260289 -45.87981886,-67.9288745 -45.8790371,-67.9299045 -45.8786188,-67.929765 -45.8784918,-67.9247224 -45.8798512,-67.9241753 -45.8796943,-67.92746283 -45.879252,-67.9288745 -45.8790371,-67.9299796 -45.8786337,-67.9304302 -45.8776552,-67.9309022 -45.8766245,-67.9306126 -45.8766543,-67.92916705 -45.87686758,-67.9305589 -45.8765722,-67.9309773 -45.8765423,-67.9323184 -45.875011,-67.9336917 -45.8726132,-67.93292309 -45.87290945,-67.9337347 -45.872531,-67.9350007 -45.8704245,-67.9346895 -45.8701032,-67.933282 -45.87018527,-67.936492 -45.8696625,-67.9362881 -45.8694234,-67.9350436 -45.8703273,-67.9347003 -45.8699986,-67.93551008 -45.87004015,-67.9383588 -45.8674437,-67.9380584 -45.8682655,-67.9363847 -45.8693786,-67.9365671 -45.8696326,-67.9400271 -45.8665472</t>
  </si>
  <si>
    <t>-67.9400271 -45.8665472,-67.9452038 -45.8642219,-67.9464403 -45.8647635,-67.9454304 -45.86503525,,-67.94551194 -45.86495899,-67.949152 -45.8670029,-67.9489589 -45.866338,-67.9464805 -45.8656358,-67.946502 -45.8652099,-67.94827454 -45.86749255,-67.9581213 -45.8673466,-67.9581428 -45.8669731,-67.9568553 -45.866226,-67.9523492 -45.8659869,-67.9491305 -45.866226,-67.9489803 -45.8668834,-67.95709848 -45.86769228,-67.9570484 -45.8711267,-67.9574454 -45.8693637,-67.9580891 -45.8675707,-67.95610675 -45.87170205,-67.9571235 -45.8715898,-67.9572952 -45.8723443,-67.9570484 -45.87342,-67.95743470000001 -45.8736217,-67.95650202 -45.87386891,-67.9575098 -45.8735619,-67.9580784 -45.8727253,-67.95720623 -45.87256309,-67.9630244 -45.8733005,-67.9618549 -45.87156740000001,-67.9611683 -45.8714553,-67.9596126 -45.871724300000004,-67.95881870000001 -45.8720007,-67.96214261 -45.87344787,-67.9666829 -45.8734274,-67.9651701 -45.87286720000001,-67.9644513 -45.8730315,-67.9638612 -45.8733752,-67.9632068 -45.8733901,-67.96572509 -45.87368099,-67.96696190000002 -45.8736067,-67.9677129 -45.8742267,-67.9679918 -45.8746077,-67.9672039 -45.87497495,-67.9711676 -45.8706262,-67.9712427 -45.8723667,-67.9717791 -45.8732033,-67.9711139 -45.8738906,-67.9693866 -45.8740474,-67.9686463 -45.874533,-67.96992116 -45.87035971,-67.9710925 -45.8705739,-67.9709744 -45.8714329,-67.9711354 -45.8722173,-67.9706633 -45.8714479,-67.9697943 -45.8691545,-67.9688479 -45.86924263,-67.96972990000002 -45.8689453,-67.96923640000001 -45.8685867,-67.9698372 -45.8679667,-67.96898996 -45.86789944,-67.9704916 -45.8675259,-67.9713821 -45.8670777,-67.9725838 -45.8673092,-67.97170451 -45.86764851,-67.9784846 -45.8638128,-67.9773581 -45.8639025,-67.9769611 -45.8641416,-67.9760814 -45.864545,-67.975781 -45.8649709,-67.9756951 -45.8656806,-67.9747403 -45.8664725,-67.9738927 -45.8666518,-67.9742575 -45.8674213,-67.9730237 -45.867369,-67.97781889 -45.86412305,-67.9785061 -45.863768,-67.977562 -45.8638502,-67.9780233 -45.8634692,-67.9789352 -45.8631031,-67.9785919 -45.8629686,-67.97692655 -45.86298292,-67.9785919 -45.8629686,-67.9789352 -45.8631031,-67.9796863 -45.8629088,-67.9804587 -45.8629985,-67.9811132 -45.8627967,-67.98026531 -45.86300386,-67.9835165 -45.8632226,-67.9838812 -45.8630209,-67.9841387 -45.8625502,-67.9836881 -45.862991,-67.9831409 -45.8631255,-67.9816282 -45.862737,-67.98206338 -45.86352335,-67.9887307 -45.8607944,-67.9889238 -45.8604806,-67.9867244 -45.8607421,-67.9861665 -45.8609737,-67.9860163 -45.8616088,-67.9854047 -45.8619674,-67.9846215 -45.8621617,-67.9841387 -45.862468,-67.9838812 -45.8630209,-67.9834414 -45.8631927,-67.98715669 -45.86146692,-67.9928935 -45.8605404,-67.9914236 -45.8609588,-67.98931 -45.8614369,-67.9889023 -45.8613323,-67.99220337 -45.86057361,-67.9911339 -45.8618479,-67.9904687 -45.8619002,-67.9910696 -45.8615117,-67.9918849 -45.861295,-67.9930007 -45.8606151,-67.99023202 -45.86204363,-67.9886341 -45.8629088,-67.9906297 -45.8618479,-67.9911232 -45.8617956,-67.98677491 -45.86342245,-67.9859948 -45.8647094,-67.9874003 -45.863783,-67.98422803 -45.86529103,-67.9889023 -45.8650979,-67.9886663 -45.8652174,-67.9866278 -45.865322,-67.9865313 -45.8654042,-67.9855978 -45.8654864,-67.9854262 -45.8652622,-67.98809621 -45.86492869;-67.98809621 -45.86492869,-67.9889023 -45.8650979,-67.9886663 -45.8652174,-67.9866278 -45.865322,-67.9865313 -45.8654042,-67.9855978 -45.8654864,-67.9854262 -45.8652622,-67.98422803 -45.86529103,-67.9920459 -45.8642163,-67.9910159 -45.864672,-67.9903078 -45.8650157,-67.9890847 -45.8656208,-67.9855978 -45.8654415,-67.9855227 -45.865322,-67.99158422 -45.86437969,-67.9929578 -45.8671225,-67.9928398 -45.8662783,-67.9924321 -45.8655835,-67.9919815 -45.8652548,-67.992121 -45.8648663,-67.9910159 -45.864672,-67.9918528 -45.8642238,-67.99174523 -45.8677107,-67.9929042 -45.8670777,-67.9928398 -45.8661064,-67.9924321 -45.8655835,-67.9918849 -45.8652398,-67.9909408 -45.867115,-67.9902434 -45.8675334,-67.98895281 -45.86742251,-67.9901361 -45.8674661,-67.9900289 -45.8678098,-67.9882801 -45.8686838,-67.9882801 -45.8691246,-67.9875398 -45.8692665,-67.98621539 -45.86906201,,-67.98595749 -45.86942688,-67.9875398 -45.8692665,-67.988205 -45.8691993,-67.9883659 -45.8686465,-67.9866493 -45.8686017,-67.9853296 -45.8685195,-67.9839349 -45.868766,-67.9830122 -45.8690947,-67.9832804 -45.8686614,-67.9841065 -45.8682057,-67.98364252 -45.86827111,-67.9807377 -45.8716645,-67.9809952 -45.8709175,-67.9819071 -45.8698567,-67.9830122 -45.8690947,-67.9832804 -45.8686614,-67.9840744 -45.8683402,-67.97987219 -45.87199291,-67.9799759 -45.8737337,-67.9795146 -45.8726879,-67.9809093 -45.8709474,-67.980845 -45.8716421,-67.97905112 -45.87422359,-67.9801047 -45.8737412,-67.9795146 -45.8726879,-67.9791605 -45.8735694,-67.9792249 -45.8748467,-67.9793966 -45.8748467,-67.9797721 -45.8758476,-67.9800725 -45.876012,-67.97932522 -45.87631183,-67.9764569 -45.8790072,-67.9757595 -45.8787084,-67.9756951 -45.8784321,-67.9790318 -45.877588,-67.9792678 -45.8765199,-67.9792786 -45.8747272,-67.9798257 -45.8760045,-67.9801154 -45.8760643,-67.9757414 -45.87911165,-67.9764569 -45.8790072,-67.9757595 -45.8787084,-67.9755771 -45.8785142,-67.9742253 -45.8787756,-67.974236 -45.878222900000004,-67.97210325 -45.8786421,-67.9739785 -45.8781632,-67.9745579 -45.8782677,-67.9740644 -45.8788802,-67.9710174 -45.8792537,-67.96993071 -45.87922522,-67.9708028 -45.8792686,-67.9686999 -45.8795524,-67.9682064 -45.8792238,-67.96661757 -45.87943084,-67.967391 -45.8796271,-67.9660606 -45.879657,-67.9619408 -45.879179,-67.959795 -45.8789997,-67.9602242 -45.8794852,-67.95937836 -45.87978501,-67.9538298 -45.8776104,-67.9575419 -45.8788205,-67.9596341 -45.8789624,-67.9602242 -45.8794852,-67.95259842 -45.87763583,-67.9534543 -45.8773565,-67.9526925 -45.87711,-67.9530144 -45.8775731,-67.9524779 -45.878813,-67.9512334 -45.8789325,-67.94944114 -45.87896309,-67.9512119 -45.8788877,-67.952435 -45.8787607,-67.9518127 -45.8800454,-67.9474354 -45.8786785,-67.9441524 -45.8779764,-67.9427791 -45.8776328,-67.940805 -45.8776926,-67.93921257 -45.87804782,,-67.93938002 -45.87863178,-67.9433799 -45.8793582,-67.9425859 -45.8792462,-67.9414809 -45.8788951,-67.9399574 -45.8788802,-67.9395819 -45.8785889,-67.9398179 -45.8784246,-67.94258106 -45.87928487,-67.9468131 -45.8799931,-67.9464698 -45.8794927,-67.9443026 -45.8791491,-67.9459034 -45.88040255,-67.9472744 -45.8827118,-67.9475963 -45.8819051,-67.9476392 -45.8807475,-67.9472208 -45.8805159,-67.94607409 -45.88311995,-67.9472744 -45.8852212,-67.9470921 -45.8844967,-67.9472423 -45.883959,-67.9472315 -45.8831823,-67.94628753 -45.88560005,-67.9487872 -45.8868418,-67.9495382 -45.8874766,-67.9496884 -45.88726,-67.9485726 -45.886095,-67.9476714 -45.8855871,-67.94746568 -45.88694764,-67.948755 -45.886894,-67.9494202 -45.887484,-67.9503751 -45.8875587,-67.9509008 -45.8873571,-67.9508793 -45.8868716,-67.94972726 -45.88693813,-67.951051 -45.8868418,-67.9516089 -45.886207,-67.952832 -45.8866028,-67.95178221 -45.88666191,-67.957381 -45.8868268,-67.9566729 -45.8866327,-67.953701 -45.8868791,-67.9533148 -45.8869911,-67.9529393 -45.8866103,-67.95650174 -45.8868325,-67.9573059 -45.8868268,-67.956748 -45.8864908,-67.9563725 -45.8857215,-67.9556644 -45.8849971,-67.9546167 -45.88506443,-67.960428 -45.8852436,-67.9597843 -45.8853855,-67.9578102 -45.8852959,-67.9558897 -45.8849448,-67.95958113 -45.88533853,-67.9643977 -45.8867746,-67.9641402 -45.8867895,-67.9629064 -45.8855274,-67.9625845 -45.8842055,-67.9620588 -45.8840412,-67.9608893 -45.8848926,-67.96291589 -45.88644251,-67.9642582 -45.8866849,-67.9660714 -45.8869613,-67.9663503 -45.8865505,-67.9662859 -45.88549,-67.9665112 -45.8837798,-67.9671657 -45.8837275,-67.9670477 -45.8843548,-67.96615149 -45.88487087,-67.9689896 -45.8855572,-67.9684317 -45.8850942,-67.9680133 -45.8843399,-67.9672301 -45.8837872,-67.9670477 -45.8843548,-67.96828667 -45.88589528,-67.9702342 -45.8858709,-67.9697192 -45.8860352,-67.9691613 -45.8857589,-67.96952973 -45.8860392,-67.9752874 -45.8886341,-67.9738069 -45.8884922,-67.9698479 -45.8860651,-67.9702234 -45.8859307,-67.97417558 -45.88870119,-67.9755127 -45.8898364,-67.9753196 -45.8896348,-67.9751372 -45.889239,-67.9736996 -45.8884922,-67.9752123 -45.8886192,-67.97500117 -45.89011334,-67.9778516 -45.8901202,-67.977283 -45.8901052,-67.9767358 -45.889926,-67.97751751 -45.89013616;-67.97751751 -45.89013616,-67.9778516 -45.8901202,-67.977283 -45.8901052,-67.9767358 -45.889926,-67.97500117 -45.89011334,-67.9755127 -45.8898364,-67.9753196 -45.8896348,-67.9751372 -45.889239,-67.9736996 -45.8884922,-67.9752123 -45.8886192,-67.97417558 -45.88870119,-67.9752874 -45.8886341,-67.9738069 -45.8884922,-67.9698479 -45.8860651,-67.9702234 -45.8859307,-67.96952973 -45.8860392,-67.9702342 -45.8858709,-67.9697192 -45.8860352,-67.9691613 -45.8857589,-67.96828667 -45.88589528,-67.9689896 -45.8855572,-67.9684317 -45.8850942,-67.9680133 -45.8843399,-67.9672301 -45.8837872,-67.9670477 -45.8843548,-67.96615149 -45.88487087,-67.9642582 -45.8866849,-67.9660714 -45.8869613,-67.9663503 -45.8865505,-67.9662859 -45.88549,-67.9665112 -45.8837798,-67.9671657 -45.8837275,-67.9670477 -45.8843548,-67.96291589 -45.88644251,-67.9643977 -45.8867746,-67.9641402 -45.8867895,-67.9629064 -45.8855274,-67.9625845 -45.8842055,-67.9620588 -45.8840412,-67.9608893 -45.8848926,-67.95958113 -45.88533853,-67.960428 -45.8852436,-67.9597843 -45.8853855,-67.9578102 -45.8852959,-67.9558897 -45.8849448,-67.9546167 -45.88506443,-67.9573059 -45.8868268,-67.956748 -45.8864908,-67.9563725 -45.8857215,-67.9556644 -45.8849971,-67.95650174 -45.8868325,-67.957381 -45.8868268,-67.9566729 -45.8866327,-67.953701 -45.8868791,-67.9533148 -45.8869911,-67.9529393 -45.8866103,-67.95178221 -45.88666191,-67.951051 -45.8868418,-67.9516089 -45.886207,-67.952832 -45.8866028,-67.94972726 -45.88693813,-67.948755 -45.886894,-67.9494202 -45.887484,-67.9503751 -45.8875587,-67.9509008 -45.8873571,-67.9508793 -45.8868716,-67.94746568 -45.88694764,-67.9487872 -45.8868418,-67.9495382 -45.8874766,-67.9496884 -45.88726,-67.9485726 -45.886095,-67.9476714 -45.8855871,-67.94628753 -45.88560005,-67.9472744 -45.8852212,-67.9470921 -45.8844967,-67.9472423 -45.883959,-67.9472315 -45.8831823,-67.94607409 -45.88311995,-67.9472744 -45.8827118,-67.9475963 -45.8819051,-67.9476392 -45.8807475,-67.9472208 -45.8805159,-67.9459034 -45.88040255,-67.9468131 -45.8799931,-67.9464698 -45.8794927,-67.9443026 -45.8791491,-67.94258106 -45.87928487,-67.9433799 -45.8793582,-67.9425859 -45.8792462,-67.9414809 -45.8788951,-67.9399574 -45.8788802,-67.9395819 -45.8785889,-67.9398179 -45.8784246,-67.93938002 -45.87863178,,-67.93921257 -45.87804782,-67.9512119 -45.8788877,-67.952435 -45.8787607,-67.9518127 -45.8800454,-67.9474354 -45.8786785,-67.9441524 -45.8779764,-67.9427791 -45.8776328,-67.940805 -45.8776926,-67.94944114 -45.87896309,-67.9534543 -45.8773565,-67.9526925 -45.87711,-67.9530144 -45.8775731,-67.9524779 -45.878813,-67.9512334 -45.8789325,-67.95259842 -45.87763583,-67.9538298 -45.8776104,-67.9575419 -45.8788205,-67.9596341 -45.8789624,-67.9602242 -45.8794852,-67.95937836 -45.87978501,-67.967391 -45.8796271,-67.9660606 -45.879657,-67.9619408 -45.879179,-67.959795 -45.8789997,-67.9602242 -45.8794852,-67.96661757 -45.87943084,-67.9708028 -45.8792686,-67.9686999 -45.8795524,-67.9682064 -45.8792238,-67.96993071 -45.87922522,-67.9739785 -45.8781632,-67.9745579 -45.8782677,-67.9740644 -45.8788802,-67.9710174 -45.8792537,-67.97210325 -45.8786421,-67.9764569 -45.8790072,-67.9757595 -45.8787084,-67.9755771 -45.8785142,-67.9742253 -45.8787756,-67.974236 -45.878222900000004,-67.9757414 -45.87911165,-67.9681206 -45.8652323,-67.9681742 -45.8649709,-67.9665112 -45.8645301,-67.96624300000002 -45.8629312,-67.966944 -45.86563196,,-67.96619834 -45.86562036,-67.9679811 -45.8652398,-67.9681528 -45.8650381,-67.9671121 -45.864746700000005,-67.9631639 -45.8636559,-67.9641831 -45.8642536,-67.96323333 -45.86473674,-67.9641831 -45.8642536,-67.96308880000001 -45.8635812,-67.9604924 -45.8626473,-67.9621124 -45.8619973,-67.96158281 -45.8618607;-67.96158281 -45.8618607,-67.9641831 -45.8642536,-67.96308880000001 -45.8635812,-67.9604924 -45.8626473,-67.9621124 -45.8619973,-67.96323333 -45.86473674,-67.9679811 -45.8652398,-67.9681528 -45.8650381,-67.9671121 -45.864746700000005,-67.9631639 -45.8636559,-67.9641831 -45.8642536,-67.96619834 -45.86562036,,-67.966944 -45.86563196,-67.9681206 -45.8652323,-67.9681742 -45.8649709,-67.9665112 -45.8645301,-67.96624300000002 -45.8629312,-67.9757414 -45.87911165,-67.9764569 -45.8790072,-67.9757595 -45.8787084,-67.9755771 -45.8785142,-67.9742253 -45.8787756,-67.974236 -45.878222900000004,-67.97210325 -45.8786421,-67.9739785 -45.8781632,-67.9745579 -45.8782677,-67.9740644 -45.8788802,-67.9710174 -45.8792537,-67.96993071 -45.87922522,-67.9708028 -45.8792686,-67.9686999 -45.8795524,-67.9682064 -45.8792238,-67.96661757 -45.87943084,-67.967391 -45.8796271,-67.9660606 -45.879657,-67.9619408 -45.879179,-67.959795 -45.8789997,-67.9602242 -45.8794852,-67.95937836 -45.87978501,-67.9538298 -45.8776104,-67.9575419 -45.8788205,-67.9596341 -45.8789624,-67.9602242 -45.8794852,-67.95259842 -45.87763583,-67.9521346 -45.8759746,-67.9517162 -45.8759074,-67.9513943 -45.8758999,-67.9525959 -45.87702780000001,-67.95337920000001 -45.8774162,-67.95155064 -45.87647635,-67.9521346 -45.8759746,-67.951448 -45.8759597,-67.9509008 -45.8738383,-67.94983615 -45.87396079,-67.9508579 -45.8736739,-67.9509115 -45.8721426,-67.94974928 -45.87213834,-67.9510081 -45.87218,-67.9515123 -45.8715599,-67.9518449 -45.870925,-67.95082673 -45.87123588,-67.9518449 -45.870925,-67.9516733 -45.8706037,-67.9509866 -45.870275,-67.95089010000001 -45.8697222,-67.9517484 -45.8700734,-67.9526281 -45.8699912,-67.95188123 -45.87007275,-67.9526013 -45.869965,-67.9517484 -45.8700734,-67.9508901 -45.8697222,-67.9511476 -45.8693039,-67.95011093 -45.86936834,-67.9511476 -45.8693039,-67.95089010000001 -45.8697222,-67.9506433 -45.8681011,-67.9512978 -45.867892,-67.95075242 -45.86791677,-67.9513514 -45.867951700000006,-67.9506004 -45.8681534,-67.9493558 -45.8665622,-67.9490876 -45.8664576,-67.9492164 -45.8668461,-67.94827454 -45.86749255,-67.949152 -45.8670029,-67.9489589 -45.866338,-67.9464805 -45.8656358,-67.946502 -45.8652099,-67.94551194 -45.86495899,,-67.9454304 -45.86503525,-67.9452038 -45.8642219,-67.9464403 -45.8647635,-67.9400271 -45.8665472</t>
  </si>
  <si>
    <t>-67.9400271 -45.8665472,-67.9452038 -45.8642219,-67.9464403 -45.8647635,-67.9454304 -45.86503525,,-67.94551194 -45.86495899,-67.949152 -45.8670029,-67.9489589 -45.866338,-67.9464805 -45.8656358,-67.946502 -45.8652099,-67.94827454 -45.86749255,-67.9513514 -45.867951700000006,-67.9506004 -45.8681534,-67.9493558 -45.8665622,-67.9490876 -45.8664576,-67.9492164 -45.8668461,-67.95075242 -45.86791677,-67.9511476 -45.8693039,-67.95089010000001 -45.8697222,-67.9506433 -45.8681011,-67.9512978 -45.867892,-67.95011093 -45.86936834,-67.9526013 -45.869965,-67.9517484 -45.8700734,-67.9508901 -45.8697222,-67.9511476 -45.8693039,-67.95188123 -45.87007275,-67.9518449 -45.870925,-67.9516733 -45.8706037,-67.9509866 -45.870275,-67.95089010000001 -45.8697222,-67.9517484 -45.8700734,-67.9526281 -45.8699912,-67.95082673 -45.87123588,-67.9510081 -45.87218,-67.9515123 -45.8715599,-67.9518449 -45.870925,-67.94974928 -45.87213834,-67.9508579 -45.8736739,-67.9509115 -45.8721426,-67.94983615 -45.87396079,-67.9521346 -45.8759746,-67.951448 -45.8759597,-67.9509008 -45.8738383,-67.95155064 -45.87647635,-67.9521346 -45.8759746,-67.9517162 -45.8759074,-67.9513943 -45.8758999,-67.9525959 -45.87702780000001,-67.95337920000001 -45.8774162,-67.95259842 -45.87763583,-67.95394780000001 -45.8775432,-67.9556751 -45.8774162,-67.9568982 -45.8769083,-67.9582715 -45.8767813,-67.95749384 -45.8768117,-67.9582286 -45.8768411,-67.9568982 -45.8769083,-67.9591405 -45.8758775,-67.95866674 -45.87595626,-67.9605675 -45.8757281,-67.9607499 -45.8763556,-67.960943 -45.8763182,-67.96020228 -45.87662649,-67.9618549 -45.8754667,-67.9605675 -45.8757281,-67.9612454 -45.87560985,-67.963239 -45.8758775,-67.9627669 -45.8756161,-67.96258505 -45.87617321,,-67.96260538 -45.87628504;-67.96260538 -45.87628504,,-67.96258505 -45.87617321,-67.963239 -45.8758775,-67.9627669 -45.8756161,-67.9612454 -45.87560985,-67.9618549 -45.8754667,-67.9605675 -45.8757281,-67.96020228 -45.87662649,-67.9605675 -45.8757281,-67.9607499 -45.8763556,-67.960943 -45.8763182,-67.95866674 -45.87595626,-67.9582286 -45.8768411,-67.9568982 -45.8769083,-67.9591405 -45.8758775,-67.95749384 -45.8768117,-67.95394780000001 -45.8775432,-67.9556751 -45.8774162,-67.9568982 -45.8769083,-67.9582715 -45.8767813,-67.95259842 -45.87763583,-67.9534543 -45.8773565,-67.9526925 -45.87711,-67.9530144 -45.8775731,-67.9524779 -45.878813,-67.9512334 -45.8789325,-67.94944114 -45.87896309,-67.9512119 -45.8788877,-67.952435 -45.8787607,-67.9518127 -45.8800454,-67.9474354 -45.8786785,-67.9441524 -45.8779764,-67.9427791 -45.8776328,-67.940805 -45.8776926,-67.93921257 -45.87804782,,-67.93938002 -45.87863178,-67.9364383 -45.8791566,-67.9368889 -45.8790371,-67.9370821 -45.878798,-67.939657 -45.8787906,-67.9398179 -45.8784246,-67.93512028 -45.8793768,-67.9308057 -45.8796645,-67.9309773 -45.8795823,-67.9308271 -45.8793582,-67.9319429 -45.8795524,-67.9332089 -45.8799333,-67.9339921 -45.8795524,-67.9349685 -45.8793358,-67.935698 -45.8793209,-67.92926139 -45.87980166,-67.9288745 -45.8790371,-67.9299796 -45.8786337,-67.9308271 -45.8793582,-67.9310632 -45.8796271,-67.9308057 -45.8796645,-67.92746283 -45.879252,-67.9288745 -45.8790371,-67.9299045 -45.8786188,-67.929765 -45.8784918,-67.9247224 -45.8798512,-67.9241753 -45.8796943,-67.92260289 -45.87981886,-67.9231775 -45.8798138,-67.9230273 -45.8801051,-67.9220295 -45.8802022,-67.9198301 -45.8807027,-67.9191542 -45.8814645,-67.9198301 -45.8813375,-67.91930941 -45.88137118,-67.9183173 -45.8833018,-67.9179525 -45.8832943,-67.9178452 -45.8829358,-67.9186606 -45.8819873,-67.9191113 -45.8815466,-67.9197979 -45.8813898,-67.91747464 -45.88372353,-67.9166651 -45.8823159,-67.9170835 -45.8822711,-67.9178345 -45.8833989,-67.9184783 -45.8832943,-67.91541483 -45.88231338,-67.9166651 -45.8823159,-67.9169762 -45.8821367,-67.9166543 -45.8815466,-67.913146 -45.8824205,-67.9128242 -45.8814645,-67.91214619 -45.88124859,,-67.91210808 -45.8814063,-67.9107428 -45.880501,-67.9119766 -45.880389,-67.9123414 -45.8806952,-67.9129958 -45.8809193,-67.90891537 -45.88072557,,-67.90902811 -45.88062544,-67.9108071 -45.880613,-67.9116762 -45.8803665,-67.9099488 -45.8795972,-67.9089832 -45.8795748,-67.908479 -45.879291,-67.9081464 -45.8778345,-67.9075241 -45.8768784,-67.9078567 -45.8763107,-67.9075456 -45.8753322,-67.9072452 -45.8752799,-67.9064727 -45.8764004,-67.90493501 -45.87690763,-67.9065907 -45.8763481,-67.9067516 -45.8757356,-67.9067945 -45.8747496,-67.90587404 -45.87465377,-67.9081142 -45.8724638,-67.9093158 -45.872419,-67.9095948 -45.873240700000004,-67.9077601 -45.874406,-67.906816 -45.8746824,-67.90662102 -45.87275785,-67.9048741 -45.8731884,-67.9062903 -45.8728896,-67.9075885 -45.8730689,-67.9087365 -45.87291200000001,-67.9096162 -45.8731436,-67.9096484 -45.8728597,-67.9093158 -45.872419,-67.9082108 -45.8724937,-67.90299782 -45.8733268;-67.90299782 -45.8733268,-67.9048741 -45.8731884,-67.9062903 -45.8728896,-67.9075885 -45.8730689,-67.9087365 -45.87291200000001,-67.9096162 -45.8731436,-67.9096484 -45.8728597,-67.9093158 -45.872419,-67.9082108 -45.8724937,-67.90662102 -45.87275785,-67.9081142 -45.8724638,-67.9093158 -45.872419,-67.9095948 -45.873240700000004,-67.9077601 -45.874406,-67.906816 -45.8746824,-67.90587404 -45.87465377,-67.9065907 -45.8763481,-67.9067516 -45.8757356,-67.9067945 -45.8747496,-67.90493501 -45.87690763,-67.9108071 -45.880613,-67.9116762 -45.8803665,-67.9099488 -45.8795972,-67.9089832 -45.8795748,-67.908479 -45.879291,-67.9081464 -45.8778345,-67.9075241 -45.8768784,-67.9078567 -45.8763107,-67.9075456 -45.8753322,-67.9072452 -45.8752799,-67.9064727 -45.8764004,-67.90902811 -45.88062544,,-67.90891537 -45.88072557,-67.9107428 -45.880501,-67.9119766 -45.880389,-67.9123414 -45.8806952,-67.9129958 -45.8809193,-67.91210808 -45.8814063,,-67.91214619 -45.88124859,-67.9166651 -45.8823159,-67.9169762 -45.8821367,-67.9166543 -45.8815466,-67.913146 -45.8824205,-67.9128242 -45.8814645,-67.91541483 -45.88231338,-67.9166651 -45.8823159,-67.9170835 -45.8822711,-67.9178345 -45.8833989,-67.9184783 -45.8832943,-67.91747464 -45.88372353,-67.9183173 -45.8833018,-67.9179525 -45.8832943,-67.9178452 -45.8829358,-67.9186606 -45.8819873,-67.9191113 -45.8815466,-67.9197979 -45.8813898,-67.91930941 -45.88137118,-67.9231775 -45.8798138,-67.9230273 -45.8801051,-67.9220295 -45.8802022,-67.9198301 -45.8807027,-67.9191542 -45.8814645,-67.9198301 -45.8813375,-67.92260289 -45.87981886,-67.9288745 -45.8790371,-67.9299045 -45.8786188,-67.929765 -45.8784918,-67.9247224 -45.8798512,-67.9241753 -45.8796943,-67.92746283 -45.879252,-67.9288745 -45.8790371,-67.9299796 -45.8786337,-67.9304302 -45.8776552,-67.9309022 -45.8766245,-67.9306126 -45.8766543,-67.92916705 -45.87686758,-67.9305589 -45.8765722,-67.9309773 -45.8765423,-67.9323184 -45.875011,-67.9336917 -45.8726132,-67.93292309 -45.87290945,-67.9337347 -45.872531,-67.9350007 -45.8704245,-67.9346895 -45.8701032,-67.933282 -45.87018527,-67.936492 -45.8696625,-67.9362881 -45.8694234,-67.9350436 -45.8703273,-67.9347003 -45.8699986,-67.93551008 -45.87004015,-67.9383588 -45.8674437,-67.9380584 -45.8682655,-67.9363847 -45.8693786,-67.9365671 -45.8696326,-67.9400271 -45.8665472</t>
  </si>
  <si>
    <t>-67.9400271 -45.8665472,-67.9427254 -45.8635364,-67.9464859 -45.8623447,-67.9469097 -45.862016,-67.94569946 -45.86221924,-67.9469097 -45.8620944,-67.9481596 -45.8620048,-67.94727301 -45.86217176,-67.9483044 -45.861911400000004,-67.9473495 -45.8614183,-67.94655091 -45.86160389,-67.9479718 -45.8615453,-67.9493934 -45.8606973,-67.9489589 -45.8606599,-67.94780419 -45.86081977,-67.9494631 -45.8607197,-67.9496992 -45.8604582,-67.9489589 -45.8596363,-67.9496777 -45.8591282,-67.9500318 -45.8586351,-67.9503858 -45.8584632,-67.94942594 -45.85854239,-67.95038580000002 -45.8584109,-67.9492486 -45.8582839,-67.9486799 -45.8563934,-67.9455793 -45.8575815,-67.94451337 -45.85788474,-67.9455793 -45.8575815,-67.9449892 -45.8573947,-67.9450321 -45.8569464,-67.9437447 -45.8569987,-67.9429507 -45.8566475,-67.94127839 -45.85682198,-67.9418778 -45.8559601,-67.9390132 -45.8553324,-67.93784211 -45.85566073,-67.9390132 -45.8553324,-67.9377794 -45.8546898,-67.9357088 -45.8545104,-67.93449161 -45.85473418,-67.9352367 -45.8545328,-67.933563 -45.8546898,-67.9313636 -45.8564457,-67.93015362 -45.85669955,-67.9309988 -45.8565279,-67.9294109 -45.8566176,-67.9285955 -45.8575143,-67.92745639 -45.85783394,-67.9283702 -45.8576637,-67.9275548 -45.8572154,-67.9269218 -45.8575143,-67.9259026 -45.8575367,-67.9241967 -45.8567969,-67.92272998 -45.85731085;-67.92272998 -45.85731085,-67.9236388 -45.8571407,-67.9227161 -45.8570659,-67.92158978 -45.85720014,-67.9179096 -45.8569314,-67.917974 -45.8555117,-67.9220295 -45.8569464,-67.91707962 -45.85731555,-67.9202163 -45.858963800000005,-67.9188108 -45.8570659,-67.918371 -45.8571108,-67.92001872 -45.85910034,-67.9237354 -45.8596662,-67.922287 -45.8586052,-67.9212356 -45.8589414,-67.92204432 -45.86025045,-67.9235315 -45.8601219,-67.9222655 -45.8604731,-67.92116295 -45.86077528,-67.9219651 -45.8610335,-67.9157424 -45.8609887,-67.91412974 -45.86109479,-67.9153347 -45.8605702,-67.9157317 -45.8599725,-67.9146159 -45.859457,-67.91347499 -45.85938782,-67.9145408 -45.8594047,-67.9124916 -45.858777,-67.9112792 -45.8592776,-67.91058213 -45.85962973,-67.9112792 -45.8592776,-67.9102921 -45.8588293,-67.9105067 -45.8586425,-67.90964669 -45.85881191,-67.9102653 -45.8586986,-67.9081625 -45.8581195,-67.90707943 -45.8582017,-67.90773330000002 -45.8580522,-67.9073417 -45.8579177,-67.9068965 -45.8568567,-67.9053408 -45.8563822,-67.90400196 -45.85653031,-67.904284 -45.8564084,-67.9033184 -45.8552726,-67.9019022 -45.8551232,-67.90067511 -45.8549717,,-67.90022567 -45.85540767,-67.9008508 -45.8548093,-67.8990161 -45.8545403,-67.898823 -45.8538678,-67.8965485 -45.8545553,-67.89483427 -45.85484841,-67.887429 -45.855564,-67.8894138 -45.853808,-67.8932333 -45.8533447,-67.8969455 -45.8545851,-67.8963768 -45.8546599,-67.88581092 -45.85597227,-67.887429 -45.855564,-67.8882551 -45.8548691,-67.8894138 -45.853808,-67.8920853 -45.8535689,-67.8916454 -45.8538678,-67.8897357 -45.85395,-67.88910 -45.85436,-67.8875685 -45.8562589,-67.885799 -45.8571033,-67.88544 -45.8578281,-67.88523 -45.85794,-67.88402968 -45.85834964,-67.8814316 -45.8592926,-67.8808415 -45.8591357,-67.880863 -45.8587322,-67.8817642 -45.858239,-67.8850043 -45.8580522,-67.88077392 -45.85953999,-67.8790283 -45.8588293,-67.880466 -45.8587397,-67.8813028 -45.8593598,-67.87771797 -45.85914466,-67.875917 -45.8590236,-67.8765607 -45.8587098,-67.8784597 -45.8588443,-67.87446619 -45.85953534,-67.8758311 -45.8590012,-67.8755307 -45.858777,-67.8718829 -45.8588144,-67.8721619 -45.8576637,-67.8733528 -45.857462,-67.8739536 -45.8579028,-67.87227986 -45.85836679,-67.8721619 -45.8576637,-67.8734279 -45.8573798,-67.8740823 -45.8579103,-67.87029294 -45.85782787,-67.8710139 -45.8575441,-67.8706169 -45.8573573,-67.8709602 -45.8560348,-67.86919632 -45.85619455;-67.86919632 -45.85619455,-67.8696942 -45.8557434,-67.86828880000002 -45.8556612,-67.86649364 -45.8559971,-67.8669798 -45.8557135,-67.865231 -45.8550708,-67.8632243 -45.85544803,-67.8622591 -45.8563038,-67.8636539 -45.8551829,-67.86075305 -45.85668169,-67.8618944 -45.8580074,-67.8614438 -45.8568642,-67.86119926 -45.8582863,-67.8617334 -45.8580597,-67.8595233 -45.8583362,-67.85800456 -45.85865306,-67.8585362 -45.8586425,-67.8550065 -45.858381,-67.8544593 -45.8579701,-67.85311138 -45.85761476;-67.85311138 -45.85761476,-67.8585362 -45.8586425,-67.8550065 -45.858381,-67.8544593 -45.8579701,-67.85800456 -45.85865306,-67.8617334 -45.8580597,-67.8595233 -45.8583362,-67.86119926 -45.8582863,-67.8630531 -45.8577608,-67.8618944 -45.8580074,-67.86269634 -45.8576934,-67.8655958 -45.85783560000001,-67.8642118 -45.8570435,-67.86509618 -45.85797591,-67.8666365 -45.8577982,-67.8680527 -45.857716,-67.86752908 -45.85773082,-67.8694689 -45.8577534,-67.8703272 -45.8578879,-67.8705525 -45.8574694,-67.8710139 -45.8575441,-67.87029294 -45.85782787,-67.8721619 -45.8576637,-67.8734279 -45.8573798,-67.8740823 -45.8579103,-67.87227986 -45.85836679,-67.8758311 -45.8590012,-67.8755307 -45.858777,-67.8718829 -45.8588144,-67.8721619 -45.8576637,-67.8733528 -45.857462,-67.8739536 -45.8579028,-67.87446619 -45.85953534,-67.875917 -45.8590236,-67.8765607 -45.8587098,-67.8784597 -45.8588443,-67.87771797 -45.85914466,-67.8790283 -45.8588293,-67.880466 -45.8587397,-67.8813028 -45.8593598,-67.88077392 -45.85953999,-67.8814316 -45.8592926,-67.8808415 -45.8591357,-67.880863 -45.8587322,-67.8817642 -45.858239,-67.8850043 -45.8580522,-67.88402968 -45.85834964;-67.88402968 -45.85834964,-67.887429 -45.855564,-67.8882551 -45.8548691,-67.8894138 -45.853808,-67.8920853 -45.8535689,-67.8916454 -45.8538678,-67.8897357 -45.85395,-67.88910 -45.85436,-67.8875685 -45.8562589,-67.885799 -45.8571033,-67.88544 -45.8578281,-67.88523 -45.85794,-67.88581092 -45.85597227,-67.887429 -45.855564,-67.8894138 -45.853808,-67.8932333 -45.8533447,-67.8969455 -45.8545851,-67.8963768 -45.8546599,-67.89483427 -45.85484841,-67.9008508 -45.8548093,-67.8990161 -45.8545403,-67.898823 -45.8538678,-67.8965485 -45.8545553,-67.90022567 -45.85540767,,-67.90067511 -45.8549717,-67.9008293 -45.8554744,-67.8979325 -45.8574844,-67.8973317 -45.8572229,-67.89587578 -45.8572858,-67.8973317 -45.8572229,-67.8979647 -45.8575666,-67.8980827 -45.8587696,-67.89747947 -45.85914201,-67.8992736 -45.860772,-67.8986514 -45.8606225,-67.8984046 -45.859173,-67.89919663 -45.86089728,-67.9020095 -45.8600547,-67.9017949 -45.8604059,-67.9007757 -45.8604881,-67.90079758 -45.860041,-67.9025352 -45.8597782,-67.9034257 -45.8594794,-67.9021811 -45.8617657,-67.90063766 -45.86227487,-67.9014838 -45.8622364,-67.9013121 -45.862722,-67.9019237 -45.8627594,-67.90094134 -45.86284774,-67.902385 -45.8628117,-67.9039085 -45.86340190000001,-67.9065263 -45.8638427,-67.90551413 -45.86397475;-67.90551413 -45.86397475,-67.902385 -45.8628117,-67.9039085 -45.86340190000001,-67.9065263 -45.8638427,-67.90094134 -45.86284774,-67.9014838 -45.8622364,-67.9013121 -45.862722,-67.9019237 -45.8627594,-67.90063766 -45.86227487,-67.9025352 -45.8597782,-67.9034257 -45.8594794,-67.9021811 -45.8617657,-67.90079758 -45.860041,-67.9020095 -45.8600547,-67.9041553 -45.8591282,-67.9030502 -45.8613174,-67.90205676 -45.86168943,-67.9030502 -45.8613174,-67.9044557 -45.8590236,-67.90333441 -45.85910192,,-67.90400196 -45.85653031,-67.90773330000002 -45.8580522,-67.9073417 -45.8579177,-67.9068965 -45.8568567,-67.9053408 -45.8563822,-67.90707943 -45.8582017,-67.9102653 -45.8586986,-67.9081625 -45.8581195,-67.90964669 -45.85881191,-67.9112792 -45.8592776,-67.9102921 -45.8588293,-67.9105067 -45.8586425,-67.91058213 -45.85962973,-67.9145408 -45.8594047,-67.9124916 -45.858777,-67.9112792 -45.8592776,-67.91347499 -45.85938782,-67.9153347 -45.8605702,-67.9157317 -45.8599725,-67.9146159 -45.859457,-67.91412974 -45.86109479,-67.9219651 -45.8610335,-67.9157424 -45.8609887,-67.92116295 -45.86077528,-67.9235315 -45.8601219,-67.9222655 -45.8604731,-67.92204432 -45.86025045,-67.9253769 -45.8604208,-67.9236388 -45.8595317,-67.9233384 -45.8597857,-67.92472033 -45.86078317,-67.9288423 -45.860757,-67.9286063 -45.8609812,-67.9269433 -45.8608168,-67.9254305 -45.8610559,-67.9256237 -45.8606898,-67.92827234 -45.86082887,-67.9307091 -45.86097370000001,-67.9287457 -45.8609588,-67.9288423 -45.860757,-67.92973166 -45.86112334,-67.9343569 -45.8614145,-67.9335523 -45.861549,-67.9334021 -45.8611381,-67.9309666 -45.8609214,-67.93332777 -45.86169272,-67.9375219 -45.8620421,-67.9357517 -45.861085800000005,-67.9346144 -45.8614519,-67.93652197 -45.86222667,-67.9388309 -45.8607794,-67.938112 -45.8611007,-67.9377472 -45.860899,-67.9362881 -45.8614743,-67.9374897 -45.8619749,-67.93809539 -45.86091501,-67.9389811 -45.8623559,-67.9389596 -45.8618329,-67.9381979 -45.8610783,-67.9390669 -45.8607794,-67.93749455 -45.86270022,-67.9407942 -45.8630844,-67.9403758 -45.8621878,-67.9386914 -45.8624792,-67.94016816 -45.86304785,-67.9412395 -45.8636896,-67.94085860000001 -45.8628677,-67.94026881 -45.86394522,-67.9413575 -45.8643508,-67.94191 -45.8638801,-67.9413092 -45.8637717,-67.9397787 -45.86446671,-67.939437 -45.8659907,-67.9410034 -45.8642985,-67.93820898 -45.86621382,,-67.93822649 -45.86645361,-67.9383588 -45.8674437,-67.9380101 -45.8666929,-67.9392922 -45.8661064,-67.9400271 -45.8665472</t>
  </si>
  <si>
    <t>-67.9400271 -45.8665472,-67.9383588 -45.8674437,-67.9380584 -45.8682655,-67.9363847 -45.8693786,-67.9365671 -45.8696326,-67.93551008 -45.87004015,-67.936492 -45.8696625,-67.9362881 -45.8694234,-67.9350436 -45.8703273,-67.9347003 -45.8699986,-67.933282 -45.87018527,-67.9337347 -45.872531,-67.9350007 -45.8704245,-67.9346895 -45.8701032,-67.93292309 -45.87290945,-67.9305589 -45.8765722,-67.9309773 -45.8765423,-67.9323184 -45.875011,-67.9336917 -45.8726132,-67.92916705 -45.87686758,-67.9288745 -45.8790371,-67.9299796 -45.8786337,-67.9304302 -45.8776552,-67.9309022 -45.8766245,-67.9306126 -45.8766543,-67.92746283 -45.879252,-67.9288745 -45.8790371,-67.9299796 -45.8786337,-67.9308271 -45.8793582,-67.9310632 -45.8796271,-67.9308057 -45.8796645,-67.92926139 -45.87980166,-67.9308057 -45.8796645,-67.9309773 -45.8795823,-67.9308271 -45.8793582,-67.9319429 -45.8795524,-67.9332089 -45.8799333,-67.9339921 -45.8795524,-67.9349685 -45.8793358,-67.935698 -45.8793209,-67.93512028 -45.8793768,-67.9364383 -45.8791566,-67.9368889 -45.8790371,-67.9370821 -45.878798,-67.939657 -45.8787906,-67.9398179 -45.8784246,-67.93938002 -45.87863178,-67.9433799 -45.8793582,-67.9425859 -45.8792462,-67.9414809 -45.8788951,-67.9399574 -45.8788802,-67.9395819 -45.8785889,-67.9398179 -45.8784246,-67.94258106 -45.87928487,-67.9468131 -45.8799931,-67.9464698 -45.8794927,-67.9443026 -45.8791491,-67.9459034 -45.88040255,-67.9472744 -45.8827118,-67.9475963 -45.8819051,-67.9476392 -45.8807475,-67.9472208 -45.8805159,-67.94607409 -45.88311995,-67.9472744 -45.8852212,-67.9470921 -45.8844967,-67.9472423 -45.883959,-67.9472315 -45.8831823,-67.94628753 -45.88560005,-67.9471672 -45.8852884,-67.9470921 -45.8848627,-67.9461265 -45.8845565,-67.94483649 -45.8845247,-67.9459763 -45.8845415,-67.9446459 -45.8841607,-67.9436696 -45.8842353,-67.94255555 -45.88454697,-67.9423177 -45.8861323,-67.9425859 -45.8852137,-67.9431438 -45.8846088,-67.9432619 -45.8842802,-67.94198922 -45.88653728,-67.9414594 -45.88785,-67.9417813 -45.8871554,-67.9419315 -45.8865879,-67.9423285 -45.8863414,-67.93992923 -45.88854577,-67.9410625 -45.888776,-67.9401827 -45.8890747,-67.9375863 -45.8886341,-67.93581454 -45.88863383,-67.9351616 -45.890628,-67.9353011 -45.8903069,-67.9351509 -45.889702,-67.9356337 -45.8888283,-67.9361594 -45.8882682,-67.9367387 -45.8882607,-67.93404442 -45.8909633;-67.93404442 -45.8909633,-67.9325116 -45.8927189,-67.9321575 -45.8923754,-67.9320073 -45.8911582,-67.9324365 -45.8909939,-67.9336274 -45.8912403,-67.9348075 -45.8908669,-67.93203261 -45.89325144,-67.9326725 -45.8927039,-67.9321253 -45.8924276,-67.9320502 -45.8919796,-67.9315674 -45.8910163,-67.93002857 -45.89099999,-67.9292285 -45.8926143,-67.9297435 -45.8916137,-67.930634 -45.8913523,-67.9310846 -45.8915241,-67.9320288 -45.8924127,-67.9322755 -45.8923231,-67.9316425 -45.8910014,-67.92819602 -45.89300211,-67.9235637 -45.895743,-67.9241538 -45.8953249,-67.9267287 -45.8949142,-67.9271579 -45.8944961,-67.9267287 -45.8942048,-67.9257309 -45.8936448,-67.9256558 -45.8930698,-67.9268682 -45.8923604,-67.9289711 -45.8934208,-67.9293036 -45.893361,-67.92261639 -45.89612501,-67.9221904 -45.8981548,-67.9232204 -45.8984983,-67.9230487 -45.8980652,-67.9224908 -45.89755,-67.9236388 -45.8964449,-67.92046749 -45.89809236,-67.9312027 -45.9008128,-67.9299688 -45.9015296,-67.9282737 -45.9003723,-67.9263103 -45.8994316,-67.9232204 -45.8984983,-67.9221046 -45.8981623,-67.93028301 -45.90068278,-67.9313636 -45.9007755,-67.9299688 -45.9015296,-67.9309559 -45.9024778,-67.931664 -45.9022687,-67.9323721 -45.9010144,-67.9335737 -45.900447,-67.9371786 -45.9012832,-67.9379082 -45.9021045,-67.9396677 -45.9026719,-67.941041 -45.9025674,-67.94048121 -45.90255833,-67.9417276 -45.9060912,-67.9426718 -45.9047623,-67.9416203 -45.9047773,-67.9445601 -45.9035379,-67.942543 -45.9026271,-67.94070253 -45.90708056,-67.9419637 -45.9061061,-67.9426718 -45.9047623,-67.9415345 -45.9048967,-67.938745 -45.9059568,-67.9340029 -45.9072707,-67.9353547 -45.9073006,-67.93482704 -45.9074612,-67.922008 -45.9097193,-67.9201412 -45.9109884,-67.9196906 -45.9109585,-67.9200125 -45.9097492,-67.9210854 -45.909585,-67.9227591 -45.90851,-67.9267287 -45.9077933,-67.9317927 -45.9075544,-67.9344964 -45.9080023,-67.9353762 -45.9076142,-67.92132124 -45.90950332,-67.9221797 -45.9097492,-67.9201412 -45.9109884,-67.91924 -45.911063,-67.9191971 -45.9115109,-67.91938339 -45.91141146,-67.9191971 -45.9115109,-67.9193473 -45.9122574,-67.9206347 -45.9121827,-67.9237676 -45.911287,-67.92339949 -45.91107871,-67.9250765 -45.911063,-67.9249692 -45.9120036,-67.9233384 -45.9123171,-67.92178415 -45.91276334,-67.9231882 -45.9122723,-67.9249692 -45.9120036,-67.9255915 -45.9130038,-67.9226518 -45.9145117,-67.9209566 -45.9155119,-67.9190469 -45.9157209,-67.9196262 -45.9152282,-67.9198102 -45.91487479,,-67.91936766 -45.91518342,-67.9294324 -45.9165121,-67.930162 -45.916945,-67.9304409 -45.9174227,-67.9261708 -45.9179004,-67.9190469 -45.9157209,-67.9196262 -45.9152282,-67.92776392 -45.91634643,-67.9315567 -45.9216173,-67.9323292 -45.9215277,-67.9268146 -45.9178258,-67.9294968 -45.9176466,-67.9304409 -45.9174227,-67.9300117 -45.9168704,-67.9294324 -45.9165121,-67.92974857 -45.92193359,-67.9378974 -45.9205575,-67.9375219 -45.920244,-67.9376721 -45.9193932,-67.9373181 -45.9201097,-67.9375005 -45.9207814,-67.9381657 -45.9214382,-67.9378438 -45.9222592,-67.9378653 -45.9235428,-67.9352689 -45.9230204,-67.9323292 -45.9215277,-67.9315567 -45.9216173,-67.93749101 -45.92107433,-67.9473066 -45.9191991,-67.9491735 -45.9182736,-67.9488516 -45.9169151,-67.9491198 -45.9161986,-67.9481864 -45.9168405,-67.9482937 -45.9178556,-67.947135 -45.9184079,-67.94559 -45.9178407,-67.9453111 -45.9174227,-67.9465771 -45.9168554,-67.9420924 -45.9173033,-67.9408264 -45.9169002,-67.9406118 -45.9177959,-67.9378867 -45.9191842,-67.9375434 -45.9200649,-67.9378974 -45.9205575,-67.94586231 -45.91962676;-67.94586231 -45.91962676,-67.9510295 -45.9188259,-67.949667 -45.9168704,-67.9491198 -45.9161986,-67.9486799 -45.916833,-67.9491198 -45.9181243,-67.9471564 -45.9191543,-67.95055552 -45.91916669,-67.9587436 -45.920871,-67.9575205 -45.9200947,-67.9542375 -45.9190946,-67.9514909 -45.9187513,-67.95749776 -45.92122866;-67.95749776 -45.92122866,-67.9587436 -45.920871,-67.9575205 -45.9200947,-67.9542375 -45.9190946,-67.9514909 -45.9187513,-67.95055552 -45.91916669,-67.9510295 -45.9188259,-67.949667 -45.9168704,-67.9491198 -45.9161986,-67.9486799 -45.916833,-67.9491198 -45.9181243,-67.9471564 -45.9191543,-67.94586231 -45.91962676,-67.9473066 -45.9191991,-67.9491735 -45.9182736,-67.9488516 -45.9169151,-67.9491198 -45.9161986,-67.9481864 -45.9168405,-67.9482937 -45.9178556,-67.947135 -45.9184079,-67.94559 -45.9178407,-67.9453111 -45.9174227,-67.9465771 -45.9168554,-67.9420924 -45.9173033,-67.9408264 -45.9169002,-67.9406118 -45.9177959,-67.9378867 -45.9191842,-67.9375434 -45.9200649,-67.9378974 -45.9205575,-67.93749101 -45.92107433,-67.9378974 -45.9205575,-67.9375219 -45.920244,-67.9376721 -45.9193932,-67.9373181 -45.9201097,-67.9375005 -45.9207814,-67.9381657 -45.9214382,-67.9378438 -45.9222592,-67.9378653 -45.9235428,-67.9352689 -45.9230204,-67.9323292 -45.9215277,-67.9315567 -45.9216173,-67.92974857 -45.92193359;-67.92974857 -45.92193359,-67.9315567 -45.9216173,-67.9323292 -45.9215277,-67.9268146 -45.9178258,-67.9294968 -45.9176466,-67.9304409 -45.9174227,-67.9300117 -45.9168704,-67.9294324 -45.9165121,-67.92776392 -45.91634643,-67.9294324 -45.9165121,-67.930162 -45.916945,-67.9304409 -45.9174227,-67.9261708 -45.9179004,-67.9190469 -45.9157209,-67.9196262 -45.9152282,-67.91936766 -45.91518342,,-67.9198102 -45.91487479,-67.9231882 -45.9122723,-67.9249692 -45.9120036,-67.9255915 -45.9130038,-67.9226518 -45.9145117,-67.9209566 -45.9155119,-67.9190469 -45.9157209,-67.9196262 -45.9152282,-67.92178415 -45.91276334,-67.9250765 -45.911063,-67.9249692 -45.9120036,-67.9233384 -45.9123171,-67.92339949 -45.91107871,-67.9191971 -45.9115109,-67.9193473 -45.9122574,-67.9206347 -45.9121827,-67.9237676 -45.911287,-67.91938339 -45.91141146,-67.9221797 -45.9097492,-67.9201412 -45.9109884,-67.91924 -45.911063,-67.9191971 -45.9115109,-67.92132124 -45.90950332,-67.922008 -45.9097193,-67.9201412 -45.9109884,-67.9196906 -45.9109585,-67.9200125 -45.9097492,-67.9210854 -45.909585,-67.9227591 -45.90851,-67.9267287 -45.9077933,-67.9317927 -45.9075544,-67.9344964 -45.9080023,-67.9353762 -45.9076142,-67.93482704 -45.9074612,-67.9419637 -45.9061061,-67.9426718 -45.9047623,-67.9415345 -45.9048967,-67.938745 -45.9059568,-67.9340029 -45.9072707,-67.9353547 -45.9073006,-67.94070253 -45.90708056,-67.9417276 -45.9060912,-67.9426718 -45.9047623,-67.9416203 -45.9047773,-67.9445601 -45.9035379,-67.942543 -45.9026271,-67.94048121 -45.90255833,-67.9313636 -45.9007755,-67.9299688 -45.9015296,-67.9309559 -45.9024778,-67.931664 -45.9022687,-67.9323721 -45.9010144,-67.9335737 -45.900447,-67.9371786 -45.9012832,-67.9379082 -45.9021045,-67.9396677 -45.9026719,-67.941041 -45.9025674,-67.93028301 -45.90068278,-67.9312027 -45.9008128,-67.9299688 -45.9015296,-67.9282737 -45.9003723,-67.9263103 -45.8994316,-67.9232204 -45.8984983,-67.9221046 -45.8981623,-67.92046749 -45.89809236,-67.9221904 -45.8981548,-67.9232204 -45.8984983,-67.9230487 -45.8980652,-67.9224908 -45.89755,-67.9236388 -45.8964449,-67.92261639 -45.89612501,-67.9235637 -45.895743,-67.9241538 -45.8953249,-67.9267287 -45.8949142,-67.9271579 -45.8944961,-67.9267287 -45.8942048,-67.9257309 -45.8936448,-67.9256558 -45.8930698,-67.9268682 -45.8923604,-67.9289711 -45.8934208,-67.9293036 -45.893361,-67.92819602 -45.89300211,-67.929368 -45.8925994,-67.9296148 -45.8919423,-67.9287994 -45.8913897,-67.9285097 -45.8910014,-67.9286277 -45.8901127,-67.92758265 -45.88993498,-67.9286492 -45.8892166,-67.9288638 -45.8878724,-67.9292393 -45.8876931,-67.92838162 -45.88770662,-67.929883 -45.8876782,-67.9306018 -45.8878724,-67.9317605 -45.8883727,-67.9326189 -45.888201,-67.93184093 -45.88869985,,-67.93195275 -45.88880085,-67.9325545 -45.8880964,-67.9324257 -45.8875363,-67.933048 -45.8868642,-67.9335093 -45.8836304,-67.93297197 -45.88384007,,-67.93288041 -45.88347512,-67.9369962 -45.8822636,-67.9367441 -45.8819686,-67.9343677 -45.8832719,-67.93623372 -45.88237227,-67.9369104 -45.8822487,-67.9367441 -45.8819686,-67.9385787 -45.881274,-67.938568 -45.8809641,-67.9379243 -45.8811844,-67.93588984 -45.88149225,-67.9380155 -45.8812404,-67.938627 -45.880852,-67.9384768 -45.8805682,-67.9371035 -45.8800827,-67.9358482 -45.8797093,-67.9335737 -45.8797616,-67.934432 -45.8794255,-67.9350007 -45.8792835,-67.9357088 -45.8792686,-67.93512028 -45.8793768,-67.9308057 -45.8796645,-67.9309773 -45.8795823,-67.9308271 -45.8793582,-67.9319429 -45.8795524,-67.9332089 -45.8799333,-67.9339921 -45.8795524,-67.9349685 -45.8793358,-67.935698 -45.8793209,-67.92926139 -45.87980166,-67.9288745 -45.8790371,-67.9299796 -45.8786337,-67.9308271 -45.8793582,-67.9310632 -45.8796271,-67.9308057 -45.8796645,-67.92746283 -45.879252,-67.9288745 -45.8790371,-67.9299796 -45.8786337,-67.9304302 -45.8776552,-67.9309022 -45.8766245,-67.9306126 -45.8766543,-67.92916705 -45.87686758,-67.9305589 -45.8765722,-67.9309773 -45.8765423,-67.9323184 -45.875011,-67.9336917 -45.8726132,-67.93292309 -45.87290945,-67.9337347 -45.872531,-67.9350007 -45.8704245,-67.9346895 -45.8701032,-67.933282 -45.87018527,-67.936492 -45.8696625,-67.9362881 -45.8694234,-67.9350436 -45.8703273,-67.9347003 -45.8699986,-67.93551008 -45.87004015,-67.9383588 -45.8674437,-67.9380584 -45.8682655,-67.9363847 -45.8693786,-67.9365671 -45.8696326,-67.9400271 -45.8665472</t>
  </si>
  <si>
    <t>-67.9400271 -45.8665472,-67.9383588 -45.8674437,-67.9380584 -45.8682655,-67.9363847 -45.8693786,-67.9365671 -45.8696326,-67.93551008 -45.87004015,-67.936492 -45.8696625,-67.9362881 -45.8694234,-67.9350436 -45.8703273,-67.9347003 -45.8699986,-67.933282 -45.87018527,-67.9337347 -45.872531,-67.9350007 -45.8704245,-67.9346895 -45.8701032,-67.93292309 -45.87290945,-67.9305589 -45.8765722,-67.9309773 -45.8765423,-67.9323184 -45.875011,-67.9336917 -45.8726132,-67.92916705 -45.87686758,-67.9288745 -45.8790371,-67.9299796 -45.8786337,-67.9304302 -45.8776552,-67.9309022 -45.8766245,-67.9306126 -45.8766543,-67.92746283 -45.879252,-67.9288745 -45.8790371,-67.9299045 -45.8786188,-67.929765 -45.8784918,-67.9247224 -45.8798512,-67.9241753 -45.8796943,-67.92260289 -45.87981886,-67.9231775 -45.8798138,-67.9230273 -45.8801051,-67.9220295 -45.8802022,-67.9198301 -45.8807027,-67.9191542 -45.8814645,-67.9198301 -45.8813375,-67.91930941 -45.88137118,-67.9183173 -45.8833018,-67.9179525 -45.8832943,-67.9178452 -45.8829358,-67.9186606 -45.8819873,-67.9191113 -45.8815466,-67.9197979 -45.8813898,-67.91747464 -45.88372353,-67.9166651 -45.8823159,-67.9170835 -45.8822711,-67.9178345 -45.8833989,-67.9184783 -45.8832943,-67.91541483 -45.88231338,-67.911365 -45.8831076,-67.9142618 -45.8826968,-67.9159892 -45.8825026,-67.90970498 -45.88326091,-67.9076958 -45.8841084,-67.9082644 -45.8839366,-67.9093373 -45.8833167,-67.9103136 -45.8831972,-67.90591516 -45.88446218,,-67.90594775 -45.88423937,-67.9066443 -45.8844071,-67.9062474 -45.8852585,-67.908833 -45.885968,-67.9091012 -45.8864012,-67.90705336 -45.88840606,-67.9052818 -45.8875736,-67.90654780000001 -45.8882084,-67.9074919 -45.8882756,-67.90362098 -45.8874036,-67.9039729 -45.8871629,-67.9034686 -45.8869165,-67.9041123 -45.886192,-67.9042947 -45.8847656,-67.90316820000001 -45.883637900000004,-67.90293219 -45.8836944,-67.90316820000001 -45.883637900000004,-67.9026854 -45.8831823,-67.9021275 -45.8832794,-67.900722 -45.8842279,-67.9001105 -45.8851465,-67.8995955 -45.8843175,-67.89811074 -45.88424629,-67.896452 -45.8842129,-67.8972995 -45.8841607,-67.8987801 -45.8833839,-67.8993165 -45.8836304,-67.89478887 -45.88442779,-67.895658 -45.88465360000001,-67.8955078 -45.8872675,-67.89402720000001 -45.888186,-67.89313670000001 -45.8879097,-67.8935552 -45.8866999,-67.891624 -45.8850718,-67.88986813 -45.88509226,-67.8916669 -45.8851316,-67.891463 -45.8853332,-67.8890061 -45.8855946,-67.8886521 -45.8849672,-67.88725199 -45.88498287,-67.8877938 -45.885251,-67.8862166 -45.8849523,-67.88477851 -45.88530377,-67.8847039 -45.885542300000004,-67.8854334 -45.8851465,-67.88304639 -45.88588109,-67.8838027 -45.88608,-67.882483 -45.8868716,-67.88085052 -45.88709026,-67.8783846 -45.8885519,-67.8803802 -45.8880143,-67.8826654 -45.8868044,-67.8823113 -45.8868119,-67.87661058 -45.88889945,-67.8765285 -45.89045620000001,-67.877773 -45.8901799,-67.8803802 -45.8880143,-67.8783846 -45.8885519,-67.87484305 -45.89067788,-67.8792322 -45.8901127,-67.877934 -45.8900903,-67.8765285 -45.89045620000001,-67.87813787 -45.88993585,-67.8789854 -45.8901127,-67.8777838 -45.8901052,-67.8751981 -45.8927935,-67.8739536 -45.8942571,-67.87230402 -45.89457162;-67.87230402 -45.89457162,-67.8732026 -45.8945633,-67.872076 -45.8946753,-67.8709388 -45.89427200000001,-67.8709924 -45.8932789,-67.86962065 -45.89326713,,-67.8703009 -45.89288745;-67.8703009 -45.89288745,,-67.86962065 -45.89326713,-67.8732026 -45.8945633,-67.872076 -45.8946753,-67.8709388 -45.89427200000001,-67.8709924 -45.8932789,-67.87230402 -45.89457162,-67.8789854 -45.8901127,-67.8777838 -45.8901052,-67.8751981 -45.8927935,-67.8739536 -45.8942571,-67.87813787 -45.88993585,-67.8792322 -45.8901127,-67.877934 -45.8900903,-67.8765285 -45.89045620000001,-67.87484305 -45.89067788,-67.8765285 -45.89045620000001,-67.877773 -45.8901799,-67.8803802 -45.8880143,-67.8783846 -45.8885519,-67.87661058 -45.88889945,-67.8783846 -45.8885519,-67.8803802 -45.8880143,-67.8826654 -45.8868044,-67.8823113 -45.8868119,-67.88085052 -45.88709026,-67.8838027 -45.88608,-67.882483 -45.8868716,-67.88304639 -45.88588109,-67.8847039 -45.885542300000004,-67.8854334 -45.8851465,-67.88477851 -45.88530377,-67.8863347 -45.8849448,-67.8869569 -45.8849672,-67.8874826 -45.883847,-67.8903258 -45.883570600000006,-67.88934482 -45.88367092,-67.8808522 -45.8847432,-67.8831053 -45.8843548,-67.884897 -45.8834586,-67.8876114 -45.88378720000001,-67.8901434 -45.8835856,-67.87931365 -45.88515467,-67.8775477 -45.8859232,-67.87784810000001 -45.8854153,-67.8789425 -45.8862742,-67.879554 -45.8862667,-67.8829443 -45.8844743,-67.8806055 -45.8848253,-67.87597578 -45.88674947,,-67.87630061 -45.88642699,-67.8775907 -45.885744,-67.8778374 -45.8851241,-67.8766251 -45.8844594,-67.8767002 -45.8840561,-67.8758872 -45.88413516,-67.8738034 -45.8829806,-67.8739858 -45.8834512,-67.87655 -45.8844445,-67.8765929 -45.8840262,-67.87263059 -45.88283868,-67.8737283 -45.8829508,-67.8736854 -45.8833242,-67.8730094 -45.8829134,-67.8686643 -45.8830254,-67.86703039 -45.88312685,-67.8685462 -45.8831151,-67.869308 -45.8829582,-67.8708422 -45.883018,-67.8705847 -45.8839366,-67.8693122 -45.8842458,-67.8672695 -45.88491500000001,-67.867409 -45.8861099,-67.8680742 -45.8863339,-67.8686106 -45.8860875,-67.8688896 -45.8849822,-67.870338 -45.8842577,-67.86589689 -45.88477956,-67.86739830000002 -45.8868567,-67.8667223 -45.8862667,-67.8672802 -45.8848552,-67.86685323 -45.88712476,-67.8674626 -45.88708080000001,-67.866658 -45.886864200000005,-67.8658855 -45.887125600000005,-67.8670657 -45.8886864,-67.86520231 -45.88917465,-67.8652418 -45.8907101,-67.8656602 -45.890351700000004,-67.8659928 -45.88941820000001,-67.86328043 -45.89089136,-67.8640401 -45.8909939,-67.8672266 -45.8915539,-67.86687975 -45.89168688,-67.8672266 -45.8915539,-67.8653598 -45.8912776,-67.8647375 -45.8920692,-67.8620982 -45.8918004,-67.8619695 -45.8921737,-67.86151916 -45.89254163;-67.86151916 -45.89254163,-67.8672266 -45.8915539,-67.8653598 -45.8912776,-67.8647375 -45.8920692,-67.8620982 -45.8918004,-67.8619695 -45.8921737,-67.86687975 -45.89168688,-67.8640401 -45.8909939,-67.8672266 -45.8915539,-67.86328043 -45.89089136,-67.8652418 -45.8907101,-67.8656602 -45.890351700000004,-67.8659928 -45.88941820000001,-67.86520231 -45.88917465;-67.86520231 -45.88917465,-67.8652418 -45.8907101,-67.8656602 -45.890351700000004,-67.8659928 -45.88941820000001,-67.86328043 -45.89089136,-67.86183 -45.8907101,-67.8635895 -45.8906578,-67.85994544 -45.89074459;-67.85994544 -45.89074459,-67.86183 -45.8907101,-67.8635895 -45.8906578,-67.86328043 -45.89089136,-67.8652418 -45.8907101,-67.8656602 -45.890351700000004,-67.8659928 -45.88941820000001,-67.86520231 -45.88917465,-67.8674626 -45.88708080000001,-67.866658 -45.886864200000005,-67.8658855 -45.887125600000005,-67.8670657 -45.8886864,-67.86685323 -45.88712476,-67.86739830000002 -45.8868567,-67.8667223 -45.8862667,-67.8672802 -45.8848552,-67.86589689 -45.88477956,-67.863847 -45.885027,-67.864995 -45.8837723,-67.8665936 -45.8838395,-67.86707640000002 -45.88434740000001,-67.86201513 -45.88564989;-67.86201513 -45.88564989,-67.863847 -45.885027,-67.864995 -45.8837723,-67.8665936 -45.8838395,-67.86707640000002 -45.88434740000001,-67.86589689 -45.88477956,-67.8672695 -45.88491500000001,-67.867409 -45.8861099,-67.8680742 -45.8863339,-67.8686106 -45.8860875,-67.8688896 -45.8849822,-67.870338 -45.8842577,-67.8693122 -45.8842458,-67.8685462 -45.8831151,-67.869308 -45.8829582,-67.8708422 -45.883018,-67.8705847 -45.8839366,-67.86703039 -45.88312685,-67.8737283 -45.8829508,-67.8736854 -45.8833242,-67.8730094 -45.8829134,-67.8686643 -45.8830254,-67.87263059 -45.88283868,-67.8738034 -45.8829806,-67.8739858 -45.8834512,-67.87655 -45.8844445,-67.8765929 -45.8840262,-67.8758872 -45.88413516,-67.8775907 -45.885744,-67.8778374 -45.8851241,-67.8766251 -45.8844594,-67.8767002 -45.8840561,-67.87630061 -45.88642699,,-67.87597578 -45.88674947,-67.8775477 -45.8859232,-67.87784810000001 -45.8854153,-67.8789425 -45.8862742,-67.879554 -45.8862667,-67.8829443 -45.8844743,-67.8806055 -45.8848253,-67.87931365 -45.88515467,-67.8808522 -45.8847432,-67.8831053 -45.8843548,-67.884897 -45.8834586,-67.8876114 -45.88378720000001,-67.8901434 -45.8835856,-67.88934482 -45.88367092,-67.8863347 -45.8849448,-67.8869569 -45.8849672,-67.8874826 -45.883847,-67.8903258 -45.883570600000006,-67.88477851 -45.88530377,-67.8877938 -45.885251,-67.8862166 -45.8849523,-67.88725199 -45.88498287,-67.8916669 -45.8851316,-67.891463 -45.8853332,-67.8890061 -45.8855946,-67.8886521 -45.8849672,-67.88986813 -45.88509226,-67.895658 -45.88465360000001,-67.8955078 -45.8872675,-67.89402720000001 -45.888186,-67.89313670000001 -45.8879097,-67.8935552 -45.8866999,-67.891624 -45.8850718,-67.89478887 -45.88442779,-67.896452 -45.8842129,-67.8972995 -45.8841607,-67.8987801 -45.8833839,-67.8993165 -45.8836304,-67.89811074 -45.88424629,-67.90316820000001 -45.883637900000004,-67.9026854 -45.8831823,-67.9021275 -45.8832794,-67.900722 -45.8842279,-67.9001105 -45.8851465,-67.8995955 -45.8843175,-67.90293219 -45.8836944,-67.9039729 -45.8871629,-67.9034686 -45.8869165,-67.9041123 -45.886192,-67.9042947 -45.8847656,-67.90316820000001 -45.883637900000004,-67.90362098 -45.8874036,-67.9052818 -45.8875736,-67.90654780000001 -45.8882084,-67.9074919 -45.8882756,-67.90705336 -45.88840606,-67.9066443 -45.8844071,-67.9062474 -45.8852585,-67.908833 -45.885968,-67.9091012 -45.8864012,-67.90594775 -45.88423937,,-67.90591516 -45.88446218,-67.9076958 -45.8841084,-67.9082644 -45.8839366,-67.9093373 -45.8833167,-67.9103136 -45.8831972,-67.90970498 -45.88326091,-67.911365 -45.8831076,-67.9142618 -45.8826968,-67.9159892 -45.8825026,-67.91541483 -45.88231338,-67.9166651 -45.8823159,-67.9170835 -45.8822711,-67.9178345 -45.8833989,-67.9184783 -45.8832943,-67.91747464 -45.88372353,-67.9183173 -45.8833018,-67.9179525 -45.8832943,-67.9178452 -45.8829358,-67.9186606 -45.8819873,-67.9191113 -45.8815466,-67.9197979 -45.8813898,-67.91930941 -45.88137118,-67.9231775 -45.8798138,-67.9230273 -45.8801051,-67.9220295 -45.8802022,-67.9198301 -45.8807027,-67.9191542 -45.8814645,-67.9198301 -45.8813375,-67.92260289 -45.87981886,-67.9288745 -45.8790371,-67.9299045 -45.8786188,-67.929765 -45.8784918,-67.9247224 -45.8798512,-67.9241753 -45.8796943,-67.92746283 -45.879252,-67.9288745 -45.8790371,-67.9299796 -45.8786337,-67.9304302 -45.8776552,-67.9309022 -45.8766245,-67.9306126 -45.8766543,-67.92916705 -45.87686758,-67.9305589 -45.8765722,-67.9309773 -45.8765423,-67.9323184 -45.875011,-67.9336917 -45.8726132,-67.93292309 -45.87290945,-67.9337347 -45.872531,-67.9350007 -45.8704245,-67.9346895 -45.8701032,-67.933282 -45.87018527,-67.936492 -45.8696625,-67.9362881 -45.8694234,-67.9350436 -45.8703273,-67.9347003 -45.8699986,-67.93551008 -45.87004015,-67.9383588 -45.8674437,-67.9380584 -45.8682655,-67.9363847 -45.8693786,-67.9365671 -45.8696326,-67.9400271 -45.8665472</t>
  </si>
  <si>
    <t>-67.9400271 -45.8665472,-67.9452038 -45.8642219,-67.9464403 -45.8647635,-67.9454304 -45.86503525,,-67.94551194 -45.86495899,-67.949152 -45.8670029,-67.9489589 -45.866338,-67.9464805 -45.8656358,-67.946502 -45.8652099,-67.94827454 -45.86749255,-67.9581213 -45.8673466,-67.9581428 -45.8669731,-67.9568553 -45.866226,-67.9523492 -45.8659869,-67.9491305 -45.866226,-67.9489803 -45.8668834,-67.95709848 -45.86769228,-67.9570484 -45.8711267,-67.9574454 -45.8693637,-67.9580891 -45.8675707,-67.95610675 -45.87170205,-67.9571235 -45.8715898,-67.9572952 -45.8723443,-67.9570484 -45.87342,-67.95743470000001 -45.8736217,-67.95650202 -45.87386891,-67.9575098 -45.8735619,-67.9580784 -45.8727253,-67.95720623 -45.87256309,-67.9630244 -45.8733005,-67.9618549 -45.87156740000001,-67.9611683 -45.8714553,-67.9596126 -45.871724300000004,-67.95881870000001 -45.8720007,-67.96214261 -45.87344787,-67.9666829 -45.8734274,-67.9651701 -45.87286720000001,-67.9644513 -45.8730315,-67.9638612 -45.8733752,-67.9632068 -45.8733901,-67.96572509 -45.87368099,-67.96696190000002 -45.8736067,-67.9677129 -45.8742267,-67.9679918 -45.8746077,-67.9672039 -45.87497495,-67.9711676 -45.8706262,-67.9712427 -45.8723667,-67.9717791 -45.8732033,-67.9711139 -45.8738906,-67.9693866 -45.8740474,-67.9686463 -45.874533,-67.96992116 -45.87035971,-67.9710925 -45.8705739,-67.9709744 -45.8714329,-67.9711354 -45.8722173,-67.9706633 -45.8714479,-67.9697943 -45.8691545,-67.9688479 -45.86924263,-67.96972990000002 -45.8689453,-67.96923640000001 -45.8685867,-67.9698372 -45.8679667,-67.96898996 -45.86789944,-67.9704916 -45.8675259,-67.9713821 -45.8670777,-67.9725838 -45.8673092,-67.97170451 -45.86764851,-67.9732597 -45.8674138,-67.9739678 -45.8674661,-67.9742575 -45.8672345,-67.9737854 -45.8666444,-67.9743755 -45.8664576,-67.9735065 -45.8661812,-67.9728949 -45.8655461,-67.97157481 -45.86531756,-67.9780984 -45.8649709,-67.9776263 -45.8648289,-67.9768217 -45.8650007,-67.9760063 -45.86583,-67.9748476 -45.8665622,-67.9738605 -45.866353,-67.9728091 -45.865591,-67.97746123 -45.86525028,-67.9770362 -45.8661886,-67.9775405 -45.8660019,-67.9780447 -45.8660616,-67.9790211 -45.8666444,-67.9791498 -45.8664875,-67.9789352 -45.8662036,-67.978828 -45.8655685,-67.9785597 -45.8651502,-67.97572674 -45.86647737,-67.9788494 -45.8686091,-67.9777122 -45.8662932,-67.9771221 -45.8662409,-67.97752558 -45.86902372,-67.9785383 -45.8689528,-67.9771435 -45.870671,-67.9765534 -45.8706934,-67.9753625 -45.8703498,-67.9735183 -45.87030526;-67.9735183 -45.87030526,-67.9785383 -45.8689528,-67.9771435 -45.870671,-67.9765534 -45.8706934,-67.9753625 -45.8703498,-67.97752558 -45.86902372,-67.9788065 -45.8706037,-67.9790211 -45.8702228,-67.978828 -45.868893,-67.9773795 -45.87092197,-67.9761887 -45.8726132,-67.9763067 -45.8720604,-67.9778838 -45.8710893,-67.97564136 -45.8729339,-67.9800725 -45.873800900000006,-67.9795146 -45.8726879,-67.9796112 -45.8723816,-67.9792464 -45.872165,-67.9787529 -45.8722173,-67.9783773 -45.8729942,-67.9778409 -45.873195900000006,-67.9771113 -45.8730315,-67.97905112 -45.87422359,-67.9801047 -45.8737412,-67.9795146 -45.8726879,-67.9791605 -45.8735694,-67.9792249 -45.8748467,-67.9793966 -45.8748467,-67.9797721 -45.8758476,-67.9800725 -45.876012,-67.97932522 -45.87631183,-67.9764569 -45.8790072,-67.9757595 -45.8787084,-67.9756951 -45.8784321,-67.9790318 -45.877588,-67.9792678 -45.8765199,-67.9792786 -45.8747272,-67.9798257 -45.8760045,-67.9801154 -45.8760643,-67.9757414 -45.87911165,-67.9764569 -45.8790072,-67.9757595 -45.8787084,-67.9755771 -45.8785142,-67.9742253 -45.8787756,-67.974236 -45.878222900000004,-67.97210325 -45.8786421,-67.9739785 -45.8781632,-67.9745579 -45.8782677,-67.9740644 -45.8788802,-67.9710174 -45.8792537,-67.96993071 -45.87922522,-67.9708028 -45.8792686,-67.9686999 -45.8795524,-67.9682064 -45.8792238,-67.96661757 -45.87943084,-67.967391 -45.8796271,-67.9660606 -45.879657,-67.9619408 -45.879179,-67.959795 -45.8789997,-67.9602242 -45.8794852,-67.95937836 -45.87978501,-67.9538298 -45.8776104,-67.9575419 -45.8788205,-67.9596341 -45.8789624,-67.9602242 -45.8794852,-67.95259842 -45.87763583,-67.9534543 -45.8773565,-67.9526925 -45.87711,-67.9530144 -45.8775731,-67.9524779 -45.878813,-67.9512334 -45.8789325,-67.94944114 -45.87896309,-67.9512119 -45.8788877,-67.952435 -45.8787607,-67.9518127 -45.8800454,-67.9474354 -45.8786785,-67.9441524 -45.8779764,-67.9427791 -45.8776328,-67.940805 -45.8776926,-67.93921257 -45.87804782,,-67.93938002 -45.87863178,-67.9433799 -45.8793582,-67.9425859 -45.8792462,-67.9414809 -45.8788951,-67.9399574 -45.8788802,-67.9395819 -45.8785889,-67.9398179 -45.8784246,-67.94258106 -45.87928487,-67.9468131 -45.8799931,-67.9464698 -45.8794927,-67.9443026 -45.8791491,-67.9459034 -45.88040255,-67.9472744 -45.8827118,-67.9475963 -45.8819051,-67.9476392 -45.8807475,-67.9472208 -45.8805159,-67.94607409 -45.88311995,-67.9472744 -45.8852212,-67.9470921 -45.8844967,-67.9472423 -45.883959,-67.9472315 -45.8831823,-67.94628753 -45.88560005,-67.9487872 -45.8868418,-67.9495382 -45.8874766,-67.9496884 -45.88726,-67.9485726 -45.886095,-67.9476714 -45.8855871,-67.94746568 -45.88694764,-67.948696 -45.886909,-67.9494202 -45.887484,-67.9491949 -45.8880889,-67.9491842 -45.8890224,-67.94851142 -45.88940859;-67.94851142 -45.88940859,-67.948696 -45.886909,-67.9494202 -45.887484,-67.9491949 -45.8880889,-67.9491842 -45.8890224,-67.94746568 -45.88694764,-67.9487872 -45.8868418,-67.9495382 -45.8874766,-67.9496884 -45.88726,-67.9485726 -45.886095,-67.9476714 -45.8855871,-67.94628753 -45.88560005,-67.9472744 -45.8852212,-67.9470921 -45.8844967,-67.9472423 -45.883959,-67.9472315 -45.8831823,-67.94607409 -45.88311995,-67.9472744 -45.8827118,-67.9475963 -45.8819051,-67.9476392 -45.8807475,-67.9472208 -45.8805159,-67.9459034 -45.88040255,-67.9468131 -45.8799931,-67.9464698 -45.8794927,-67.9443026 -45.8791491,-67.94258106 -45.87928487,-67.9433799 -45.8793582,-67.9425859 -45.8792462,-67.9414809 -45.8788951,-67.9399574 -45.8788802,-67.9395819 -45.8785889,-67.9398179 -45.8784246,-67.93938002 -45.87863178,-67.9364383 -45.8791566,-67.9368889 -45.8790371,-67.9370821 -45.878798,-67.939657 -45.8787906,-67.9398179 -45.8784246,-67.93512028 -45.8793768,-67.9308057 -45.8796645,-67.9309773 -45.8795823,-67.9308271 -45.8793582,-67.9319429 -45.8795524,-67.9332089 -45.8799333,-67.9339921 -45.8795524,-67.9349685 -45.8793358,-67.935698 -45.8793209,-67.92926139 -45.87980166,-67.9288745 -45.8790371,-67.9299796 -45.8786337,-67.9308271 -45.8793582,-67.9310632 -45.8796271,-67.9308057 -45.8796645,-67.92746283 -45.879252,-67.9288745 -45.8790371,-67.9299796 -45.8786337,-67.9304302 -45.8776552,-67.9309022 -45.8766245,-67.9306126 -45.8766543,-67.92916705 -45.87686758,-67.9305589 -45.8765722,-67.9309773 -45.8765423,-67.9323184 -45.875011,-67.9336917 -45.8726132,-67.93292309 -45.87290945,-67.9337347 -45.872531,-67.9350007 -45.8704245,-67.9346895 -45.8701032,-67.933282 -45.87018527,-67.936492 -45.8696625,-67.9362881 -45.8694234,-67.9350436 -45.8703273,-67.9347003 -45.8699986,-67.93551008 -45.87004015,-67.9383588 -45.8674437,-67.9380584 -45.8682655,-67.9363847 -45.8693786,-67.9365671 -45.8696326,-67.9400271 -45.8665472,-67.9383588 -45.8674437,-67.9380101 -45.8666929,-67.9392922 -45.8661064,-67.93822649 -45.86645361,,-67.93820898 -45.86621382,-67.939437 -45.8659907,-67.9410034 -45.8642985,-67.9397787 -45.86446671,-67.9413575 -45.8643508,-67.94191 -45.8638801,-67.9413092 -45.8637717,-67.94026881 -45.86394522,-67.9412395 -45.8636896,-67.94085860000001 -45.8628677,-67.94016816 -45.86304785,-67.9407942 -45.8630844,-67.9403758 -45.8621878,-67.9386914 -45.8624792,-67.93749455 -45.86270022,-67.9389811 -45.8623559,-67.9389596 -45.8618329,-67.9381979 -45.8610783,-67.9390669 -45.8607794,-67.93809539 -45.86091501,-67.9388309 -45.8607794,-67.938112 -45.8611007,-67.9377472 -45.860899,-67.9362881 -45.8614743,-67.9374897 -45.8619749,-67.93652197 -45.86222667,-67.9375219 -45.8620421,-67.9357517 -45.861085800000005,-67.9346144 -45.8614519,-67.93332777 -45.86169272,-67.9343569 -45.8614145,-67.9335523 -45.861549,-67.9334021 -45.8611381,-67.9309666 -45.8609214,-67.92973166 -45.86112334,-67.9307091 -45.86097370000001,-67.9287457 -45.8609588,-67.9288423 -45.860757,-67.92827234 -45.86082887,-67.9288423 -45.860757,-67.9286063 -45.8609812,-67.9269433 -45.8608168,-67.9254305 -45.8610559,-67.9256237 -45.8606898,-67.92472033 -45.86078317,-67.9253769 -45.8604208,-67.9236388 -45.8595317,-67.9233384 -45.8597857,-67.92204432 -45.86025045,-67.9235315 -45.8601219,-67.9222655 -45.8604731,-67.92116295 -45.86077528,-67.9219651 -45.8610335,-67.9157424 -45.8609887,-67.91412974 -45.86109479,-67.9153347 -45.8605702,-67.9157317 -45.8599725,-67.9146159 -45.859457,-67.91347499 -45.85938782,-67.9145408 -45.8594047,-67.9124916 -45.858777,-67.9112792 -45.8592776,-67.91058213 -45.85962973,-67.9112792 -45.8592776,-67.9102921 -45.8588293,-67.9105067 -45.8586425,-67.90964669 -45.85881191,-67.9102653 -45.8586986,-67.9081625 -45.8581195,-67.90707943 -45.8582017,-67.90773330000002 -45.8580522,-67.9073417 -45.8579177,-67.9068965 -45.8568567,-67.9053408 -45.8563822,-67.90400196 -45.85653031,-67.904284 -45.8564084,-67.9033184 -45.8552726,-67.9019022 -45.8551232,-67.90067511 -45.8549717,,-67.90022567 -45.85540767,-67.9008508 -45.8548093,-67.8990161 -45.8545403,-67.898823 -45.8538678,-67.8965485 -45.8545553,-67.89483427 -45.85484841,-67.887429 -45.855564,-67.8894138 -45.853808,-67.8932333 -45.8533447,-67.8969455 -45.8545851,-67.8963768 -45.8546599,-67.88581092 -45.85597227,-67.887429 -45.855564,-67.8882551 -45.8548691,-67.8894138 -45.853808,-67.8920853 -45.8535689,-67.8916454 -45.8538678,-67.8897357 -45.85395,-67.88910 -45.85436,-67.8875685 -45.8562589,-67.885799 -45.8571033,-67.88544 -45.8578281,-67.88523 -45.85794,-67.88402968 -45.85834964,-67.8814316 -45.8592926,-67.8808415 -45.8591357,-67.880863 -45.8587322,-67.8817642 -45.858239,-67.8850043 -45.8580522,-67.88077392 -45.85953999,-67.8790283 -45.8588293,-67.880466 -45.8587397,-67.8813028 -45.8593598,-67.87771797 -45.85914466,-67.875917 -45.8590236,-67.8765607 -45.8587098,-67.8784597 -45.8588443,-67.87446619 -45.85953534,-67.8759491 -45.8590983,-67.8764319 -45.8599501,-67.87655 -45.8609588,-67.8760779 -45.8611231,-67.87444477 -45.86135588,-67.8761101 -45.86104100000001,-67.8766465 -45.8610185,-67.8767216 -45.8614071,-67.87598229 -45.86175617,-67.8765821 -45.8616835,-67.8765392 -45.8625801,-67.8756702 -45.8635887,-67.8746188 -45.8632151,-67.8734815 -45.8629387,-67.87214197 -45.86308448,,-67.87179317 -45.86271981;-67.87179317 -45.86271981,,-67.87214197 -45.86308448,-67.8765821 -45.8616835,-67.8765392 -45.8625801,-67.8756702 -45.8635887,-67.8746188 -45.8632151,-67.8734815 -45.8629387,-67.87598229 -45.86175617,-67.8761101 -45.86104100000001,-67.8766465 -45.8610185,-67.8767216 -45.8614071,-67.87444477 -45.86135588,-67.8759491 -45.8590983,-67.8764319 -45.8599501,-67.87655 -45.8609588,-67.8760779 -45.8611231,-67.87446619 -45.85953534,-67.875917 -45.8590236,-67.8765607 -45.8587098,-67.8784597 -45.8588443,-67.87771797 -45.85914466,-67.8790283 -45.8588293,-67.880466 -45.8587397,-67.8813028 -45.8593598,-67.88077392 -45.85953999,-67.8814316 -45.8592926,-67.8808415 -45.8591357,-67.880863 -45.8587322,-67.8817642 -45.858239,-67.8850043 -45.8580522,-67.88402968 -45.85834964,-67.887429 -45.855564,-67.8882551 -45.8548691,-67.8894138 -45.853808,-67.8920853 -45.8535689,-67.8916454 -45.8538678,-67.8897357 -45.85395,-67.88910 -45.85436,-67.8875685 -45.8562589,-67.885799 -45.8571033,-67.88544 -45.8578281,-67.88523 -45.85794,-67.88581092 -45.85597227,-67.887429 -45.855564,-67.8894138 -45.853808,-67.8932333 -45.8533447,-67.8969455 -45.8545851,-67.8963768 -45.8546599,-67.89483427 -45.85484841,-67.9008508 -45.8548093,-67.8990161 -45.8545403,-67.898823 -45.8538678,-67.8965485 -45.8545553,-67.90022567 -45.85540767,,-67.90067511 -45.8549717,-67.904284 -45.8564084,-67.9033184 -45.8552726,-67.9019022 -45.8551232,-67.90400196 -45.85653031,-67.90773330000002 -45.8580522,-67.9073417 -45.8579177,-67.9068965 -45.8568567,-67.9053408 -45.8563822,-67.90707943 -45.8582017,-67.9102653 -45.8586986,-67.9081625 -45.8581195,-67.90964669 -45.85881191,-67.9112792 -45.8592776,-67.9102921 -45.8588293,-67.9105067 -45.8586425,-67.91058213 -45.85962973,-67.9145408 -45.8594047,-67.9124916 -45.858777,-67.9112792 -45.8592776,-67.91347499 -45.85938782,-67.9153347 -45.8605702,-67.9157317 -45.8599725,-67.9146159 -45.859457,-67.91412974 -45.86109479,-67.9219651 -45.8610335,-67.9157424 -45.8609887,-67.92116295 -45.86077528,-67.9235315 -45.8601219,-67.9222655 -45.8604731,-67.92204432 -45.86025045,-67.9253769 -45.8604208,-67.9236388 -45.8595317,-67.9233384 -45.8597857,-67.92472033 -45.86078317,-67.9288423 -45.860757,-67.9286063 -45.8609812,-67.9269433 -45.8608168,-67.9254305 -45.8610559,-67.9256237 -45.8606898,-67.92827234 -45.86082887,-67.9307091 -45.86097370000001,-67.9287457 -45.8609588,-67.9288423 -45.860757,-67.92973166 -45.86112334,-67.9343569 -45.8614145,-67.9335523 -45.861549,-67.9334021 -45.8611381,-67.9309666 -45.8609214,-67.93332777 -45.86169272,-67.9375219 -45.8620421,-67.9357517 -45.861085800000005,-67.9346144 -45.8614519,-67.93652197 -45.86222667,-67.9388309 -45.8607794,-67.938112 -45.8611007,-67.9377472 -45.860899,-67.9362881 -45.8614743,-67.9374897 -45.8619749,-67.93809539 -45.86091501,-67.9389811 -45.8623559,-67.9389596 -45.8618329,-67.9381979 -45.8610783,-67.9390669 -45.8607794,-67.93749455 -45.86270022,-67.9407942 -45.8630844,-67.9403758 -45.8621878,-67.9386914 -45.8624792,-67.94016816 -45.86304785,-67.9412395 -45.8636896,-67.94085860000001 -45.8628677,-67.94026881 -45.86394522,-67.9413575 -45.8643508,-67.94191 -45.8638801,-67.9413092 -45.8637717,-67.9397787 -45.86446671,-67.939437 -45.8659907,-67.9410034 -45.8642985,-67.93820898 -45.86621382,,-67.93822649 -45.86645361,-67.9383588 -45.8674437,-67.9380101 -45.8666929,-67.9392922 -45.8661064,-67.9400271 -45.8665472,-67.9452038 -45.8642219,-67.9464403 -45.8647635,-67.9454304 -45.86503525,,-67.94551194 -45.86495899,-67.949152 -45.8670029,-67.9489589 -45.866338,-67.9464805 -45.8656358,-67.946502 -45.8652099,-67.94827454 -45.86749255,-67.9513514 -45.867951700000006,-67.9506004 -45.8681534,-67.9493558 -45.8665622,-67.9490876 -45.8664576,-67.9492164 -45.8668461,-67.95075242 -45.86791677,-67.9511476 -45.8693039,-67.95089010000001 -45.8697222,-67.9506433 -45.8681011,-67.9512978 -45.867892,-67.95011093 -45.86936834,-67.9526013 -45.869965,-67.9517484 -45.8700734,-67.9508901 -45.8697222,-67.9511476 -45.8693039,-67.95188123 -45.87007275,-67.9518449 -45.870925,-67.9516733 -45.8706037,-67.9509866 -45.870275,-67.95089010000001 -45.8697222,-67.9517484 -45.8700734,-67.9526281 -45.8699912,-67.95082673 -45.87123588,-67.9510081 -45.87218,-67.9515123 -45.8715599,-67.9518449 -45.870925,-67.94974928 -45.87213834,-67.9508579 -45.8736739,-67.9509115 -45.8721426,-67.94983615 -45.87396079,-67.9521346 -45.8759746,-67.951448 -45.8759597,-67.9509008 -45.8738383,-67.95155064 -45.87647635,-67.9521346 -45.8759746,-67.9517162 -45.8759074,-67.9513943 -45.8758999,-67.9525959 -45.87702780000001,-67.95337920000001 -45.8774162,-67.95259842 -45.87763583,-67.9534543 -45.8773565,-67.9526925 -45.87711,-67.9530144 -45.8775731,-67.9524779 -45.878813,-67.9512334 -45.8789325,-67.94944114 -45.87896309,-67.9512334 -45.8789325,-67.9524779 -45.878813,-67.9526925 -45.8784619,-67.9535401 -45.8792313,-67.9540229 -45.879403,-67.95317349 -45.87974335;-67.95317349 -45.87974335,-67.9512334 -45.8789325,-67.9524779 -45.878813,-67.9526925 -45.8784619,-67.9535401 -45.8792313,-67.9540229 -45.879403,-67.94944114 -45.87896309,-67.9534543 -45.8773565,-67.9526925 -45.87711,-67.9530144 -45.8775731,-67.9524779 -45.878813,-67.9512334 -45.8789325,-67.95259842 -45.87763583,-67.9521346 -45.8759746,-67.9517162 -45.8759074,-67.9513943 -45.8758999,-67.9525959 -45.87702780000001,-67.95337920000001 -45.8774162,-67.95155064 -45.87647635,-67.9521346 -45.8759746,-67.951448 -45.8759597,-67.9509008 -45.8738383,-67.94983615 -45.87396079,-67.9508579 -45.8736739,-67.9509115 -45.8721426,-67.94974928 -45.87213834,-67.9510081 -45.87218,-67.9515123 -45.8715599,-67.9518449 -45.870925,-67.95082673 -45.87123588,-67.9518449 -45.870925,-67.9516733 -45.8706037,-67.9509866 -45.870275,-67.95089010000001 -45.8697222,-67.9517484 -45.8700734,-67.9526281 -45.8699912,-67.95188123 -45.87007275,-67.9526013 -45.869965,-67.9517484 -45.8700734,-67.9508901 -45.8697222,-67.9511476 -45.8693039,-67.95011093 -45.86936834,-67.9511476 -45.8693039,-67.95089010000001 -45.8697222,-67.9506433 -45.8681011,-67.9512978 -45.867892,-67.95075242 -45.86791677,-67.9513514 -45.867951700000006,-67.9506004 -45.8681534,-67.9493558 -45.8665622,-67.9490876 -45.8664576,-67.9492164 -45.8668461,-67.94827454 -45.86749255,-67.949152 -45.8670029,-67.9489589 -45.866338,-67.9464805 -45.8656358,-67.946502 -45.8652099,-67.94551194 -45.86495899,,-67.9454304 -45.86503525,-67.9452038 -45.8642219,-67.9464403 -45.8647635,-67.9400271 -45.8665472</t>
  </si>
  <si>
    <t>-67.9400271 -45.8665472,-67.9383588 -45.8674437,-67.9380101 -45.8666929,-67.9392922 -45.8661064,-67.93822649 -45.86645361,,-67.93820898 -45.86621382,-67.939437 -45.8659907,-67.9410034 -45.8642985,-67.9397787 -45.86446671,-67.9413575 -45.8643508,-67.94191 -45.8638801,-67.9413092 -45.8637717,-67.94026881 -45.86394522,-67.9412395 -45.8636896,-67.94085860000001 -45.8628677,-67.94016816 -45.86304785,-67.9407513 -45.863103100000004,-67.9403973 -45.8622551,-67.93757020000001 -45.8636746,-67.93638614 -45.8639203,-67.9374468 -45.8637643,-67.93648120000002 -45.8648999,-67.93542287 -45.86514387,-67.9364544 -45.8650082,-67.9343033 -45.8651128,-67.93322311 -45.86539389,-67.934196 -45.8650755,-67.9339492 -45.8648887,-67.9318678 -45.8652174,-67.93025624 -45.86524613,-67.92887450000002 -45.8655984,-67.929647 -45.8660093,-67.9311919 -45.8652622,-67.92761571 -45.86576064,-67.9284239 -45.8655835,-67.9270077 -45.8655162,-67.92568273 -45.86555172,,-67.92617947 -45.86596757,-67.9266429 -45.8657927,-67.9259992 -45.8665696,-67.92478129 -45.86687146,-67.9258382 -45.86658460000001,-67.9220402 -45.8663903,-67.92069068 -45.86664171,-67.9224908 -45.8663306,-67.9191971 -45.8656582,-67.91774956 -45.8661538,-67.9187572 -45.8661064,-67.9176843 -45.8663679,-67.9172981 -45.8656657,-67.91575239 -45.86551598,-67.9164934 -45.8652398,-67.9147875 -45.8642536,-67.9133606 -45.865322,-67.9120409 -45.8651352,-67.91093971 -45.86527418,-67.9122448 -45.8649709,-67.911129 -45.8644105,-67.9103887 -45.8645226,-67.90917641 -45.86476613,-67.9100668 -45.8647318,-67.9098523 -45.8659197,-67.9103565 -45.8661513,-67.90947109 -45.86641003,-67.9100454 -45.8663754,-67.9094982 -45.8663306,-67.909627 -45.86429100000001,-67.90869072 -45.86438156,-67.9108179 -45.86391,-67.9094768 -45.8638353,-67.9077816 -45.8657329,-67.9066443 -45.8662484,-67.90565529 -45.8665856,-67.906419 -45.86626330000001,-67.9050887 -45.8652025,-67.9043591 -45.864814,-67.90314798 -45.8648888,-67.9039943 -45.8644255,-67.9028034 -45.8637381,-67.8999174 -45.8635812,-67.89867893 -45.86374335,-67.8993487 -45.8636634,-67.8988981 -45.8636933,-67.89861920000001 -45.8635215,-67.8975525 -45.86346654,,-67.89779792 -45.86312838,-67.8962696 -45.8632899,-67.8974175 -45.8625203,-67.8984583 -45.8622177,-67.8946526 -45.86372426,-67.8961945 -45.8632674,-67.8952932 -45.8629985,-67.8948426 -45.8620347,-67.89369378 -45.862107,-67.8961086 -45.8601668,-67.8949714 -45.8618927,-67.89506126 -45.86022417,-67.8960952 -45.8598436,-67.8959692 -45.8585678,-67.8961945 -45.8583138,-67.8955936 -45.8581419,-67.8949177 -45.8572976,-67.8950787 -45.8562589,-67.894907 -45.8558629,-67.8937376 -45.8558928,-67.8932869 -45.8566101,-67.8928149 -45.8568492,-67.8926003 -45.8566998,-67.89119881 -45.85678635,-67.8915596 -45.8569165,-67.8910661 -45.8570435,-67.8905296 -45.8572453,-67.8862917 -45.8600846,-67.8869355 -45.8600547,-67.8873861 -45.8596438,-67.8876221 -45.8588667,-67.8886843 -45.8579999,-67.88485253 -45.86038085,-67.8861415 -45.8600696,-67.8866887 -45.8595317,-67.8869033 -45.8586351,-67.88574793 -45.85866319;-67.88574793 -45.85866319,-67.8861415 -45.8600696,-67.8866887 -45.8595317,-67.8869033 -45.8586351,-67.88485253 -45.86038085,-67.8862917 -45.8600846,-67.8869355 -45.8600547,-67.8873861 -45.8596438,-67.8876221 -45.8588667,-67.8886843 -45.8579999,-67.8905296 -45.8572453,-67.8915596 -45.8569165,-67.8910661 -45.8570435,-67.89119881 -45.85678635,-67.8960952 -45.8598436,-67.8959692 -45.8585678,-67.8961945 -45.8583138,-67.8955936 -45.8581419,-67.8949177 -45.8572976,-67.8950787 -45.8562589,-67.894907 -45.8558629,-67.8937376 -45.8558928,-67.8932869 -45.8566101,-67.8928149 -45.8568492,-67.8926003 -45.8566998,-67.89506126 -45.86022417,-67.8961086 -45.8601668,-67.8949714 -45.8618927,-67.89369378 -45.862107,-67.8961945 -45.8632674,-67.8952932 -45.8629985,-67.8948426 -45.8620347,-67.8946526 -45.86372426,-67.8942311 -45.8647841,-67.8944886 -45.8644778,-67.8944886 -45.8640444,-67.8955936 -45.8639772,-67.8958511 -45.8637307,-67.8924736 -45.86523062,-67.8914094 -45.8658749,-67.893244 -45.8652249,-67.88982897 -45.86617984,-67.8899288 -45.8678098,-67.8895211 -45.8675184,-67.8886414 -45.8671001,-67.8869569 -45.8665398,-67.8880835 -45.86621850000001,-67.8924072 -45.8666593,-67.8915596 -45.865957,-67.88880717 -45.86815467,,-67.88877281 -45.86858617,-67.8896284 -45.868654,-67.8885341 -45.8711117,-67.889092 -45.8708652,-67.88842641 -45.87090404,-67.8895426 -45.8722024,-67.888298 -45.8715525,-67.8881264 -45.8713806,-67.8885341 -45.8711117,-67.8891778 -45.8709175,-67.88809317 -45.872722;-67.88809317 -45.872722,-67.8895426 -45.8722024,-67.888298 -45.8715525,-67.8881264 -45.8713806,-67.8885341 -45.8711117,-67.8891778 -45.8709175,-67.88842641 -45.87090404,-67.8896284 -45.868654,-67.8885341 -45.8711117,-67.889092 -45.8708652,-67.88877281 -45.86858617,,-67.88880717 -45.86815467,-67.8899288 -45.8678098,-67.8895211 -45.8675184,-67.8886414 -45.8671001,-67.8869569 -45.8665398,-67.8880835 -45.86621850000001,-67.8924072 -45.8666593,-67.8915596 -45.865957,-67.88982897 -45.86617984,-67.8926647 -45.8667714,-67.8914416 -45.865972,-67.89194102 -45.86726393,-67.8929329 -45.86721210000001,-67.894392 -45.8695056,-67.89334262 -45.86982277,-67.8955185 -45.8706112,-67.895025 -45.8705813,-67.8944993 -45.8697073,-67.89468537 -45.87097799,-67.8951538 -45.8720604,-67.8954649 -45.8713209,-67.8950679 -45.870671,-67.8955185 -45.8706112,-67.89420174 -45.8725767,-67.8954864 -45.8744359,-67.8949392 -45.8739429,-67.895143 -45.8733378,-67.8949499 -45.8727701,-67.89489679 -45.87455424,-67.8992522 -45.8749438,-67.8973424 -45.8751455,-67.8966451 -45.875362100000004,-67.8955722 -45.8745031,-67.89863672 -45.87485225,-67.8996062 -45.8756758,-67.8981364 -45.8751081,-67.8992522 -45.8749438,-67.89781334 -45.87614703,,-67.89805175 -45.8762384,-67.8998315 -45.8761838,-67.9001212 -45.8769457,-67.900883 -45.8771399,-67.9025674 -45.8764527,-67.90200809 -45.87637167,-67.9027498 -45.8764153,-67.9023206 -45.8766319,-67.9053462 -45.8764079,-67.9049706 -45.8759672,-67.90388535 -45.87594679,-67.9065692 -45.87642280000001,-67.9066443 -45.8758626,-67.9054427 -45.876363,-67.9050243 -45.8759149,-67.90493501 -45.87690763,-67.9108071 -45.880613,-67.9116762 -45.8803665,-67.9099488 -45.8795972,-67.9089832 -45.8795748,-67.908479 -45.879291,-67.9081464 -45.8778345,-67.9075241 -45.8768784,-67.9078567 -45.8763107,-67.9075456 -45.8753322,-67.9072452 -45.8752799,-67.9064727 -45.8764004,-67.90902811 -45.88062544,,-67.90891537 -45.88072557,-67.9107428 -45.880501,-67.9119766 -45.880389,-67.9123414 -45.8806952,-67.9129958 -45.8809193,-67.91210808 -45.8814063,,-67.91214619 -45.88124859,-67.9166651 -45.8823159,-67.9169762 -45.8821367,-67.9166543 -45.8815466,-67.913146 -45.8824205,-67.9128242 -45.8814645,-67.91541483 -45.88231338,-67.911365 -45.8831076,-67.9142618 -45.8826968,-67.9159892 -45.8825026,-67.90970498 -45.88326091,-67.9076958 -45.8841084,-67.9082644 -45.8839366,-67.9093373 -45.8833167,-67.9103136 -45.8831972,-67.90591516 -45.88446218,,-67.90594775 -45.88423937,-67.9066443 -45.8844071,-67.9062474 -45.8852585,-67.908833 -45.885968,-67.9091012 -45.8864012,-67.90705336 -45.88840606,-67.9052818 -45.8875736,-67.90654780000001 -45.8882084,-67.9074919 -45.8882756,-67.90362098 -45.8874036,-67.9039729 -45.8871629,-67.9034686 -45.8869165,-67.9041123 -45.886192,-67.9042947 -45.8847656,-67.90316820000001 -45.883637900000004,-67.90293219 -45.8836944,-67.90316820000001 -45.883637900000004,-67.9026854 -45.8831823,-67.9021275 -45.8832794,-67.900722 -45.8842279,-67.9001105 -45.8851465,-67.8995955 -45.8843175,-67.89811074 -45.88424629,-67.896452 -45.8842129,-67.8972995 -45.8841607,-67.8987801 -45.8833839,-67.8993165 -45.8836304,-67.89478887 -45.88442779,-67.895658 -45.88465360000001,-67.8955078 -45.8872675,-67.89402720000001 -45.888186,-67.89313670000001 -45.8879097,-67.8935552 -45.8866999,-67.891624 -45.8850718,-67.88986813 -45.88509226,-67.8916669 -45.8851316,-67.891463 -45.8853332,-67.8890061 -45.8855946,-67.8886521 -45.8849672,-67.88725199 -45.88498287,-67.8877938 -45.885251,-67.8862166 -45.8849523,-67.88477851 -45.88530377,-67.8847039 -45.885542300000004,-67.8854334 -45.8851465,-67.88304639 -45.88588109,-67.8838027 -45.88608,-67.882483 -45.8868716,-67.88085052 -45.88709026,-67.8783846 -45.8885519,-67.8803802 -45.8880143,-67.8826654 -45.8868044,-67.8823113 -45.8868119,-67.87661058 -45.88889945,-67.8765285 -45.89045620000001,-67.877773 -45.8901799,-67.8803802 -45.8880143,-67.8783846 -45.8885519,-67.87484305 -45.89067788,-67.8792322 -45.8901127,-67.877934 -45.8900903,-67.8765285 -45.89045620000001,-67.87813787 -45.88993585,-67.8788996 -45.8901426,-67.877934 -45.8900903,-67.8774834 -45.8904786,-67.8777945 -45.8925098,-67.8783524 -45.8919348,-67.87768072 -45.89180609,-67.8782558 -45.8919497,-67.8778267 -45.8923828,-67.8780413 -45.8938315,-67.8791893 -45.8953398,-67.87842608 -45.89585515,-67.8799939 -45.8961761,-67.8810668 -45.8968855,-67.881496 -45.8974007,-67.88049412 -45.89765426,-67.8816462 -45.8976545,-67.8819466 -45.8992972,-67.8823757 -45.8992374,-67.88283131 -45.8994995,-67.8778481 -45.8999691,-67.8795862 -45.8996556,-67.8816676 -45.8998198,-67.8823113 -45.899342,-67.87600509 -45.90013168,-67.875402 -45.9018954,-67.8762174 -45.9018506,-67.8767323 -45.9016117,-67.8774405 -45.9009995,-67.8778481 -45.8999691,-67.87401 -45.90242679,-67.8778911 -45.9022389,-67.8772688 -45.9023733,-67.8762174 -45.9020895,-67.8762174 -45.9018506,-67.875402 -45.9018954,-67.87749311 -45.90223614,-67.8877831 -45.9058523,-67.8869033 -45.9059867,-67.8840923 -45.9048668,-67.8834271 -45.9042397,-67.8832769 -45.9030601,-67.8820109 -45.9031497,-67.8811312 -45.903299,-67.8780627 -45.9027018,-67.8772688 -45.9023733,-67.8778911 -45.9022389,-67.88690397 -45.90593083,-67.8887486 -45.9139369,-67.8892422 -45.9133771,-67.889092 -45.9088982,-67.8895211 -45.9081964,-67.8884697 -45.9068527,-67.8891134 -45.9060464,-67.8899932 -45.905494,-67.890079 -45.9049863,-67.8895855 -45.9049415,-67.8884912 -45.9054641,-67.88780562 -45.91450171,-67.8887486 -45.9136607,-67.8879547 -45.9129889,-67.886517 -45.9125112,-67.8854227 -45.9119289,-67.8854227 -45.9116154,-67.88656 -45.9111825,-67.8872895 -45.9104509,-67.8866029 -45.9097343,-67.8843713 -45.9097193,-67.8802943 -45.9103016,-67.8787923 -45.9095999,-67.8778052 -45.9098238,-67.8731489 -45.9121529,-67.8766251 -45.9119737,-67.87602778 -45.91201315;-67.87602778 -45.91201315,-67.8887486 -45.9136607,-67.8879547 -45.9129889,-67.886517 -45.9125112,-67.8854227 -45.9119289,-67.8854227 -45.9116154,-67.88656 -45.9111825,-67.8872895 -45.9104509,-67.8866029 -45.9097343,-67.8843713 -45.9097193,-67.8802943 -45.9103016,-67.8787923 -45.9095999,-67.8778052 -45.9098238,-67.8731489 -45.9121529,-67.8766251 -45.9119737,-67.88780562 -45.91450171,-67.8887486 -45.9139369,-67.8892422 -45.9133771,-67.889092 -45.9088982,-67.8895211 -45.9081964,-67.8884697 -45.9068527,-67.8891134 -45.9060464,-67.8899932 -45.905494,-67.890079 -45.9049863,-67.8895855 -45.9049415,-67.8884912 -45.9054641,-67.88690397 -45.90593083,-67.8877831 -45.9058523,-67.8869033 -45.9059867,-67.8840923 -45.9048668,-67.8834271 -45.9042397,-67.8832769 -45.9030601,-67.8820109 -45.9031497,-67.8811312 -45.903299,-67.8780627 -45.9027018,-67.8772688 -45.9023733,-67.8778911 -45.9022389,-67.87749311 -45.90223614,-67.8778911 -45.9022389,-67.8772688 -45.9023733,-67.8762174 -45.9020895,-67.8762174 -45.9018506,-67.875402 -45.9018954,-67.87401 -45.90242679,-67.875402 -45.9018954,-67.8762174 -45.9018506,-67.8767323 -45.9016117,-67.8774405 -45.9009995,-67.8778481 -45.8999691,-67.87600509 -45.90013168,-67.8778481 -45.8999691,-67.8795862 -45.8996556,-67.8816676 -45.8998198,-67.8823113 -45.899342,-67.88283131 -45.8994995,-67.8816462 -45.8976545,-67.8819466 -45.8992972,-67.8823757 -45.8992374,-67.88049412 -45.89765426,-67.8799939 -45.8961761,-67.8810668 -45.8968855,-67.881496 -45.8974007,-67.87842608 -45.89585515,-67.8782558 -45.8919497,-67.8778267 -45.8923828,-67.8780413 -45.8938315,-67.8791893 -45.8953398,-67.87768072 -45.89180609,-67.8788996 -45.8901426,-67.877934 -45.8900903,-67.8774834 -45.8904786,-67.8777945 -45.8925098,-67.8783524 -45.8919348,-67.87813787 -45.88993585,-67.8792322 -45.8901127,-67.877934 -45.8900903,-67.8765285 -45.89045620000001,-67.87484305 -45.89067788,-67.8765285 -45.89045620000001,-67.877773 -45.8901799,-67.8803802 -45.8880143,-67.8783846 -45.8885519,-67.87661058 -45.88889945,-67.8783846 -45.8885519,-67.8803802 -45.8880143,-67.8826654 -45.8868044,-67.8823113 -45.8868119,-67.88085052 -45.88709026,-67.8838027 -45.88608,-67.882483 -45.8868716,-67.88304639 -45.88588109,-67.8847039 -45.885542300000004,-67.8854334 -45.8851465,-67.88477851 -45.88530377,-67.8877938 -45.885251,-67.8862166 -45.8849523,-67.88725199 -45.88498287,-67.8916669 -45.8851316,-67.891463 -45.8853332,-67.8890061 -45.8855946,-67.8886521 -45.8849672,-67.88986813 -45.88509226,-67.895658 -45.88465360000001,-67.8955078 -45.8872675,-67.89402720000001 -45.888186,-67.89313670000001 -45.8879097,-67.8935552 -45.8866999,-67.891624 -45.8850718,-67.89478887 -45.88442779,-67.896452 -45.8842129,-67.8972995 -45.8841607,-67.8987801 -45.8833839,-67.8993165 -45.8836304,-67.89811074 -45.88424629,-67.90316820000001 -45.883637900000004,-67.9026854 -45.8831823,-67.9021275 -45.8832794,-67.900722 -45.8842279,-67.9001105 -45.8851465,-67.8995955 -45.8843175,-67.90293219 -45.8836944,-67.9039729 -45.8871629,-67.9034686 -45.8869165,-67.9041123 -45.886192,-67.9042947 -45.8847656,-67.90316820000001 -45.883637900000004,-67.90362098 -45.8874036,-67.9052818 -45.8875736,-67.90654780000001 -45.8882084,-67.9074919 -45.8882756,-67.90705336 -45.88840606,-67.9066443 -45.8844071,-67.9062474 -45.8852585,-67.908833 -45.885968,-67.9091012 -45.8864012,-67.90594775 -45.88423937,,-67.90591516 -45.88446218,-67.9076958 -45.8841084,-67.9082644 -45.8839366,-67.9093373 -45.8833167,-67.9103136 -45.8831972,-67.90970498 -45.88326091,-67.911365 -45.8831076,-67.9142618 -45.8826968,-67.9159892 -45.8825026,-67.91541483 -45.88231338,-67.9166651 -45.8823159,-67.9170835 -45.8822711,-67.9178345 -45.8833989,-67.9184783 -45.8832943,-67.91747464 -45.88372353,-67.9183173 -45.8833018,-67.9179525 -45.8832943,-67.9178452 -45.8829358,-67.9186606 -45.8819873,-67.9191113 -45.8815466,-67.9197979 -45.8813898,-67.91930941 -45.88137118,-67.9231775 -45.8798138,-67.9230273 -45.8801051,-67.9220295 -45.8802022,-67.9198301 -45.8807027,-67.9191542 -45.8814645,-67.9198301 -45.8813375,-67.92260289 -45.87981886,-67.9288745 -45.8790371,-67.9299045 -45.8786188,-67.929765 -45.8784918,-67.9247224 -45.8798512,-67.9241753 -45.8796943,-67.92746283 -45.879252,-67.9288745 -45.8790371,-67.9299796 -45.8786337,-67.9304302 -45.8776552,-67.9309022 -45.8766245,-67.9306126 -45.8766543,-67.92916705 -45.87686758,-67.9305589 -45.8765722,-67.9309773 -45.8765423,-67.9323184 -45.875011,-67.9336917 -45.8726132,-67.93292309 -45.87290945,-67.9337347 -45.872531,-67.9350007 -45.8704245,-67.9346895 -45.8701032,-67.933282 -45.87018527,-67.936492 -45.8696625,-67.9362881 -45.8694234,-67.9350436 -45.8703273,-67.9347003 -45.8699986,-67.93551008 -45.87004015,-67.9383588 -45.8674437,-67.9380584 -45.8682655,-67.9363847 -45.8693786,-67.9365671 -45.8696326,-67.9400271 -45.8665472</t>
  </si>
  <si>
    <t>-67.9400271 -45.8665472,-67.9383588 -45.8674437,-67.9380584 -45.8682655,-67.9363847 -45.8693786,-67.9365671 -45.8696326,-67.93551008 -45.87004015,-67.936492 -45.8696625,-67.9362881 -45.8694234,-67.9350436 -45.8703273,-67.9347003 -45.8699986,-67.933282 -45.87018527,-67.9337347 -45.872531,-67.9350007 -45.8704245,-67.9346895 -45.8701032,-67.93292309 -45.87290945,-67.9305589 -45.8765722,-67.9309773 -45.8765423,-67.9323184 -45.875011,-67.9336917 -45.8726132,-67.92916705 -45.87686758,-67.9288745 -45.8790371,-67.9299796 -45.8786337,-67.9304302 -45.8776552,-67.9309022 -45.8766245,-67.9306126 -45.8766543,-67.92746283 -45.879252,-67.9288745 -45.8790371,-67.9299796 -45.8786337,-67.9308271 -45.8793582,-67.9310632 -45.8796271,-67.9308057 -45.8796645,-67.92926139 -45.87980166,-67.9308057 -45.8796645,-67.9309773 -45.8795823,-67.9308271 -45.8793582,-67.9319429 -45.8795524,-67.9332089 -45.8799333,-67.9339921 -45.8795524,-67.9349685 -45.8793358,-67.935698 -45.8793209,-67.93512028 -45.8793768,-67.9380155 -45.8812404,-67.938627 -45.880852,-67.9384768 -45.8805682,-67.9371035 -45.8800827,-67.9358482 -45.8797093,-67.9335737 -45.8797616,-67.934432 -45.8794255,-67.9350007 -45.8792835,-67.9357088 -45.8792686,-67.93588984 -45.88149225,-67.9369104 -45.8822487,-67.9367441 -45.8819686,-67.9385787 -45.881274,-67.938568 -45.8809641,-67.9379243 -45.8811844,-67.93623372 -45.88237227,-67.9369962 -45.8822636,-67.9367441 -45.8819686,-67.9343677 -45.8832719,-67.93288041 -45.88347512,,-67.93297197 -45.88384007,-67.9325545 -45.8880964,-67.9324257 -45.8875363,-67.933048 -45.8868642,-67.9335093 -45.8836304,-67.93195275 -45.88880085,,-67.93184093 -45.88869985,-67.929883 -45.8876782,-67.9306018 -45.8878724,-67.9317605 -45.8883727,-67.9326189 -45.888201,-67.92838162 -45.88770662,-67.9286492 -45.8892166,-67.9288638 -45.8878724,-67.9292393 -45.8876931,-67.92758265 -45.88993498,-67.929368 -45.8925994,-67.9296148 -45.8919423,-67.9287994 -45.8913897,-67.9285097 -45.8910014,-67.9286277 -45.8901127,-67.92819602 -45.89300211,-67.9235637 -45.895743,-67.9241538 -45.8953249,-67.9267287 -45.8949142,-67.9271579 -45.8944961,-67.9267287 -45.8942048,-67.9257309 -45.8936448,-67.9256558 -45.8930698,-67.9268682 -45.8923604,-67.9289711 -45.8934208,-67.9293036 -45.893361,-67.92261639 -45.89612501,-67.9221904 -45.8981548,-67.9232204 -45.8984983,-67.9230487 -45.8980652,-67.9224908 -45.89755,-67.9236388 -45.8964449,-67.92046749 -45.89809236,-67.9312027 -45.9008128,-67.9299688 -45.9015296,-67.9282737 -45.9003723,-67.9263103 -45.8994316,-67.9232204 -45.8984983,-67.9221046 -45.8981623,-67.93028301 -45.90068278,-67.9313636 -45.9007755,-67.9299688 -45.9015296,-67.9309559 -45.9024778,-67.931664 -45.9022687,-67.9323721 -45.9010144,-67.9335737 -45.900447,-67.9371786 -45.9012832,-67.9379082 -45.9021045,-67.9396677 -45.9026719,-67.941041 -45.9025674,-67.94048121 -45.90255833,-67.9417276 -45.9060912,-67.9426718 -45.9047623,-67.9416203 -45.9047773,-67.9445601 -45.9035379,-67.942543 -45.9026271,-67.94070253 -45.90708056,-67.9419637 -45.9061061,-67.9426718 -45.9047623,-67.9415345 -45.9048967,-67.938745 -45.9059568,-67.9340029 -45.9072707,-67.9353547 -45.9073006,-67.93482704 -45.9074612,-67.922008 -45.9097193,-67.9201412 -45.9109884,-67.9196906 -45.9109585,-67.9200125 -45.9097492,-67.9210854 -45.909585,-67.9227591 -45.90851,-67.9267287 -45.9077933,-67.9317927 -45.9075544,-67.9344964 -45.9080023,-67.9353762 -45.9076142,-67.92132124 -45.90950332,-67.9221797 -45.9097492,-67.9201412 -45.9109884,-67.91924 -45.911063,-67.9191971 -45.9115109,-67.91938339 -45.91141146,-67.9150558 -45.9126903,-67.9162359 -45.9122126,-67.9164505 -45.9115408,-67.9181457 -45.910645,-67.9202914 -45.9111078,-67.91361731 -45.91301639,-67.9181457 -45.9134368,-67.9172659 -45.9143475,-67.9155493 -45.9147505,-67.9153347 -45.914437,-67.9160857 -45.9122425,-67.9150558 -45.9126903,-67.91754846 -45.91327537;-67.91754846 -45.91327537,-67.9181457 -45.9134368,-67.9172659 -45.9143475,-67.9155493 -45.9147505,-67.9153347 -45.914437,-67.9160857 -45.9122425,-67.9150558 -45.9126903,-67.91361731 -45.91301639,-67.9095197 -45.9178556,-67.9090691 -45.9168107,-67.9049706 -45.9149894,-67.9050565 -45.9146311,-67.908597 -45.9143027,-67.9105282 -45.9135114,-67.9126954 -45.9130636,-67.9141974 -45.9123171,-67.90949828 -45.91775832,-67.9105067 -45.9207068,-67.9081678 -45.9205276,-67.9078245 -45.9200798,-67.9065156 -45.9195574,-67.9081035 -45.9191991,-67.9097772 -45.9180049,-67.91006087 -45.92075561,-67.9186392 -45.925737,-67.9181242 -45.9258713,-67.9160213 -45.924319,-67.9144335 -45.9239011,-67.9125881 -45.9236324,-67.911365 -45.9232891,-67.908361 -45.9205575,-67.9107213 -45.9206172,-67.91781996 -45.92567691,-67.9287672 -45.9270653,-67.927587 -45.9266922,-67.9265141 -45.9266325,-67.9261708 -45.9260206,-67.926321 -45.9254982,-67.9253769 -45.9248713,-67.9232097 -45.9249011,-67.922008 -45.9242593,-67.9200339 -45.9239458,-67.9162788 -45.9243787,-67.9181242 -45.9258713,-67.9186392 -45.925737,-67.92882882 -45.92622679,-67.9366422 -45.9271698,-67.9355264 -45.9268564,-67.9335093 -45.9267071,-67.9319644 -45.9271698,-67.9287672 -45.9270653,-67.93584321 -45.92709528,-67.9435515 -45.9227219,-67.9384983 -45.9223039,-67.9381764 -45.9219979,-67.9378438 -45.9222592,-67.9378438 -45.9241399,-67.9368353 -45.9265728,-67.9433277 -45.92278492;-67.9433277 -45.92278492,-67.9435515 -45.9227219,-67.9384983 -45.9223039,-67.9381764 -45.9219979,-67.9378438 -45.9222592,-67.9378438 -45.9241399,-67.9368353 -45.9265728,-67.93584321 -45.92709528,,-67.93676614 -45.92727049;-67.93676614 -45.92727049,,-67.93584321 -45.92709528,-67.9366422 -45.9271698,-67.9355264 -45.9268564,-67.9335093 -45.9267071,-67.9319644 -45.9271698,-67.9287672 -45.9270653,-67.92882882 -45.92622679,-67.9287672 -45.9270653,-67.927587 -45.9266922,-67.9265141 -45.9266325,-67.9261708 -45.9260206,-67.926321 -45.9254982,-67.9253769 -45.9248713,-67.9232097 -45.9249011,-67.922008 -45.9242593,-67.9200339 -45.9239458,-67.9162788 -45.9243787,-67.9181242 -45.9258713,-67.9186392 -45.925737,-67.91781996 -45.92567691,-67.9186392 -45.925737,-67.9181242 -45.9258713,-67.9160213 -45.924319,-67.9144335 -45.9239011,-67.9125881 -45.9236324,-67.911365 -45.9232891,-67.908361 -45.9205575,-67.9107213 -45.9206172,-67.91006087 -45.92075561,-67.9105067 -45.9207068,-67.9081678 -45.9205276,-67.9078245 -45.9200798,-67.9065156 -45.9195574,-67.9081035 -45.9191991,-67.9097772 -45.9180049,-67.90949828 -45.91775832,-67.9095197 -45.9178556,-67.9090691 -45.9168107,-67.9049706 -45.9149894,-67.9050565 -45.9146311,-67.908597 -45.9143027,-67.9105282 -45.9135114,-67.9126954 -45.9130636,-67.9141974 -45.9123171,-67.91361731 -45.91301639,-67.9150558 -45.9126903,-67.9162359 -45.9122126,-67.9164505 -45.9115408,-67.9181457 -45.910645,-67.9202914 -45.9111078,-67.91938339 -45.91141146,-67.9221797 -45.9097492,-67.9201412 -45.9109884,-67.91924 -45.911063,-67.9191971 -45.9115109,-67.92132124 -45.90950332,-67.922008 -45.9097193,-67.9201412 -45.9109884,-67.9196906 -45.9109585,-67.9200125 -45.9097492,-67.9210854 -45.909585,-67.9227591 -45.90851,-67.9267287 -45.9077933,-67.9317927 -45.9075544,-67.9344964 -45.9080023,-67.9353762 -45.9076142,-67.93482704 -45.9074612,-67.9419637 -45.9061061,-67.9426718 -45.9047623,-67.9415345 -45.9048967,-67.938745 -45.9059568,-67.9340029 -45.9072707,-67.9353547 -45.9073006,-67.94070253 -45.90708056,-67.9420066 -45.9072707, -67.9449141 -45.9072931, -67.9463518 -45.9076291,-67.9477358 -45.9069124,-67.9576063 -45.9040904, -67.9586792 -45.9041949, -67.9598594 -45.9049266, -67.9530573 -45.9053894, -67.948916 -45.9068676,-67.95594313 -45.90408308,-67.9685926 -45.9034484,-67.9653096 -45.9044488,-67.9600525 -45.9049564,-67.9584861 -45.9041651,-67.9576707 -45.9040606,-67.96793825 -45.90348141,-67.9693437 -45.9027914,-67.9659963 -45.8987297,-67.965138 -45.8986401,-67.96354703 -45.89869944,-67.9642367 -45.8983564,-67.9643333 -45.8976993,-67.9650199 -45.8970721,-67.9652989 -45.8964076,-67.9613721 -45.8972065,-67.95956637 -45.89743693,-67.9602778 -45.8973559,-67.959677 -45.8974604,-67.9590976 -45.897326,-67.9587114 -45.8968257,-67.95928 -45.896094,-67.9591405 -45.8953548,-67.95753705 -45.89518861,-67.958411 -45.8946678,-67.9585934 -45.8938464,-67.9590118 -45.8934581,-67.9594839 -45.8932714,-67.9597199 -45.892913,-67.9595053 -45.8926741,-67.95792371 -45.89252328,-67.958647 -45.8921289,-67.9580784 -45.8917854,-67.958411 -45.8907699,-67.9588509 -45.8902397,-67.9578209 -45.8896422,-67.95602222 -45.88970885;-67.95602222 -45.88970885,-67.9577458 -45.889687,-67.9589152 -45.8901575,-67.9578638 -45.8892315,-67.9582071 -45.8887536,-67.9595053 -45.8884474,-67.9607284 -45.889,-67.9613507 -45.8890224,-67.9625523 -45.8881561,-67.9630458 -45.8861696,-67.9629171 -45.8856469,-67.9631639 -45.8856543,-67.96399 -45.8867447,-67.9643333 -45.8867223,-67.96291589 -45.88644251,-67.9671872 -45.8881412,-67.9659748 -45.8870061,-67.9642153 -45.8869314,-67.9642582 -45.8866849,-67.96633372 -45.88873533,-67.9702985 -45.892002,-67.9693437 -45.8927189,-67.9695046 -45.8920393,-67.9694617 -45.8909565,-67.9689038 -45.8902247,-67.9675949 -45.8891494,-67.9695987 -45.89181892,-67.9699337 -45.8946379,-67.9693973 -45.8950411,-67.9688287 -45.894847,-67.9686248 -45.893936,-67.9694724 -45.8926591,-67.9702985 -45.892002,-67.96939983 -45.89469974,-67.9698801 -45.8941675,-67.9696119 -45.8937568,-67.9699659 -45.8935029,-67.96948958 -45.89363794;-67.96948958 -45.89363794,-67.9698801 -45.8941675,-67.9696119 -45.8937568,-67.9699659 -45.8935029,-67.96939983 -45.89469974,-67.9699337 -45.8946379,-67.9693973 -45.8950411,-67.9688287 -45.894847,-67.9686248 -45.893936,-67.9694724 -45.8926591,-67.9702985 -45.892002,-67.9695987 -45.89181892,-67.9702985 -45.892002,-67.9693437 -45.8927189,-67.9695046 -45.8920393,-67.9694617 -45.8909565,-67.9689038 -45.8902247,-67.9675949 -45.8891494,-67.96633372 -45.88873533,-67.9671872 -45.8881412,-67.9659748 -45.8870061,-67.9642153 -45.8869314,-67.9642582 -45.8866849,-67.96291589 -45.88644251,-67.9643977 -45.8867746,-67.9641402 -45.8867895,-67.9629064 -45.8855274,-67.9625845 -45.8842055,-67.9620588 -45.8840412,-67.9608893 -45.8848926,-67.95958113 -45.88533853,-67.960428 -45.8852436,-67.9597843 -45.8853855,-67.9578102 -45.8852959,-67.9558897 -45.8849448,-67.9546167 -45.88506443,-67.9573059 -45.8868268,-67.956748 -45.8864908,-67.9563725 -45.8857215,-67.9556644 -45.8849971,-67.95650174 -45.8868325,-67.957381 -45.8868268,-67.9566729 -45.8866327,-67.953701 -45.8868791,-67.9533148 -45.8869911,-67.9529393 -45.8866103,-67.95178221 -45.88666191,-67.951051 -45.8868418,-67.9516089 -45.886207,-67.952832 -45.8866028,-67.94972726 -45.88693813,-67.948755 -45.886894,-67.9494202 -45.887484,-67.9503751 -45.8875587,-67.9509008 -45.8873571,-67.9508793 -45.8868716,-67.94746568 -45.88694764,-67.9487872 -45.8868418,-67.9495382 -45.8874766,-67.9496884 -45.88726,-67.9485726 -45.886095,-67.9476714 -45.8855871,-67.94628753 -45.88560005,-67.9472744 -45.8852212,-67.9470921 -45.8844967,-67.9472423 -45.883959,-67.9472315 -45.8831823,-67.94607409 -45.88311995,-67.9472744 -45.8827118,-67.9475963 -45.8819051,-67.9476392 -45.8807475,-67.9472208 -45.8805159,-67.9459034 -45.88040255,-67.9468131 -45.8799931,-67.9464698 -45.8794927,-67.9443026 -45.8791491,-67.94258106 -45.87928487,-67.9433799 -45.8793582,-67.9425859 -45.8792462,-67.9414809 -45.8788951,-67.9399574 -45.8788802,-67.9395819 -45.8785889,-67.9398179 -45.8784246,-67.93938002 -45.87863178,-67.9364383 -45.8791566,-67.9368889 -45.8790371,-67.9370821 -45.878798,-67.939657 -45.8787906,-67.9398179 -45.8784246,-67.93512028 -45.8793768,-67.9308057 -45.8796645,-67.9309773 -45.8795823,-67.9308271 -45.8793582,-67.9319429 -45.8795524,-67.9332089 -45.8799333,-67.9339921 -45.8795524,-67.9349685 -45.8793358,-67.935698 -45.8793209,-67.92926139 -45.87980166,-67.9288745 -45.8790371,-67.9299796 -45.8786337,-67.9308271 -45.8793582,-67.9310632 -45.8796271,-67.9308057 -45.8796645,-67.92746283 -45.879252,-67.9288745 -45.8790371,-67.9299796 -45.8786337,-67.9304302 -45.8776552,-67.9309022 -45.8766245,-67.9306126 -45.8766543,-67.92916705 -45.87686758,-67.9305589 -45.8765722,-67.9309773 -45.8765423,-67.9323184 -45.875011,-67.9336917 -45.8726132,-67.93292309 -45.87290945,-67.9337347 -45.872531,-67.9350007 -45.8704245,-67.9346895 -45.8701032,-67.933282 -45.87018527,-67.936492 -45.8696625,-67.9362881 -45.8694234,-67.9350436 -45.8703273,-67.9347003 -45.8699986,-67.93551008 -45.87004015,-67.9383588 -45.8674437,-67.9380584 -45.8682655,-67.9363847 -45.8693786,-67.9365671 -45.8696326,-67.9400271 -45.8665472</t>
  </si>
  <si>
    <t>-67.9400271 -45.8665472,-67.9383588 -45.8674437,-67.9380584 -45.8682655,-67.9363847 -45.8693786,-67.9365671 -45.8696326,-67.93551008 -45.87004015,-67.936492 -45.8696625,-67.9362881 -45.8694234,-67.9350436 -45.8703273,-67.9347003 -45.8699986,-67.933282 -45.87018527,-67.9337347 -45.872531,-67.9350007 -45.8704245,-67.9346895 -45.8701032,-67.93292309 -45.87290945,-67.9305589 -45.8765722,-67.9309773 -45.8765423,-67.9323184 -45.875011,-67.9336917 -45.8726132,-67.92916705 -45.87686758,-67.9288745 -45.8790371,-67.9299796 -45.8786337,-67.9304302 -45.8776552,-67.9309022 -45.8766245,-67.9306126 -45.8766543,-67.92746283 -45.879252,-67.9288745 -45.8790371,-67.9299796 -45.8786337,-67.9308271 -45.8793582,-67.9310632 -45.8796271,-67.9308057 -45.8796645,-67.92926139 -45.87980166,-67.9308057 -45.8796645,-67.9309773 -45.8795823,-67.9308271 -45.8793582,-67.9319429 -45.8795524,-67.9332089 -45.8799333,-67.9339921 -45.8795524,-67.9349685 -45.8793358,-67.935698 -45.8793209,-67.93512028 -45.8793768,-67.9364383 -45.8791566,-67.9368889 -45.8790371,-67.9370821 -45.878798,-67.939657 -45.8787906,-67.9398179 -45.8784246,-67.93938002 -45.87863178,-67.9433799 -45.8793582,-67.9425859 -45.8792462,-67.9414809 -45.8788951,-67.9399574 -45.8788802,-67.9395819 -45.8785889,-67.9398179 -45.8784246,-67.94258106 -45.87928487,-67.9468131 -45.8799931,-67.9464698 -45.8794927,-67.9443026 -45.8791491,-67.9459034 -45.88040255,-67.9472744 -45.8827118,-67.9475963 -45.8819051,-67.9476392 -45.8807475,-67.9472208 -45.8805159,-67.94607409 -45.88311995,-67.9472744 -45.8852212,-67.9470921 -45.8844967,-67.9472423 -45.883959,-67.9472315 -45.8831823,-67.94628753 -45.88560005,-67.9487872 -45.8868418,-67.9495382 -45.8874766,-67.9496884 -45.88726,-67.9485726 -45.886095,-67.9476714 -45.8855871,-67.94746568 -45.88694764,-67.948696 -45.886909,-67.9494202 -45.887484,-67.9491949 -45.8880889,-67.9491842 -45.8890224,-67.94851142 -45.88940859,-67.9492593 -45.8893958,-67.9482508 -45.8911806,-67.94741116 -45.89163645;-67.94741116 -45.89163645,-67.953701 -45.8891792,-67.9537976 -45.8898588,-67.9529715 -45.8906056,-67.9515767 -45.8903293,-67.9498279 -45.8905906,-67.9490983 -45.8910462,-67.95220821 -45.8890951,-67.9531646 -45.88667,-67.9533255 -45.8870733,-67.9523599 -45.8875064,-67.9523385 -45.888074,-67.9529393 -45.8886416,-67.95178221 -45.88666191,-67.957381 -45.8868268,-67.9566729 -45.8866327,-67.953701 -45.8868791,-67.9533148 -45.8869911,-67.9529393 -45.8866103,-67.95650174 -45.8868325,-67.9563618 -45.8869613,-67.9570055 -45.8870583,-67.9568553 -45.8866028,-67.957381 -45.8868268,-67.95495587 -45.8875866,-67.9576063 -45.8896124,-67.9577136 -45.888888,-67.9572308 -45.8876483,-67.9565012 -45.8869986,-67.95602222 -45.88970885,-67.958647 -45.8921289,-67.9580784 -45.8917854,-67.958411 -45.8907699,-67.9588509 -45.8902397,-67.9578209 -45.8896422,-67.95792371 -45.89252328,-67.958411 -45.8946678,-67.9585934 -45.8938464,-67.9590118 -45.8934581,-67.9594839 -45.8932714,-67.9597199 -45.892913,-67.9595053 -45.8926741,-67.95753705 -45.89518861,-67.9602778 -45.8973559,-67.959677 -45.8974604,-67.9590976 -45.897326,-67.9587114 -45.8968257,-67.95928 -45.896094,-67.9591405 -45.8953548,-67.95956637 -45.89743693,-67.9612112 -45.8971319,-67.9633784 -45.8962807,-67.9639149 -45.8957132,-67.9634535 -45.8934357,-67.9631853 -45.892801,-67.96212496 -45.89267136,-67.9636359 -45.8920916,-67.9636359 -45.890964,-67.96267485 -45.89061558;-67.96267485 -45.89061558,-67.9636359 -45.8920916,-67.9636359 -45.890964,-67.96212496 -45.89267136,-67.963196 -45.8927189,-67.9626918 -45.8927114,-67.9624236 -45.8909043,-67.9618871 -45.8908445,-67.9608786 -45.8903442,-67.95958813 -45.89007642,-67.9609108 -45.8902845,-67.9623485 -45.8909491,-67.9621017 -45.8899111,-67.962445 -45.8899634,-67.9637861 -45.8886864,-67.96290254 -45.88863388,-67.9670262 -45.8881263,-67.9660714 -45.8869613,-67.9657602 -45.8876259,-67.9651165 -45.8877678,-67.9650307 -45.887947,-67.964462 -45.8880815,-67.96633372 -45.88873533,-67.9671872 -45.8881412,-67.9659748 -45.8870061,-67.9642153 -45.8869314,-67.9642582 -45.8866849,-67.96291589 -45.88644251,-67.9642582 -45.8866849,-67.9660714 -45.8869613,-67.9663503 -45.8865505,-67.9662859 -45.88549,-67.9665112 -45.8837798,-67.9671657 -45.8837275,-67.9670477 -45.8843548,-67.96615149 -45.88487087,-67.9689896 -45.8855572,-67.9684317 -45.8850942,-67.9680133 -45.8843399,-67.9672301 -45.8837872,-67.9670477 -45.8843548,-67.96828667 -45.88589528,-67.9702342 -45.8858709,-67.9697192 -45.8860352,-67.9691613 -45.8857589,-67.96952973 -45.8860392,-67.9752874 -45.8886341,-67.9738069 -45.8884922,-67.9698479 -45.8860651,-67.9702234 -45.8859307,-67.97417558 -45.88870119;-67.97417558 -45.88870119,-67.9755127 -45.8898364,-67.9753196 -45.8896348,-67.9751372 -45.889239,-67.9736996 -45.8884922,-67.9752123 -45.8886192,-67.97500117 -45.89011334,-67.9778516 -45.8901202,-67.977283 -45.8901052,-67.9767358 -45.889926,-67.97751751 -45.89013616,-67.9825187 -45.8903218,-67.979182 -45.8900455,-67.98197943 -45.89056257,-67.9825401 -45.8906205,-67.9820251 -45.8918004,-67.98023252 -45.89201679;-67.98023252 -45.89201679,-67.9806304 -45.8917854,-67.9784203 -45.8917854,-67.9782271 -45.8926517,-67.97648439 -45.89266109,-67.9749441 -45.8933834,-67.9761243 -45.8929055,-67.9766607 -45.892353,-67.97316911 -45.89352066,-67.9725194 -45.8940704,-67.9735279 -45.8935179,-67.97168684 -45.8946769;-67.97168684 -45.8946769,-67.9725194 -45.8940704,-67.9735279 -45.8935179,-67.97316911 -45.89352066,-67.9749441 -45.8933834,-67.9761243 -45.8929055,-67.9766607 -45.892353,-67.97648439 -45.89266109,-67.9793 -45.8940107,-67.9789138 -45.8935925,-67.9785919 -45.8927711,-67.9782271 -45.8926517,-67.97886335 -45.8939859;-67.97886335 -45.8939859,-67.9793 -45.8940107,-67.9789138 -45.8935925,-67.9785919 -45.8927711,-67.9782271 -45.8926517,-67.97648439 -45.89266109,-67.9806304 -45.8917854,-67.9784203 -45.8917854,-67.9782271 -45.8926517,-67.98023252 -45.89201679,-67.984364 -45.8918302,-67.9820251 -45.8918004,-67.98373313 -45.89220254;-67.98373313 -45.89220254,-67.984364 -45.8918302,-67.9820251 -45.8918004,-67.98023252 -45.89201679,-67.9806304 -45.8917854,-67.9784203 -45.8917854,-67.9782271 -45.8926517,-67.97648439 -45.89266109,-67.9749441 -45.8933834,-67.9761243 -45.8929055,-67.9766607 -45.892353,-67.97316911 -45.89352066,-67.9725194 -45.8940704,-67.9735279 -45.8935179,-67.97168684 -45.8946769,-67.9729271 -45.8958177,-67.9726696 -45.8949515,-67.97161551 -45.8965517,-67.9721761 -45.8962209,-67.9716182 -45.8947873,-67.9710388 -45.8947723,-67.96939983 -45.89469974,-67.9699337 -45.8946379,-67.9693973 -45.8950411,-67.9688287 -45.894847,-67.9686248 -45.893936,-67.9694724 -45.8926591,-67.9702985 -45.892002,-67.9695987 -45.89181892,-67.9702985 -45.892002,-67.9693437 -45.8927189,-67.9695046 -45.8920393,-67.9694617 -45.8909565,-67.9689038 -45.8902247,-67.9675949 -45.8891494,-67.96633372 -45.88873533,-67.9671872 -45.8881412,-67.9659748 -45.8870061,-67.9642153 -45.8869314,-67.9642582 -45.8866849,-67.96291589 -45.88644251,-67.9643977 -45.8867746,-67.9641402 -45.8867895,-67.9629064 -45.8855274,-67.9625845 -45.8842055,-67.9620588 -45.8840412,-67.9608893 -45.8848926,-67.95958113 -45.88533853,-67.960428 -45.8852436,-67.9597843 -45.8853855,-67.9578102 -45.8852959,-67.9558897 -45.8849448,-67.9546167 -45.88506443,-67.9573059 -45.8868268,-67.956748 -45.8864908,-67.9563725 -45.8857215,-67.9556644 -45.8849971,-67.95650174 -45.8868325,-67.957381 -45.8868268,-67.9566729 -45.8866327,-67.953701 -45.8868791,-67.9533148 -45.8869911,-67.9529393 -45.8866103,-67.95178221 -45.88666191,-67.951051 -45.8868418,-67.9516089 -45.886207,-67.952832 -45.8866028,-67.94972726 -45.88693813,-67.948755 -45.886894,-67.9494202 -45.887484,-67.9503751 -45.8875587,-67.9509008 -45.8873571,-67.9508793 -45.8868716,-67.94746568 -45.88694764,-67.9487872 -45.8868418,-67.9495382 -45.8874766,-67.9496884 -45.88726,-67.9485726 -45.886095,-67.9476714 -45.8855871,-67.94628753 -45.88560005,-67.9472744 -45.8852212,-67.9470921 -45.8844967,-67.9472423 -45.883959,-67.9472315 -45.8831823,-67.94607409 -45.88311995,-67.9472744 -45.8827118,-67.9475963 -45.8819051,-67.9476392 -45.8807475,-67.9472208 -45.8805159,-67.9459034 -45.88040255,-67.9468131 -45.8799931,-67.9464698 -45.8794927,-67.9443026 -45.8791491,-67.94258106 -45.87928487,-67.9433799 -45.8793582,-67.9425859 -45.8792462,-67.9414809 -45.8788951,-67.9399574 -45.8788802,-67.9395819 -45.8785889,-67.9398179 -45.8784246,-67.93938002 -45.87863178,-67.9364383 -45.8791566,-67.9368889 -45.8790371,-67.9370821 -45.878798,-67.939657 -45.8787906,-67.9398179 -45.8784246,-67.93512028 -45.8793768,-67.9308057 -45.8796645,-67.9309773 -45.8795823,-67.9308271 -45.8793582,-67.9319429 -45.8795524,-67.9332089 -45.8799333,-67.9339921 -45.8795524,-67.9349685 -45.8793358,-67.935698 -45.8793209,-67.92926139 -45.87980166,-67.9288745 -45.8790371,-67.9299796 -45.8786337,-67.9308271 -45.8793582,-67.9310632 -45.8796271,-67.9308057 -45.8796645,-67.92746283 -45.879252,-67.9288745 -45.8790371,-67.9299796 -45.8786337,-67.9304302 -45.8776552,-67.9309022 -45.8766245,-67.9306126 -45.8766543,-67.92916705 -45.87686758,-67.9305589 -45.8765722,-67.9309773 -45.8765423,-67.9323184 -45.875011,-67.9336917 -45.8726132,-67.93292309 -45.87290945,-67.9337347 -45.872531,-67.9350007 -45.8704245,-67.9346895 -45.8701032,-67.933282 -45.87018527,-67.936492 -45.8696625,-67.9362881 -45.8694234,-67.9350436 -45.8703273,-67.9347003 -45.8699986,-67.93551008 -45.87004015,-67.9383588 -45.8674437,-67.9380584 -45.8682655,-67.9363847 -45.8693786,-67.9365671 -45.8696326,-67.9400271 -45.8665472</t>
  </si>
  <si>
    <t>-67.9400271 -45.8665472,-67.9383588 -45.8674437,-67.9380584 -45.8682655,-67.9363847 -45.8693786,-67.9365671 -45.8696326,-67.93551008 -45.87004015,-67.936492 -45.8696625,-67.9362881 -45.8694234,-67.9350436 -45.8703273,-67.9347003 -45.8699986,-67.933282 -45.87018527,-67.9337347 -45.872531,-67.9350007 -45.8704245,-67.9346895 -45.8701032,-67.93292309 -45.87290945,-67.9305589 -45.8765722,-67.9309773 -45.8765423,-67.9323184 -45.875011,-67.9336917 -45.8726132,-67.92916705 -45.87686758,-67.9288745 -45.8790371,-67.9299796 -45.8786337,-67.9304302 -45.8776552,-67.9309022 -45.8766245,-67.9306126 -45.8766543,-67.92746283 -45.879252,-67.9288745 -45.8790371,-67.9299045 -45.8786188,-67.929765 -45.8784918,-67.9247224 -45.8798512,-67.9241753 -45.8796943,-67.92260289 -45.87981886,-67.9231775 -45.8798138,-67.9230273 -45.8801051,-67.9220295 -45.8802022,-67.9198301 -45.8807027,-67.9191542 -45.8814645,-67.9198301 -45.8813375,-67.91930941 -45.88137118,-67.9183173 -45.8833018,-67.9179525 -45.8832943,-67.9178452 -45.8829358,-67.9186606 -45.8819873,-67.9191113 -45.8815466,-67.9197979 -45.8813898,-67.91747464 -45.88372353,-67.9166651 -45.8823159,-67.9170835 -45.8822711,-67.9178345 -45.8833989,-67.9184783 -45.8832943,-67.91541483 -45.88231338,-67.911365 -45.8831076,-67.9142618 -45.8826968,-67.9159892 -45.8825026,-67.90970498 -45.88326091,-67.9076958 -45.8841084,-67.9082644 -45.8839366,-67.9093373 -45.8833167,-67.9103136 -45.8831972,-67.90591516 -45.88446218,,-67.90594775 -45.88423937,-67.9066443 -45.8844071,-67.9062474 -45.8852585,-67.908833 -45.885968,-67.9091012 -45.8864012,-67.90705336 -45.88840606,-67.9052818 -45.8875736,-67.90654780000001 -45.8882084,-67.9074919 -45.8882756,-67.90362098 -45.8874036,-67.9039729 -45.8871629,-67.9034686 -45.8869165,-67.9041123 -45.886192,-67.9042947 -45.8847656,-67.90316820000001 -45.883637900000004,-67.90293219 -45.8836944,-67.90316820000001 -45.883637900000004,-67.9026854 -45.8831823,-67.9021275 -45.8832794,-67.900722 -45.8842279,-67.9001105 -45.8851465,-67.8995955 -45.8843175,-67.89811074 -45.88424629,-67.896452 -45.8842129,-67.8972995 -45.8841607,-67.8987801 -45.8833839,-67.8993165 -45.8836304,-67.89478887 -45.88442779,-67.895658 -45.88465360000001,-67.8955078 -45.8872675,-67.89402720000001 -45.888186,-67.89313670000001 -45.8879097,-67.8935552 -45.8866999,-67.891624 -45.8850718,-67.88986813 -45.88509226,-67.8916669 -45.8851316,-67.891463 -45.8853332,-67.8890061 -45.8855946,-67.8886521 -45.8849672,-67.88725199 -45.88498287,-67.8877938 -45.885251,-67.8862166 -45.8849523,-67.88477851 -45.88530377,-67.8847039 -45.885542300000004,-67.8854334 -45.8851465,-67.88304639 -45.88588109,-67.8838027 -45.88608,-67.882483 -45.8868716,-67.88085052 -45.88709026,-67.8783846 -45.8885519,-67.8803802 -45.8880143,-67.8826654 -45.8868044,-67.8823113 -45.8868119,-67.87661058 -45.88889945,-67.8765285 -45.89045620000001,-67.877773 -45.8901799,-67.8803802 -45.8880143,-67.8783846 -45.8885519,-67.87484305 -45.89067788,-67.8792322 -45.8901127,-67.877934 -45.8900903,-67.8765285 -45.89045620000001,-67.87813787 -45.88993585;-67.87813787 -45.88993585,-67.8788996 -45.8901426,-67.877934 -45.8900903,-67.8774834 -45.8904786,-67.8777945 -45.8925098,-67.8783524 -45.8919348,-67.87768072 -45.89180609,-67.8782558 -45.8919497,-67.8778267 -45.8923828,-67.8780413 -45.8938315,-67.8791893 -45.8953398,-67.87842608 -45.89585515,-67.8799939 -45.8961761,-67.8810668 -45.8968855,-67.881496 -45.8974007,-67.88049412 -45.89765426;-67.88049412 -45.89765426,-67.8816462 -45.8976545,-67.8819466 -45.8992972,-67.8823757 -45.8992374,-67.88283131 -45.8994995,-67.8778481 -45.8999691,-67.8795862 -45.8996556,-67.8816676 -45.8998198,-67.8823113 -45.899342,-67.87600509 -45.90013168,-67.875402 -45.9018954,-67.8762174 -45.9018506,-67.8767323 -45.9016117,-67.8774405 -45.9009995,-67.8778481 -45.8999691,-67.87401 -45.90242679,-67.8778911 -45.9022389,-67.8772688 -45.9023733,-67.8762174 -45.9020895,-67.8762174 -45.9018506,-67.875402 -45.9018954,-67.87749311 -45.90223614,-67.8877831 -45.9058523,-67.8869033 -45.9059867,-67.8840923 -45.9048668,-67.8834271 -45.9042397,-67.8832769 -45.9030601,-67.8820109 -45.9031497,-67.8811312 -45.903299,-67.8780627 -45.9027018,-67.8772688 -45.9023733,-67.8778911 -45.9022389,-67.88690397 -45.90593083,-67.8887486 -45.9139369,-67.8892422 -45.9133771,-67.889092 -45.9088982,-67.8895211 -45.9081964,-67.8884697 -45.9068527,-67.8891134 -45.9060464,-67.8899932 -45.905494,-67.890079 -45.9049863,-67.8895855 -45.9049415,-67.8884912 -45.9054641,-67.88780562 -45.91450171,-67.892257 -45.917781,-67.8922355 -45.9171241,-67.8925788 -45.9166017,-67.8926325 -45.9163553,-67.8917956 -45.9155044,-67.8909266 -45.914855,-67.8902507 -45.9144445,-67.8900683 -45.9137279,-67.8889096 -45.913601,-67.888813 -45.9138473,-67.89164408 -45.91850265,-67.895422 -45.9189901,-67.8929543 -45.9186468,-67.8948966 -45.91911867,-67.8951859 -45.9189752,-67.8956151 -45.9181094,-67.8975034 -45.9169749,-67.8979325 -45.9163329,-67.8972459 -45.916945,-67.8964305 -45.9169151,-67.8960013 -45.9166017,-67.89415644 -45.91643339,-67.9095197 -45.9178556,-67.9090691 -45.9168107,-67.90527 -45.9149745,-67.9052067 -45.9146162,-67.9025245 -45.9141235,-67.90171 -45.9145565,-67.89907 -45.9147953,-67.8979325 -45.9163329,-67.8972459 -45.916945,-67.8961945 -45.916945,-67.896 -45.9166,-67.90949828 -45.91775832,-67.9105067 -45.9207068,-67.9081678 -45.9205276,-67.9078245 -45.9200798,-67.9065156 -45.9195574,-67.9081035 -45.9191991,-67.9097772 -45.9180049,-67.91006087 -45.92075561,-67.9009366 -45.9240205,-67.9032111 -45.9240951,-67.9045844 -45.9234831,-67.9111075 -45.9230055,-67.908361 -45.9205575,-67.9102921 -45.920662,-67.89923257 -45.9242339,-67.9032755 -45.9242593,-67.9009366 -45.9240205,-67.90260909 -45.92466322;-67.90260909 -45.92466322,-67.9032755 -45.9242593,-67.9009366 -45.9240205,-67.89923257 -45.9242339,-67.9009366 -45.9240205,-67.9032111 -45.9240951,-67.9045844 -45.9234831,-67.9111075 -45.9230055,-67.908361 -45.9205575,-67.9102921 -45.920662,-67.91006087 -45.92075561,-67.9102921 -45.920662,-67.908361 -45.9205575,-67.9075885 -45.9200201,-67.9060221 -45.9194977,-67.9027176 -45.9217367,-67.90106153 -45.92208325,-67.898984 -45.9215725,-67.9012799 -45.9215277,-67.9016232 -45.9217367,-67.8972875 -45.92186977;-67.8972875 -45.92186977,-67.898984 -45.9215725,-67.9012799 -45.9215277,-67.9016232 -45.9217367,-67.90106153 -45.92208325,-67.9102921 -45.920662,-67.908361 -45.9205575,-67.9075885 -45.9200201,-67.9060221 -45.9194977,-67.9027176 -45.9217367,-67.91006087 -45.92075561,-67.9105067 -45.9207068,-67.9081678 -45.9205276,-67.9078245 -45.9200798,-67.9065156 -45.9195574,-67.9081035 -45.9191991,-67.9097772 -45.9180049,-67.90949828 -45.91775832,-67.9095197 -45.9178556,-67.9090691 -45.9168107,-67.9049706 -45.9149894,-67.9050565 -45.9146311,-67.908597 -45.9143027,-67.9105282 -45.9135114,-67.9126954 -45.9130636,-67.9141974 -45.9123171,-67.91361731 -45.91301639,-67.9150558 -45.9126903,-67.9162359 -45.9122126,-67.9164505 -45.9115408,-67.9181457 -45.910645,-67.9202914 -45.9111078,-67.91938339 -45.91141146,-67.9221797 -45.9097492,-67.9201412 -45.9109884,-67.91924 -45.911063,-67.9191971 -45.9115109,-67.92132124 -45.90950332,-67.922008 -45.9097193,-67.9201412 -45.9109884,-67.9196906 -45.9109585,-67.9200125 -45.9097492,-67.9210854 -45.909585,-67.9227591 -45.90851,-67.9267287 -45.9077933,-67.9317927 -45.9075544,-67.9344964 -45.9080023,-67.9353762 -45.9076142,-67.93482704 -45.9074612,-67.9419637 -45.9061061,-67.9426718 -45.9047623,-67.9415345 -45.9048967,-67.938745 -45.9059568,-67.9340029 -45.9072707,-67.9353547 -45.9073006,-67.94070253 -45.90708056,-67.9420066 -45.9072707, -67.9449141 -45.9072931, -67.9463518 -45.9076291,-67.9477358 -45.9069124,-67.9576063 -45.9040904, -67.9586792 -45.9041949, -67.9598594 -45.9049266, -67.9530573 -45.9053894, -67.948916 -45.9068676,-67.95594313 -45.90408308,-67.9685926 -45.9034484,-67.9653096 -45.9044488,-67.9600525 -45.9049564,-67.9584861 -45.9041651,-67.9576707 -45.9040606,-67.96793825 -45.90348141,-67.9693437 -45.9027914,-67.9659963 -45.8987297,-67.965138 -45.8986401,-67.96354703 -45.89869944;-67.96354703 -45.89869944,-67.9642367 -45.8983564,-67.9643333 -45.8976993,-67.9650199 -45.8970721,-67.9652989 -45.8964076,-67.9613721 -45.8972065,-67.95956637 -45.89743693,-67.9602778 -45.8973559,-67.959677 -45.8974604,-67.9590976 -45.897326,-67.9587114 -45.8968257,-67.95928 -45.896094,-67.9591405 -45.8953548,-67.95753705 -45.89518861;-67.95753705 -45.89518861,-67.958411 -45.8946678,-67.9585934 -45.8938464,-67.9590118 -45.8934581,-67.9594839 -45.8932714,-67.9597199 -45.892913,-67.9595053 -45.8926741,-67.95792371 -45.89252328,-67.958647 -45.8921289,-67.9580784 -45.8917854,-67.958411 -45.8907699,-67.9588509 -45.8902397,-67.9578209 -45.8896422,-67.95602222 -45.88970885,-67.9576063 -45.8896124,-67.9577136 -45.888888,-67.9572308 -45.8876483,-67.9565012 -45.8869986,-67.95495587 -45.8875866,-67.9563618 -45.8869613,-67.9570055 -45.8870583,-67.9568553 -45.8866028,-67.957381 -45.8868268,-67.95650174 -45.8868325,-67.957381 -45.8868268,-67.9566729 -45.8866327,-67.953701 -45.8868791,-67.9533148 -45.8869911,-67.9529393 -45.8866103,-67.95178221 -45.88666191,-67.951051 -45.8868418,-67.9516089 -45.886207,-67.952832 -45.8866028,-67.94972726 -45.88693813,-67.948755 -45.886894,-67.9494202 -45.887484,-67.9503751 -45.8875587,-67.9509008 -45.8873571,-67.9508793 -45.8868716,-67.94746568 -45.88694764,-67.9487872 -45.8868418,-67.9495382 -45.8874766,-67.9496884 -45.88726,-67.9485726 -45.886095,-67.9476714 -45.8855871,-67.94628753 -45.88560005,-67.9472744 -45.8852212,-67.9470921 -45.8844967,-67.9472423 -45.883959,-67.9472315 -45.8831823,-67.94607409 -45.88311995,-67.9472744 -45.8827118,-67.9475963 -45.8819051,-67.9476392 -45.8807475,-67.9472208 -45.8805159,-67.9459034 -45.88040255,-67.9468131 -45.8799931,-67.9464698 -45.8794927,-67.9443026 -45.8791491,-67.94258106 -45.87928487,-67.9433799 -45.8793582,-67.9425859 -45.8792462,-67.9414809 -45.8788951,-67.9399574 -45.8788802,-67.9395819 -45.8785889,-67.9398179 -45.8784246,-67.93938002 -45.87863178,-67.9364383 -45.8791566,-67.9368889 -45.8790371,-67.9370821 -45.878798,-67.939657 -45.8787906,-67.9398179 -45.8784246,-67.93512028 -45.8793768,-67.9308057 -45.8796645,-67.9309773 -45.8795823,-67.9308271 -45.8793582,-67.9319429 -45.8795524,-67.9332089 -45.8799333,-67.9339921 -45.8795524,-67.9349685 -45.8793358,-67.935698 -45.8793209,-67.92926139 -45.87980166,-67.9288745 -45.8790371,-67.9299796 -45.8786337,-67.9308271 -45.8793582,-67.9310632 -45.8796271,-67.9308057 -45.8796645,-67.92746283 -45.879252,-67.9288745 -45.8790371,-67.9299796 -45.8786337,-67.9304302 -45.8776552,-67.9309022 -45.8766245,-67.9306126 -45.8766543,-67.92916705 -45.87686758,-67.9305589 -45.8765722,-67.9309773 -45.8765423,-67.9323184 -45.875011,-67.9336917 -45.8726132,-67.93292309 -45.87290945,-67.9337347 -45.872531,-67.9350007 -45.8704245,-67.9346895 -45.8701032,-67.933282 -45.87018527,-67.936492 -45.8696625,-67.9362881 -45.8694234,-67.9350436 -45.8703273,-67.9347003 -45.8699986,-67.93551008 -45.87004015,-67.9383588 -45.8674437,-67.9380584 -45.8682655,-67.9363847 -45.8693786,-67.9365671 -45.8696326,-67.9400271 -45.8665472</t>
  </si>
  <si>
    <t>-67.9400271 -45.8665472,-67.9383588 -45.8674437,-67.9380584 -45.8682655,-67.9363847 -45.8693786,-67.9365671 -45.8696326,-67.93551008 -45.87004015,-67.936492 -45.8696625,-67.9362881 -45.8694234,-67.9350436 -45.8703273,-67.9347003 -45.8699986,-67.933282 -45.87018527,-67.9337347 -45.872531,-67.9350007 -45.8704245,-67.9346895 -45.8701032,-67.93292309 -45.87290945,-67.9305589 -45.8765722,-67.9309773 -45.8765423,-67.9323184 -45.875011,-67.9336917 -45.8726132,-67.92916705 -45.87686758,-67.9288745 -45.8790371,-67.9299796 -45.8786337,-67.9304302 -45.8776552,-67.9309022 -45.8766245,-67.9306126 -45.8766543,-67.92746283 -45.879252,-67.9288745 -45.8790371,-67.9299796 -45.8786337,-67.9308271 -45.8793582,-67.9310632 -45.8796271,-67.9308057 -45.8796645,-67.92926139 -45.87980166,-67.9308057 -45.8796645,-67.9309773 -45.8795823,-67.9308271 -45.8793582,-67.9319429 -45.8795524,-67.9332089 -45.8799333,-67.9339921 -45.8795524,-67.9349685 -45.8793358,-67.935698 -45.8793209,-67.93512028 -45.8793768,-67.9364383 -45.8791566,-67.9368889 -45.8790371,-67.9370821 -45.878798,-67.939657 -45.8787906,-67.9398179 -45.8784246,-67.93938002 -45.87863178,-67.9433799 -45.8793582,-67.9425859 -45.8792462,-67.9414809 -45.8788951,-67.9399574 -45.8788802,-67.9395819 -45.8785889,-67.9398179 -45.8784246,-67.94258106 -45.87928487,-67.9468131 -45.8799931,-67.9464698 -45.8794927,-67.9443026 -45.8791491,-67.9459034 -45.88040255,-67.9472744 -45.8827118,-67.9475963 -45.8819051,-67.9476392 -45.8807475,-67.9472208 -45.8805159,-67.94607409 -45.88311995,-67.9472744 -45.8852212,-67.9470921 -45.8844967,-67.9472423 -45.883959,-67.9472315 -45.8831823,-67.94628753 -45.88560005,-67.9471672 -45.8852884,-67.9470921 -45.8848627,-67.9461265 -45.8845565,-67.94483649 -45.8845247,-67.9459763 -45.8845415,-67.9446459 -45.8841607,-67.9436696 -45.8842353,-67.94255555 -45.88454697,-67.9423177 -45.8861323,-67.9425859 -45.8852137,-67.9431438 -45.8846088,-67.9432619 -45.8842802,-67.94198922 -45.88653728,-67.9414594 -45.88785,-67.9417813 -45.8871554,-67.9419315 -45.8865879,-67.9423285 -45.8863414,-67.93992923 -45.88854577,-67.9410625 -45.888776,-67.9401827 -45.8890747,-67.9375863 -45.8886341,-67.93581454 -45.88863383,-67.9351616 -45.890628,-67.9353011 -45.8903069,-67.9351509 -45.889702,-67.9356337 -45.8888283,-67.9361594 -45.8882682,-67.9367387 -45.8882607,-67.93404442 -45.8909633,-67.9365563 -45.8934955,-67.9363203 -45.8936,-67.935344 -45.8928831,-67.935226 -45.8911432,-67.9360062 -45.89335158,-67.9386914 -45.8911283,-67.9384661 -45.8920468,-67.9380691 -45.8922111,-67.9374146 -45.8931968,-67.93808121 -45.89103139,-67.9441845 -45.8944512,-67.9437339 -45.8940256,-67.9429615 -45.8935179,-67.9420388 -45.8926442,-67.9392278 -45.8921737,-67.9386055 -45.8919721,-67.9388738 -45.8911059,-67.94342733 -45.89494583,-67.9441738 -45.8946081,-67.9435945 -45.8938464,-67.9422426 -45.892801,-67.9410195 -45.8932192,-67.94030264 -45.89356218;-67.94030264 -45.89356218,-67.9441738 -45.8946081,-67.9435945 -45.8938464,-67.9422426 -45.892801,-67.9410195 -45.8932192,-67.94342733 -45.89494583,-67.9444742 -45.8952204,-67.9448175 -45.8966465,-67.9453754 -45.8970423,-67.9465127 -45.8973708,-67.948122 -45.8975724,-67.9491735 -45.8979383,-67.9495811 -45.8977143,-67.9495168 -45.8971916,-67.948916 -45.89643,-67.9480469 -45.8964599,-67.94634029 -45.89666725,-67.9480469 -45.8964599,-67.9490232 -45.8964748,-67.9496241 -45.8946081,-67.9499245 -45.8939808,-67.9505253 -45.8936448,-67.9514372 -45.8936821,-67.9526389 -45.8943915,-67.95185094 -45.89446535,-67.9582393 -45.8946827,-67.9580355 -45.8936448,-67.9570484 -45.8930026,-67.9563832 -45.8929429,-67.9546344 -45.8936448,-67.9533792 -45.8943691,-67.95753705 -45.89518861,-67.9602778 -45.8973559,-67.959677 -45.8974604,-67.9590976 -45.897326,-67.9587114 -45.8968257,-67.95928 -45.896094,-67.9591405 -45.8953548,-67.95956637 -45.89743693,-67.9642367 -45.8983564,-67.9643333 -45.8976993,-67.9650199 -45.8970721,-67.9652989 -45.8964076,-67.9613721 -45.8972065,-67.96354703 -45.89869944,-67.9693437 -45.9027914,-67.9659963 -45.8987297,-67.965138 -45.8986401,-67.96793825 -45.90348141,-67.9685926 -45.9034484,-67.9653096 -45.9044488,-67.9600525 -45.9049564,-67.9584861 -45.9041651,-67.9576707 -45.9040606,-67.95594313 -45.90408308;-67.95594313 -45.90408308,-67.9576063 -45.9040904, -67.9586792 -45.9041949, -67.9598594 -45.9049266, -67.9530573 -45.9053894, -67.948916 -45.9068676,-67.9477358 -45.9069124,-67.9420066 -45.9072707, -67.9449141 -45.9072931, -67.9463518 -45.9076291,-67.94070253 -45.90708056,-67.9419637 -45.9061061,-67.9426718 -45.9047623,-67.9415345 -45.9048967,-67.938745 -45.9059568,-67.9340029 -45.9072707,-67.9353547 -45.9073006,-67.93482704 -45.9074612,-67.922008 -45.9097193,-67.9201412 -45.9109884,-67.9196906 -45.9109585,-67.9200125 -45.9097492,-67.9210854 -45.909585,-67.9227591 -45.90851,-67.9267287 -45.9077933,-67.9317927 -45.9075544,-67.9344964 -45.9080023,-67.9353762 -45.9076142,-67.92132124 -45.90950332,-67.9221797 -45.9097492,-67.9201412 -45.9109884,-67.91924 -45.911063,-67.9191971 -45.9115109,-67.91938339 -45.91141146,-67.9150558 -45.9126903,-67.9162359 -45.9122126,-67.9164505 -45.9115408,-67.9181457 -45.910645,-67.9202914 -45.9111078,-67.91361731 -45.91301639;-67.91361731 -45.91301639,-67.9152703 -45.9126754,-67.9162359 -45.9122126,-67.9164505 -45.9115408,-67.9124379 -45.9113168,-67.9118156 -45.9111227,-67.91156522 -45.91091836;-67.91156522 -45.91091836,-67.9152703 -45.9126754,-67.9162359 -45.9122126,-67.9164505 -45.9115408,-67.9124379 -45.9113168,-67.9118156 -45.9111227,-67.91361731 -45.91301639,-67.9150558 -45.9126903,-67.9162359 -45.9122126,-67.9164505 -45.9115408,-67.9181457 -45.910645,-67.9202914 -45.9111078,-67.91938339 -45.91141146,-67.9191971 -45.9115109,-67.9193473 -45.9122574,-67.9206347 -45.9121827,-67.9237676 -45.911287,-67.92339949 -45.91107871,-67.9308486 -45.9099433,-67.9312348 -45.9102419,-67.9297328 -45.910421,-67.9279304 -45.9103613,-67.9261494 -45.9116303,-67.9255915 -45.9130038,-67.924819 -45.9119737,-67.9250765 -45.911063,-67.92909659 -45.90983142,-67.93396 -45.910003,-67.9332089 -45.9102269,-67.9314494 -45.9103464,-67.9311919 -45.9100478,-67.9308486 -45.9099433,-67.9330123 -45.90989279,-67.9371786 -45.9124813,-67.9369533 -45.9118916,-67.9363096 -45.9101747,-67.935183 -45.9100179,-67.93665996 -45.91286222,-67.9382944 -45.9130934,-67.9395604 -45.9136906,-67.9405904 -45.9131382,-67.9431438 -45.9124664,-67.9441524 -45.9118692,-67.9452038 -45.9116154,-67.9438734 -45.9110779,-67.9432511 -45.9099433,-67.94205735 -45.90980155,-67.9595375 -45.9095402,-67.9626489 -45.9100179,-67.9632926 -45.9097492,-67.9646015 -45.9095999,-67.9670477 -45.9085548,-67.962842 -45.9087489,-67.9598165 -45.9075843,-67.9531431 -45.90851,-67.9471993 -45.9112123,-67.9453754 -45.9116005,-67.9437232 -45.9109734,-67.9432511 -45.9099433,-67.9576575 -45.90959388,-67.9533577 -45.9118095,-67.9582071 -45.9103464,-67.960031 -45.9096148,-67.9595375 -45.9095402,-67.95174739 -45.91238069;-67.95174739 -45.91238069,-67.9533577 -45.9118095,-67.9582071 -45.9103464,-67.960031 -45.9096148,-67.9595375 -45.9095402,-67.9576575 -45.90959388,-67.9705238 -45.9066735,-67.9697728 -45.9068527,-67.9681849 -45.9083607,-67.9670477 -45.9085548,-67.9651165 -45.9093461,-67.9646015 -45.9095999,-67.9632926 -45.9097492,-67.9626489 -45.9100179,-67.9595375 -45.9096447,-67.96980563 -45.90670646,-67.970438 -45.9058075,-67.9690218 -45.9036126,-67.96793825 -45.90348141,-67.9693437 -45.9027914,-67.9659963 -45.8987297,-67.965138 -45.8986401,-67.96354703 -45.89869944,-67.9642367 -45.8983564,-67.9643333 -45.8976993,-67.9650199 -45.8970721,-67.9652989 -45.8964076,-67.9613721 -45.8972065,-67.95956637 -45.89743693,-67.9602778 -45.8973559,-67.959677 -45.8974604,-67.9590976 -45.897326,-67.9587114 -45.8968257,-67.95928 -45.896094,-67.9591405 -45.8953548,-67.95753705 -45.89518861,-67.9582393 -45.8946827,-67.9580355 -45.8936448,-67.9570484 -45.8930026,-67.9563832 -45.8929429,-67.9546344 -45.8936448,-67.9533792 -45.8943691,-67.95185094 -45.89446535,-67.9480469 -45.8964599,-67.9490232 -45.8964748,-67.9496241 -45.8946081,-67.9499245 -45.8939808,-67.9505253 -45.8936448,-67.9514372 -45.8936821,-67.9526389 -45.8943915,-67.94634029 -45.89666725,-67.9444742 -45.8952204,-67.9448175 -45.8966465,-67.9453754 -45.8970423,-67.9465127 -45.8973708,-67.948122 -45.8975724,-67.9491735 -45.8979383,-67.9495811 -45.8977143,-67.9495168 -45.8971916,-67.948916 -45.89643,-67.9480469 -45.8964599,-67.94342733 -45.89494583,-67.9441845 -45.8944512,-67.9437339 -45.8940256,-67.9429615 -45.8935179,-67.9420388 -45.8926442,-67.9392278 -45.8921737,-67.9386055 -45.8919721,-67.9388738 -45.8911059,-67.93808121 -45.89103139,-67.9386914 -45.8911283,-67.9384661 -45.8920468,-67.9380691 -45.8922111,-67.9374146 -45.8931968,-67.9360062 -45.89335158,-67.9365563 -45.8934432,-67.9362988 -45.8935104,-67.9354835 -45.8929653,-67.9325223 -45.8923978,-67.932297 -45.8925471,-67.9325116 -45.8927189,-67.93203261 -45.89325144,-67.9326725 -45.8927039,-67.9321253 -45.8924276,-67.9320502 -45.8919796,-67.9315674 -45.8910163,-67.93002857 -45.89099999,-67.9292285 -45.8926143,-67.9297435 -45.8916137,-67.930634 -45.8913523,-67.9310846 -45.8915241,-67.9320288 -45.8924127,-67.9322755 -45.8923231,-67.9316425 -45.8910014,-67.92819602 -45.89300211,-67.929368 -45.8925994,-67.9296148 -45.8919423,-67.9287994 -45.8913897,-67.9285097 -45.8910014,-67.9286277 -45.8901127,-67.92758265 -45.88993498;-67.92758265 -45.88993498,-67.9286492 -45.8892166,-67.9288638 -45.8878724,-67.9292393 -45.8876931,-67.92838162 -45.88770662,-67.929883 -45.8876782,-67.9306018 -45.8878724,-67.9317605 -45.8883727,-67.9326189 -45.888201,-67.93184093 -45.88869985,,-67.93195275 -45.88880085,-67.9325545 -45.8880964,-67.9324257 -45.8875363,-67.933048 -45.8868642,-67.9335093 -45.8836304,-67.93297197 -45.88384007,,-67.93288041 -45.88347512,-67.9369962 -45.8822636,-67.9367441 -45.8819686,-67.9343677 -45.8832719,-67.93623372 -45.88237227,-67.9369104 -45.8822487,-67.9367441 -45.8819686,-67.9385787 -45.881274,-67.938568 -45.8809641,-67.9379243 -45.8811844,-67.93588984 -45.88149225,-67.9380155 -45.8812404,-67.938627 -45.880852,-67.9384768 -45.8805682,-67.9371035 -45.8800827,-67.9358482 -45.8797093,-67.9335737 -45.8797616,-67.934432 -45.8794255,-67.9350007 -45.8792835,-67.9357088 -45.8792686,-67.93512028 -45.8793768,-67.9308057 -45.8796645,-67.9309773 -45.8795823,-67.9308271 -45.8793582,-67.9319429 -45.8795524,-67.9332089 -45.8799333,-67.9339921 -45.8795524,-67.9349685 -45.8793358,-67.935698 -45.8793209,-67.92926139 -45.87980166,-67.9288745 -45.8790371,-67.9299796 -45.8786337,-67.9308271 -45.8793582,-67.9310632 -45.8796271,-67.9308057 -45.8796645,-67.92746283 -45.879252,-67.9288745 -45.8790371,-67.9299796 -45.8786337,-67.9304302 -45.8776552,-67.9309022 -45.8766245,-67.9306126 -45.8766543,-67.92916705 -45.87686758,-67.9305589 -45.8765722,-67.9309773 -45.8765423,-67.9323184 -45.875011,-67.9336917 -45.8726132,-67.93292309 -45.87290945,-67.9337347 -45.872531,-67.9350007 -45.8704245,-67.9346895 -45.8701032,-67.933282 -45.87018527,-67.936492 -45.8696625,-67.9362881 -45.8694234,-67.9350436 -45.8703273,-67.9347003 -45.8699986,-67.93551008 -45.87004015,-67.9383588 -45.8674437,-67.9380584 -45.8682655,-67.9363847 -45.8693786,-67.9365671 -45.8696326,-67.9400271 -45.8665472</t>
  </si>
  <si>
    <t>-67.9400271 -45.8665472,-67.9383588 -45.8674437,-67.9380584 -45.8682655,-67.9363847 -45.8693786,-67.9365671 -45.8696326,-67.93551008 -45.87004015,-67.936492 -45.8696625,-67.9362881 -45.8694234,-67.9350436 -45.8703273,-67.9347003 -45.8699986,-67.933282 -45.87018527,-67.9337347 -45.872531,-67.9350007 -45.8704245,-67.9346895 -45.8701032,-67.93292309 -45.87290945,-67.9305589 -45.8765722,-67.9309773 -45.8765423,-67.9323184 -45.875011,-67.9336917 -45.8726132,-67.92916705 -45.87686758,-67.9288745 -45.8790371,-67.9299796 -45.8786337,-67.9304302 -45.8776552,-67.9309022 -45.8766245,-67.9306126 -45.8766543,-67.92746283 -45.879252,-67.9288745 -45.8790371,-67.9299045 -45.8786188,-67.929765 -45.8784918,-67.9247224 -45.8798512,-67.9241753 -45.8796943,-67.92260289 -45.87981886,-67.9231775 -45.8798138,-67.9230273 -45.8801051,-67.9220295 -45.8802022,-67.9198301 -45.8807027,-67.9191542 -45.8814645,-67.9198301 -45.8813375,-67.91930941 -45.88137118,-67.9183173 -45.8833018,-67.9179525 -45.8832943,-67.9178452 -45.8829358,-67.9186606 -45.8819873,-67.9191113 -45.8815466,-67.9197979 -45.8813898,-67.91747464 -45.88372353,-67.9166651 -45.8823159,-67.9170835 -45.8822711,-67.9178345 -45.8833989,-67.9184783 -45.8832943,-67.91541483 -45.88231338,-67.911365 -45.8831076,-67.9142618 -45.8826968,-67.9159892 -45.8825026,-67.90970498 -45.88326091,-67.9076958 -45.8841084,-67.9082644 -45.8839366,-67.9093373 -45.8833167,-67.9103136 -45.8831972,-67.90591516 -45.88446218,,-67.90594775 -45.88423937,-67.9066443 -45.8844071,-67.9062474 -45.8852585,-67.908833 -45.885968,-67.9091012 -45.8864012,-67.90705336 -45.88840606,-67.9052818 -45.8875736,-67.90654780000001 -45.8882084,-67.9074919 -45.8882756,-67.90362098 -45.8874036,-67.9039729 -45.8871629,-67.9034686 -45.8869165,-67.9041123 -45.886192,-67.9042947 -45.8847656,-67.90316820000001 -45.883637900000004,-67.90293219 -45.8836944,-67.90316820000001 -45.883637900000004,-67.9026854 -45.8831823,-67.9021275 -45.8832794,-67.900722 -45.8842279,-67.9001105 -45.8851465,-67.8995955 -45.8843175,-67.89811074 -45.88424629,-67.896452 -45.8842129,-67.8972995 -45.8841607,-67.8987801 -45.8833839,-67.8993165 -45.8836304,-67.89478887 -45.88442779,-67.895658 -45.88465360000001,-67.8955078 -45.8872675,-67.89402720000001 -45.888186,-67.89313670000001 -45.8879097,-67.8935552 -45.8866999,-67.891624 -45.8850718,-67.88986813 -45.88509226,-67.8916669 -45.8851316,-67.891463 -45.8853332,-67.8890061 -45.8855946,-67.8886521 -45.8849672,-67.88725199 -45.88498287,-67.8877938 -45.885251,-67.8862166 -45.8849523,-67.88477851 -45.88530377,-67.8863347 -45.8849448,-67.8869569 -45.8849672,-67.8874826 -45.883847,-67.8903258 -45.883570600000006,-67.88934482 -45.88367092,-67.8808522 -45.8847432,-67.8831053 -45.8843548,-67.884897 -45.8834586,-67.8876114 -45.88378720000001,-67.8901434 -45.8835856,-67.87931365 -45.88515467,-67.8775477 -45.8859232,-67.87784810000001 -45.8854153,-67.8789425 -45.8862742,-67.879554 -45.8862667,-67.8829443 -45.8844743,-67.8806055 -45.8848253,-67.87597578 -45.88674947,,-67.87630061 -45.88642699,-67.8775907 -45.885744,-67.8778374 -45.8851241,-67.8766251 -45.8844594,-67.8767002 -45.8840561,-67.8758872 -45.88413516,-67.8738034 -45.8829806,-67.8739858 -45.8834512,-67.87655 -45.8844445,-67.8765929 -45.8840262,-67.87263059 -45.88283868,-67.8737283 -45.8829508,-67.8736854 -45.8833242,-67.8730094 -45.8829134,-67.8686643 -45.8830254,-67.86703039 -45.88312685,-67.8685462 -45.8831151,-67.869308 -45.8829582,-67.8708422 -45.883018,-67.8705847 -45.8839366,-67.8693122 -45.8842458,-67.8672695 -45.88491500000001,-67.867409 -45.8861099,-67.8680742 -45.8863339,-67.8686106 -45.8860875,-67.8688896 -45.8849822,-67.870338 -45.8842577,-67.86589689 -45.88477956,-67.86739830000002 -45.8868567,-67.8667223 -45.8862667,-67.8672802 -45.8848552,-67.86685323 -45.88712476,-67.8694582 -45.8876409,-67.8695869 -45.887372,-67.8687179 -45.8869837,-67.86795859 -45.88799202;-67.86795859 -45.88799202,-67.8694582 -45.8876409,-67.8695869 -45.887372,-67.8687179 -45.8869837,-67.86685323 -45.88712476,-67.8674626 -45.88708080000001,-67.866658 -45.886864200000005,-67.8658855 -45.887125600000005,-67.8670657 -45.8886864,-67.86520231 -45.88917465,-67.8652418 -45.8907101,-67.8656602 -45.890351700000004,-67.8659928 -45.88941820000001,-67.86328043 -45.89089136,-67.8640401 -45.8909939,-67.8672266 -45.8915539,-67.86687975 -45.89168688,-67.8672266 -45.8915539,-67.8653598 -45.8912776,-67.8647375 -45.8920692,-67.8620982 -45.8918004,-67.8619695 -45.8921737,-67.86151916 -45.89254163,-67.8617334 -45.8922185,-67.8619051 -45.8917108,-67.8603172 -45.8915465,-67.8574204 -45.891666,-67.8577852 -45.8919348,-67.85772472 -45.89223385;-67.85772472 -45.89223385,-67.8617334 -45.8922185,-67.8619051 -45.8917108,-67.8603172 -45.8915465,-67.8574204 -45.891666,-67.8577852 -45.8919348,-67.86151916 -45.89254163,-67.8672266 -45.8915539,-67.8653598 -45.8912776,-67.8647375 -45.8920692,-67.8620982 -45.8918004,-67.8619695 -45.8921737,-67.86687975 -45.89168688,-67.8640401 -45.8909939,-67.8672266 -45.8915539,-67.86328043 -45.89089136,-67.8652418 -45.8907101,-67.8656602 -45.890351700000004,-67.8659928 -45.88941820000001,-67.86520231 -45.88917465,-67.8674626 -45.88708080000001,-67.866658 -45.886864200000005,-67.8658855 -45.887125600000005,-67.8670657 -45.8886864,-67.86685323 -45.88712476,-67.86739830000002 -45.8868567,-67.8667223 -45.8862667,-67.8672802 -45.8848552,-67.86589689 -45.88477956,-67.8672695 -45.88491500000001,-67.867409 -45.8861099,-67.8680742 -45.8863339,-67.8686106 -45.8860875,-67.8688896 -45.8849822,-67.870338 -45.8842577,-67.8693122 -45.8842458,-67.8685462 -45.8831151,-67.869308 -45.8829582,-67.8708422 -45.883018,-67.8705847 -45.8839366,-67.86703039 -45.88312685,-67.8737283 -45.8829508,-67.8736854 -45.8833242,-67.8730094 -45.8829134,-67.8686643 -45.8830254,-67.87263059 -45.88283868,-67.8738034 -45.8829806,-67.8739858 -45.8834512,-67.87655 -45.8844445,-67.8765929 -45.8840262,-67.8758872 -45.88413516,-67.8775907 -45.885744,-67.8778374 -45.8851241,-67.8766251 -45.8844594,-67.8767002 -45.8840561,-67.87630061 -45.88642699,,-67.87597578 -45.88674947,-67.8775477 -45.8859232,-67.87784810000001 -45.8854153,-67.8789425 -45.8862742,-67.879554 -45.8862667,-67.8829443 -45.8844743,-67.8806055 -45.8848253,-67.87931365 -45.88515467,-67.8808522 -45.8847432,-67.8831053 -45.8843548,-67.884897 -45.8834586,-67.8876114 -45.88378720000001,-67.8901434 -45.8835856,-67.88934482 -45.88367092,-67.8863347 -45.8849448,-67.8869569 -45.8849672,-67.8874826 -45.883847,-67.8903258 -45.883570600000006,-67.88477851 -45.88530377,-67.8877938 -45.885251,-67.8862166 -45.8849523,-67.88725199 -45.88498287,-67.8916669 -45.8851316,-67.891463 -45.8853332,-67.8890061 -45.8855946,-67.8886521 -45.8849672,-67.88986813 -45.88509226,-67.895658 -45.88465360000001,-67.8955078 -45.8872675,-67.89402720000001 -45.888186,-67.89313670000001 -45.8879097,-67.8935552 -45.8866999,-67.891624 -45.8850718,-67.89478887 -45.88442779,-67.896452 -45.8842129,-67.8972995 -45.8841607,-67.8987801 -45.8833839,-67.8993165 -45.8836304,-67.89811074 -45.88424629,-67.90316820000001 -45.883637900000004,-67.9026854 -45.8831823,-67.9021275 -45.8832794,-67.900722 -45.8842279,-67.9001105 -45.8851465,-67.8995955 -45.8843175,-67.90293219 -45.8836944,-67.9039729 -45.8871629,-67.9034686 -45.8869165,-67.9041123 -45.886192,-67.9042947 -45.8847656,-67.90316820000001 -45.883637900000004,-67.90362098 -45.8874036,-67.9052818 -45.8875736,-67.90654780000001 -45.8882084,-67.9074919 -45.8882756,-67.90705336 -45.88840606,-67.9066443 -45.8844071,-67.9062474 -45.8852585,-67.908833 -45.885968,-67.9091012 -45.8864012,-67.90594775 -45.88423937,,-67.90591516 -45.88446218,-67.9076958 -45.8841084,-67.9082644 -45.8839366,-67.9093373 -45.8833167,-67.9103136 -45.8831972,-67.90970498 -45.88326091,-67.911365 -45.8831076,-67.9142618 -45.8826968,-67.9159892 -45.8825026,-67.91541483 -45.88231338,-67.9166651 -45.8823159,-67.9170835 -45.8822711,-67.9178345 -45.8833989,-67.9184783 -45.8832943,-67.91747464 -45.88372353,-67.9183173 -45.8833018,-67.9179525 -45.8832943,-67.9178452 -45.8829358,-67.9186606 -45.8819873,-67.9191113 -45.8815466,-67.9197979 -45.8813898,-67.91930941 -45.88137118,-67.9231775 -45.8798138,-67.9230273 -45.8801051,-67.9220295 -45.8802022,-67.9198301 -45.8807027,-67.9191542 -45.8814645,-67.9198301 -45.8813375,-67.92260289 -45.87981886,-67.9288745 -45.8790371,-67.9299045 -45.8786188,-67.929765 -45.8784918,-67.9247224 -45.8798512,-67.9241753 -45.8796943,-67.92746283 -45.879252,-67.9288745 -45.8790371,-67.9299796 -45.8786337,-67.9304302 -45.8776552,-67.9309022 -45.8766245,-67.9306126 -45.8766543,-67.92916705 -45.87686758,-67.9305589 -45.8765722,-67.9309773 -45.8765423,-67.9323184 -45.875011,-67.9336917 -45.8726132,-67.93292309 -45.87290945,-67.9337347 -45.872531,-67.9350007 -45.8704245,-67.9346895 -45.8701032,-67.933282 -45.87018527,-67.936492 -45.8696625,-67.9362881 -45.8694234,-67.9350436 -45.8703273,-67.9347003 -45.8699986,-67.93551008 -45.87004015,-67.9383588 -45.8674437,-67.9380584 -45.8682655,-67.9363847 -45.8693786,-67.9365671 -45.8696326,-67.9400271 -45.8665472</t>
  </si>
  <si>
    <t>-67.9400271 -45.8665472,-67.9383588 -45.8674437,-67.9380584 -45.8682655,-67.9363847 -45.8693786,-67.9365671 -45.8696326,-67.93551008 -45.87004015,-67.936492 -45.8696625,-67.9362881 -45.8694234,-67.9350436 -45.8703273,-67.9347003 -45.8699986,-67.933282 -45.87018527,-67.9337347 -45.872531,-67.9350007 -45.8704245,-67.9346895 -45.8701032,-67.93292309 -45.87290945,-67.9305589 -45.8765722,-67.9309773 -45.8765423,-67.9323184 -45.875011,-67.9336917 -45.8726132,-67.92916705 -45.87686758,-67.9288745 -45.8790371,-67.9299796 -45.8786337,-67.9304302 -45.8776552,-67.9309022 -45.8766245,-67.9306126 -45.8766543,-67.92746283 -45.879252,-67.9288745 -45.8790371,-67.9299045 -45.8786188,-67.929765 -45.8784918,-67.9247224 -45.8798512,-67.9241753 -45.8796943,-67.92260289 -45.87981886,-67.9231775 -45.8798138,-67.9230273 -45.8801051,-67.9220295 -45.8802022,-67.9198301 -45.8807027,-67.9191542 -45.8814645,-67.9198301 -45.8813375,-67.91930941 -45.88137118,-67.9183173 -45.8833018,-67.9179525 -45.8832943,-67.9178452 -45.8829358,-67.9186606 -45.8819873,-67.9191113 -45.8815466,-67.9197979 -45.8813898,-67.91747464 -45.88372353,-67.9166651 -45.8823159,-67.9170835 -45.8822711,-67.9178345 -45.8833989,-67.9184783 -45.8832943,-67.91541483 -45.88231338,-67.911365 -45.8831076,-67.9142618 -45.8826968,-67.9159892 -45.8825026,-67.90970498 -45.88326091,-67.9076958 -45.8841084,-67.9082644 -45.8839366,-67.9093373 -45.8833167,-67.9103136 -45.8831972,-67.90591516 -45.88446218,,-67.90594775 -45.88423937,-67.9066443 -45.8844071,-67.9062474 -45.8852585,-67.908833 -45.885968,-67.9091012 -45.8864012,-67.90705336 -45.88840606,-67.9052818 -45.8875736,-67.90654780000001 -45.8882084,-67.9074919 -45.8882756,-67.90362098 -45.8874036,-67.9039729 -45.8871629,-67.9034686 -45.8869165,-67.9041123 -45.886192,-67.9042947 -45.8847656,-67.90316820000001 -45.883637900000004,-67.90293219 -45.8836944,-67.90316820000001 -45.883637900000004,-67.9026854 -45.8831823,-67.9021275 -45.8832794,-67.900722 -45.8842279,-67.9001105 -45.8851465,-67.8995955 -45.8843175,-67.89811074 -45.88424629,-67.896452 -45.8842129,-67.8972995 -45.8841607,-67.8987801 -45.8833839,-67.8993165 -45.8836304,-67.89478887 -45.88442779,-67.895658 -45.88465360000001,-67.8955078 -45.8872675,-67.89402720000001 -45.888186,-67.89313670000001 -45.8879097,-67.8935552 -45.8866999,-67.891624 -45.8850718,-67.88986813 -45.88509226,-67.8916669 -45.8851316,-67.891463 -45.8853332,-67.8890061 -45.8855946,-67.8886521 -45.8849672,-67.88725199 -45.88498287,-67.8877938 -45.885251,-67.8862166 -45.8849523,-67.88477851 -45.88530377,-67.8863347 -45.8849448,-67.8869569 -45.8849672,-67.8874826 -45.883847,-67.8903258 -45.883570600000006,-67.88934482 -45.88367092,-67.8808522 -45.8847432,-67.8831053 -45.8843548,-67.884897 -45.8834586,-67.8876114 -45.88378720000001,-67.8901434 -45.8835856,-67.87931365 -45.88515467,-67.8775477 -45.8859232,-67.87784810000001 -45.8854153,-67.8789425 -45.8862742,-67.879554 -45.8862667,-67.8829443 -45.8844743,-67.8806055 -45.8848253,-67.87597578 -45.88674947,,-67.87630061 -45.88642699,-67.8775907 -45.885744,-67.8778374 -45.8851241,-67.8766251 -45.8844594,-67.8767002 -45.8840561,-67.8758872 -45.88413516,-67.8738034 -45.8829806,-67.8739858 -45.8834512,-67.87655 -45.8844445,-67.8765929 -45.8840262,-67.87263059 -45.88283868,-67.8748763 -45.8825474,-67.8737819 -45.8833541,-67.8736424 -45.8829059,-67.87433589 -45.88262032,-67.8769469 -45.8829881,-67.8762281 -45.882525,-67.87627959 -45.88310638;-67.87627959 -45.88310638,-67.8769469 -45.8829881,-67.8762281 -45.882525,-67.87433589 -45.88262032,-67.8748763 -45.8825474,-67.8737819 -45.8833541,-67.8736424 -45.8829059,-67.87263059 -45.88283868,-67.8737283 -45.8829508,-67.8736854 -45.8833242,-67.8730094 -45.8829134,-67.8686643 -45.8830254,-67.86703039 -45.88312685,-67.8685462 -45.8831151,-67.8700483 -45.8829059,-67.8648233 -45.8818603,-67.8628063 -45.8810537,-67.8621304 -45.8814645,-67.86071597 -45.88116865,-67.8614116 -45.8855274,-67.862978 -45.884788,-67.8635466 -45.8831599,-67.8632355 -45.8817483,-67.86391140000002 -45.8815093,-67.8628063 -45.8810537,-67.8623772 -45.8814346,-67.85908094 -45.88593849,-67.85825730000002 -45.8853855,-67.85964130000002 -45.8854228,-67.85655105 -45.88556448,-67.8571093 -45.8855572,-67.8559184 -45.8854378,-67.8555107 -45.884698400000005,-67.85493998 -45.88481908,-67.8556287 -45.8843698,-67.853719 -45.8831001,-67.8518629 -45.8825923,-67.8500605 -45.8812329,-67.8485758 -45.88086765,-67.8494382 -45.880628,-67.84873010000001 -45.8802396,-67.8461766 -45.8806653,-67.8457046 -45.880515900000006,-67.84518194 -45.88032275,-67.8467023 -45.8799558,-67.849052 -45.8790819,-67.84840449 -45.87890923;-67.84840449 -45.87890923,-67.8467023 -45.8799558,-67.849052 -45.8790819,-67.84518194 -45.88032275,-67.8455973 -45.8806504,-67.8449214 -45.8812852,-67.8420246 -45.8795972,-67.8425181 -45.87953,-67.84221298 -45.87973382,-67.842443 -45.8796122,-67.8389347 -45.8810612,-67.8383017 -45.8819499,-67.8395998 -45.8826445,-67.8392565 -45.8820246,-67.8403294 -45.8816064,-67.83977572 -45.88161766,-67.8418744 -45.8837275,-67.8411126 -45.8830703,-67.839793 -45.8826221,-67.8392565 -45.8819126,-67.8402436 -45.8815616,-67.8408227 -45.88408969,-67.8419 -45.8843,-67.84199 -45.88554,-67.8396535 -45.88699,-67.83912 -45.88937,-67.83802 -45.8905,-67.83603 -45.89096,-67.83455 -45.89131,-67.8337097 -45.8907848,-67.83354 -45.88813,-67.82783 -45.88844,-67.824097 -45.88562,-67.82332 -45.88365,-67.8221127 -45.88349304,-67.826339 -45.88047110000001,-67.8268003 -45.8811956,-67.8233886 -45.8829433,-67.82495492 -45.88019856,-67.826339 -45.88047110000001,-67.8268754 -45.8811284,-67.8273153 -45.8802321,-67.8244936 -45.8781408,-67.8228843 -45.8780212,-67.8223586 -45.8783947,-67.8233027 -45.8768411,-67.8215861 -45.8781258,-67.82018891 -45.8787842,-67.8270793 -45.8784321,-67.8256309 -45.8782005,-67.8233027 -45.8768411,-67.821511 -45.878081,-67.82657673 -45.87879537,-67.8282809 -45.8789624,-67.8290534 -45.8802919,-67.8286672 -45.88047110000001,-67.82727683 -45.88061818,-67.8286564 -45.8805981,-67.8285921 -45.8817184,-67.82738854 -45.88198827;-67.82738854 -45.88198827,-67.8286564 -45.8805981,-67.8285921 -45.8817184,-67.82727683 -45.88061818,-67.8282809 -45.8789624,-67.8290534 -45.8802919,-67.8286672 -45.88047110000001,-67.82657673 -45.87879537,-67.8270793 -45.8784321,-67.8256309 -45.8782005,-67.8233027 -45.8768411,-67.821511 -45.878081,-67.82018891 -45.8787842,-67.821511 -45.878081,-67.8234959 -45.8768037,-67.8260922 -45.8734274,-67.8288066 -45.8736889,-67.82716871 -45.873948;-67.82716871 -45.873948,-67.8340852 -45.8751231,-67.8342354 -45.8742566,-67.8322077 -45.8732855,-67.8288817 -45.8737262,-67.8336787 -45.87548722,-67.8362739 -45.8749812,-67.8353405 -45.875362100000004,-67.8366923 -45.875026,-67.8368962 -45.8743761,-67.8363168 -45.8740101,-67.8365743 -45.8734723,-67.8358126 -45.8726879,-67.8339131 -45.87269245,-67.8347504 -45.8724041,-67.8345788 -45.8717915,-67.8335381 -45.8712686,-67.83204724 -45.87132308,-67.8363276 -45.8710445,-67.8348899 -45.87091,-67.8336024 -45.8710221,-67.83598551 -45.8713908,-67.8404045 -45.871440400000004,-67.8396642 -45.8713657,-67.8393745 -45.8705216,-67.8371751 -45.8699314,-67.8344822 -45.8697969,-67.8345251 -45.8700584,-67.8363597 -45.8707606,-67.83999726 -45.87142467,-67.8403401 -45.8715002,-67.8396213 -45.8713059,-67.8401256 -45.8706859,-67.8424323 -45.8705216,-67.8432369 -45.8702153,-67.84266503 -45.8702826,-67.8433174 -45.8702414,-67.8424054 -45.8705701,-67.8442401 -45.8712014,-67.8457582 -45.8705029,-67.8468794 -45.8714778,-67.8465736 -45.871657000000006,-67.8464073 -45.8713396,-67.84458226 -45.87132178,-67.8464448 -45.8713396,-67.8465736 -45.871657000000006,-67.84484620000002 -45.8726692,-67.84336962 -45.87289033,-67.8489339 -45.8731324,-67.8501302 -45.8733565,-67.8485316 -45.8736739,-67.8459191 -45.8729942,-67.84549 -45.8723406,-67.8449106 -45.8726842,-67.84711722 -45.87310355,-67.84873010000001 -45.87312860000001,-67.8543305 -45.8741595,-67.857635 -45.8744807,-67.857019 -45.87438052,-67.857635 -45.8744807,-67.8541696 -45.874152,-67.8588581 -45.8727103,-67.8593409 -45.8716048,-67.85882935 -45.87179542,-67.8593409 -45.8716048,-67.85971640000001 -45.8705365,-67.8614008 -45.870529,-67.861948 -45.8698268,-67.8630531 -45.8694832,-67.86235431 -45.86962035,-67.8639972 -45.8691171,-67.8657031 -45.8680713,-67.86498939 -45.86808329,-67.8668189 -45.8667639,-67.8664005 -45.866988,-67.8663254 -45.8676305,-67.86635342 -45.86702056,-67.8668725 -45.8688706,-67.8667974 -45.868646500000004,-67.8676665 -45.8677127,-67.867012 -45.86727940000001,-67.86653014 -45.86909111,-67.8665292 -45.8705589,-67.866143 -45.8710594,-67.8657889 -45.8704767,-67.8668725 -45.8688706,-67.86552841 -45.87071955,-67.8665292 -45.8704394,-67.8664756 -45.8701107,-67.8674197 -45.8697073,-67.8698659 -45.8700883,-67.8700376 -45.8699389,-67.8700268 -45.8692964,-67.86891343 -45.86940172,-67.8699839 -45.8693413,-67.8700376 -45.8699389,-67.8703916 -45.8701929,-67.8709173 -45.8699239,-67.8707349 -45.8692815,-67.8712177 -45.8686166,-67.8731596 -45.8681236,-67.8729107 -45.86822856,-67.8740609 -45.8679218,-67.8740501 -45.8676828,-67.8730416 -45.867115,-67.8732347 -45.8667639,-67.8746724 -45.8662783,-67.8754556 -45.865591,-67.876035 -45.8638054,-67.8748977 -45.8643134,-67.87319628 -45.86441938;-67.87319628 -45.86441938,-67.8776658 -45.8646496,-67.876035 -45.8642312,-67.8759491 -45.8638278,-67.8749514 -45.864380600000004,-67.87711554 -45.86436098,-67.87849190000001 -45.8641416,-67.8785133 -45.863499,-67.8778052 -45.8630732,-67.87624464 -45.86324951,-67.8765821 -45.8616835,-67.8769684 -45.861803,-67.877183 -45.8627295,-67.87598229 -45.86175617,-67.8761101 -45.86104100000001,-67.8766465 -45.8610185,-67.8767216 -45.8614071,-67.87444477 -45.86135588,-67.8759491 -45.8590983,-67.8764319 -45.8599501,-67.87655 -45.8609588,-67.8760779 -45.8611231,-67.87446619 -45.85953534,-67.875917 -45.8590236,-67.8765607 -45.8587098,-67.8784597 -45.8588443,-67.87771797 -45.85914466,-67.8790283 -45.8588293,-67.880466 -45.8587397,-67.8813028 -45.8593598,-67.88077392 -45.85953999,-67.8814316 -45.8592926,-67.8808415 -45.8591357,-67.880863 -45.8587322,-67.8817642 -45.858239,-67.8850043 -45.8580522,-67.88402968 -45.85834964,-67.887429 -45.855564,-67.8882551 -45.8548691,-67.8894138 -45.853808,-67.8920853 -45.8535689,-67.8916454 -45.8538678,-67.8897357 -45.85395,-67.88910 -45.85436,-67.8875685 -45.8562589,-67.885799 -45.8571033,-67.88544 -45.8578281,-67.88523 -45.85794,-67.88581092 -45.85597227,-67.887429 -45.855564,-67.8894138 -45.853808,-67.8932333 -45.8533447,-67.8969455 -45.8545851,-67.8963768 -45.8546599,-67.89483427 -45.85484841,-67.9008508 -45.8548093,-67.8990161 -45.8545403,-67.898823 -45.8538678,-67.8965485 -45.8545553,-67.90022567 -45.85540767,,-67.90067511 -45.8549717,-67.904284 -45.8564084,-67.9033184 -45.8552726,-67.9019022 -45.8551232,-67.90400196 -45.85653031,-67.90773330000002 -45.8580522,-67.9073417 -45.8579177,-67.9068965 -45.8568567,-67.9053408 -45.8563822,-67.90707943 -45.8582017,-67.9102653 -45.8586986,-67.9081625 -45.8581195,-67.90964669 -45.85881191,-67.9112792 -45.8592776,-67.9102921 -45.8588293,-67.9105067 -45.8586425,-67.91058213 -45.85962973,-67.9145408 -45.8594047,-67.9124916 -45.858777,-67.9112792 -45.8592776,-67.91347499 -45.85938782,-67.9153347 -45.8605702,-67.9157317 -45.8599725,-67.9146159 -45.859457,-67.91412974 -45.86109479,-67.9219651 -45.8610335,-67.9157424 -45.8609887,-67.92116295 -45.86077528,-67.9235315 -45.8601219,-67.9222655 -45.8604731,-67.92204432 -45.86025045,-67.9253769 -45.8604208,-67.9236388 -45.8595317,-67.9233384 -45.8597857,-67.92472033 -45.86078317,-67.9288423 -45.860757,-67.9286063 -45.8609812,-67.9269433 -45.8608168,-67.9254305 -45.8610559,-67.9256237 -45.8606898,-67.92827234 -45.86082887,-67.9307091 -45.86097370000001,-67.9287457 -45.8609588,-67.9288423 -45.860757,-67.92973166 -45.86112334,-67.9343569 -45.8614145,-67.9335523 -45.861549,-67.9334021 -45.8611381,-67.9309666 -45.8609214,-67.93332777 -45.86169272,-67.9375219 -45.8620421,-67.9357517 -45.861085800000005,-67.9346144 -45.8614519,-67.93652197 -45.86222667,-67.9388309 -45.8607794,-67.938112 -45.8611007,-67.9377472 -45.860899,-67.9362881 -45.8614743,-67.9374897 -45.8619749,-67.93809539 -45.86091501,-67.9389811 -45.8623559,-67.9389596 -45.8618329,-67.9381979 -45.8610783,-67.9390669 -45.8607794,-67.93749455 -45.86270022,-67.9407942 -45.8630844,-67.9403758 -45.8621878,-67.9386914 -45.8624792,-67.94016816 -45.86304785,-67.9412395 -45.8636896,-67.94085860000001 -45.8628677,-67.94026881 -45.86394522,-67.9413575 -45.8643508,-67.94191 -45.8638801,-67.9413092 -45.8637717,-67.9397787 -45.86446671,-67.939437 -45.8659907,-67.9410034 -45.8642985,-67.93820898 -45.86621382,,-67.93822649 -45.86645361,-67.9383588 -45.8674437,-67.9380101 -45.8666929,-67.9392922 -45.8661064,-67.9400271 -45.8665472</t>
  </si>
  <si>
    <t>-67.9400271 -45.8665472,-67.9383588 -45.8674437,-67.9380584 -45.8682655,-67.9363847 -45.8693786,-67.9365671 -45.8696326,-67.93551008 -45.87004015,-67.936492 -45.8696625,-67.9362881 -45.8694234,-67.9350436 -45.8703273,-67.9347003 -45.8699986,-67.933282 -45.87018527,-67.9337347 -45.872531,-67.9350007 -45.8704245,-67.9346895 -45.8701032,-67.93292309 -45.87290945,-67.9305589 -45.8765722,-67.9309773 -45.8765423,-67.9323184 -45.875011,-67.9336917 -45.8726132,-67.92916705 -45.87686758,-67.9288745 -45.8790371,-67.9299796 -45.8786337,-67.9304302 -45.8776552,-67.9309022 -45.8766245,-67.9306126 -45.8766543,-67.92746283 -45.879252,-67.9288745 -45.8790371,-67.9299045 -45.8786188,-67.929765 -45.8784918,-67.9247224 -45.8798512,-67.9241753 -45.8796943,-67.92260289 -45.87981886,-67.9231775 -45.8798138,-67.9230273 -45.8801051,-67.9220295 -45.8802022,-67.9198301 -45.8807027,-67.9191542 -45.8814645,-67.9198301 -45.8813375,-67.91930941 -45.88137118,-67.9183173 -45.8833018,-67.9179525 -45.8832943,-67.9178452 -45.8829358,-67.9186606 -45.8819873,-67.9191113 -45.8815466,-67.9197979 -45.8813898,-67.91747464 -45.88372353,-67.9166651 -45.8823159,-67.9170835 -45.8822711,-67.9178345 -45.8833989,-67.9184783 -45.8832943,-67.91541483 -45.88231338,-67.911365 -45.8831076,-67.9142618 -45.8826968,-67.9159892 -45.8825026,-67.90970498 -45.88326091,-67.9076958 -45.8841084,-67.9082644 -45.8839366,-67.9093373 -45.8833167,-67.9103136 -45.8831972,-67.90591516 -45.88446218,,-67.90594775 -45.88423937,-67.9066443 -45.8844071,-67.9062474 -45.8852585,-67.908833 -45.885968,-67.9091012 -45.8864012,-67.90705336 -45.88840606,-67.9052818 -45.8875736,-67.90654780000001 -45.8882084,-67.9074919 -45.8882756,-67.90362098 -45.8874036,-67.9022241 -45.8892913,-67.9030609 -45.889239,-67.9032218 -45.8889477,-67.9028785 -45.8877678,-67.9034686 -45.8869165,-67.9039729 -45.8871629,-67.90098858 -45.88903898,-67.9052174 -45.8898887,-67.9046273 -45.8890523,-67.9033613 -45.8891643,-67.9021382 -45.8893659,-67.90475618 -45.89004619,-67.908082 -45.8906056,-67.9061723 -45.8899111,-67.90753763 -45.89070583,-67.9155815 -45.891315,-67.9156137 -45.8917929,-67.9101205 -45.891778,-67.9101098 -45.8913822,-67.9085004 -45.8909043,-67.91464614 -45.89123186,-67.9154849 -45.8913374,-67.9156995 -45.8918153,-67.9161823 -45.8920468,-67.9130065 -45.8949441,-67.9139829 -45.893137,-67.91314953 -45.89274698,-67.9123414 -45.8967361,-67.9125881 -45.8958401,-67.913264 -45.8944587,-67.9140687 -45.8931669,-67.91162615 -45.89729001;-67.91162615 -45.89729001,-67.9123414 -45.8967361,-67.9125881 -45.8958401,-67.913264 -45.8944587,-67.9140687 -45.8931669,-67.91314953 -45.89274698;-67.91314953 -45.89274698,-67.9154849 -45.8913374,-67.9156995 -45.8918153,-67.9161823 -45.8920468,-67.9130065 -45.8949441,-67.9139829 -45.893137,-67.91464614 -45.89123186,-67.9155815 -45.891315,-67.9156137 -45.8917929,-67.9101205 -45.891778,-67.9101098 -45.8913822,-67.9085004 -45.8909043,-67.90753763 -45.89070583,-67.908082 -45.8906056,-67.9061723 -45.8899111,-67.90475618 -45.89004619,-67.9052174 -45.8898887,-67.9046273 -45.8890523,-67.9033613 -45.8891643,-67.9021382 -45.8893659,-67.90098858 -45.88903898,-67.9022241 -45.8892913,-67.9030609 -45.889239,-67.9032218 -45.8889477,-67.9028785 -45.8877678,-67.9034686 -45.8869165,-67.9039729 -45.8871629,-67.90362098 -45.8874036,-67.9039729 -45.8871629,-67.9034686 -45.8869165,-67.9041123 -45.886192,-67.9042947 -45.8847656,-67.90316820000001 -45.883637900000004,-67.90293219 -45.8836944,-67.90316820000001 -45.883637900000004,-67.9026854 -45.8831823,-67.9021275 -45.8832794,-67.900722 -45.8842279,-67.9001105 -45.8851465,-67.8995955 -45.8843175,-67.89811074 -45.88424629,-67.896452 -45.8842129,-67.8972995 -45.8841607,-67.8987801 -45.8833839,-67.8993165 -45.8836304,-67.89478887 -45.88442779,-67.895658 -45.88465360000001,-67.8955078 -45.8872675,-67.89402720000001 -45.888186,-67.89313670000001 -45.8879097,-67.8935552 -45.8866999,-67.891624 -45.8850718,-67.88986813 -45.88509226,-67.8916669 -45.8851316,-67.891463 -45.8853332,-67.8890061 -45.8855946,-67.8886521 -45.8849672,-67.88725199 -45.88498287,-67.8877938 -45.885251,-67.8862166 -45.8849523,-67.88477851 -45.88530377,-67.8847039 -45.885542300000004,-67.8854334 -45.8851465,-67.88304639 -45.88588109,-67.8838027 -45.88608,-67.882483 -45.8868716,-67.88085052 -45.88709026,-67.8783846 -45.8885519,-67.8803802 -45.8880143,-67.8826654 -45.8868044,-67.8823113 -45.8868119,-67.87661058 -45.88889945,-67.8765285 -45.89045620000001,-67.877773 -45.8901799,-67.8803802 -45.8880143,-67.8783846 -45.8885519,-67.87484305 -45.89067788,-67.8792322 -45.8901127,-67.877934 -45.8900903,-67.8765285 -45.89045620000001,-67.87813787 -45.88993585,-67.8788996 -45.8901426,-67.877934 -45.8900903,-67.8774834 -45.8904786,-67.8777945 -45.8925098,-67.8783524 -45.8919348,-67.87768072 -45.89180609,-67.8782558 -45.8919497,-67.8778267 -45.8923828,-67.8780413 -45.8938315,-67.8791893 -45.8953398,-67.87842608 -45.89585515,-67.8799939 -45.8961761,-67.8810668 -45.8968855,-67.881496 -45.8974007,-67.88049412 -45.89765426,-67.8816462 -45.8976545,-67.8819466 -45.8992972,-67.8823757 -45.8992374,-67.88283131 -45.8994995,-67.8778481 -45.8999691,-67.8795862 -45.8996556,-67.8816676 -45.8998198,-67.8823113 -45.899342,-67.87600509 -45.90013168,-67.875402 -45.9018954,-67.8762174 -45.9018506,-67.8767323 -45.9016117,-67.8774405 -45.9009995,-67.8778481 -45.8999691,-67.87401 -45.90242679,-67.8778911 -45.9022389,-67.8772688 -45.9023733,-67.8762174 -45.9020895,-67.8762174 -45.9018506,-67.875402 -45.9018954,-67.87749311 -45.90223614,-67.8811741 -45.9021194,-67.8801656 -45.9024927,-67.8792 -45.9030004,-67.8772688 -45.9023733,-67.8778696 -45.9023733,-67.88126058 -45.90229604;-67.88126058 -45.90229604,-67.8873324 -45.9059718,-67.8863239 -45.9058523,-67.8840923 -45.9048668,-67.8834271 -45.9042397,-67.8832769 -45.9030601,-67.8815603 -45.9032542,-67.8792 -45.9030004,-67.8801656 -45.9023882,-67.8811741 -45.9021194,-67.88690397 -45.90593083;-67.88690397 -45.90593083,-67.8877831 -45.9058523,-67.8869033 -45.9059867,-67.8840923 -45.9048668,-67.8834271 -45.9042397,-67.8832769 -45.9030601,-67.8820109 -45.9031497,-67.8811312 -45.903299,-67.8780627 -45.9027018,-67.8772688 -45.9023733,-67.8778911 -45.9022389,-67.87749311 -45.90223614,-67.8778911 -45.9022389,-67.8772688 -45.9023733,-67.8762174 -45.9020895,-67.8762174 -45.9018506,-67.875402 -45.9018954,-67.87401 -45.90242679,-67.875402 -45.9018954,-67.8762174 -45.9018506,-67.8767323 -45.9016117,-67.8774405 -45.9009995,-67.8778481 -45.8999691,-67.87600509 -45.90013168,,-67.87638486 -45.90010492;-67.87638486 -45.90010492,,-67.87600509 -45.90013168,-67.8777301 -45.9000289, -67.8775263 -45.9006635, -67.8726447 -45.9006411,-67.87136842 -45.90083234;-67.87136842 -45.90083234,-67.8777301 -45.9000289, -67.8775263 -45.9006635, -67.8726447 -45.9006411,-67.87600509 -45.90013168,-67.8778481 -45.8999691,-67.8795862 -45.8996556,-67.8816676 -45.8998198,-67.8823113 -45.899342,-67.88283131 -45.8994995,-67.8816462 -45.8976545,-67.8819466 -45.8992972,-67.8823757 -45.8992374,-67.88049412 -45.89765426,-67.8799939 -45.8961761,-67.8810668 -45.8968855,-67.881496 -45.8974007,-67.87842608 -45.89585515,-67.8782558 -45.8919497,-67.8778267 -45.8923828,-67.8780413 -45.8938315,-67.8791893 -45.8953398,-67.87768072 -45.89180609,-67.8788996 -45.8901426,-67.877934 -45.8900903,-67.8774834 -45.8904786,-67.8777945 -45.8925098,-67.8783524 -45.8919348,-67.87813787 -45.88993585,-67.8792322 -45.8901127,-67.877934 -45.8900903,-67.8765285 -45.89045620000001,-67.87484305 -45.89067788,-67.8765285 -45.89045620000001,-67.877773 -45.8901799,-67.8803802 -45.8880143,-67.8783846 -45.8885519,-67.87661058 -45.88889945,-67.8783846 -45.8885519,-67.8803802 -45.8880143,-67.8826654 -45.8868044,-67.8823113 -45.8868119,-67.88085052 -45.88709026,-67.8838027 -45.88608,-67.882483 -45.8868716,-67.88304639 -45.88588109,-67.8847039 -45.885542300000004,-67.8854334 -45.8851465,-67.88477851 -45.88530377,-67.8877938 -45.885251,-67.8862166 -45.8849523,-67.88725199 -45.88498287,-67.8916669 -45.8851316,-67.891463 -45.8853332,-67.8890061 -45.8855946,-67.8886521 -45.8849672,-67.88986813 -45.88509226,-67.895658 -45.88465360000001,-67.8955078 -45.8872675,-67.89402720000001 -45.888186,-67.89313670000001 -45.8879097,-67.8935552 -45.8866999,-67.891624 -45.8850718,-67.89478887 -45.88442779,-67.896452 -45.8842129,-67.8972995 -45.8841607,-67.8987801 -45.8833839,-67.8993165 -45.8836304,-67.89811074 -45.88424629,-67.90316820000001 -45.883637900000004,-67.9026854 -45.8831823,-67.9021275 -45.8832794,-67.900722 -45.8842279,-67.9001105 -45.8851465,-67.8995955 -45.8843175,-67.90293219 -45.8836944,-67.9039729 -45.8871629,-67.9034686 -45.8869165,-67.9041123 -45.886192,-67.9042947 -45.8847656,-67.90316820000001 -45.883637900000004,-67.90362098 -45.8874036,-67.9052818 -45.8875736,-67.90654780000001 -45.8882084,-67.9074919 -45.8882756,-67.90705336 -45.88840606,-67.9066443 -45.8844071,-67.9062474 -45.8852585,-67.908833 -45.885968,-67.9091012 -45.8864012,-67.90594775 -45.88423937,,-67.90591516 -45.88446218,-67.9076958 -45.8841084,-67.9082644 -45.8839366,-67.9093373 -45.8833167,-67.9103136 -45.8831972,-67.90970498 -45.88326091,-67.911365 -45.8831076,-67.9142618 -45.8826968,-67.9159892 -45.8825026,-67.91541483 -45.88231338,-67.9166651 -45.8823159,-67.9170835 -45.8822711,-67.9178345 -45.8833989,-67.9184783 -45.8832943,-67.91747464 -45.88372353,-67.9183173 -45.8833018,-67.9179525 -45.8832943,-67.9178452 -45.8829358,-67.9186606 -45.8819873,-67.9191113 -45.8815466,-67.9197979 -45.8813898,-67.91930941 -45.88137118,-67.9231775 -45.8798138,-67.9230273 -45.8801051,-67.9220295 -45.8802022,-67.9198301 -45.8807027,-67.9191542 -45.8814645,-67.9198301 -45.8813375,-67.92260289 -45.87981886,-67.9288745 -45.8790371,-67.9299045 -45.8786188,-67.929765 -45.8784918,-67.9247224 -45.8798512,-67.9241753 -45.8796943,-67.92746283 -45.879252,-67.9288745 -45.8790371,-67.9299796 -45.8786337,-67.9304302 -45.8776552,-67.9309022 -45.8766245,-67.9306126 -45.8766543,-67.92916705 -45.87686758,-67.9305589 -45.8765722,-67.9309773 -45.8765423,-67.9323184 -45.875011,-67.9336917 -45.8726132,-67.93292309 -45.87290945,-67.9337347 -45.872531,-67.9350007 -45.8704245,-67.9346895 -45.8701032,-67.933282 -45.87018527,-67.936492 -45.8696625,-67.9362881 -45.8694234,-67.9350436 -45.8703273,-67.9347003 -45.8699986,-67.93551008 -45.87004015,-67.9383588 -45.8674437,-67.9380584 -45.8682655,-67.9363847 -45.8693786,-67.9365671 -45.8696326,-67.9400271 -45.8665472</t>
  </si>
  <si>
    <t>-67.9400271 -45.8665472,-67.9427254 -45.8635364,-67.9464859 -45.8623447,-67.9469097 -45.862016,-67.94569946 -45.86221924,-67.9469097 -45.8620944,-67.9481596 -45.8620048,-67.94727301 -45.86217176,-67.9483044 -45.861911400000004,-67.9473495 -45.8614183,-67.94655091 -45.86160389,-67.9479718 -45.8615453,-67.9493934 -45.8606973,-67.9489589 -45.8606599,-67.94780419 -45.86081977,-67.9494631 -45.8607197,-67.9496992 -45.8604582,-67.9489589 -45.8596363,-67.9496777 -45.8591282,-67.9500318 -45.8586351,-67.9503858 -45.8584632,-67.94942594 -45.85854239,-67.95038580000002 -45.8584109,-67.9492486 -45.8582839,-67.9486799 -45.8563934,-67.9455793 -45.8575815,-67.94451337 -45.85788474,-67.9454827 -45.8575591,-67.9450428 -45.8573125,-67.9437983 -45.8579999,-67.9424357 -45.8576786,-67.94116334 -45.85759913;-67.94116334 -45.85759913,-67.9454827 -45.8575591,-67.9450428 -45.8573125,-67.9437983 -45.8579999,-67.9424357 -45.8576786,-67.94451337 -45.85788474,-67.9455793 -45.8575815,-67.9449892 -45.8573947,-67.9450321 -45.8569464,-67.9437447 -45.8569987,-67.9429507 -45.8566475,-67.94127839 -45.85682198,-67.9418778 -45.8559601,-67.9390132 -45.8553324,-67.93784211 -45.85566073,-67.9390132 -45.8553324,-67.9377794 -45.8546898,-67.9357088 -45.8545104,-67.93449161 -45.85473418,-67.9352367 -45.8546599,-67.9346144 -45.8547794,-67.9340136 -45.8552128,-67.9328218 -45.85546946,-67.9338741 -45.8553324,-67.9329085 -45.85672970000001,-67.9318249 -45.8585902,-67.92996431 -45.85892348,-67.930795 -45.8589115,-67.9290783 -45.859442,-67.9272544 -45.8596288,-67.9275012 -45.8597558,-67.92650257 -45.85998033,-67.9274476 -45.8598455,-67.9277694 -45.8609139,-67.9253554 -45.8608542,-67.92472033 -45.86078317,-67.9253769 -45.8604208,-67.9236388 -45.8595317,-67.9233384 -45.8597857,-67.92204432 -45.86025045,-67.9235315 -45.8601219,-67.9222655 -45.8604731,-67.92116295 -45.86077528,-67.9219651 -45.8610335,-67.9157424 -45.8609887,-67.91412974 -45.86109479,-67.9153347 -45.8605702,-67.9157317 -45.8599725,-67.9146159 -45.859457,-67.91347499 -45.85938782,-67.9145408 -45.8594047,-67.9124916 -45.858777,-67.9112792 -45.8592776,-67.91058213 -45.85962973,-67.9112792 -45.8592776,-67.9102921 -45.8588293,-67.9105067 -45.8586425,-67.90964669 -45.85881191,-67.9102653 -45.8586986,-67.9081625 -45.8581195,-67.90707943 -45.8582017,-67.90773330000002 -45.8580522,-67.9073417 -45.8579177,-67.9068965 -45.8568567,-67.9053408 -45.8563822,-67.90400196 -45.85653031,-67.904284 -45.8564084,-67.9033184 -45.8552726,-67.9019022 -45.8551232,-67.90067511 -45.8549717,,-67.90022567 -45.85540767,-67.9008508 -45.8548093,-67.8990161 -45.8545403,-67.898823 -45.8538678,-67.8965485 -45.8545553,-67.89483427 -45.85484841,-67.887429 -45.855564,-67.8894138 -45.853808,-67.8932333 -45.8533447,-67.8969455 -45.8545851,-67.8963768 -45.8546599,-67.88581092 -45.85597227,-67.887429 -45.855564,-67.8882551 -45.8548691,-67.8894138 -45.853808,-67.8920853 -45.8535689,-67.8916454 -45.8538678,-67.8897357 -45.85395,-67.88910 -45.85436,-67.8875685 -45.8562589,-67.885799 -45.8571033,-67.88544 -45.8578281,-67.88523 -45.85794,-67.88402968 -45.85834964,-67.8814316 -45.8592926,-67.8808415 -45.8591357,-67.880863 -45.8587322,-67.8817642 -45.858239,-67.8850043 -45.8580522,-67.88077392 -45.85953999,-67.8790283 -45.8588293,-67.880466 -45.8587397,-67.8813028 -45.8593598,-67.87771797 -45.85914466,-67.875917 -45.8590236,-67.8765607 -45.8587098,-67.8784597 -45.8588443,-67.87446619 -45.85953534,-67.8758311 -45.8590012,-67.8755307 -45.858777,-67.8718829 -45.8588144,-67.8721619 -45.8576637,-67.8733528 -45.857462,-67.8739536 -45.8579028,-67.87227986 -45.85836679,-67.8721619 -45.8576637,-67.8734279 -45.8573798,-67.8740823 -45.8579103,-67.87029294 -45.85782787,-67.8694689 -45.8577534,-67.8703272 -45.8578879,-67.8705525 -45.8574694,-67.8710139 -45.8575441,-67.86752908 -45.85773082,-67.8666365 -45.8577982,-67.8680527 -45.857716,-67.86509618 -45.85797591,-67.8655958 -45.85783560000001,-67.8642118 -45.8570435,-67.86269634 -45.8576934,-67.8630531 -45.8577608,-67.8618944 -45.8580074,-67.86119926 -45.8582863,-67.8617334 -45.8580597,-67.8595233 -45.8583362,-67.85800456 -45.85865306,-67.8585362 -45.8586425,-67.8567231 -45.8591431,-67.8550386 -45.8605852,-67.85325633 -45.86047853,-67.8547168 -45.8600622,-67.8545237 -45.8589862,-67.8537083 -45.858508,-67.852335 -45.8585529,-67.85051371 -45.8587379,-67.8511226 -45.8587172,-67.8489661 -45.8581942,-67.8504252 -45.8565952,-67.84992667 -45.85649082,-67.851541 -45.8561394,-67.8511119 -45.8555416,-67.8497386 -45.8553249,-67.8490841 -45.8555341,-67.84737753 -45.85568862,-67.8480864 -45.8556163,-67.846477 -45.8561992,-67.8452325 -45.8556537,-67.84359994 -45.85582912,-67.8438914 -45.8557508,-67.8414237 -45.8563262,-67.8377545 -45.8563187,-67.83653581 -45.85644197,-67.8371108 -45.8561767,-67.8326368 -45.8556313,-67.83154193 -45.85548135,-67.8319716 -45.855437,-67.8292787 -45.855108200000004,-67.82760578 -45.8552439,-67.8277767 -45.8550036,-67.8251696 -45.8547271,-67.824676 -45.8544207,-67.82322995 -45.85451391,-67.8239679 -45.8545553,-67.8218329 -45.8556089,-67.8208029 -45.8559227,-67.81902598 -45.85622201,-67.8170907 -45.857589,-67.8185821 -45.8575068,-67.821908 -45.8556462,-67.8207815 -45.8559825,-67.81540703 -45.85832712;-67.81540703 -45.85832712,-67.8170907 -45.857589,-67.8185821 -45.8575068,-67.821908 -45.8556462,-67.8207815 -45.8559825,-67.81902598 -45.85622201,-67.8239679 -45.8545553,-67.8218329 -45.8556089,-67.8208029 -45.8559227,-67.82322995 -45.85451391,-67.8277767 -45.8550036,-67.8251696 -45.8547271,-67.824676 -45.8544207,-67.82760578 -45.8552439,-67.8319716 -45.855437,-67.8292787 -45.855108200000004,-67.83154193 -45.85548135,-67.8371108 -45.8561767,-67.8326368 -45.8556313,-67.83653581 -45.85644197,-67.8438914 -45.8557508,-67.8414237 -45.8563262,-67.8377545 -45.8563187,-67.84359994 -45.85582912,-67.8480864 -45.8556163,-67.846477 -45.8561992,-67.8452325 -45.8556537,-67.84737753 -45.85568862,-67.851541 -45.8561394,-67.8511119 -45.8555416,-67.8497386 -45.8553249,-67.8490841 -45.8555341,-67.84992667 -45.85649082,-67.8511226 -45.8587172,-67.8489661 -45.8581942,-67.8504252 -45.8565952,-67.85051371 -45.8587379,-67.8547168 -45.8600622,-67.8545237 -45.8589862,-67.8537083 -45.858508,-67.852335 -45.8585529,-67.85325633 -45.86047853,-67.8585362 -45.8586425,-67.8567231 -45.8591431,-67.8550386 -45.8605852,-67.85800456 -45.85865306,-67.8602314 -45.85924030000001,-67.8568411 -45.8591506,-67.8585362 -45.8586425,-67.85979998 -45.85959279,-67.8623772 -45.8601145,-67.8619158 -45.8597185,-67.86181930000001 -45.8591954,-67.8608966 -45.8592179,-67.8613425 -45.86055445,-67.8623772 -45.8601145,-67.8618085 -45.8597185,-67.8601241 -45.8605852,-67.85862453 -45.86123384;-67.85862453 -45.86123384,-67.8623772 -45.8601145,-67.8618085 -45.8597185,-67.8601241 -45.8605852,-67.8613425 -45.86055445,-67.8623772 -45.8601145,-67.8619158 -45.8597185,-67.86181930000001 -45.8591954,-67.8608966 -45.8592179,-67.85979998 -45.85959279,-67.8602314 -45.85924030000001,-67.8568411 -45.8591506,-67.8585362 -45.8586425,-67.85800456 -45.85865306,-67.8617334 -45.8580597,-67.8595233 -45.8583362,-67.86119926 -45.8582863,-67.8630531 -45.8577608,-67.8618944 -45.8580074,-67.86269634 -45.8576934,-67.8655958 -45.85783560000001,-67.8642118 -45.8570435,-67.86509618 -45.85797591,-67.8666365 -45.8577982,-67.8680527 -45.857716,-67.86752908 -45.85773082,-67.8694689 -45.8577534,-67.8703272 -45.8578879,-67.8705525 -45.8574694,-67.8710139 -45.8575441,-67.87029294 -45.85782787,-67.8721619 -45.8576637,-67.8734279 -45.8573798,-67.8740823 -45.8579103,-67.87227986 -45.85836679,-67.8758311 -45.8590012,-67.8755307 -45.858777,-67.8718829 -45.8588144,-67.8721619 -45.8576637,-67.8733528 -45.857462,-67.8739536 -45.8579028,-67.87446619 -45.85953534,-67.875917 -45.8590236,-67.8765607 -45.8587098,-67.8784597 -45.8588443,-67.87771797 -45.85914466,-67.8790283 -45.8588293,-67.880466 -45.8587397,-67.8813028 -45.8593598,-67.88077392 -45.85953999,-67.8814316 -45.8592926,-67.8808415 -45.8591357,-67.880863 -45.8587322,-67.8817642 -45.858239,-67.8850043 -45.8580522,-67.88402968 -45.85834964,-67.8850043 -45.8580522,-67.8858519 -45.8571556,-67.8847897 -45.8575666,-67.8816998 -45.856909,-67.88007662 -45.85706707,-67.8804874 -45.8568642,-67.8787923 -45.8561469,-67.8767753 -45.8558554,-67.87507141 -45.85623923;-67.87507141 -45.85623923,-67.8804874 -45.8568642,-67.8787923 -45.8561469,-67.8767753 -45.8558554,-67.88007662 -45.85706707,-67.8850043 -45.8580522,-67.8858519 -45.8571556,-67.8847897 -45.8575666,-67.8816998 -45.856909,-67.88402968 -45.85834964,-67.887429 -45.855564,-67.8882551 -45.8548691,-67.8894138 -45.853808,-67.8920853 -45.8535689,-67.8916454 -45.8538678,-67.8897357 -45.85395,-67.88910 -45.85436,-67.8875685 -45.8562589,-67.885799 -45.8571033,-67.88544 -45.8578281,-67.88523 -45.85794,-67.88581092 -45.85597227,-67.887429 -45.855564,-67.8894138 -45.853808,-67.8932333 -45.8533447,-67.8969455 -45.8545851,-67.8963768 -45.8546599,-67.89483427 -45.85484841,-67.9008508 -45.8548093,-67.8990161 -45.8545403,-67.898823 -45.8538678,-67.8965485 -45.8545553,-67.90022567 -45.85540767,,-67.90067511 -45.8549717,-67.904284 -45.8564084,-67.9033184 -45.8552726,-67.9019022 -45.8551232,-67.90400196 -45.85653031,-67.90773330000002 -45.8580522,-67.9073417 -45.8579177,-67.9068965 -45.8568567,-67.9053408 -45.8563822,-67.90707943 -45.8582017,-67.9102653 -45.8586986,-67.9081625 -45.8581195,-67.90964669 -45.85881191,-67.9112792 -45.8592776,-67.9102921 -45.8588293,-67.9105067 -45.8586425,-67.91058213 -45.85962973,-67.9145408 -45.8594047,-67.9124916 -45.858777,-67.9112792 -45.8592776,-67.91347499 -45.85938782,-67.9153347 -45.8605702,-67.9157317 -45.8599725,-67.9146159 -45.859457,-67.91412974 -45.86109479,-67.9219651 -45.8610335,-67.9157424 -45.8609887,-67.92116295 -45.86077528,-67.9235315 -45.8601219,-67.9222655 -45.8604731,-67.92204432 -45.86025045,-67.9253769 -45.8604208,-67.9236388 -45.8595317,-67.9233384 -45.8597857,-67.92472033 -45.86078317,-67.9288423 -45.860757,-67.9286063 -45.8609812,-67.9269433 -45.8608168,-67.9254305 -45.8610559,-67.9256237 -45.8606898,-67.92827234 -45.86082887,-67.9307091 -45.86097370000001,-67.9287457 -45.8609588,-67.9288423 -45.860757,-67.92973166 -45.86112334,-67.9343569 -45.8614145,-67.9335523 -45.861549,-67.9334021 -45.8611381,-67.9309666 -45.8609214,-67.93332777 -45.86169272,-67.9375219 -45.8620421,-67.9357517 -45.861085800000005,-67.9346144 -45.8614519,-67.93652197 -45.86222667,-67.9388309 -45.8607794,-67.938112 -45.8611007,-67.9377472 -45.860899,-67.9362881 -45.8614743,-67.9374897 -45.8619749,-67.93809539 -45.86091501,-67.9389811 -45.8623559,-67.9389596 -45.8618329,-67.9381979 -45.8610783,-67.9390669 -45.8607794,-67.93749455 -45.86270022,-67.9407942 -45.8630844,-67.9403758 -45.8621878,-67.9386914 -45.8624792,-67.94016816 -45.86304785,-67.9412395 -45.8636896,-67.94085860000001 -45.8628677,-67.94026881 -45.86394522,-67.9413575 -45.8643508,-67.94191 -45.8638801,-67.9413092 -45.8637717,-67.9397787 -45.86446671,-67.939437 -45.8659907,-67.9410034 -45.8642985,-67.93820898 -45.86621382,,-67.93822649 -45.86645361,-67.9383588 -45.8674437,-67.9380101 -45.8666929,-67.9392922 -45.8661064,-67.9400271 -45.8665472</t>
  </si>
  <si>
    <t>-67.9400271 -45.8665472,-67.9383588 -45.8674437,-67.9380101 -45.8666929,-67.9392922 -45.8661064,-67.93822649 -45.86645361,,-67.93820898 -45.86621382,-67.939437 -45.8659907,-67.9410034 -45.8642985,-67.9397787 -45.86446671,-67.9413575 -45.8643508,-67.94191 -45.8638801,-67.9413092 -45.8637717,-67.94026881 -45.86394522,-67.9412395 -45.8636896,-67.94085860000001 -45.8628677,-67.94016816 -45.86304785,-67.9407942 -45.8630844,-67.9403758 -45.8621878,-67.9386914 -45.8624792,-67.93749455 -45.86270022,-67.9389811 -45.8623559,-67.9389596 -45.8618329,-67.9381979 -45.8610783,-67.9390669 -45.8607794,-67.93809539 -45.86091501,-67.9388309 -45.8607794,-67.938112 -45.8611007,-67.9377472 -45.860899,-67.9362881 -45.8614743,-67.9374897 -45.8619749,-67.93652197 -45.86222667,-67.9375219 -45.8620421,-67.9357517 -45.861085800000005,-67.9346144 -45.8614519,-67.93332777 -45.86169272,-67.9343569 -45.8614145,-67.9335523 -45.861549,-67.9334021 -45.8611381,-67.9309666 -45.8609214,-67.92973166 -45.86112334,-67.9307091 -45.86097370000001,-67.9287457 -45.8609588,-67.9288423 -45.860757,-67.92827234 -45.86082887,-67.9288423 -45.860757,-67.9286063 -45.8609812,-67.9269433 -45.8608168,-67.9254305 -45.8610559,-67.9256237 -45.8606898,-67.92472033 -45.86078317,-67.9253769 -45.8604208,-67.9236388 -45.8595317,-67.9233384 -45.8597857,-67.92204432 -45.86025045,-67.9235315 -45.8601219,-67.9222655 -45.8604731,-67.92116295 -45.86077528,-67.9219651 -45.8610335,-67.9157424 -45.8609887,-67.91412974 -45.86109479,-67.9153347 -45.8605702,-67.9157317 -45.8599725,-67.9146159 -45.859457,-67.91347499 -45.85938782,-67.9145408 -45.8594047,-67.9124916 -45.858777,-67.9112792 -45.8592776,-67.91058213 -45.85962973,-67.9112792 -45.8592776,-67.9102921 -45.8588293,-67.9105067 -45.8586425,-67.90964669 -45.85881191,-67.9102653 -45.8586986,-67.9081625 -45.8581195,-67.90707943 -45.8582017,-67.90773330000002 -45.8580522,-67.9073417 -45.8579177,-67.9068965 -45.8568567,-67.9053408 -45.8563822,-67.90400196 -45.85653031,-67.904284 -45.8564084,-67.9033184 -45.8552726,-67.9019022 -45.8551232,-67.90067511 -45.8549717,,-67.90022567 -45.85540767,-67.9008508 -45.8548093,-67.8990161 -45.8545403,-67.898823 -45.8538678,-67.8965485 -45.8545553,-67.89483427 -45.85484841,-67.887429 -45.855564,-67.8894138 -45.853808,-67.8932333 -45.8533447,-67.8969455 -45.8545851,-67.8963768 -45.8546599,-67.88581092 -45.85597227,-67.887429 -45.855564,-67.8882551 -45.8548691,-67.8894138 -45.853808,-67.8920853 -45.8535689,-67.8916454 -45.8538678,-67.8897357 -45.85395,-67.88910 -45.85436,-67.8875685 -45.8562589,-67.885799 -45.8571033,-67.88544 -45.8578281,-67.88523 -45.85794,-67.88402968 -45.85834964,-67.8814316 -45.8592926,-67.8808415 -45.8591357,-67.880863 -45.8587322,-67.8817642 -45.858239,-67.8850043 -45.8580522,-67.88077392 -45.85953999,-67.8790283 -45.8588293,-67.880466 -45.8587397,-67.8813028 -45.8593598,-67.87771797 -45.85914466,-67.875917 -45.8590236,-67.8765607 -45.8587098,-67.8784597 -45.8588443,-67.87446619 -45.85953534,-67.8759491 -45.8590983,-67.8764319 -45.8599501,-67.87655 -45.8609588,-67.8760779 -45.8611231,-67.87444477 -45.86135588,-67.8761101 -45.86104100000001,-67.8766465 -45.8610185,-67.8767216 -45.8614071,-67.87598229 -45.86175617,-67.8765821 -45.8616835,-67.8769684 -45.861803,-67.877183 -45.8627295,-67.87624464 -45.86324951;-67.87624464 -45.86324951,-67.87849190000001 -45.8641416,-67.8785133 -45.863499,-67.8778052 -45.8630732,-67.87711554 -45.86436098,-67.8776658 -45.8646496,-67.876035 -45.8642312,-67.8759491 -45.8638278,-67.8749514 -45.864380600000004,-67.87319628 -45.86441938,-67.8740609 -45.8679218,-67.8740501 -45.8676828,-67.8730416 -45.867115,-67.8732347 -45.8667639,-67.8746724 -45.8662783,-67.8754556 -45.865591,-67.876035 -45.8638054,-67.8748977 -45.8643134,-67.8729107 -45.86822856,-67.8735942 -45.8680488,-67.8724301 -45.8682281,-67.8724086 -45.8686689,-67.8764427 -45.8695952,-67.87545792 -45.87007243,-67.8773439 -45.8681385,-67.878288 -45.8679816,-67.8767216 -45.8696102,-67.87529512 -45.86884053,-67.8773224 -45.8682132,-67.8784168 -45.867951700000006,-67.8792751 -45.866988,-67.87841593 -45.86693979,-67.8794253 -45.8652025,-67.8813779 -45.8643508,-67.8805947 -45.8648065,-67.8801227 -45.8652622,-67.8801119 -45.8658151,-67.8798544 -45.8661513,-67.87816911 -45.86559299,-67.8800154 -45.8627071,-67.880863 -45.8635887,-67.8814101 -45.8638502,-67.881496 -45.8643508,-67.8795862 -45.8651352,-67.87889297 -45.8626014,-67.8809917 -45.8619301,-67.8822792 -45.8616611,-67.8835666 -45.8617507,-67.8845859 -45.8612277,-67.8843284 -45.8612427,-67.88286864 -45.86153258,-67.8855836 -45.8605329,-67.8847253 -45.8611754,-67.8843284 -45.8612427,-67.88485253 -45.86038085,-67.8862917 -45.8600846,-67.8869355 -45.8600547,-67.8873861 -45.8596438,-67.8876221 -45.8588667,-67.8886843 -45.8579999,-67.8905296 -45.8572453,-67.8874397 -45.861564, -67.8883946 -45.8611157, -67.8893924 -45.859711, -67.8905833 -45.8597558, -67.8910017 -45.8595167, -67.8910661 -45.8584856,-67.8858912 -45.86209946;-67.8858912 -45.86209946,-67.8874397 -45.861564, -67.8883946 -45.8611157, -67.8893924 -45.859711, -67.8905833 -45.8597558, -67.8910017 -45.8595167, -67.8910661 -45.8584856,-67.8905296 -45.8572453,-67.8915596 -45.8569165,-67.8910661 -45.8570435,-67.89119881 -45.85678635,-67.8960952 -45.8598436,-67.8959692 -45.8585678,-67.8961945 -45.8583138,-67.8955936 -45.8581419,-67.8949177 -45.8572976,-67.8950787 -45.8562589,-67.894907 -45.8558629,-67.8937376 -45.8558928,-67.8932869 -45.8566101,-67.8928149 -45.8568492,-67.8926003 -45.8566998,-67.89506126 -45.86022417,-67.8961086 -45.8601668,-67.8949714 -45.8618927,-67.89369378 -45.862107,-67.8961945 -45.8632674,-67.8952932 -45.8629985,-67.8948426 -45.8620347,-67.8946526 -45.86372426,-67.8962696 -45.8632899,-67.8974175 -45.8625203,-67.8984583 -45.8622177,-67.89779792 -45.86312838,,-67.8975525 -45.86346654,-67.8993487 -45.8636634,-67.8988981 -45.8636933,-67.89861920000001 -45.8635215,-67.89867893 -45.86374335,-67.9039943 -45.8644255,-67.9028034 -45.8637381,-67.8999174 -45.8635812,-67.90314798 -45.8648888,-67.906419 -45.86626330000001,-67.9050887 -45.8652025,-67.9043591 -45.864814,-67.90565529 -45.8665856,-67.9108179 -45.86391,-67.9094768 -45.8638353,-67.9077816 -45.8657329,-67.9066443 -45.8662484,-67.90869072 -45.86438156,-67.9100454 -45.8663754,-67.9094982 -45.8663306,-67.909627 -45.86429100000001,-67.90947109 -45.86641003,-67.9100668 -45.8647318,-67.9098523 -45.8659197,-67.9103565 -45.8661513,-67.90917641 -45.86476613,-67.9122448 -45.8649709,-67.911129 -45.8644105,-67.9103887 -45.8645226,-67.91093971 -45.86527418,-67.9164934 -45.8652398,-67.9147875 -45.8642536,-67.9133606 -45.865322,-67.9120409 -45.8651352,-67.91575239 -45.86551598,-67.9187572 -45.8661064,-67.9176843 -45.8663679,-67.9172981 -45.8656657,-67.91774956 -45.8661538,-67.9224908 -45.8663306,-67.9191971 -45.8656582,-67.92069068 -45.86664171,-67.9258382 -45.86658460000001,-67.9220402 -45.8663903,-67.92478129 -45.86687146,-67.9266429 -45.8657927,-67.9259992 -45.8665696,-67.92617947 -45.86596757,,-67.92568273 -45.86555172,-67.9284239 -45.8655835,-67.9270077 -45.8655162,-67.92761571 -45.86576064,-67.92887450000002 -45.8655984,-67.929647 -45.8660093,-67.9311919 -45.8652622,-67.93025624 -45.86524613,-67.934196 -45.8650755,-67.9339492 -45.8648887,-67.9318678 -45.8652174,-67.93322311 -45.86539389,-67.9364544 -45.8650082,-67.9343033 -45.8651128,-67.93542287 -45.86514387,-67.9374468 -45.8637643,-67.93648120000002 -45.8648999,-67.93638614 -45.8639203,-67.9407513 -45.863103100000004,-67.9403973 -45.8622551,-67.93757020000001 -45.8636746,-67.94016816 -45.86304785,-67.9412395 -45.8636896,-67.94085860000001 -45.8628677,-67.94026881 -45.86394522,-67.9413575 -45.8643508,-67.94191 -45.8638801,-67.9413092 -45.8637717,-67.9397787 -45.86446671,-67.939437 -45.8659907,-67.9410034 -45.8642985,-67.93820898 -45.86621382,,-67.93822649 -45.86645361,-67.9383588 -45.8674437,-67.9380101 -45.8666929,-67.9392922 -45.8661064,-67.9400271 -45.8665472,-67.9427254 -45.8635364,-67.9445654 -45.863047,-67.94562220000002 -45.8635738,-67.94453448 -45.86385281;-67.94453448 -45.86385281,-67.9427254 -45.8635364,-67.9445654 -45.863047,-67.94562220000002 -45.8635738,-67.9400271 -45.8665472,-67.9383588 -45.8674437,-67.9380101 -45.8666929,-67.9392922 -45.8661064,-67.93822649 -45.86645361,,-67.93820898 -45.86621382,-67.939437 -45.8659907,-67.9410034 -45.8642985,-67.9397787 -45.86446671,-67.9413575 -45.8643508,-67.94191 -45.8638801,-67.9413092 -45.8637717,-67.94026881 -45.86394522,-67.9412395 -45.8636896,-67.94085860000001 -45.8628677,-67.94016816 -45.86304785,-67.9407942 -45.8630844,-67.9403758 -45.8621878,-67.9386914 -45.8624792,-67.93749455 -45.86270022,-67.9389811 -45.8623559,-67.9389596 -45.8618329,-67.9381979 -45.8610783,-67.9390669 -45.8607794,-67.93809539 -45.86091501,-67.9388309 -45.8607794,-67.938112 -45.8611007,-67.9377472 -45.860899,-67.9362881 -45.8614743,-67.9374897 -45.8619749,-67.93652197 -45.86222667,-67.9375219 -45.8620421,-67.9357517 -45.861085800000005,-67.9346144 -45.8614519,-67.93332777 -45.86169272,-67.9343569 -45.8614145,-67.9335523 -45.861549,-67.9334021 -45.8611381,-67.9309666 -45.8609214,-67.92973166 -45.86112334,-67.9307091 -45.86097370000001,-67.9287457 -45.8609588,-67.9288423 -45.860757,-67.92827234 -45.86082887,-67.9288423 -45.860757,-67.9286063 -45.8609812,-67.9269433 -45.8608168,-67.9254305 -45.8610559,-67.9256237 -45.8606898,-67.92472033 -45.86078317,-67.9253769 -45.8604208,-67.9236388 -45.8595317,-67.9233384 -45.8597857,-67.92204432 -45.86025045,-67.9235315 -45.8601219,-67.9222655 -45.8604731,-67.92116295 -45.86077528,-67.9219651 -45.8610335,-67.9157424 -45.8609887,-67.91412974 -45.86109479,-67.9153347 -45.8605702,-67.9157317 -45.8599725,-67.9146159 -45.859457,-67.91347499 -45.85938782,-67.9145408 -45.8594047,-67.9124916 -45.858777,-67.9112792 -45.8592776,-67.91058213 -45.85962973,-67.9112792 -45.8592776,-67.9102921 -45.8588293,-67.9105067 -45.8586425,-67.90964669 -45.85881191,-67.9102653 -45.8586986,-67.9081625 -45.8581195,-67.90707943 -45.8582017,-67.90773330000002 -45.8580522,-67.9073417 -45.8579177,-67.9068965 -45.8568567,-67.9053408 -45.8563822,-67.90400196 -45.85653031,-67.904284 -45.8564084,-67.9033184 -45.8552726,-67.9019022 -45.8551232,-67.90067511 -45.8549717,,-67.90022567 -45.85540767,-67.9008508 -45.8548093,-67.8990161 -45.8545403,-67.898823 -45.8538678,-67.8965485 -45.8545553,-67.89483427 -45.85484841,-67.887429 -45.855564,-67.8894138 -45.853808,-67.8932333 -45.8533447,-67.8969455 -45.8545851,-67.8963768 -45.8546599,-67.88581092 -45.85597227,-67.887429 -45.855564,-67.8882551 -45.8548691,-67.8894138 -45.853808,-67.8920853 -45.8535689,-67.8916454 -45.8538678,-67.8897357 -45.85395,-67.88910 -45.85436,-67.8875685 -45.8562589,-67.885799 -45.8571033,-67.88544 -45.8578281,-67.88523 -45.85794,-67.88402968 -45.85834964,-67.8814316 -45.8592926,-67.8808415 -45.8591357,-67.880863 -45.8587322,-67.8817642 -45.858239,-67.8850043 -45.8580522,-67.88077392 -45.85953999,-67.8790283 -45.8588293,-67.880466 -45.8587397,-67.8813028 -45.8593598,-67.87771797 -45.85914466,-67.875917 -45.8590236,-67.8765607 -45.8587098,-67.8784597 -45.8588443,-67.87446619 -45.85953534,-67.8758311 -45.8590012,-67.8755307 -45.858777,-67.8718829 -45.8588144,-67.8721619 -45.8576637,-67.8733528 -45.857462,-67.8739536 -45.8579028,-67.87227986 -45.85836679,-67.8721619 -45.8576637,-67.8734279 -45.8573798,-67.8740823 -45.8579103,-67.87029294 -45.85782787,-67.8694689 -45.8577534,-67.8703272 -45.8578879,-67.8705525 -45.8574694,-67.8710139 -45.8575441,-67.86752908 -45.85773082,-67.8666365 -45.8577982,-67.8680527 -45.857716,-67.86509618 -45.85797591,-67.8655958 -45.85783560000001,-67.8642118 -45.8570435,-67.86269634 -45.8576934,-67.8630531 -45.8577608,-67.8618944 -45.8580074,-67.86119926 -45.8582863,-67.8617334 -45.8580597,-67.8595233 -45.8583362,-67.85800456 -45.85865306,-67.8585362 -45.8586425,-67.8567231 -45.8591431,-67.8550386 -45.8605852,-67.85325633 -45.86047853,-67.8547168 -45.8600622,-67.8545237 -45.8589862,-67.8537083 -45.858508,-67.852335 -45.8585529,-67.85051371 -45.8587379,-67.8511226 -45.8587172,-67.8489661 -45.8581942,-67.8504252 -45.8565952,-67.84992667 -45.85649082,-67.851541 -45.8561394,-67.8511119 -45.8555416,-67.8497386 -45.8553249,-67.8490841 -45.8555341,-67.84737753 -45.85568862,-67.8480864 -45.8556163,-67.846477 -45.8561992,-67.8452325 -45.8556537,-67.84359994 -45.85582912,-67.8438914 -45.8557508,-67.8414237 -45.8563262,-67.8377545 -45.8563187,-67.83653581 -45.85644197,-67.8371108 -45.8561767,-67.8326368 -45.8556313,-67.83154193 -45.85548135,-67.8319716 -45.855437,-67.8292787 -45.855108200000004,-67.82760578 -45.8552439,-67.8277767 -45.8550036,-67.8251696 -45.8547271,-67.824676 -45.8544207,-67.82322995 -45.85451391,-67.8244078 -45.8540994,-67.8225088 -45.8518801,-67.82163737 -45.8516816,-67.8223801 -45.8515886,-67.8209639 -45.8504751,-67.8196657 -45.8504079,-67.81800483 -45.85079524,-67.8185713 -45.8505798,-67.816962 -45.851073,-67.8161895 -45.8523658,-67.81497943 -45.85259887,-67.816329 -45.8519921,-67.8167796 -45.8511701,-67.8158462 -45.8513121,-67.8150415 -45.8533148,-67.8138399 -45.8541293,-67.81217316 -45.85421245,-67.809999 -45.85395,-67.81053540000002 -45.8542265,-67.8125417 -45.8543386,-67.80813131 -45.85419968,-67.8064048 -45.853539,-67.8089046 -45.854361,-67.8103852 -45.8542265,-67.8098702 -45.8539126,-67.80441533 -45.8533642,-67.805289 -45.8529487,-67.8034651 -45.8522612,-67.8028214 -45.85306820000001,-67.8021669 -45.8529711,-67.80053473 -45.85338776,-67.8017056 -45.8526423,-67.8015232 -45.8523658,-67.79962420000001 -45.8525451,-67.7978754 -45.8519772,-67.7946138 -45.8521416,-67.79294152 -45.85225742,-67.7932727 -45.8519249,-67.790097 -45.851768,-67.7882087 -45.8523583,-67.7874362 -45.8529785,-67.78639604 -45.85350214,-67.7872217 -45.8538753,-67.7837884 -45.8561618,-67.7830803 -45.8561095,-67.78170238 -45.85610146,-67.7824903 -45.8564233,-67.7802157 -45.8580149,-67.7796257 -45.8571108,-67.7786064 -45.8565802,-67.7779841 -45.85664,-67.7787888 -45.8561394,-67.77831934 -45.85627828,-67.7830482 -45.8531654,-67.7812994 -45.854204,-67.779969 -45.8559451,-67.78248056 -45.85294029;-67.78248056 -45.85294029,-67.7830482 -45.8531654,-67.7812994 -45.854204,-67.779969 -45.8559451,-67.77831934 -45.85627828,-67.7824903 -45.8564233,-67.7802157 -45.8580149,-67.7796257 -45.8571108,-67.7786064 -45.8565802,-67.7779841 -45.85664,-67.7787888 -45.8561394,-67.78170238 -45.85610146,-67.7872217 -45.8538753,-67.7837884 -45.8561618,-67.7830803 -45.8561095,-67.78639604 -45.85350214,-67.7932727 -45.8519249,-67.790097 -45.851768,-67.7882087 -45.8523583,-67.7874362 -45.8529785,-67.79294152 -45.85225742,-67.8017056 -45.8526423,-67.8015232 -45.8523658,-67.79962420000001 -45.8525451,-67.7978754 -45.8519772,-67.7946138 -45.8521416,-67.80053473 -45.85338776,-67.805289 -45.8529487,-67.8034651 -45.8522612,-67.8028214 -45.85306820000001,-67.8021669 -45.8529711,-67.80441533 -45.8533642,-67.8064048 -45.853539,-67.8089046 -45.854361,-67.8103852 -45.8542265,-67.8098702 -45.8539126,-67.80813131 -45.85419968,-67.809999 -45.85395,-67.81053540000002 -45.8542265,-67.8125417 -45.8543386,-67.81217316 -45.85421245,-67.816329 -45.8519921,-67.8167796 -45.8511701,-67.8158462 -45.8513121,-67.8150415 -45.8533148,-67.8138399 -45.8541293,-67.81497943 -45.85259887,-67.8185713 -45.8505798,-67.816962 -45.851073,-67.8161895 -45.8523658,-67.81800483 -45.85079524,-67.8223801 -45.8515886,-67.8209639 -45.8504751,-67.8196657 -45.8504079,-67.82163737 -45.8516816,-67.8244078 -45.8540994,-67.8225088 -45.8518801,-67.82322995 -45.85451391,-67.8277767 -45.8550036,-67.8251696 -45.8547271,-67.824676 -45.8544207,-67.82760578 -45.8552439,-67.8319716 -45.855437,-67.8292787 -45.855108200000004,-67.83154193 -45.85548135,-67.8371108 -45.8561767,-67.8326368 -45.8556313,-67.83653581 -45.85644197,-67.8438914 -45.8557508,-67.8414237 -45.8563262,-67.8377545 -45.8563187,-67.84359994 -45.85582912,-67.8480864 -45.8556163,-67.846477 -45.8561992,-67.8452325 -45.8556537,-67.84737753 -45.85568862,-67.851541 -45.8561394,-67.8511119 -45.8555416,-67.8497386 -45.8553249,-67.8490841 -45.8555341,-67.84992667 -45.85649082,-67.8511226 -45.8587172,-67.8489661 -45.8581942,-67.8504252 -45.8565952,-67.85051371 -45.8587379,-67.8547168 -45.8600622,-67.8545237 -45.8589862,-67.8537083 -45.858508,-67.852335 -45.8585529,-67.85325633 -45.86047853,-67.8585362 -45.8586425,-67.8567231 -45.8591431,-67.8550386 -45.8605852,-67.85800456 -45.85865306,-67.8617334 -45.8580597,-67.8595233 -45.8583362,-67.86119926 -45.8582863,-67.8630531 -45.8577608,-67.8618944 -45.8580074,-67.86269634 -45.8576934,-67.8655958 -45.85783560000001,-67.8642118 -45.8570435,-67.86509618 -45.85797591,-67.8666365 -45.8577982,-67.8680527 -45.857716,-67.86752908 -45.85773082,-67.8694689 -45.8577534,-67.8703272 -45.8578879,-67.8705525 -45.8574694,-67.8710139 -45.8575441,-67.87029294 -45.85782787,-67.8721619 -45.8576637,-67.8734279 -45.8573798,-67.8740823 -45.8579103,-67.87227986 -45.85836679,-67.8758311 -45.8590012,-67.8755307 -45.858777,-67.8718829 -45.8588144,-67.8721619 -45.8576637,-67.8733528 -45.857462,-67.8739536 -45.8579028,-67.87446619 -45.85953534,-67.875917 -45.8590236,-67.8765607 -45.8587098,-67.8784597 -45.8588443,-67.87771797 -45.85914466,-67.8790283 -45.8588293,-67.880466 -45.8587397,-67.8813028 -45.8593598,-67.88077392 -45.85953999,-67.8814316 -45.8592926,-67.8808415 -45.8591357,-67.880863 -45.8587322,-67.8817642 -45.858239,-67.8850043 -45.8580522,-67.88402968 -45.85834964,-67.887429 -45.855564,-67.8882551 -45.8548691,-67.8894138 -45.853808,-67.8920853 -45.8535689,-67.8916454 -45.8538678,-67.8897357 -45.85395,-67.88910 -45.85436,-67.8875685 -45.8562589,-67.885799 -45.8571033,-67.88544 -45.8578281,-67.88523 -45.85794,-67.88581092 -45.85597227,-67.887429 -45.855564,-67.8894138 -45.853808,-67.8932333 -45.8533447,-67.8969455 -45.8545851,-67.8963768 -45.8546599,-67.89483427 -45.85484841,-67.9008508 -45.8548093,-67.8990161 -45.8545403,-67.898823 -45.8538678,-67.8965485 -45.8545553,-67.90022567 -45.85540767,,-67.90067511 -45.8549717,-67.904284 -45.8564084,-67.9033184 -45.8552726,-67.9019022 -45.8551232,-67.90400196 -45.85653031,-67.90773330000002 -45.8580522,-67.9073417 -45.8579177,-67.9068965 -45.8568567,-67.9053408 -45.8563822,-67.90707943 -45.8582017,-67.9102653 -45.8586986,-67.9081625 -45.8581195,-67.90964669 -45.85881191,-67.9112792 -45.8592776,-67.9102921 -45.8588293,-67.9105067 -45.8586425,-67.91058213 -45.85962973,-67.9145408 -45.8594047,-67.9124916 -45.858777,-67.9112792 -45.8592776,-67.91347499 -45.85938782,-67.9153347 -45.8605702,-67.9157317 -45.8599725,-67.9146159 -45.859457,-67.91412974 -45.86109479,-67.9219651 -45.8610335,-67.9157424 -45.8609887,-67.92116295 -45.86077528,-67.9235315 -45.8601219,-67.9222655 -45.8604731,-67.92204432 -45.86025045,-67.9253769 -45.8604208,-67.9236388 -45.8595317,-67.9233384 -45.8597857,-67.92472033 -45.86078317,-67.9288423 -45.860757,-67.9286063 -45.8609812,-67.9269433 -45.8608168,-67.9254305 -45.8610559,-67.9256237 -45.8606898,-67.92827234 -45.86082887,-67.9307091 -45.86097370000001,-67.9287457 -45.8609588,-67.9288423 -45.860757,-67.92973166 -45.86112334,-67.9343569 -45.8614145,-67.9335523 -45.861549,-67.9334021 -45.8611381,-67.9309666 -45.8609214,-67.93332777 -45.86169272,-67.9375219 -45.8620421,-67.9357517 -45.861085800000005,-67.9346144 -45.8614519,-67.93652197 -45.86222667,-67.9388309 -45.8607794,-67.938112 -45.8611007,-67.9377472 -45.860899,-67.9362881 -45.8614743,-67.9374897 -45.8619749,-67.93809539 -45.86091501,-67.9389811 -45.8623559,-67.9389596 -45.8618329,-67.9381979 -45.8610783,-67.9390669 -45.8607794,-67.93749455 -45.86270022,-67.9407942 -45.8630844,-67.9403758 -45.8621878,-67.9386914 -45.8624792,-67.94016816 -45.86304785,-67.9412395 -45.8636896,-67.94085860000001 -45.8628677,-67.94026881 -45.86394522,-67.9413575 -45.8643508,-67.94191 -45.8638801,-67.9413092 -45.8637717,-67.9397787 -45.86446671,-67.939437 -45.8659907,-67.9410034 -45.8642985,-67.93820898 -45.86621382,,-67.93822649 -45.86645361,-67.9383588 -45.8674437,-67.9380101 -45.8666929,-67.9392922 -45.8661064,-67.9400271 -45.8665472</t>
  </si>
  <si>
    <t>-67.9400271 -45.8665472,-67.9383588 -45.8674437,-67.9380584 -45.8682655,-67.9363847 -45.8693786,-67.9365671 -45.8696326,-67.93551008 -45.87004015,-67.936492 -45.8696625,-67.9362881 -45.8694234,-67.9350436 -45.8703273,-67.9347003 -45.8699986,-67.933282 -45.87018527,-67.9337347 -45.872531,-67.9350007 -45.8704245,-67.9346895 -45.8701032,-67.93292309 -45.87290945,-67.9305589 -45.8765722,-67.9309773 -45.8765423,-67.9323184 -45.875011,-67.9336917 -45.8726132,-67.92916705 -45.87686758,-67.9288745 -45.8790371,-67.9299796 -45.8786337,-67.9304302 -45.8776552,-67.9309022 -45.8766245,-67.9306126 -45.8766543,-67.92746283 -45.879252,-67.9288745 -45.8790371,-67.9299045 -45.8786188,-67.929765 -45.8784918,-67.9247224 -45.8798512,-67.9241753 -45.8796943,-67.92260289 -45.87981886,-67.9231775 -45.8798138,-67.9230273 -45.8801051,-67.9220295 -45.8802022,-67.9198301 -45.8807027,-67.9191542 -45.8814645,-67.9198301 -45.8813375,-67.91930941 -45.88137118,-67.9183173 -45.8833018,-67.9179525 -45.8832943,-67.9178452 -45.8829358,-67.9186606 -45.8819873,-67.9191113 -45.8815466,-67.9197979 -45.8813898,-67.91747464 -45.88372353,-67.9166651 -45.8823159,-67.9170835 -45.8822711,-67.9178345 -45.8833989,-67.9184783 -45.8832943,-67.91541483 -45.88231338,-67.911365 -45.8831076,-67.9142618 -45.8826968,-67.9159892 -45.8825026,-67.90970498 -45.88326091,-67.9076958 -45.8841084,-67.9082644 -45.8839366,-67.9093373 -45.8833167,-67.9103136 -45.8831972,-67.90591516 -45.88446218,,-67.90594775 -45.88423937,-67.9066443 -45.8844071,-67.9062474 -45.8852585,-67.908833 -45.885968,-67.9091012 -45.8864012,-67.90705336 -45.88840606,-67.9052818 -45.8875736,-67.90654780000001 -45.8882084,-67.9074919 -45.8882756,-67.90362098 -45.8874036,-67.9039729 -45.8871629,-67.9034686 -45.8869165,-67.9041123 -45.886192,-67.9042947 -45.8847656,-67.90316820000001 -45.883637900000004,-67.90293219 -45.8836944,-67.90316820000001 -45.883637900000004,-67.9026854 -45.8831823,-67.9021275 -45.8832794,-67.900722 -45.8842279,-67.9001105 -45.8851465,-67.8995955 -45.8843175,-67.89811074 -45.88424629,-67.896452 -45.8842129,-67.8972995 -45.8841607,-67.8987801 -45.8833839,-67.8993165 -45.8836304,-67.89478887 -45.88442779,-67.895658 -45.88465360000001,-67.8955078 -45.8872675,-67.89402720000001 -45.888186,-67.89313670000001 -45.8879097,-67.8935552 -45.8866999,-67.891624 -45.8850718,-67.88986813 -45.88509226,-67.8916669 -45.8851316,-67.891463 -45.8853332,-67.8890061 -45.8855946,-67.8886521 -45.8849672,-67.88725199 -45.88498287,-67.8877938 -45.885251,-67.8862166 -45.8849523,-67.88477851 -45.88530377,-67.8847039 -45.885542300000004,-67.8854334 -45.8851465,-67.88304639 -45.88588109,-67.8838027 -45.88608,-67.882483 -45.8868716,-67.88085052 -45.88709026,-67.8783846 -45.8885519,-67.8803802 -45.8880143,-67.8826654 -45.8868044,-67.8823113 -45.8868119,-67.87661058 -45.88889945,-67.8765285 -45.89045620000001,-67.877773 -45.8901799,-67.8803802 -45.8880143,-67.8783846 -45.8885519,-67.87484305 -45.89067788,-67.8792322 -45.8901127,-67.877934 -45.8900903,-67.8765285 -45.89045620000001,-67.87813787 -45.88993585,-67.8788996 -45.8901426,-67.877934 -45.8900903,-67.8774834 -45.8904786,-67.8777945 -45.8925098,-67.8783524 -45.8919348,-67.87768072 -45.89180609,-67.8782558 -45.8919497,-67.8778267 -45.8923828,-67.8780413 -45.8938315,-67.8791893 -45.8953398,-67.87842608 -45.89585515,-67.8799939 -45.8961761,-67.8810668 -45.8968855,-67.881496 -45.8974007,-67.88049412 -45.89765426,-67.8816462 -45.8976545,-67.8819466 -45.8992972,-67.8823757 -45.8992374,-67.88283131 -45.8994995,-67.8778481 -45.8999691,-67.8795862 -45.8996556,-67.8816676 -45.8998198,-67.8823113 -45.899342,-67.87600509 -45.90013168,-67.875402 -45.9018954,-67.8762174 -45.9018506,-67.8767323 -45.9016117,-67.8774405 -45.9009995,-67.8778481 -45.8999691,-67.87401 -45.90242679,-67.8778911 -45.9022389,-67.8772688 -45.9023733,-67.8762174 -45.9020895,-67.8762174 -45.9018506,-67.875402 -45.9018954,-67.87749311 -45.90223614,-67.8877831 -45.9058523,-67.8869033 -45.9059867,-67.8840923 -45.9048668,-67.8834271 -45.9042397,-67.8832769 -45.9030601,-67.8820109 -45.9031497,-67.8811312 -45.903299,-67.8780627 -45.9027018,-67.8772688 -45.9023733,-67.8778911 -45.9022389,-67.88690397 -45.90593083,-67.8887486 -45.9139369,-67.8892422 -45.9133771,-67.889092 -45.9088982,-67.8895211 -45.9081964,-67.8884697 -45.9068527,-67.8891134 -45.9060464,-67.8899932 -45.905494,-67.890079 -45.9049863,-67.8895855 -45.9049415,-67.8884912 -45.9054641,-67.88780562 -45.91450171,-67.892257 -45.917781,-67.8922355 -45.9171241,-67.8925788 -45.9166017,-67.8926325 -45.9163553,-67.8917956 -45.9155044,-67.8909266 -45.914855,-67.8902507 -45.9144445,-67.8900683 -45.9137279,-67.8889096 -45.913601,-67.888813 -45.9138473,-67.89164408 -45.91850265,-67.895422 -45.9189901,-67.8929543 -45.9186468,-67.8948966 -45.91911867;-67.8948966 -45.91911867,-67.895422 -45.9189901,-67.8929543 -45.9186468,-67.89164408 -45.91850265,-67.893126 -45.9187811,-67.8931475 -45.9193633,-67.891345 -45.9201246,-67.8913021 -45.921274,-67.8899932 -45.9222293,-67.8905725 -45.9213636,-67.8903794 -45.9205127,-67.88865987 -45.92044285,-67.8903794 -45.9205127,-67.8905725 -45.9213636,-67.8898215 -45.9222741,-67.8887701 -45.922692,-67.8885126 -45.9233786,-67.88819101 -45.92363236;-67.88819101 -45.92363236,-67.8903794 -45.9205127,-67.8905725 -45.9213636,-67.8898215 -45.9222741,-67.8887701 -45.922692,-67.8885126 -45.9233786,-67.88865987 -45.92044285,-67.893126 -45.9187811,-67.8931475 -45.9193633,-67.891345 -45.9201246,-67.8913021 -45.921274,-67.8899932 -45.9222293,-67.8905725 -45.9213636,-67.8903794 -45.9205127,-67.89164408 -45.91850265,-67.892257 -45.917781,-67.8922355 -45.9171241,-67.8925788 -45.9166017,-67.8926325 -45.9163553,-67.8917956 -45.9155044,-67.8909266 -45.914855,-67.8902507 -45.9144445,-67.8900683 -45.9137279,-67.8889096 -45.913601,-67.888813 -45.9138473,-67.88780562 -45.91450171,-67.8846073 -45.9123171,-67.8879547 -45.9129889,-67.8887486 -45.9136607,-67.88302674 -45.91253107;-67.88302674 -45.91253107,-67.8846073 -45.9123171,-67.8879547 -45.9129889,-67.8887486 -45.9136607,-67.88780562 -45.91450171,-67.8887486 -45.9139369,-67.8892422 -45.9133771,-67.889092 -45.9088982,-67.8895211 -45.9081964,-67.8884697 -45.9068527,-67.8891134 -45.9060464,-67.8899932 -45.905494,-67.890079 -45.9049863,-67.8895855 -45.9049415,-67.8884912 -45.9054641,-67.88690397 -45.90593083,-67.8877831 -45.9058523,-67.8869033 -45.9059867,-67.8840923 -45.9048668,-67.8834271 -45.9042397,-67.8832769 -45.9030601,-67.8820109 -45.9031497,-67.8811312 -45.903299,-67.8780627 -45.9027018,-67.8772688 -45.9023733,-67.8778911 -45.9022389,-67.87749311 -45.90223614,-67.8778911 -45.9022389,-67.8772688 -45.9023733,-67.8762174 -45.9020895,-67.8762174 -45.9018506,-67.875402 -45.9018954,-67.87401 -45.90242679,-67.875402 -45.9018954,-67.8762174 -45.9018506,-67.8767323 -45.9016117,-67.8774405 -45.9009995,-67.8778481 -45.8999691,-67.87600509 -45.90013168,-67.8778481 -45.8999691,-67.8795862 -45.8996556,-67.8816676 -45.8998198,-67.8823113 -45.899342,-67.88283131 -45.8994995,-67.8816462 -45.8976545,-67.8819466 -45.8992972,-67.8823757 -45.8992374,-67.88049412 -45.89765426,-67.8799939 -45.8961761,-67.8810668 -45.8968855,-67.881496 -45.8974007,-67.87842608 -45.89585515,-67.8782558 -45.8919497,-67.8778267 -45.8923828,-67.8780413 -45.8938315,-67.8791893 -45.8953398,-67.87768072 -45.89180609,-67.8788996 -45.8901426,-67.877934 -45.8900903,-67.8774834 -45.8904786,-67.8777945 -45.8925098,-67.8783524 -45.8919348,-67.87813787 -45.88993585,-67.8792322 -45.8901127,-67.877934 -45.8900903,-67.8765285 -45.89045620000001,-67.87484305 -45.89067788,-67.8765285 -45.89045620000001,-67.877773 -45.8901799,-67.8803802 -45.8880143,-67.8783846 -45.8885519,-67.87661058 -45.88889945,-67.8783846 -45.8885519,-67.8803802 -45.8880143,-67.8826654 -45.8868044,-67.8823113 -45.8868119,-67.88085052 -45.88709026,-67.8838027 -45.88608,-67.882483 -45.8868716,-67.88304639 -45.88588109,-67.8847039 -45.885542300000004,-67.8854334 -45.8851465,-67.88477851 -45.88530377,-67.8877938 -45.885251,-67.8862166 -45.8849523,-67.88725199 -45.88498287,-67.8916669 -45.8851316,-67.891463 -45.8853332,-67.8890061 -45.8855946,-67.8886521 -45.8849672,-67.88986813 -45.88509226,-67.895658 -45.88465360000001,-67.8955078 -45.8872675,-67.89402720000001 -45.888186,-67.89313670000001 -45.8879097,-67.8935552 -45.8866999,-67.891624 -45.8850718,-67.89478887 -45.88442779,-67.896452 -45.8842129,-67.8972995 -45.8841607,-67.8987801 -45.8833839,-67.8993165 -45.8836304,-67.89811074 -45.88424629,-67.90316820000001 -45.883637900000004,-67.9026854 -45.8831823,-67.9021275 -45.8832794,-67.900722 -45.8842279,-67.9001105 -45.8851465,-67.8995955 -45.8843175,-67.90293219 -45.8836944,-67.9039729 -45.8871629,-67.9034686 -45.8869165,-67.9041123 -45.886192,-67.9042947 -45.8847656,-67.90316820000001 -45.883637900000004,-67.90362098 -45.8874036,-67.9052818 -45.8875736,-67.90654780000001 -45.8882084,-67.9074919 -45.8882756,-67.90705336 -45.88840606,-67.9066443 -45.8844071,-67.9062474 -45.8852585,-67.908833 -45.885968,-67.9091012 -45.8864012,-67.90594775 -45.88423937,,-67.90591516 -45.88446218,-67.9076958 -45.8841084,-67.9082644 -45.8839366,-67.9093373 -45.8833167,-67.9103136 -45.8831972,-67.90970498 -45.88326091,-67.911365 -45.8831076,-67.9142618 -45.8826968,-67.9159892 -45.8825026,-67.91541483 -45.88231338,-67.9166651 -45.8823159,-67.9170835 -45.8822711,-67.9178345 -45.8833989,-67.9184783 -45.8832943,-67.91747464 -45.88372353,-67.9183173 -45.8833018,-67.9179525 -45.8832943,-67.9178452 -45.8829358,-67.9186606 -45.8819873,-67.9191113 -45.8815466,-67.9197979 -45.8813898,-67.91930941 -45.88137118,-67.9231775 -45.8798138,-67.9230273 -45.8801051,-67.9220295 -45.8802022,-67.9198301 -45.8807027,-67.9191542 -45.8814645,-67.9198301 -45.8813375,-67.92260289 -45.87981886,-67.9288745 -45.8790371,-67.9299045 -45.8786188,-67.929765 -45.8784918,-67.9247224 -45.8798512,-67.9241753 -45.8796943,-67.92746283 -45.879252,-67.9288745 -45.8790371,-67.9299796 -45.8786337,-67.9304302 -45.8776552,-67.9309022 -45.8766245,-67.9306126 -45.8766543,-67.92916705 -45.87686758,-67.9305589 -45.8765722,-67.9309773 -45.8765423,-67.9323184 -45.875011,-67.9336917 -45.8726132,-67.93292309 -45.87290945,-67.9337347 -45.872531,-67.9350007 -45.8704245,-67.9346895 -45.8701032,-67.933282 -45.87018527,-67.936492 -45.8696625,-67.9362881 -45.8694234,-67.9350436 -45.8703273,-67.9347003 -45.8699986,-67.93551008 -45.87004015,-67.9383588 -45.8674437,-67.9380584 -45.8682655,-67.9363847 -45.8693786,-67.9365671 -45.8696326,-67.9400271 -45.8665472</t>
  </si>
  <si>
    <t>-67.9400271 -45.8665472,-67.9383588 -45.8674437,-67.9380101 -45.8666929,-67.9392922 -45.8661064,-67.93822649 -45.86645361,,-67.93820898 -45.86621382,-67.939437 -45.8659907,-67.9410034 -45.8642985,-67.9397787 -45.86446671,-67.9413575 -45.8643508,-67.94191 -45.8638801,-67.9413092 -45.8637717,-67.94026881 -45.86394522,-67.9412395 -45.8636896,-67.94085860000001 -45.8628677,-67.94016816 -45.86304785,-67.9407513 -45.863103100000004,-67.9403973 -45.8622551,-67.93757020000001 -45.8636746,-67.93638614 -45.8639203,-67.9374468 -45.8637643,-67.93648120000002 -45.8648999,-67.93542287 -45.86514387,-67.9364544 -45.8650082,-67.9343033 -45.8651128,-67.93322311 -45.86539389,-67.934196 -45.8650755,-67.9339492 -45.8648887,-67.9318678 -45.8652174,-67.93025624 -45.86524613,-67.92887450000002 -45.8655984,-67.929647 -45.8660093,-67.9311919 -45.8652622,-67.92761571 -45.86576064,-67.9284239 -45.8655835,-67.9270077 -45.8655162,-67.92568273 -45.86555172,,-67.92617947 -45.86596757,-67.9266429 -45.8657927,-67.9259992 -45.8665696,-67.92478129 -45.86687146,-67.9258382 -45.86658460000001,-67.9220402 -45.8663903,-67.92069068 -45.86664171,-67.9224908 -45.8663306,-67.9191971 -45.8656582,-67.91774956 -45.8661538,-67.9187572 -45.8661064,-67.9176843 -45.8663679,-67.9172981 -45.8656657,-67.91575239 -45.86551598,-67.9164934 -45.8652398,-67.9147875 -45.8642536,-67.9133606 -45.865322,-67.9120409 -45.8651352,-67.91093971 -45.86527418,-67.9122448 -45.8649709,-67.911129 -45.8644105,-67.9103887 -45.8645226,-67.90917641 -45.86476613,-67.9100668 -45.8647318,-67.9098523 -45.8659197,-67.9103565 -45.8661513,-67.90947109 -45.86641003,-67.9100454 -45.8663754,-67.9094982 -45.8663306,-67.909627 -45.86429100000001,-67.90869072 -45.86438156,-67.9108179 -45.86391,-67.9094768 -45.8638353,-67.9077816 -45.8657329,-67.9066443 -45.8662484,-67.90565529 -45.8665856,-67.906419 -45.86626330000001,-67.9050887 -45.8652025,-67.9043591 -45.864814,-67.90314798 -45.8648888,-67.9039943 -45.8644255,-67.9028034 -45.8637381,-67.8999174 -45.8635812,-67.89867893 -45.86374335,-67.8993487 -45.8636634,-67.8988981 -45.8636933,-67.89861920000001 -45.8635215,-67.8975525 -45.86346654,,-67.89779792 -45.86312838,-67.8962696 -45.8632899,-67.8974175 -45.8625203,-67.8984583 -45.8622177,-67.8946526 -45.86372426,-67.8961945 -45.8632674,-67.8952932 -45.8629985,-67.8948426 -45.8620347,-67.89369378 -45.862107,-67.8961086 -45.8601668,-67.8949714 -45.8618927,-67.89506126 -45.86022417,-67.8960952 -45.8598436,-67.8959692 -45.8585678,-67.8961945 -45.8583138,-67.8955936 -45.8581419,-67.8949177 -45.8572976,-67.8950787 -45.8562589,-67.894907 -45.8558629,-67.8937376 -45.8558928,-67.8932869 -45.8566101,-67.8928149 -45.8568492,-67.8926003 -45.8566998,-67.89119881 -45.85678635,-67.8915596 -45.8569165,-67.8910661 -45.8570435,-67.8905296 -45.8572453,-67.8862917 -45.8600846,-67.8869355 -45.8600547,-67.8873861 -45.8596438,-67.8876221 -45.8588667,-67.8886843 -45.8579999,-67.88485253 -45.86038085,-67.8861415 -45.8600696,-67.8866887 -45.8595317,-67.8869033 -45.8586351,-67.88574793 -45.85866319,,-67.88589584 -45.85818603;-67.88589584 -45.85818603,,-67.88574793 -45.85866319,-67.8861415 -45.8600696,-67.8866887 -45.8595317,-67.8869033 -45.8586351,-67.88485253 -45.86038085,-67.8855836 -45.8605329,-67.8847253 -45.8611754,-67.8843284 -45.8612427,-67.88286864 -45.86153258,-67.8809917 -45.8619301,-67.8822792 -45.8616611,-67.8835666 -45.8617507,-67.8845859 -45.8612277,-67.8843284 -45.8612427,-67.87889297 -45.8626014,-67.8800154 -45.8627071,-67.880863 -45.8635887,-67.8814101 -45.8638502,-67.881496 -45.8643508,-67.8795862 -45.8651352,-67.87816911 -45.86559299,-67.8794253 -45.8652025,-67.8813779 -45.8643508,-67.8805947 -45.8648065,-67.8801227 -45.8652622,-67.8801119 -45.8658151,-67.8798544 -45.8661513,-67.87841593 -45.86693979,-67.8773224 -45.8682132,-67.8784168 -45.867951700000006,-67.8792751 -45.866988,-67.87529512 -45.86884053,-67.8755951 -45.8690125,-67.8751016 -45.8692815,-67.8764427 -45.8695952,-67.87545792 -45.87007243,-67.8735942 -45.8680488,-67.8724301 -45.8682281,-67.8724086 -45.8686689,-67.8764427 -45.8695952,-67.8729107 -45.86822856,-67.8699839 -45.8693413,-67.8700376 -45.8699389,-67.8703916 -45.8701929,-67.8709173 -45.8699239,-67.8707349 -45.8692815,-67.8712177 -45.8686166,-67.8731596 -45.8681236,-67.86891343 -45.86940172,-67.8665292 -45.8704394,-67.8664756 -45.8701107,-67.8674197 -45.8697073,-67.8698659 -45.8700883,-67.8700376 -45.8699389,-67.8700268 -45.8692964,-67.86552841 -45.87071955,-67.8687286 -45.87223970000001,-67.8671408 -45.8717542,-67.8661752 -45.8712611,-67.8662395 -45.8705888,-67.86803091 -45.87230485,-67.8686213 -45.87223970000001,-67.8679776 -45.8725012,-67.867173 -45.87342,-67.86601994 -45.87390747,-67.8661001 -45.8724788,-67.8660786 -45.8739279,-67.8666043 -45.8740773,-67.86537325 -45.87244509;-67.86537325 -45.87244509,-67.8661001 -45.8724788,-67.8660786 -45.8739279,-67.8666043 -45.8740773,-67.86601994 -45.87390747,-67.8686213 -45.87223970000001,-67.8679776 -45.8725012,-67.867173 -45.87342,-67.86803091 -45.87230485,-67.8687286 -45.87223970000001,-67.8671408 -45.8717542,-67.8661752 -45.8712611,-67.8662395 -45.8705888,-67.86552841 -45.87071955,-67.8665292 -45.8705589,-67.866143 -45.8710594,-67.8657889 -45.8704767,-67.8668725 -45.8688706,-67.86653014 -45.86909111,-67.8668725 -45.8688706,-67.8667974 -45.868646500000004,-67.8676665 -45.8677127,-67.867012 -45.86727940000001,-67.86635342 -45.86702056,-67.8668189 -45.8667639,-67.8664005 -45.866988,-67.8663254 -45.8676305,-67.86498939 -45.86808329,-67.8639972 -45.8691171,-67.8657031 -45.8680713,-67.86235431 -45.86962035,-67.8640509 -45.869035,-67.8651345 -45.867384,-67.8649521 -45.8657329,-67.8658748 -45.8655237,-67.86542164 -45.86561862,-67.8659713 -45.8654266,-67.8650701 -45.8654864,-67.864598 -45.8658599,-67.86331328 -45.86669187,-67.8642762 -45.866988,-67.8632355 -45.8676828,-67.86164041 -45.86812078,-67.8622591 -45.8680488,-67.8610682 -45.868273,-67.860167 -45.8680414,-67.8590083 -45.8671897,-67.8573239 -45.8674587,-67.8566694 -45.868885600000006,-67.85510089 -45.86964857;-67.85510089 -45.86964857,-67.8622591 -45.8680488,-67.8610682 -45.868273,-67.860167 -45.8680414,-67.8590083 -45.8671897,-67.8573239 -45.8674587,-67.8566694 -45.868885600000006,-67.86164041 -45.86812078,-67.8642762 -45.866988,-67.8632355 -45.8676828,-67.86331328 -45.86669187,-67.8659713 -45.8654266,-67.8650701 -45.8654864,-67.864598 -45.8658599,-67.86542164 -45.86561862,-67.8640509 -45.869035,-67.8651345 -45.867384,-67.8649521 -45.8657329,-67.8658748 -45.8655237,-67.86235431 -45.86962035,-67.8639972 -45.8691171,-67.8657031 -45.8680713,-67.86498939 -45.86808329,-67.8668189 -45.8667639,-67.8664005 -45.866988,-67.8663254 -45.8676305,-67.86635342 -45.86702056,-67.8668725 -45.8688706,-67.8667974 -45.868646500000004,-67.8676665 -45.8677127,-67.867012 -45.86727940000001,-67.86653014 -45.86909111,-67.8665292 -45.8705589,-67.866143 -45.8710594,-67.8657889 -45.8704767,-67.8668725 -45.8688706,-67.86552841 -45.87071955,-67.8665292 -45.8704394,-67.8664756 -45.8701107,-67.8674197 -45.8697073,-67.8698659 -45.8700883,-67.8700376 -45.8699389,-67.8700268 -45.8692964,-67.86891343 -45.86940172,-67.8699839 -45.8693413,-67.8700376 -45.8699389,-67.8703916 -45.8701929,-67.8709173 -45.8699239,-67.8707349 -45.8692815,-67.8712177 -45.8686166,-67.8731596 -45.8681236,-67.8729107 -45.86822856,-67.8735942 -45.8680488,-67.8724301 -45.8682281,-67.8724086 -45.8686689,-67.8764427 -45.8695952,-67.87545792 -45.87007243,-67.8773439 -45.8681385,-67.878288 -45.8679816,-67.8767216 -45.8696102,-67.87529512 -45.86884053,-67.8773224 -45.8682132,-67.8784168 -45.867951700000006,-67.8792751 -45.866988,-67.87841593 -45.86693979,-67.881968 -45.8668087,-67.881099 -45.866046700000005,-67.879715 -45.8662036,-67.88072073 -45.86731686,-67.8820217 -45.866861,-67.8810775 -45.8659421,-67.8805304 -45.8654714,-67.8806269 -45.865195,-67.8815389 -45.8649484,-67.88079329 -45.86488873,-67.8823435 -45.864418,-67.8824079 -45.8637456,-67.8817427 -45.8630807,-67.8819895 -45.8626249,-67.8826332 -45.8624979,-67.8835452 -45.862722,-67.8839958 -45.8626847,-67.88289949 -45.86309075;-67.88289949 -45.86309075,-67.8823435 -45.864418,-67.8824079 -45.8637456,-67.8817427 -45.8630807,-67.8819895 -45.8626249,-67.8826332 -45.8624979,-67.8835452 -45.862722,-67.8839958 -45.8626847,-67.88079329 -45.86488873,-67.8820217 -45.866861,-67.8810775 -45.8659421,-67.8805304 -45.8654714,-67.8806269 -45.865195,-67.8815389 -45.8649484,-67.88072073 -45.86731686,-67.881968 -45.8668087,-67.881099 -45.866046700000005,-67.879715 -45.8662036,-67.87841593 -45.86693979,-67.8794253 -45.8652025,-67.8813779 -45.8643508,-67.8805947 -45.8648065,-67.8801227 -45.8652622,-67.8801119 -45.8658151,-67.8798544 -45.8661513,-67.87816911 -45.86559299,-67.8800154 -45.8627071,-67.880863 -45.8635887,-67.8814101 -45.8638502,-67.881496 -45.8643508,-67.8795862 -45.8651352,-67.87889297 -45.8626014,-67.8809917 -45.8619301,-67.8822792 -45.8616611,-67.8835666 -45.8617507,-67.8845859 -45.8612277,-67.8843284 -45.8612427,-67.88286864 -45.86153258,-67.8855836 -45.8605329,-67.8847253 -45.8611754,-67.8843284 -45.8612427,-67.88485253 -45.86038085,-67.8862917 -45.8600846,-67.8869355 -45.8600547,-67.8873861 -45.8596438,-67.8876221 -45.8588667,-67.8886843 -45.8579999,-67.8905296 -45.8572453,-67.8915596 -45.8569165,-67.8910661 -45.8570435,-67.89119881 -45.85678635,-67.8960952 -45.8598436,-67.8959692 -45.8585678,-67.8961945 -45.8583138,-67.8955936 -45.8581419,-67.8949177 -45.8572976,-67.8950787 -45.8562589,-67.894907 -45.8558629,-67.8937376 -45.8558928,-67.8932869 -45.8566101,-67.8928149 -45.8568492,-67.8926003 -45.8566998,-67.89506126 -45.86022417,-67.8961086 -45.8601668,-67.8949714 -45.8618927,-67.89369378 -45.862107,-67.8961945 -45.8632674,-67.8952932 -45.8629985,-67.8948426 -45.8620347,-67.8946526 -45.86372426,-67.8942311 -45.8647841,-67.8944886 -45.8644778,-67.8944886 -45.8640444,-67.8955936 -45.8639772,-67.8958511 -45.8637307,-67.8924736 -45.86523062,-67.8914094 -45.8658749,-67.893244 -45.8652249,-67.88982897 -45.86617984;-67.88982897 -45.86617984,-67.8914094 -45.8658749,-67.893244 -45.8652249,-67.8924736 -45.86523062,-67.8942311 -45.8647841,-67.8944886 -45.8644778,-67.8944886 -45.8640444,-67.8955936 -45.8639772,-67.8958511 -45.8637307,-67.8946526 -45.86372426,-67.8962696 -45.8632899,-67.8974175 -45.8625203,-67.8984583 -45.8622177,-67.89779792 -45.86312838,,-67.8975525 -45.86346654,-67.8993487 -45.8636634,-67.8988981 -45.8636933,-67.89861920000001 -45.8635215,-67.89867893 -45.86374335,-67.9039943 -45.8644255,-67.9028034 -45.8637381,-67.8999174 -45.8635812,-67.90314798 -45.8648888,-67.906419 -45.86626330000001,-67.9050887 -45.8652025,-67.9043591 -45.864814,-67.90565529 -45.8665856,-67.9108179 -45.86391,-67.9094768 -45.8638353,-67.9077816 -45.8657329,-67.9066443 -45.8662484,-67.90869072 -45.86438156,-67.9100454 -45.8663754,-67.9094982 -45.8663306,-67.909627 -45.86429100000001,-67.90947109 -45.86641003,-67.9100668 -45.8647318,-67.9098523 -45.8659197,-67.9103565 -45.8661513,-67.90917641 -45.86476613,-67.9122448 -45.8649709,-67.911129 -45.8644105,-67.9103887 -45.8645226,-67.91093971 -45.86527418,-67.9164934 -45.8652398,-67.9147875 -45.8642536,-67.9133606 -45.865322,-67.9120409 -45.8651352,-67.91575239 -45.86551598,-67.9187572 -45.8661064,-67.9176843 -45.8663679,-67.9172981 -45.8656657,-67.91774956 -45.8661538,-67.9224908 -45.8663306,-67.9191971 -45.8656582,-67.92069068 -45.86664171,-67.9258382 -45.86658460000001,-67.9220402 -45.8663903,-67.92478129 -45.86687146,-67.9266429 -45.8657927,-67.9259992 -45.8665696,-67.92617947 -45.86596757,,-67.92568273 -45.86555172,-67.9284239 -45.8655835,-67.9270077 -45.8655162,-67.92761571 -45.86576064,-67.92887450000002 -45.8655984,-67.929647 -45.8660093,-67.9311919 -45.8652622,-67.93025624 -45.86524613,-67.934196 -45.8650755,-67.9339492 -45.8648887,-67.9318678 -45.8652174,-67.93322311 -45.86539389,-67.9364544 -45.8650082,-67.9343033 -45.8651128,-67.93542287 -45.86514387,-67.9374468 -45.8637643,-67.93648120000002 -45.8648999,-67.93638614 -45.8639203,-67.9407513 -45.863103100000004,-67.9403973 -45.8622551,-67.93757020000001 -45.8636746,-67.94016816 -45.86304785,-67.9412395 -45.8636896,-67.94085860000001 -45.8628677,-67.94026881 -45.86394522,-67.9413575 -45.8643508,-67.94191 -45.8638801,-67.9413092 -45.8637717,-67.9397787 -45.86446671,-67.939437 -45.8659907,-67.9410034 -45.8642985,-67.93820898 -45.86621382;-67.93820898 -45.86621382,,-67.93822649 -45.86645361,-67.9383588 -45.8674437,-67.9380101 -45.8666929,-67.9392922 -45.8661064,-67.9400271 -45.8665472</t>
  </si>
  <si>
    <t>-67.9400271 -45.8665472,-67.9383588 -45.8674437,-67.9380584 -45.8682655,-67.9363847 -45.8693786,-67.9365671 -45.8696326,-67.93551008 -45.87004015,-67.936492 -45.8696625,-67.9362881 -45.8694234,-67.9350436 -45.8703273,-67.9347003 -45.8699986,-67.933282 -45.87018527,-67.9337347 -45.872531,-67.9350007 -45.8704245,-67.9346895 -45.8701032,-67.93292309 -45.87290945,-67.9305589 -45.8765722,-67.9309773 -45.8765423,-67.9323184 -45.875011,-67.9336917 -45.8726132,-67.92916705 -45.87686758,-67.9288745 -45.8790371,-67.9299796 -45.8786337,-67.9304302 -45.8776552,-67.9309022 -45.8766245,-67.9306126 -45.8766543,-67.92746283 -45.879252,-67.9288745 -45.8790371,-67.9299045 -45.8786188,-67.929765 -45.8784918,-67.9247224 -45.8798512,-67.9241753 -45.8796943,-67.92260289 -45.87981886,-67.9231775 -45.8798138,-67.9230273 -45.8801051,-67.9220295 -45.8802022,-67.9198301 -45.8807027,-67.9191542 -45.8814645,-67.9198301 -45.8813375,-67.91930941 -45.88137118,-67.9183173 -45.8833018,-67.9179525 -45.8832943,-67.9178452 -45.8829358,-67.9186606 -45.8819873,-67.9191113 -45.8815466,-67.9197979 -45.8813898,-67.91747464 -45.88372353,-67.9166651 -45.8823159,-67.9170835 -45.8822711,-67.9178345 -45.8833989,-67.9184783 -45.8832943,-67.91541483 -45.88231338,-67.911365 -45.8831076,-67.9142618 -45.8826968,-67.9159892 -45.8825026,-67.90970498 -45.88326091,-67.9076958 -45.8841084,-67.9082644 -45.8839366,-67.9093373 -45.8833167,-67.9103136 -45.8831972,-67.90591516 -45.88446218,,-67.90594775 -45.88423937,-67.9066443 -45.8844071,-67.9062474 -45.8852585,-67.908833 -45.885968,-67.9091012 -45.8864012,-67.90705336 -45.88840606,-67.9052818 -45.8875736,-67.90654780000001 -45.8882084,-67.9074919 -45.8882756,-67.90362098 -45.8874036,-67.9039729 -45.8871629,-67.9034686 -45.8869165,-67.9041123 -45.886192,-67.9042947 -45.8847656,-67.90316820000001 -45.883637900000004,-67.90293219 -45.8836944,-67.90316820000001 -45.883637900000004,-67.9026854 -45.8831823,-67.9021275 -45.8832794,-67.900722 -45.8842279,-67.9001105 -45.8851465,-67.8995955 -45.8843175,-67.89811074 -45.88424629,-67.896452 -45.8842129,-67.8972995 -45.8841607,-67.8987801 -45.8833839,-67.8993165 -45.8836304,-67.89478887 -45.88442779,-67.895658 -45.88465360000001,-67.8955078 -45.8872675,-67.89402720000001 -45.888186,-67.89313670000001 -45.8879097,-67.8935552 -45.8866999,-67.891624 -45.8850718,-67.88986813 -45.88509226,-67.8916669 -45.8851316,-67.891463 -45.8853332,-67.8890061 -45.8855946,-67.8886521 -45.8849672,-67.88725199 -45.88498287,-67.8877938 -45.885251,-67.8862166 -45.8849523,-67.88477851 -45.88530377,-67.8847039 -45.885542300000004,-67.8854334 -45.8851465,-67.88304639 -45.88588109,-67.8838027 -45.88608,-67.882483 -45.8868716,-67.88085052 -45.88709026,-67.8783846 -45.8885519,-67.8803802 -45.8880143,-67.8826654 -45.8868044,-67.8823113 -45.8868119,-67.87661058 -45.88889945,-67.8765285 -45.89045620000001,-67.877773 -45.8901799,-67.8803802 -45.8880143,-67.8783846 -45.8885519,-67.87484305 -45.89067788,-67.8792322 -45.8901127,-67.877934 -45.8900903,-67.8765285 -45.89045620000001,-67.87813787 -45.88993585,-67.8789854 -45.8901127,-67.8777838 -45.8901052,-67.8751981 -45.8927935,-67.8739536 -45.8942571,-67.87230402 -45.89457162,-67.8727734 -45.8946678,-67.8694153 -45.8954742,-67.8682566 -45.89504860000001,-67.86797017 -45.89505687,-67.86816 -45.8950113,-67.8676021 -45.8944886,-67.866143 -45.8944961,-67.86504739 -45.89456671;-67.86504739 -45.89456671,-67.8660572 -45.8945035,-67.8649414 -45.8945185,-67.8640723 -45.8941302,-67.8626239 -45.893936,-67.8611112 -45.8934058,-67.8592336 -45.8931445,-67.8576779 -45.8937045,-67.8559321 -45.89402021;-67.8559321 -45.89402021,-67.8660572 -45.8945035,-67.8649414 -45.8945185,-67.8640723 -45.8941302,-67.8626239 -45.893936,-67.8611112 -45.8934058,-67.8592336 -45.8931445,-67.8576779 -45.8937045,-67.86504739 -45.89456671,-67.86816 -45.8950113,-67.8676021 -45.8944886,-67.866143 -45.8944961,-67.86797017 -45.89505687,-67.8727734 -45.8946678,-67.8694153 -45.8954742,-67.8682566 -45.89504860000001,-67.87230402 -45.89457162,-67.8789854 -45.8901127,-67.8777838 -45.8901052,-67.8751981 -45.8927935,-67.8739536 -45.8942571,-67.87813787 -45.88993585,-67.8788996 -45.8901426,-67.877934 -45.8900903,-67.8774834 -45.8904786,-67.8777945 -45.8925098,-67.8783524 -45.8919348,-67.87768072 -45.89180609,-67.8782558 -45.8919497,-67.8778267 -45.8923828,-67.8780413 -45.8938315,-67.8791893 -45.8953398,-67.87842608 -45.89585515,-67.8803694 -45.8936299,-67.8794038 -45.8940256,-67.8790176 -45.8951009,-67.8792751 -45.8953174,-67.8799303 -45.89359628;-67.8799303 -45.89359628,-67.8803694 -45.8936299,-67.8794038 -45.8940256,-67.8790176 -45.8951009,-67.8792751 -45.8953174,-67.87842608 -45.89585515,-67.8782558 -45.8919497,-67.8778267 -45.8923828,-67.8780413 -45.8938315,-67.8791893 -45.8953398,-67.87768072 -45.89180609,-67.8788996 -45.8901426,-67.877934 -45.8900903,-67.8774834 -45.8904786,-67.8777945 -45.8925098,-67.8783524 -45.8919348,-67.87813787 -45.88993585,-67.8789854 -45.8901127,-67.8777838 -45.8901052,-67.8751981 -45.8927935,-67.8739536 -45.8942571,-67.87230402 -45.89457162,-67.8727734 -45.8946678,-67.8694153 -45.8954742,-67.8682566 -45.89504860000001,-67.86797017 -45.89505687,-67.8685999 -45.895295,-67.8667116 -45.8956833,-67.8646088 -45.8956833,-67.86301998 -45.89560501,-67.8636646 -45.8957132,-67.8625917 -45.8959521,-67.8602743 -45.8948769,-67.85948859 -45.89472907;-67.85948859 -45.89472907,-67.8636646 -45.8957132,-67.8625917 -45.8959521,-67.8602743 -45.8948769,-67.86301998 -45.89560501,-67.8685999 -45.895295,-67.8667116 -45.8956833,-67.8646088 -45.8956833,-67.86797017 -45.89505687,-67.86816 -45.8950113,-67.8676021 -45.8944886,-67.866143 -45.8944961,-67.86504739 -45.89456671,-67.8660572 -45.8945035,-67.8649414 -45.8945185,-67.8640723 -45.8941302,-67.8626239 -45.893936,-67.8611112 -45.8934058,-67.8592336 -45.8931445,-67.8576779 -45.8937045,-67.8559321 -45.89402021,,-67.85521863 -45.89409907;-67.85521863 -45.89409907,,-67.8559321 -45.89402021,-67.8660572 -45.8945035,-67.8649414 -45.8945185,-67.8640723 -45.8941302,-67.8626239 -45.893936,-67.8611112 -45.8934058,-67.8592336 -45.8931445,-67.8576779 -45.8937045,-67.86504739 -45.89456671,-67.86816 -45.8950113,-67.8676021 -45.8944886,-67.866143 -45.8944961,-67.86797017 -45.89505687,-67.8727734 -45.8946678,-67.8694153 -45.8954742,-67.8682566 -45.89504860000001,-67.87230402 -45.89457162,-67.8789854 -45.8901127,-67.8777838 -45.8901052,-67.8751981 -45.8927935,-67.8739536 -45.8942571,-67.87813787 -45.88993585,-67.8792322 -45.8901127,-67.877934 -45.8900903,-67.8765285 -45.89045620000001,-67.87484305 -45.89067788,-67.8765285 -45.89045620000001,-67.877773 -45.8901799,-67.8803802 -45.8880143,-67.8783846 -45.8885519,-67.87661058 -45.88889945,-67.8783846 -45.8885519,-67.8803802 -45.8880143,-67.8826654 -45.8868044,-67.8823113 -45.8868119,-67.88085052 -45.88709026,-67.8838027 -45.88608,-67.882483 -45.8868716,-67.88304639 -45.88588109,-67.8847039 -45.885542300000004,-67.8854334 -45.8851465,-67.88477851 -45.88530377,-67.8877938 -45.885251,-67.8862166 -45.8849523,-67.88725199 -45.88498287,-67.8916669 -45.8851316,-67.891463 -45.8853332,-67.8890061 -45.8855946,-67.8886521 -45.8849672,-67.88986813 -45.88509226,-67.895658 -45.88465360000001,-67.8955078 -45.8872675,-67.89402720000001 -45.888186,-67.89313670000001 -45.8879097,-67.8935552 -45.8866999,-67.891624 -45.8850718,-67.89478887 -45.88442779,-67.896452 -45.8842129,-67.8972995 -45.8841607,-67.8987801 -45.8833839,-67.8993165 -45.8836304,-67.89811074 -45.88424629,-67.90316820000001 -45.883637900000004,-67.9026854 -45.8831823,-67.9021275 -45.8832794,-67.900722 -45.8842279,-67.9001105 -45.8851465,-67.8995955 -45.8843175,-67.90293219 -45.8836944,-67.9039729 -45.8871629,-67.9034686 -45.8869165,-67.9041123 -45.886192,-67.9042947 -45.8847656,-67.90316820000001 -45.883637900000004,-67.90362098 -45.8874036,-67.9052818 -45.8875736,-67.90654780000001 -45.8882084,-67.9074919 -45.8882756,-67.90705336 -45.88840606,-67.9066443 -45.8844071,-67.9062474 -45.8852585,-67.908833 -45.885968,-67.9091012 -45.8864012,-67.90594775 -45.88423937,,-67.90591516 -45.88446218,-67.9076958 -45.8841084,-67.9082644 -45.8839366,-67.9093373 -45.8833167,-67.9103136 -45.8831972,-67.90970498 -45.88326091,-67.911365 -45.8831076,-67.9142618 -45.8826968,-67.9159892 -45.8825026,-67.91541483 -45.88231338,-67.9166651 -45.8823159,-67.9170835 -45.8822711,-67.9178345 -45.8833989,-67.9184783 -45.8832943,-67.91747464 -45.88372353,-67.9183173 -45.8833018,-67.9179525 -45.8832943,-67.9178452 -45.8829358,-67.9186606 -45.8819873,-67.9191113 -45.8815466,-67.9197979 -45.8813898,-67.91930941 -45.88137118,-67.9231775 -45.8798138,-67.9230273 -45.8801051,-67.9220295 -45.8802022,-67.9198301 -45.8807027,-67.9191542 -45.8814645,-67.9198301 -45.8813375,-67.92260289 -45.87981886,-67.9288745 -45.8790371,-67.9299045 -45.8786188,-67.929765 -45.8784918,-67.9247224 -45.8798512,-67.9241753 -45.8796943,-67.92746283 -45.879252,-67.9288745 -45.8790371,-67.9299796 -45.8786337,-67.9304302 -45.8776552,-67.9309022 -45.8766245,-67.9306126 -45.8766543,-67.92916705 -45.87686758,-67.9305589 -45.8765722,-67.9309773 -45.8765423,-67.9323184 -45.875011,-67.9336917 -45.8726132,-67.93292309 -45.87290945,-67.9337347 -45.872531,-67.9350007 -45.8704245,-67.9346895 -45.8701032,-67.933282 -45.87018527,-67.936492 -45.8696625,-67.9362881 -45.8694234,-67.9350436 -45.8703273,-67.9347003 -45.8699986,-67.93551008 -45.87004015,-67.9383588 -45.8674437,-67.9380584 -45.8682655,-67.9363847 -45.8693786,-67.9365671 -45.8696326,-67.9400271 -45.8665472</t>
  </si>
  <si>
    <t>-67.9400271 -45.8665472,-67.9383588 -45.8674437,-67.9380584 -45.8682655,-67.9363847 -45.8693786,-67.9365671 -45.8696326,-67.93551008 -45.87004015,-67.936492 -45.8696625,-67.9362881 -45.8694234,-67.9350436 -45.8703273,-67.9347003 -45.8699986,-67.933282 -45.87018527,-67.9337347 -45.872531,-67.9350007 -45.8704245,-67.9346895 -45.8701032,-67.93292309 -45.87290945,-67.9305589 -45.8765722,-67.9309773 -45.8765423,-67.9323184 -45.875011,-67.9336917 -45.8726132,-67.92916705 -45.87686758,-67.9288745 -45.8790371,-67.9299796 -45.8786337,-67.9304302 -45.8776552,-67.9309022 -45.8766245,-67.9306126 -45.8766543,-67.92746283 -45.879252,-67.9288745 -45.8790371,-67.9299045 -45.8786188,-67.929765 -45.8784918,-67.9247224 -45.8798512,-67.9241753 -45.8796943,-67.92260289 -45.87981886,-67.9231775 -45.8798138,-67.9230273 -45.8801051,-67.9220295 -45.8802022,-67.9198301 -45.8807027,-67.9191542 -45.8814645,-67.9198301 -45.8813375,-67.91930941 -45.88137118,-67.9183173 -45.8833018,-67.9179525 -45.8832943,-67.9178452 -45.8829358,-67.9186606 -45.8819873,-67.9191113 -45.8815466,-67.9197979 -45.8813898,-67.91747464 -45.88372353,-67.9166651 -45.8823159,-67.9170835 -45.8822711,-67.9178345 -45.8833989,-67.9184783 -45.8832943,-67.91541483 -45.88231338,-67.911365 -45.8831076,-67.9142618 -45.8826968,-67.9159892 -45.8825026,-67.90970498 -45.88326091,-67.9076958 -45.8841084,-67.9082644 -45.8839366,-67.9093373 -45.8833167,-67.9103136 -45.8831972,-67.90591516 -45.88446218,,-67.90594775 -45.88423937,-67.9066443 -45.8844071,-67.9062474 -45.8852585,-67.908833 -45.885968,-67.9091012 -45.8864012,-67.90705336 -45.88840606,-67.9052818 -45.8875736,-67.90654780000001 -45.8882084,-67.9074919 -45.8882756,-67.90362098 -45.8874036,-67.9022241 -45.8892913,-67.9030609 -45.889239,-67.9032218 -45.8889477,-67.9028785 -45.8877678,-67.9034686 -45.8869165,-67.9039729 -45.8871629,-67.90098858 -45.88903898,-67.9020846 -45.8894257,-67.9013014 -45.8899484,-67.8996277 -45.8906877,-67.899971 -45.8910611,-67.9025245 -45.8912403,-67.90201018 -45.89143448,-67.88692 -45.8969,-67.88699 -45.8967,-67.88813 -45.89656,-67.89097 -45.89695,-67.89245 -45.89689,-67.89426 -45.89522,-67.895143 -45.89461,-67.8961408 -45.8936821,-67.9025245 -45.8916958,-67.905325 -45.89145,-67.90461 -45.89114,-67.90381 -45.89112,-67.88552167 -45.89738087,-67.8830731 -45.8952726,-67.8847253 -45.8956385,-67.8855407 -45.8952726,-67.8875041 -45.895855,-67.8877079 -45.8965569,-67.8870857 -45.8966764,-67.8869247 -45.8969004,-67.88155956 -45.89544783,-67.8829336 -45.8947051, -67.8827405 -45.8942496, -67.8828049 -45.8923978, -67.883749 -45.8924127,-67.88335575 -45.89262218;-67.88335575 -45.89262218,-67.8829336 -45.8947051, -67.8827405 -45.8942496, -67.8828049 -45.8923978, -67.883749 -45.8924127,-67.88155956 -45.89544783,-67.8830731 -45.8952726,-67.8847253 -45.8956385,-67.8855407 -45.8952726,-67.8875041 -45.895855,-67.8877079 -45.8965569,-67.8870857 -45.8966764,-67.8869247 -45.8969004,-67.88552167 -45.89738087,-67.88692 -45.8969,-67.88699 -45.8967,-67.88813 -45.89656,-67.89097 -45.89695,-67.89245 -45.89689,-67.89426 -45.89522,-67.895143 -45.89461,-67.8961408 -45.8936821,-67.9025245 -45.8916958,-67.905325 -45.89145,-67.90461 -45.89114,-67.90381 -45.89112,-67.90201018 -45.89143448,-67.9020846 -45.8894257,-67.9013014 -45.8899484,-67.8996277 -45.8906877,-67.899971 -45.8910611,-67.9025245 -45.8912403,-67.90098858 -45.88903898,-67.9052174 -45.8898887,-67.9046273 -45.8890523,-67.9033613 -45.8891643,-67.9021382 -45.8893659,-67.90475618 -45.89004619;-67.90475618 -45.89004619,-67.9052174 -45.8898887,-67.9046273 -45.8890523,-67.9033613 -45.8891643,-67.9021382 -45.8893659,-67.90098858 -45.88903898,-67.9022241 -45.8892913,-67.9030609 -45.889239,-67.9032218 -45.8889477,-67.9028785 -45.8877678,-67.9034686 -45.8869165,-67.9039729 -45.8871629,-67.90362098 -45.8874036,-67.9052818 -45.8875736,-67.90654780000001 -45.8882084,-67.9074919 -45.8882756,-67.90705336 -45.88840606,-67.9066443 -45.8844071,-67.9062474 -45.8852585,-67.908833 -45.885968,-67.9091012 -45.8864012,-67.90594775 -45.88423937,,-67.90591516 -45.88446218,-67.9076958 -45.8841084,-67.9082644 -45.8839366,-67.9093373 -45.8833167,-67.9103136 -45.8831972,-67.90970498 -45.88326091,-67.911365 -45.8831076,-67.9142618 -45.8826968,-67.9159892 -45.8825026,-67.91541483 -45.88231338,-67.9166651 -45.8823159,-67.9170835 -45.8822711,-67.9178345 -45.8833989,-67.9184783 -45.8832943,-67.91747464 -45.88372353,-67.9183924 -45.8832943,-67.9178345 -45.8833989,-67.9181349 -45.883832,-67.9182851 -45.8847656,-67.9179955 -45.8868492,-67.9182959 -45.887021,-67.918725 -45.8867895,-67.9189289 -45.8859232,-67.91833856 -45.88592331,-67.9201949 -45.8901426,-67.920785 -45.8896646,-67.9178774 -45.8882906,-67.9180706 -45.8870061,-67.9186499 -45.8868642,-67.918961 -45.8857962,-67.91840225 -45.89042054,-67.9177594 -45.8928831,-67.9196584 -45.8908744,-67.9194117 -45.8909267,-67.9188323 -45.8915241,-67.9170513 -45.8923754,-67.9181993 -45.8910014,-67.918961 -45.8905234,-67.91657701 -45.89351753,-67.9165363 -45.8956086,-67.9175019 -45.8947275,-67.9165041 -45.893712,-67.9164827 -45.892689,-67.9183388 -45.8916958,-67.9195189 -45.8908296,-67.9196799 -45.8909341,-67.9177058 -45.8929802,-67.91506756 -45.89602857,-67.9198515 -45.8952876,-67.9187465 -45.8950934,-67.9171157 -45.8950187,-67.9165041 -45.8955564,-67.91895387 -45.89557581;-67.91895387 -45.89557581,-67.9198515 -45.8952876,-67.9187465 -45.8950934,-67.9171157 -45.8950187,-67.9165041 -45.8955564,-67.91506756 -45.89602857,-67.9165363 -45.8956086,-67.9175019 -45.8947275,-67.9165041 -45.893712,-67.9164827 -45.892689,-67.9183388 -45.8916958,-67.9195189 -45.8908296,-67.9196799 -45.8909341,-67.9177058 -45.8929802,-67.91657701 -45.89351753,-67.9177594 -45.8928831,-67.9196584 -45.8908744,-67.9194117 -45.8909267,-67.9188323 -45.8915241,-67.9170513 -45.8923754,-67.9181993 -45.8910014,-67.918961 -45.8905234,-67.91840225 -45.89042054,-67.9201949 -45.8901426,-67.920785 -45.8896646,-67.9178774 -45.8882906,-67.9180706 -45.8870061,-67.9186499 -45.8868642,-67.918961 -45.8857962,-67.91833856 -45.88592331,-67.9183924 -45.8832943,-67.9178345 -45.8833989,-67.9181349 -45.883832,-67.9182851 -45.8847656,-67.9179955 -45.8868492,-67.9182959 -45.887021,-67.918725 -45.8867895,-67.9189289 -45.8859232,-67.91747464 -45.88372353,-67.9183173 -45.8833018,-67.9179525 -45.8832943,-67.9178452 -45.8829358,-67.9186606 -45.8819873,-67.9191113 -45.8815466,-67.9197979 -45.8813898,-67.91930941 -45.88137118,-67.9231775 -45.8798138,-67.9230273 -45.8801051,-67.9220295 -45.8802022,-67.9198301 -45.8807027,-67.9191542 -45.8814645,-67.9198301 -45.8813375,-67.92260289 -45.87981886,-67.9288745 -45.8790371,-67.9299045 -45.8786188,-67.929765 -45.8784918,-67.9247224 -45.8798512,-67.9241753 -45.8796943,-67.92746283 -45.879252,-67.9288745 -45.8790371,-67.9299796 -45.8786337,-67.9304302 -45.8776552,-67.9309022 -45.8766245,-67.9306126 -45.8766543,-67.92916705 -45.87686758,-67.9305589 -45.8765722,-67.9309773 -45.8765423,-67.9323184 -45.875011,-67.9336917 -45.8726132,-67.93292309 -45.87290945,-67.9337347 -45.872531,-67.9350007 -45.8704245,-67.9346895 -45.8701032,-67.933282 -45.87018527,-67.936492 -45.8696625,-67.9362881 -45.8694234,-67.9350436 -45.8703273,-67.9347003 -45.8699986,-67.93551008 -45.87004015,-67.9383588 -45.8674437,-67.9380584 -45.8682655,-67.9363847 -45.8693786,-67.9365671 -45.8696326,-67.9400271 -45.8665472</t>
  </si>
  <si>
    <t>-67.9400271 -45.8665472,-67.9383588 -45.8674437,-67.9380584 -45.8682655,-67.9363847 -45.8693786,-67.9365671 -45.8696326,-67.93551008 -45.87004015,-67.936492 -45.8696625,-67.9362881 -45.8694234,-67.9350436 -45.8703273,-67.9347003 -45.8699986,-67.933282 -45.87018527,-67.9337347 -45.872531,-67.9350007 -45.8704245,-67.9346895 -45.8701032,-67.93292309 -45.87290945,-67.9305589 -45.8765722,-67.9309773 -45.8765423,-67.9323184 -45.875011,-67.9336917 -45.8726132,-67.92916705 -45.87686758,-67.9288745 -45.8790371,-67.9299796 -45.8786337,-67.9304302 -45.8776552,-67.9309022 -45.8766245,-67.9306126 -45.8766543,-67.92746283 -45.879252,-67.9288745 -45.8790371,-67.9299796 -45.8786337,-67.9308271 -45.8793582,-67.9310632 -45.8796271,-67.9308057 -45.8796645,-67.92926139 -45.87980166,-67.9308057 -45.8796645,-67.9309773 -45.8795823,-67.9308271 -45.8793582,-67.9319429 -45.8795524,-67.9332089 -45.8799333,-67.9339921 -45.8795524,-67.9349685 -45.8793358,-67.935698 -45.8793209,-67.93512028 -45.8793768,-67.9364383 -45.8791566,-67.9368889 -45.8790371,-67.9370821 -45.878798,-67.939657 -45.8787906,-67.9398179 -45.8784246,-67.93938002 -45.87863178,-67.9433799 -45.8793582,-67.9425859 -45.8792462,-67.9414809 -45.8788951,-67.9399574 -45.8788802,-67.9395819 -45.8785889,-67.9398179 -45.8784246,-67.94258106 -45.87928487,-67.9468131 -45.8799931,-67.9464698 -45.8794927,-67.9443026 -45.8791491,-67.9459034 -45.88040255,-67.9472744 -45.8827118,-67.9475963 -45.8819051,-67.9476392 -45.8807475,-67.9472208 -45.8805159,-67.94607409 -45.88311995,-67.9472744 -45.8852212,-67.9470921 -45.8844967,-67.9472423 -45.883959,-67.9472315 -45.8831823,-67.94628753 -45.88560005,-67.9487872 -45.8868418,-67.9495382 -45.8874766,-67.9496884 -45.88726,-67.9485726 -45.886095,-67.9476714 -45.8855871,-67.94746568 -45.88694764,-67.948755 -45.886894,-67.9494202 -45.887484,-67.9503751 -45.8875587,-67.9509008 -45.8873571,-67.9508793 -45.8868716,-67.94972726 -45.88693813,-67.951051 -45.8868418,-67.9516089 -45.886207,-67.952832 -45.8866028,-67.95178221 -45.88666191,-67.957381 -45.8868268,-67.9566729 -45.8866327,-67.953701 -45.8868791,-67.9533148 -45.8869911,-67.9529393 -45.8866103,-67.95650174 -45.8868325,-67.9563618 -45.8869613,-67.9570055 -45.8870583,-67.9568553 -45.8866028,-67.957381 -45.8868268,-67.95495587 -45.8875866,-67.9576063 -45.8896124,-67.9577136 -45.888888,-67.9572308 -45.8876483,-67.9565012 -45.8869986,-67.95602222 -45.88970885,-67.9555678 -45.8902546,-67.9566729 -45.8896124,-67.95416096 -45.89058835,-67.9546666 -45.8908595,-67.9532504 -45.8922185,-67.9515231 -45.8917406,-67.95045121 -45.89176951,-67.9449463 -45.892353,-67.9449999 -45.8927189,-67.9458153 -45.8930848,-67.9470813 -45.8933088,-67.9488838 -45.8925919,-67.9495275 -45.8921961,-67.950021 -45.8916212,-67.9507613 -45.8914718,-67.9513192 -45.8916436,-67.94414165 -45.89228087;-67.94414165 -45.89228087,-67.9449463 -45.892353,-67.9449999 -45.8927189,-67.9458153 -45.8930848,-67.9470813 -45.8933088,-67.9488838 -45.8925919,-67.9495275 -45.8921961,-67.950021 -45.8916212,-67.9507613 -45.8914718,-67.9513192 -45.8916436,-67.95045121 -45.89176951,-67.9546666 -45.8908595,-67.9532504 -45.8922185,-67.9515231 -45.8917406,-67.95416096 -45.89058835,-67.9555678 -45.8902546,-67.9566729 -45.8896124,-67.95602222 -45.88970885,-67.9576063 -45.8896124,-67.9577136 -45.888888,-67.9572308 -45.8876483,-67.9565012 -45.8869986,-67.95495587 -45.8875866,-67.9563618 -45.8869613,-67.9570055 -45.8870583,-67.9568553 -45.8866028,-67.957381 -45.8868268,-67.95650174 -45.8868325,-67.957381 -45.8868268,-67.9566729 -45.8866327,-67.953701 -45.8868791,-67.9533148 -45.8869911,-67.9529393 -45.8866103,-67.95178221 -45.88666191,-67.951051 -45.8868418,-67.9516089 -45.886207,-67.952832 -45.8866028,-67.94972726 -45.88693813,-67.948755 -45.886894,-67.9494202 -45.887484,-67.9503751 -45.8875587,-67.9509008 -45.8873571,-67.9508793 -45.8868716,-67.94746568 -45.88694764,-67.9487872 -45.8868418,-67.9495382 -45.8874766,-67.9496884 -45.88726,-67.9485726 -45.886095,-67.9476714 -45.8855871,-67.94628753 -45.88560005,-67.9472744 -45.8852212,-67.9470921 -45.8844967,-67.9472423 -45.883959,-67.9472315 -45.8831823,-67.94607409 -45.88311995,-67.9472744 -45.8827118,-67.9475963 -45.8819051,-67.9476392 -45.8807475,-67.9472208 -45.8805159,-67.9459034 -45.88040255,-67.9468131 -45.8799931,-67.9464698 -45.8794927,-67.9443026 -45.8791491,-67.94258106 -45.87928487,-67.9433799 -45.8793582,-67.9425859 -45.8792462,-67.9414809 -45.8788951,-67.9399574 -45.8788802,-67.9395819 -45.8785889,-67.9398179 -45.8784246,-67.93938002 -45.87863178,,-67.93921257 -45.87804782,-67.9512119 -45.8788877,-67.952435 -45.8787607,-67.9518127 -45.8800454,-67.9474354 -45.8786785,-67.9441524 -45.8779764,-67.9427791 -45.8776328,-67.940805 -45.8776926,-67.94944114 -45.87896309,-67.9534543 -45.8773565,-67.9526925 -45.87711,-67.9530144 -45.8775731,-67.9524779 -45.878813,-67.9512334 -45.8789325,-67.95259842 -45.87763583,-67.9538298 -45.8776104,-67.9575419 -45.8788205,-67.9596341 -45.8789624,-67.9602242 -45.8794852,-67.95937836 -45.87978501,-67.967391 -45.8796271,-67.9660606 -45.879657,-67.9619408 -45.879179,-67.959795 -45.8789997,-67.9602242 -45.8794852,-67.96661757 -45.87943084,-67.9708028 -45.8792686,-67.9686999 -45.8795524,-67.9682064 -45.8792238,-67.96993071 -45.87922522,-67.9739785 -45.8781632,-67.9745579 -45.8782677,-67.9740644 -45.8788802,-67.9710174 -45.8792537,-67.97210325 -45.8786421,-67.9764569 -45.8790072,-67.9757595 -45.8787084,-67.9755771 -45.8785142,-67.9742253 -45.8787756,-67.974236 -45.878222900000004,-67.9757414 -45.87911165,-67.9789352 -45.8795823,-67.9791069 -45.8776627,-67.9756737 -45.8784769,-67.9758239 -45.8787234,-67.9765105 -45.8789474,-67.97764389 -45.88001208,-67.9789352 -45.8795823,-67.9789889 -45.8790669,-67.9799759 -45.8791491,-67.97934342 -45.87920812,-67.9797721 -45.879179,-67.9789889 -45.8790669,-67.9792571 -45.8776403,-67.9831409 -45.876744,-67.9844499 -45.8766842,-67.9838705 -45.8772892,-67.98257485 -45.87765379,-67.9838705 -45.8772892,-67.9842675 -45.8766469,-67.9854584 -45.876617,-67.9846001 -45.8763854,-67.98281428 -45.87644776,-67.9865313 -45.8763033,-67.9853833 -45.8764975,-67.98469660000002 -45.8764303,-67.98563419 -45.87640922,-67.9896748 -45.8771548,-67.9892349 -45.8767216,-67.985158 -45.8765946,-67.9863167 -45.8762734,-67.98904006 -45.87741924,-67.9909623 -45.8768411,-67.9909086 -45.8766394,-67.9893529 -45.876729,-67.9896641 -45.8770726,-67.98995293 -45.87688436,-67.9932904 -45.8760792,-67.9926252 -45.8763556,-67.9912949 -45.8766319,-67.99230343 -45.87612978,-68.0007684 -45.8741147,-67.9944921 -45.8759223,-67.9942346 -45.8757953,-68.00013115 -45.87419939,-68.0041802 -45.8731137,-68.0035472 -45.8731286,-68.0014122 -45.8739055,-68.00353282 -45.873189,-68.0046093 -45.8728523,-68.0045557 -45.8727178,-68.0070448 -45.8717766,-68.00605381 -45.87173811,-68.0100918 -45.8701854,-68.0091584 -45.8701107,-68.0076241 -45.8713582,-68.00929547 -45.87031042,-68.0112183 -45.870163,-68.0137074 -45.8697596,-68.01323141 -45.86984796;-68.01323141 -45.86984796,-68.0112183 -45.870163,-68.0137074 -45.8697596,-68.00929547 -45.87031042,-68.0100918 -45.8701854,-68.0091584 -45.8701107,-68.0076241 -45.8713582,-68.00605381 -45.87173811,-68.0046093 -45.8728523,-68.0045557 -45.8727178,-68.0070448 -45.8717766,-68.00353282 -45.873189,-68.0041802 -45.8731137,-68.0035472 -45.8731286,-68.0014122 -45.8739055,-68.00013115 -45.87419939,-68.0007684 -45.8741147,-67.9944921 -45.8759223,-67.9942346 -45.8757953,-67.99230343 -45.87612978,-67.9932904 -45.8760792,-67.9926252 -45.8763556,-67.9912949 -45.8766319,-67.98995293 -45.87688436,-67.9909623 -45.8768411,-67.9909086 -45.8766394,-67.9893529 -45.876729,-67.9896641 -45.8770726,-67.98904006 -45.87741924,-67.9896748 -45.8771548,-67.9892349 -45.8767216,-67.985158 -45.8765946,-67.9863167 -45.8762734,-67.98563419 -45.87640922,-67.9865313 -45.8763033,-67.9853833 -45.8764975,-67.98469660000002 -45.8764303,-67.98281428 -45.87644776,-67.9838705 -45.8772892,-67.9842675 -45.8766469,-67.9854584 -45.876617,-67.9846001 -45.8763854,-67.98257485 -45.87765379,-67.9797721 -45.879179,-67.9789889 -45.8790669,-67.9792571 -45.8776403,-67.9831409 -45.876744,-67.9844499 -45.8766842,-67.9838705 -45.8772892,-67.97934342 -45.87920812,-67.9789352 -45.8795823,-67.9789889 -45.8790669,-67.9799759 -45.8791491,-67.97764389 -45.88001208,-67.9789352 -45.8795823,-67.9791069 -45.8776627,-67.9756737 -45.8784769,-67.9758239 -45.8787234,-67.9765105 -45.8789474,-67.9757414 -45.87911165,-67.9764569 -45.8790072,-67.9757595 -45.8787084,-67.9755771 -45.8785142,-67.9742253 -45.8787756,-67.974236 -45.878222900000004,-67.97210325 -45.8786421,-67.9739785 -45.8781632,-67.9745579 -45.8782677,-67.9740644 -45.8788802,-67.9710174 -45.8792537,-67.96993071 -45.87922522,-67.9708028 -45.8792686,-67.9686999 -45.8795524,-67.9682064 -45.8792238,-67.96661757 -45.87943084,-67.967391 -45.8796271,-67.9660606 -45.879657,-67.9619408 -45.879179,-67.959795 -45.8789997,-67.9602242 -45.8794852,-67.95937836 -45.87978501,-67.9538298 -45.8776104,-67.9575419 -45.8788205,-67.9596341 -45.8789624,-67.9602242 -45.8794852,-67.95259842 -45.87763583,-67.9534543 -45.8773565,-67.9526925 -45.87711,-67.9530144 -45.8775731,-67.9524779 -45.878813,-67.9512334 -45.8789325,-67.94944114 -45.87896309,-67.9512119 -45.8788877,-67.952435 -45.8787607,-67.9518127 -45.8800454,-67.9474354 -45.8786785,-67.9441524 -45.8779764,-67.9427791 -45.8776328,-67.940805 -45.8776926,-67.93921257 -45.87804782,,-67.93938002 -45.87863178,-67.9433799 -45.8793582,-67.9425859 -45.8792462,-67.9414809 -45.8788951,-67.9399574 -45.8788802,-67.9395819 -45.8785889,-67.9398179 -45.8784246,-67.94258106 -45.87928487,-67.9468131 -45.8799931,-67.9464698 -45.8794927,-67.9443026 -45.8791491,-67.9459034 -45.88040255,-67.9472744 -45.8827118,-67.9475963 -45.8819051,-67.9476392 -45.8807475,-67.9472208 -45.8805159,-67.94607409 -45.88311995,-67.9472744 -45.8852212,-67.9470921 -45.8844967,-67.9472423 -45.883959,-67.9472315 -45.8831823,-67.94628753 -45.88560005,-67.9487872 -45.8868418,-67.9495382 -45.8874766,-67.9496884 -45.88726,-67.9485726 -45.886095,-67.9476714 -45.8855871,-67.94746568 -45.88694764,-67.948755 -45.886894,-67.9494202 -45.887484,-67.9503751 -45.8875587,-67.9509008 -45.8873571,-67.9508793 -45.8868716,-67.94972726 -45.88693813,-67.951051 -45.8868418,-67.9516089 -45.886207,-67.952832 -45.8866028,-67.95178221 -45.88666191,-67.957381 -45.8868268,-67.9566729 -45.8866327,-67.953701 -45.8868791,-67.9533148 -45.8869911,-67.9529393 -45.8866103,-67.95650174 -45.8868325,-67.9563618 -45.8869613,-67.9570055 -45.8870583,-67.9568553 -45.8866028,-67.957381 -45.8868268,-67.95495587 -45.8875866,-67.9576063 -45.8896124,-67.9577136 -45.888888,-67.9572308 -45.8876483,-67.9565012 -45.8869986,-67.95602222 -45.88970885,-67.9555678 -45.8902546,-67.9566729 -45.8896124,-67.95416096 -45.89058835,-67.9546666 -45.8908595,-67.9532504 -45.8922185,-67.9515231 -45.8917406,-67.95045121 -45.89176951;-67.95045121 -45.89176951,-67.9546666 -45.8908595,-67.9532504 -45.8922185,-67.9515231 -45.8917406,-67.95416096 -45.89058835;-67.95416096 -45.89058835,-67.9555678 -45.8902546,-67.9566729 -45.8896124,-67.95602222 -45.88970885,-67.9610395 -45.8924351,-67.9590547 -45.8915988,-67.9585397 -45.8910014,-67.9589152 -45.8901575,-67.9578102 -45.8897468,-67.95993517 -45.89286656;-67.95993517 -45.89286656,-67.9610395 -45.8924351,-67.9590547 -45.8915988,-67.9585397 -45.8910014,-67.9589152 -45.8901575,-67.9578102 -45.8897468,-67.95602222 -45.88970885,-67.9576063 -45.8896124,-67.9577136 -45.888888,-67.9572308 -45.8876483,-67.9565012 -45.8869986,-67.95495587 -45.8875866,-67.9563618 -45.8869613,-67.9570055 -45.8870583,-67.9568553 -45.8866028,-67.957381 -45.8868268,-67.95650174 -45.8868325,-67.957381 -45.8868268,-67.9566729 -45.8866327,-67.953701 -45.8868791,-67.9533148 -45.8869911,-67.9529393 -45.8866103,-67.95178221 -45.88666191,-67.951051 -45.8868418,-67.9516089 -45.886207,-67.952832 -45.8866028,-67.94972726 -45.88693813,-67.948755 -45.886894,-67.9494202 -45.887484,-67.9503751 -45.8875587,-67.9509008 -45.8873571,-67.9508793 -45.8868716,-67.94746568 -45.88694764,-67.9487872 -45.8868418,-67.9495382 -45.8874766,-67.9496884 -45.88726,-67.9485726 -45.886095,-67.9476714 -45.8855871,-67.94628753 -45.88560005,-67.9472744 -45.8852212,-67.9470921 -45.8844967,-67.9472423 -45.883959,-67.9472315 -45.8831823,-67.94607409 -45.88311995,-67.9472744 -45.8827118,-67.9475963 -45.8819051,-67.9476392 -45.8807475,-67.9472208 -45.8805159,-67.9459034 -45.88040255,-67.9468131 -45.8799931,-67.9464698 -45.8794927,-67.9443026 -45.8791491,-67.94258106 -45.87928487,-67.9433799 -45.8793582,-67.9425859 -45.8792462,-67.9414809 -45.8788951,-67.9399574 -45.8788802,-67.9395819 -45.8785889,-67.9398179 -45.8784246,-67.93938002 -45.87863178,-67.9364383 -45.8791566,-67.9368889 -45.8790371,-67.9370821 -45.878798,-67.939657 -45.8787906,-67.9398179 -45.8784246,-67.93512028 -45.8793768,-67.9308057 -45.8796645,-67.9309773 -45.8795823,-67.9308271 -45.8793582,-67.9319429 -45.8795524,-67.9332089 -45.8799333,-67.9339921 -45.8795524,-67.9349685 -45.8793358,-67.935698 -45.8793209,-67.92926139 -45.87980166,-67.9288745 -45.8790371,-67.9299796 -45.8786337,-67.9308271 -45.8793582,-67.9310632 -45.8796271,-67.9308057 -45.8796645,-67.92746283 -45.879252,-67.9288745 -45.8790371,-67.9299796 -45.8786337,-67.9304302 -45.8776552,-67.9309022 -45.8766245,-67.9306126 -45.8766543,-67.92916705 -45.87686758,-67.9305589 -45.8765722,-67.9309773 -45.8765423,-67.9323184 -45.875011,-67.9336917 -45.8726132,-67.93292309 -45.87290945,-67.9337347 -45.872531,-67.9350007 -45.8704245,-67.9346895 -45.8701032,-67.933282 -45.87018527,-67.936492 -45.8696625,-67.9362881 -45.8694234,-67.9350436 -45.8703273,-67.9347003 -45.8699986,-67.93551008 -45.87004015,-67.9383588 -45.8674437,-67.9380584 -45.8682655,-67.9363847 -45.8693786,-67.9365671 -45.8696326,-67.9400271 -45.8665472</t>
  </si>
  <si>
    <t>-67.9400271 -45.8665472,-67.9383588 -45.8674437,-67.9380584 -45.8682655,-67.9363847 -45.8693786,-67.9365671 -45.8696326,-67.93551008 -45.87004015,-67.936492 -45.8696625,-67.9362881 -45.8694234,-67.9350436 -45.8703273,-67.9347003 -45.8699986,-67.933282 -45.87018527,-67.9337347 -45.872531,-67.9350007 -45.8704245,-67.9346895 -45.8701032,-67.93292309 -45.87290945,-67.9305589 -45.8765722,-67.9309773 -45.8765423,-67.9323184 -45.875011,-67.9336917 -45.8726132,-67.92916705 -45.87686758,-67.9288745 -45.8790371,-67.9299796 -45.8786337,-67.9304302 -45.8776552,-67.9309022 -45.8766245,-67.9306126 -45.8766543,-67.92746283 -45.879252,-67.9288745 -45.8790371,-67.9299045 -45.8786188,-67.929765 -45.8784918,-67.9247224 -45.8798512,-67.9241753 -45.8796943,-67.92260289 -45.87981886,-67.9231775 -45.8798138,-67.9230273 -45.8801051,-67.9220295 -45.8802022,-67.9198301 -45.8807027,-67.9191542 -45.8814645,-67.9198301 -45.8813375,-67.91930941 -45.88137118,-67.9183173 -45.8833018,-67.9179525 -45.8832943,-67.9178452 -45.8829358,-67.9186606 -45.8819873,-67.9191113 -45.8815466,-67.9197979 -45.8813898,-67.91747464 -45.88372353,-67.9166651 -45.8823159,-67.9170835 -45.8822711,-67.9178345 -45.8833989,-67.9184783 -45.8832943,-67.91541483 -45.88231338,-67.9170835 -45.8822711,-67.9166543 -45.8815466,-67.916429 -45.8804562,-67.91569194 -45.88029914,,-67.91549706 -45.88009996,,-67.91527195 -45.88036892;-67.91527195 -45.88036892,,-67.91549706 -45.88009996,,-67.91569194 -45.88029914,-67.9170835 -45.8822711,-67.9166543 -45.8815466,-67.916429 -45.8804562,-67.91541483 -45.88231338,-67.9166651 -45.8823159,-67.9169762 -45.8821367,-67.9166543 -45.8815466,-67.913146 -45.8824205,-67.9128242 -45.8814645,-67.91214619 -45.88124859,-67.9129636 -45.879291,-67.9124808 -45.8793284,-67.9120302 -45.8802545,-67.9124165 -45.8806728,-67.9129958 -45.8809193,-67.91191949 -45.87938061,-67.9128349 -45.8790819,-67.91394 -45.8782827,-67.9123628 -45.8789922,-67.91076944 -45.87927096,-67.9123628 -45.8789922,-67.9139936 -45.8782154,-67.9156995 -45.8769755,-67.9165149 -45.8759447,-67.9189503 -45.874689800000006,-67.91777485 -45.87443865,-67.9194653 -45.874084800000006,-67.9204845 -45.8732108,-67.9206347 -45.8733602,-67.91957453 -45.87370778,-67.9212248 -45.8733378,-67.9216969 -45.8732033,-67.9219866 -45.8726954,-67.92142151 -45.87273947;-67.92142151 -45.87273947,-67.9212248 -45.8733378,-67.9216969 -45.8732033,-67.9219866 -45.8726954,-67.91957453 -45.87370778,-67.9194653 -45.874084800000006,-67.9204845 -45.8732108,-67.9206347 -45.8733602,-67.91777485 -45.87443865,-67.9123628 -45.8789922,-67.9139936 -45.8782154,-67.9156995 -45.8769755,-67.9165149 -45.8759447,-67.9189503 -45.874689800000006,-67.91076944 -45.87927096,-67.9128349 -45.8790819,-67.91394 -45.8782827,-67.9123628 -45.8789922,-67.91191949 -45.87938061,-67.9129636 -45.879291,-67.9124808 -45.8793284,-67.9120302 -45.8802545,-67.9124165 -45.8806728,-67.9129958 -45.8809193,-67.91214619 -45.88124859,-67.9166651 -45.8823159,-67.9169762 -45.8821367,-67.9166543 -45.8815466,-67.913146 -45.8824205,-67.9128242 -45.8814645,-67.91541483 -45.88231338,-67.911365 -45.8831076,-67.9142618 -45.8826968,-67.9159892 -45.8825026,-67.90970498 -45.88326091,-67.9076958 -45.8841084,-67.9082644 -45.8839366,-67.9093373 -45.8833167,-67.9103136 -45.8831972,-67.90591516 -45.88446218,,-67.90594775 -45.88423937,-67.9066443 -45.8844071,-67.9062474 -45.8852585,-67.908833 -45.885968,-67.9091012 -45.8864012,-67.90705336 -45.88840606,-67.9052818 -45.8875736,-67.90654780000001 -45.8882084,-67.9074919 -45.8882756,-67.90362098 -45.8874036,-67.9039729 -45.8871629,-67.9034686 -45.8869165,-67.9041123 -45.886192,-67.9042947 -45.8847656,-67.90316820000001 -45.883637900000004,-67.90293219 -45.8836944,-67.90316820000001 -45.883637900000004,-67.9026854 -45.8831823,-67.9021275 -45.8832794,-67.900722 -45.8842279,-67.9001105 -45.8851465,-67.8995955 -45.8843175,-67.89811074 -45.88424629,-67.896452 -45.8842129,-67.8972995 -45.8841607,-67.8987801 -45.8833839,-67.8993165 -45.8836304,-67.89478887 -45.88442779,-67.895658 -45.88465360000001,-67.8955078 -45.8872675,-67.89402720000001 -45.888186,-67.89313670000001 -45.8879097,-67.8935552 -45.8866999,-67.891624 -45.8850718,-67.88986813 -45.88509226,-67.8916669 -45.8851316,-67.891463 -45.8853332,-67.8890061 -45.8855946,-67.8886521 -45.8849672,-67.88725199 -45.88498287,-67.8877938 -45.885251,-67.8862166 -45.8849523,-67.88477851 -45.88530377,-67.8847039 -45.885542300000004,-67.8854334 -45.8851465,-67.88304639 -45.88588109,-67.8838027 -45.88608,-67.882483 -45.8868716,-67.88085052 -45.88709026,-67.8783846 -45.8885519,-67.8803802 -45.8880143,-67.8826654 -45.8868044,-67.8823113 -45.8868119,-67.87661058 -45.88889945,-67.8765285 -45.89045620000001,-67.877773 -45.8901799,-67.8803802 -45.8880143,-67.8783846 -45.8885519,-67.87484305 -45.89067788,-67.8792322 -45.8901127,-67.877934 -45.8900903,-67.8765285 -45.89045620000001,-67.87813787 -45.88993585,-67.8789854 -45.8901127,-67.8777838 -45.8901052,-67.8751981 -45.8927935,-67.8739536 -45.8942571,-67.87230402 -45.89457162,-67.8727734 -45.8946678,-67.8694153 -45.8954742,-67.8682566 -45.89504860000001,-67.86797017 -45.89505687,-67.8685999 -45.895295,-67.8667116 -45.8956833,-67.8646088 -45.8956833,-67.86301998 -45.89560501,-67.8636646 -45.8957132,-67.8630209 -45.8961014,-67.8661537 -45.8966391,-67.86618307 -45.89684928,-67.8667545 -45.8970572,-67.8640938 -45.8981025,-67.8651237 -45.89867,-67.86456115 -45.89914262,-67.8703165 -45.8982817,-67.8659606 -45.8989089,-67.8694366 -45.89824775;-67.8694366 -45.89824775,-67.8703165 -45.8982817,-67.8659606 -45.8989089,-67.86456115 -45.89914262,-67.8667545 -45.8970572,-67.8640938 -45.8981025,-67.8651237 -45.89867,-67.86618307 -45.89684928,-67.8667545 -45.8970572,-67.8640938 -45.8981025,-67.8634501 -45.8978337,-67.86208039 -45.89761271;-67.86208039 -45.89761271,-67.8667545 -45.8970572,-67.8640938 -45.8981025,-67.8634501 -45.8978337,-67.86618307 -45.89684928,-67.8667545 -45.8970572,-67.8640938 -45.8981025,-67.8651237 -45.89867,-67.86456115 -45.89914262,-67.8660679 -45.8992972,-67.8682137 -45.8998049,-67.86778786 -45.90024848;-67.86778786 -45.90024848,-67.8660679 -45.8992972,-67.8682137 -45.8998049,-67.86456115 -45.89914262,-67.8667545 -45.8970572,-67.8640938 -45.8981025,-67.8651237 -45.89867,-67.86618307 -45.89684928,-67.8636646 -45.8957132,-67.8630209 -45.8961014,-67.8661537 -45.8966391,-67.86301998 -45.89560501,-67.8685999 -45.895295,-67.8667116 -45.8956833,-67.8646088 -45.8956833,-67.86797017 -45.89505687;-67.86797017 -45.89505687,-67.8727734 -45.8946678,-67.8694153 -45.8954742,-67.8682566 -45.89504860000001,-67.87230402 -45.89457162,-67.8789854 -45.8901127,-67.8777838 -45.8901052,-67.8751981 -45.8927935,-67.8739536 -45.8942571,-67.87813787 -45.88993585,-67.8792322 -45.8901127,-67.877934 -45.8900903,-67.8765285 -45.89045620000001,-67.87484305 -45.89067788,-67.8765285 -45.89045620000001,-67.877773 -45.8901799,-67.8803802 -45.8880143,-67.8783846 -45.8885519,-67.87661058 -45.88889945,-67.8783846 -45.8885519,-67.8803802 -45.8880143,-67.8826654 -45.8868044,-67.8823113 -45.8868119,-67.88085052 -45.88709026,-67.8838027 -45.88608,-67.882483 -45.8868716,-67.88304639 -45.88588109,-67.8847039 -45.885542300000004,-67.8854334 -45.8851465,-67.88477851 -45.88530377,-67.8877938 -45.885251,-67.8862166 -45.8849523,-67.88725199 -45.88498287,-67.8916669 -45.8851316,-67.891463 -45.8853332,-67.8890061 -45.8855946,-67.8886521 -45.8849672,-67.88986813 -45.88509226,-67.895658 -45.88465360000001,-67.8955078 -45.8872675,-67.89402720000001 -45.888186,-67.89313670000001 -45.8879097,-67.8935552 -45.8866999,-67.891624 -45.8850718,-67.89478887 -45.88442779,-67.896452 -45.8842129,-67.8972995 -45.8841607,-67.8987801 -45.8833839,-67.8993165 -45.8836304,-67.89811074 -45.88424629,-67.90316820000001 -45.883637900000004,-67.9026854 -45.8831823,-67.9021275 -45.8832794,-67.900722 -45.8842279,-67.9001105 -45.8851465,-67.8995955 -45.8843175,-67.90293219 -45.8836944,-67.9039729 -45.8871629,-67.9034686 -45.8869165,-67.9041123 -45.886192,-67.9042947 -45.8847656,-67.90316820000001 -45.883637900000004,-67.90362098 -45.8874036,-67.9052818 -45.8875736,-67.90654780000001 -45.8882084,-67.9074919 -45.8882756,-67.90705336 -45.88840606,-67.9066443 -45.8844071,-67.9062474 -45.8852585,-67.908833 -45.885968,-67.9091012 -45.8864012,-67.90594775 -45.88423937,,-67.90591516 -45.88446218,-67.9076958 -45.8841084,-67.9082644 -45.8839366,-67.9093373 -45.8833167,-67.9103136 -45.8831972,-67.90970498 -45.88326091,-67.911365 -45.8831076,-67.9142618 -45.8826968,-67.9159892 -45.8825026,-67.91541483 -45.88231338,-67.9166651 -45.8823159,-67.9170835 -45.8822711,-67.9178345 -45.8833989,-67.9184783 -45.8832943,-67.91747464 -45.88372353,-67.9183173 -45.8833018,-67.9179525 -45.8832943,-67.9178452 -45.8829358,-67.9186606 -45.8819873,-67.9191113 -45.8815466,-67.9197979 -45.8813898,-67.91930941 -45.88137118,-67.9231775 -45.8798138,-67.9230273 -45.8801051,-67.9220295 -45.8802022,-67.9198301 -45.8807027,-67.9191542 -45.8814645,-67.9198301 -45.8813375,-67.92260289 -45.87981886,-67.9288745 -45.8790371,-67.9299045 -45.8786188,-67.929765 -45.8784918,-67.9247224 -45.8798512,-67.9241753 -45.8796943,-67.92746283 -45.879252,-67.9288745 -45.8790371,-67.9299796 -45.8786337,-67.9304302 -45.8776552,-67.9309022 -45.8766245,-67.9306126 -45.8766543,-67.92916705 -45.87686758,-67.9305589 -45.8765722,-67.9309773 -45.8765423,-67.9323184 -45.875011,-67.9336917 -45.8726132,-67.93292309 -45.87290945,-67.9337347 -45.872531,-67.9350007 -45.8704245,-67.9346895 -45.8701032,-67.933282 -45.87018527,-67.936492 -45.8696625,-67.9362881 -45.8694234,-67.9350436 -45.8703273,-67.9347003 -45.8699986,-67.93551008 -45.87004015,-67.9383588 -45.8674437,-67.9380584 -45.8682655,-67.9363847 -45.8693786,-67.9365671 -45.8696326,-67.9400271 -45.8665472</t>
  </si>
  <si>
    <t>-67.9400271 -45.8665472,-67.9452038 -45.8642219,-67.9464403 -45.8647635,-67.9454304 -45.86503525,,-67.94551194 -45.86495899,-67.949152 -45.8670029,-67.9489589 -45.866338,-67.9464805 -45.8656358,-67.946502 -45.8652099,-67.94827454 -45.86749255,-67.9513514 -45.867951700000006,-67.9506004 -45.8681534,-67.9493558 -45.8665622,-67.9490876 -45.8664576,-67.9492164 -45.8668461,-67.95075242 -45.86791677,-67.9511476 -45.8693039,-67.95089010000001 -45.8697222,-67.9506433 -45.8681011,-67.9512978 -45.867892,-67.95011093 -45.86936834,-67.9526013 -45.869965,-67.9517484 -45.8700734,-67.9508901 -45.8697222,-67.9511476 -45.8693039,-67.95188123 -45.87007275,-67.9518449 -45.870925,-67.9516733 -45.8706037,-67.9509866 -45.870275,-67.95089010000001 -45.8697222,-67.9517484 -45.8700734,-67.9526281 -45.8699912,-67.95082673 -45.87123588,-67.9510081 -45.87218,-67.9515123 -45.8715599,-67.9518449 -45.870925,-67.94974928 -45.87213834,-67.9508579 -45.8736739,-67.9509115 -45.8721426,-67.94983615 -45.87396079,-67.9521346 -45.8759746,-67.951448 -45.8759597,-67.9509008 -45.8738383,-67.95155064 -45.87647635,-67.9521346 -45.8759746,-67.9517162 -45.8759074,-67.9513943 -45.8758999,-67.9525959 -45.87702780000001,-67.95337920000001 -45.8774162,-67.95259842 -45.87763583,-67.9538298 -45.8776104,-67.9575419 -45.8788205,-67.9596341 -45.8789624,-67.9602242 -45.8794852,-67.95937836 -45.87978501,-67.967391 -45.8796271,-67.9660606 -45.879657,-67.9619408 -45.879179,-67.959795 -45.8789997,-67.9602242 -45.8794852,-67.96661757 -45.87943084,-67.9708028 -45.8792686,-67.9686999 -45.8795524,-67.9682064 -45.8792238,-67.96993071 -45.87922522,-67.9739785 -45.8781632,-67.9745579 -45.8782677,-67.9740644 -45.8788802,-67.9710174 -45.8792537,-67.97210325 -45.8786421,-67.9764569 -45.8790072,-67.9757595 -45.8787084,-67.9755771 -45.8785142,-67.9742253 -45.8787756,-67.974236 -45.878222900000004,-67.9757414 -45.87911165,-67.9764569 -45.8790072,-67.9757595 -45.8787084,-67.9756951 -45.8784321,-67.9790318 -45.877588,-67.9792678 -45.8765199,-67.9792786 -45.8747272,-67.9798257 -45.8760045,-67.9801154 -45.8760643,-67.97932522 -45.87631183,-67.9801047 -45.8737412,-67.9795146 -45.8726879,-67.9791605 -45.8735694,-67.9792249 -45.8748467,-67.9793966 -45.8748467,-67.9797721 -45.8758476,-67.9800725 -45.876012,-67.97905112 -45.87422359,-67.9799759 -45.8737337,-67.9795146 -45.8726879,-67.9809093 -45.8709474,-67.980845 -45.8716421,-67.97987219 -45.87199291,-67.9807377 -45.8716645,-67.9809952 -45.8709175,-67.9819071 -45.8698567,-67.9830122 -45.8690947,-67.9832804 -45.8686614,-67.9840744 -45.8683402,-67.98364252 -45.86827111,-67.9875398 -45.8692665,-67.988205 -45.8691993,-67.9883659 -45.8686465,-67.9866493 -45.8686017,-67.9853296 -45.8685195,-67.9839349 -45.868766,-67.9830122 -45.8690947,-67.9832804 -45.8686614,-67.9841065 -45.8682057,-67.98595749 -45.86942688,,-67.98621539 -45.86906201,-67.9901361 -45.8674661,-67.9900289 -45.8678098,-67.9882801 -45.8686838,-67.9882801 -45.8691246,-67.9875398 -45.8692665,-67.98895281 -45.86742251,-67.9929042 -45.8670777,-67.9928398 -45.8661064,-67.9924321 -45.8655835,-67.9918849 -45.8652398,-67.9909408 -45.867115,-67.9902434 -45.8675334,-67.99174523 -45.8677107,-67.9914558 -45.8692516,-67.9914558 -45.8690499,-67.9925716 -45.8679293,-67.99024475 -45.86974641;-67.99024475 -45.86974641,-67.9910052 -45.8707457,-67.9910266 -45.8705664,-67.99163820000001 -45.8700883,-67.9915524 -45.8697073,-67.9900866 -45.8710699,-67.9930758 -45.87218,-67.992754 -45.8724788,-67.9914343 -45.8718886,-67.9915845 -45.8711565,-67.9912734 -45.8710071,-67.99156523 -45.87210921,-67.9929739 -45.8721949,-67.9927379 -45.872546,-67.993784 -45.8729494,-67.9957634 -45.8725273,-67.9964232 -45.8722024,-67.99553288 -45.87226112,-67.9971957 -45.8714031,-67.9989982 -45.8712611,-67.9998028 -45.8710071,-67.99921407 -45.87121751,,-67.99960904 -45.87080973,-68.0035579 -45.8703423,-68.0025816 -45.8706859,-68.0014014 -45.8705066,-68.00284674 -45.87040916,-68.0041587 -45.8700285,-68.0051243 -45.8686091,-68.00449906 -45.86852742,-68.0070448 -45.8686241,-68.0060685 -45.868385,-68.00620422 -45.86892139,-68.0070448 -45.8686241,-68.0067122 -45.8683028,-68.0066907 -45.8679293,-68.0047274 -45.8681086,-68.0029786 -45.8686316,-68.0021524 -45.8685344,-68.0022383 -45.8682132,-68.00126819 -45.86832361,,-68.00080119 -45.86808139,-67.9980218 -45.8692665,-68.0000389 -45.8684074,-68.0017662 -45.8680339,-67.99627751 -45.86960923,-67.9969811 -45.8694981,-67.9958439 -45.8695654,-67.99512510000001 -45.8693413,-67.99505 -45.8690499,-67.99439359 -45.86914058,-67.99505 -45.8690499,-67.9947495 -45.8687287,-67.9952323 -45.8676529,-67.99437986 -45.8677879,-67.9954576 -45.8672868,-67.9960907 -45.8666518,-67.9968202 -45.8663306,-67.99554948 -45.86642106,-67.9970026 -45.8663754,-68.0035257 -45.8657777,-68.003397 -45.8661662,-68.00288598 -45.86648631;-68.00288598 -45.86648631,-68.0048561 -45.8661961,-68.0066156 -45.864941,-68.00601835 -45.8652672,-68.0066907 -45.8648887,-68.0109608 -45.8634467,-68.00967177 -45.86346603;-68.00967177 -45.86346603,-68.0066907 -45.8648887,-68.0109608 -45.8634467,-68.00601835 -45.8652672,-68.0048561 -45.8661961,-68.0066156 -45.864941,-68.00288598 -45.86648631,-67.9970026 -45.8663754,-68.0035257 -45.8657777,-68.003397 -45.8661662,-67.99554948 -45.86642106,-67.9954576 -45.8672868,-67.9960907 -45.8666518,-67.9968202 -45.8663306,-67.99437986 -45.8677879,-67.99505 -45.8690499,-67.9947495 -45.8687287,-67.9952323 -45.8676529,-67.99439359 -45.86914058,-67.9969811 -45.8694981,-67.9958439 -45.8695654,-67.99512510000001 -45.8693413,-67.99505 -45.8690499,-67.99627751 -45.86960923,-67.9980218 -45.8692665,-68.0000389 -45.8684074,-68.0017662 -45.8680339,-68.00080119 -45.86808139,,-68.00126819 -45.86832361,-68.0070448 -45.8686241,-68.0067122 -45.8683028,-68.0066907 -45.8679293,-68.0047274 -45.8681086,-68.0029786 -45.8686316,-68.0021524 -45.8685344,-68.0022383 -45.8682132,-68.00620422 -45.86892139,-68.0070448 -45.8686241,-68.0060685 -45.868385,-68.00449906 -45.86852742,-68.0041587 -45.8700285,-68.0051243 -45.8686091,-68.00284674 -45.87040916,-68.0036652 -45.8703498,-68.0024529 -45.8706934,-68.0012727 -45.8709175,-68.0001891 -45.8713881,-67.9995775 -45.8718363,-67.99743076 -45.87213204,-67.9984939 -45.8727327,-67.9986763 -45.8725609,-67.9987407 -45.872292,-67.99707801 -45.87306235,-68.0009079 -45.8733901,-68.0017447 -45.8731436,-68.0013478 -45.8728149,-68.0005753 -45.8728074,-67.9998672 -45.8727327,-67.9986441 -45.8728074,-67.99900055 -45.87377745,-67.9970562 -45.8749065,-67.998054 -45.8746002,-67.9989874 -45.8742865,-67.9998994 -45.8736889,-67.99575168 -45.87505796,-67.9940093 -45.875758,-67.9942882 -45.875646,-67.9944921 -45.8759223,-67.9952216 -45.8756385,-67.9962945 -45.874899,-67.99230343 -45.87612978,-67.9932904 -45.8760792,-67.9926252 -45.8763556,-67.9912949 -45.8766319,-67.98995293 -45.87688436,-67.9909623 -45.8768411,-67.9909086 -45.8766394,-67.9893529 -45.876729,-67.9896641 -45.8770726,-67.98904006 -45.87741924,-67.9896748 -45.8771548,-67.9892349 -45.8767216,-67.985158 -45.8765946,-67.9863167 -45.8762734,-67.98563419 -45.87640922,-67.9865313 -45.8763033,-67.9853833 -45.8764975,-67.98469660000002 -45.8764303,-67.98281428 -45.87644776,-67.9838705 -45.8772892,-67.9842675 -45.8766469,-67.9854584 -45.876617,-67.9846001 -45.8763854,-67.98257485 -45.87765379,-67.9797721 -45.879179,-67.9789889 -45.8790669,-67.9792571 -45.8776403,-67.9831409 -45.876744,-67.9844499 -45.8766842,-67.9838705 -45.8772892,-67.97934342 -45.87920812,-67.9789352 -45.8795823,-67.9789889 -45.8790669,-67.9799759 -45.8791491,-67.97764389 -45.88001208,-67.9789352 -45.8795823,-67.9791069 -45.8776627,-67.9756737 -45.8784769,-67.9758239 -45.8787234,-67.9765105 -45.8789474,-67.9757414 -45.87911165,-67.9764569 -45.8790072,-67.9757595 -45.8787084,-67.9755771 -45.8785142,-67.9742253 -45.8787756,-67.974236 -45.878222900000004,-67.97210325 -45.8786421,-67.9739785 -45.8781632,-67.9745579 -45.8782677,-67.9740644 -45.8788802,-67.9710174 -45.8792537,-67.96993071 -45.87922522,-67.9708028 -45.8792686,-67.9686999 -45.8795524,-67.9682064 -45.8792238,-67.96661757 -45.87943084,-67.967391 -45.8796271,-67.9660606 -45.879657,-67.9619408 -45.879179,-67.959795 -45.8789997,-67.9602242 -45.8794852,-67.95937836 -45.87978501,-67.9538298 -45.8776104,-67.9575419 -45.8788205,-67.9596341 -45.8789624,-67.9602242 -45.8794852,-67.95259842 -45.87763583,-67.9521346 -45.8759746,-67.9517162 -45.8759074,-67.9513943 -45.8758999,-67.9525959 -45.87702780000001,-67.95337920000001 -45.8774162,-67.95155064 -45.87647635,-67.9521239 -45.8742491,-67.9518771 -45.875885,-67.9521346 -45.8759746,-67.95131727 -45.87411285;-67.95131727 -45.87411285,-67.9521239 -45.8742491,-67.9518771 -45.875885,-67.9521346 -45.8759746,-67.95155064 -45.87647635,-67.9521346 -45.8759746,-67.951448 -45.8759597,-67.9509008 -45.8738383,-67.94983615 -45.87396079,-67.9508579 -45.8736739,-67.9509115 -45.8721426,-67.94974928 -45.87213834,-67.9510081 -45.87218,-67.9515123 -45.8715599,-67.9518449 -45.870925,-67.95082673 -45.87123588,-67.9518449 -45.870925,-67.9516733 -45.8706037,-67.9509866 -45.870275,-67.95089010000001 -45.8697222,-67.9517484 -45.8700734,-67.9526281 -45.8699912,-67.95188123 -45.87007275,-67.9526013 -45.869965,-67.9517484 -45.8700734,-67.9508901 -45.8697222,-67.9511476 -45.8693039,-67.95011093 -45.86936834,-67.9511476 -45.8693039,-67.95089010000001 -45.8697222,-67.9506433 -45.8681011,-67.9512978 -45.867892,-67.95075242 -45.86791677,-67.9513514 -45.867951700000006,-67.9506004 -45.8681534,-67.9493558 -45.8665622,-67.9490876 -45.8664576,-67.9492164 -45.8668461,-67.94827454 -45.86749255,-67.949152 -45.8670029,-67.9489589 -45.866338,-67.9464805 -45.8656358,-67.946502 -45.8652099,-67.94551194 -45.86495899,,-67.9454304 -45.86503525,-67.9452038 -45.8642219,-67.9464403 -45.8647635,-67.9400271 -45.8665472</t>
  </si>
  <si>
    <t>-67.9400271 -45.8665472,-67.9383588 -45.8674437,-67.9380101 -45.8666929,-67.9392922 -45.8661064,-67.93822649 -45.86645361,,-67.93820898 -45.86621382,-67.939437 -45.8659907,-67.9410034 -45.8642985,-67.9397787 -45.86446671,-67.9413575 -45.8643508,-67.94191 -45.8638801,-67.9413092 -45.8637717,-67.94026881 -45.86394522,-67.9412395 -45.8636896,-67.94085860000001 -45.8628677,-67.94016816 -45.86304785,-67.94085860000001 -45.8628677,-67.9404294 -45.860772,-67.93965509 -45.86091672,-67.9403543 -45.8608019,-67.9402256 -45.8604656,-67.9411912 -45.8599202,-67.94002007 -45.86002619;-67.94002007 -45.86002619,-67.9403543 -45.8608019,-67.9402256 -45.8604656,-67.9411912 -45.8599202,-67.93965509 -45.86091672,-67.9404509 -45.8607122,-67.93858410000001 -45.8598305,-67.9376185 -45.8606001,-67.9381227 -45.8610185,-67.9388309 -45.8607794,-67.93809539 -45.86091501,-67.9388309 -45.8607794,-67.938112 -45.8611007,-67.9377472 -45.860899,-67.9362881 -45.8614743,-67.9374897 -45.8619749,-67.93652197 -45.86222667,-67.9375219 -45.8620421,-67.9357517 -45.861085800000005,-67.9346144 -45.8614519,-67.93332777 -45.86169272,-67.9343569 -45.8614145,-67.9335523 -45.861549,-67.9334021 -45.8611381,-67.9309666 -45.8609214,-67.92973166 -45.86112334,-67.9307091 -45.86097370000001,-67.9287457 -45.8609588,-67.9288423 -45.860757,-67.92827234 -45.86082887,-67.9288423 -45.860757,-67.9286063 -45.8609812,-67.9269433 -45.8608168,-67.9254305 -45.8610559,-67.9256237 -45.8606898,-67.92472033 -45.86078317,-67.9253769 -45.8604208,-67.9236388 -45.8595317,-67.9233384 -45.8597857,-67.92204432 -45.86025045,-67.9235315 -45.8601219,-67.9222655 -45.8604731,-67.92116295 -45.86077528,-67.9219651 -45.8610335,-67.9157424 -45.8609887,-67.91412974 -45.86109479,-67.9153347 -45.8605702,-67.9157317 -45.8599725,-67.9146159 -45.859457,-67.91347499 -45.85938782,-67.9145408 -45.8594047,-67.9124916 -45.858777,-67.9112792 -45.8592776,-67.91058213 -45.85962973,-67.9112792 -45.8592776,-67.9102921 -45.8588293,-67.9105067 -45.8586425,-67.90964669 -45.85881191,-67.9102653 -45.8586986,-67.9081625 -45.8581195,-67.90707943 -45.8582017,-67.90773330000002 -45.8580522,-67.9073417 -45.8579177,-67.9068965 -45.8568567,-67.9053408 -45.8563822,-67.90400196 -45.85653031,-67.904284 -45.8564084,-67.9033184 -45.8552726,-67.9019022 -45.8551232,-67.90067511 -45.8549717,,-67.90022567 -45.85540767,-67.9008508 -45.8548093,-67.8990161 -45.8545403,-67.898823 -45.8538678,-67.8965485 -45.8545553,-67.89483427 -45.85484841,-67.887429 -45.855564,-67.8894138 -45.853808,-67.8932333 -45.8533447,-67.8969455 -45.8545851,-67.8963768 -45.8546599,-67.88581092 -45.85597227,-67.887429 -45.855564,-67.8882551 -45.8548691,-67.8894138 -45.853808,-67.8920853 -45.8535689,-67.8916454 -45.8538678,-67.8897357 -45.85395,-67.88910 -45.85436,-67.8875685 -45.8562589,-67.885799 -45.8571033,-67.88544 -45.8578281,-67.88523 -45.85794,-67.88402968 -45.85834964,-67.8814316 -45.8592926,-67.8808415 -45.8591357,-67.880863 -45.8587322,-67.8817642 -45.858239,-67.8850043 -45.8580522,-67.88077392 -45.85953999,-67.8790283 -45.8588293,-67.880466 -45.8587397,-67.8813028 -45.8593598,-67.87771797 -45.85914466,-67.875917 -45.8590236,-67.8765607 -45.8587098,-67.8784597 -45.8588443,-67.87446619 -45.85953534,-67.8758311 -45.8590012,-67.8755307 -45.858777,-67.8718829 -45.8588144,-67.8721619 -45.8576637,-67.8733528 -45.857462,-67.8739536 -45.8579028,-67.87227986 -45.85836679,-67.8721619 -45.8576637,-67.8734279 -45.8573798,-67.8740823 -45.8579103,-67.87029294 -45.85782787,-67.8694689 -45.8577534,-67.8703272 -45.8578879,-67.8705525 -45.8574694,-67.8710139 -45.8575441,-67.86752908 -45.85773082,-67.8666365 -45.8577982,-67.8680527 -45.857716,-67.86509618 -45.85797591,-67.8655958 -45.85783560000001,-67.8642118 -45.8570435,-67.86269634 -45.8576934,-67.8630531 -45.8577608,-67.8618944 -45.8580074,-67.86119926 -45.8582863,-67.8617334 -45.8580597,-67.8595233 -45.8583362,-67.85800456 -45.85865306,-67.8585362 -45.8586425,-67.8567231 -45.8591431,-67.8550386 -45.8605852,-67.85325633 -45.86047853,-67.8547168 -45.8600622,-67.8545237 -45.8589862,-67.8537083 -45.858508,-67.852335 -45.8585529,-67.85051371 -45.8587379,-67.8511226 -45.8587172,-67.8489661 -45.8581942,-67.8504252 -45.8565952,-67.84992667 -45.85649082,-67.851541 -45.8561394,-67.8511119 -45.8555416,-67.8497386 -45.8553249,-67.8490841 -45.8555341,-67.84737753 -45.85568862,-67.8480864 -45.8556163,-67.846477 -45.8561992,-67.8452325 -45.8556537,-67.84359994 -45.85582912,-67.8438914 -45.8557508,-67.8414237 -45.8563262,-67.8377545 -45.8563187,-67.83653581 -45.85644197,-67.8371108 -45.8561767,-67.8326368 -45.8556313,-67.83154193 -45.85548135,-67.8319716 -45.855437,-67.8292787 -45.855108200000004,-67.82760578 -45.8552439,-67.8277767 -45.8550036,-67.8251696 -45.8547271,-67.824676 -45.8544207,-67.82322995 -45.85451391,-67.8244078 -45.8540994,-67.8225088 -45.8518801,-67.82163737 -45.8516816,-67.8223801 -45.8515886,-67.8209639 -45.8504751,-67.8196657 -45.8504079,-67.81800483 -45.85079524,-67.8185713 -45.8505798,-67.816962 -45.851073,-67.8161895 -45.8523658,-67.81497943 -45.85259887,-67.816329 -45.8519921,-67.8167796 -45.8511701,-67.8158462 -45.8513121,-67.8150415 -45.8533148,-67.8138399 -45.8541293,-67.81217316 -45.85421245,-67.809999 -45.85395,-67.81053540000002 -45.8542265,-67.8125417 -45.8543386,-67.80813131 -45.85419968,-67.8093982 -45.8548467,-67.8103423 -45.8545851,-67.808851 -45.8544506,-67.8103101 -45.854219,-67.8097093 -45.8539126,-67.8072436 -45.85498762,-67.8098595 -45.8560647,-67.809999 -45.8550036,-67.8090441 -45.8548691,-67.80907829 -45.8565264,-67.8125632 -45.8568492,-67.810396 -45.8571033,-67.8101599 -45.8566923,-67.81224182 -45.85671416;-67.81224182 -45.85671416,-67.8125632 -45.8568492,-67.810396 -45.8571033,-67.8101599 -45.8566923,-67.80907829 -45.8565264,-67.8098595 -45.8560647,-67.809999 -45.8550036,-67.8090441 -45.8548691,-67.8072436 -45.85498762,-67.807982 -45.8550559,-67.8067052 -45.8553548,-67.80486959 -45.85565241,-67.8067052 -45.8553548,-67.8072202 -45.8551381,-67.8064048 -45.853539,-67.80441533 -45.8533642,-67.8110075 -45.8532999,-67.8095913 -45.8534045,-67.8081751 -45.8532849,-67.8063512 -45.8536436,-67.81033656 -45.85331184,-67.8119838 -45.8516783,-67.8118229 -45.8524256,-67.8138614 -45.8534792,-67.8134108 -45.8536361,-67.8115761 -45.85313550000001,-67.81172912 -45.8516909,-67.8118765 -45.8513943,-67.8110504 -45.8507367,-67.80982730000001 -45.8504453,-67.8095698 -45.8499147,-67.80810998 -45.84984063;-67.80810998 -45.84984063,-67.8118765 -45.8513943,-67.8110504 -45.8507367,-67.80982730000001 -45.8504453,-67.8095698 -45.8499147,-67.81172912 -45.8516909,-67.8119838 -45.8516783,-67.8118229 -45.8524256,-67.8138614 -45.8534792,-67.8134108 -45.8536361,-67.8115761 -45.85313550000001,-67.81033656 -45.85331184,-67.8110075 -45.8532999,-67.8095913 -45.8534045,-67.8081751 -45.8532849,-67.8063512 -45.8536436,-67.80441533 -45.8533642,-67.8064048 -45.853539,-67.8089046 -45.854361,-67.8103852 -45.8542265,-67.8098702 -45.8539126,-67.80813131 -45.85419968,-67.809999 -45.85395,-67.81053540000002 -45.8542265,-67.8125417 -45.8543386,-67.81217316 -45.85421245,-67.816329 -45.8519921,-67.8167796 -45.8511701,-67.8158462 -45.8513121,-67.8150415 -45.8533148,-67.8138399 -45.8541293,-67.81497943 -45.85259887,-67.8185713 -45.8505798,-67.816962 -45.851073,-67.8161895 -45.8523658,-67.81800483 -45.85079524,-67.8223801 -45.8515886,-67.8209639 -45.8504751,-67.8196657 -45.8504079,-67.82163737 -45.8516816,-67.8244078 -45.8540994,-67.8225088 -45.8518801,-67.82322995 -45.85451391,-67.8277767 -45.8550036,-67.8251696 -45.8547271,-67.824676 -45.8544207,-67.82760578 -45.8552439,-67.8319716 -45.855437,-67.8292787 -45.855108200000004,-67.83154193 -45.85548135,-67.8371108 -45.8561767,-67.8326368 -45.8556313,-67.83653581 -45.85644197,-67.8371 -45.8587098,-67.8367245 -45.8583661,-67.8377759 -45.8572004,-67.8377545 -45.8567372,-67.8374755 -45.8565279,-67.83635942 -45.85907747,-67.8434944 -45.861818,-67.8401899 -45.8621318,-67.8426361 -45.8613473,-67.8426254 -45.8601294,-67.842797 -45.8591058,-67.841928 -45.8586351,-67.8397501 -45.8591282,-67.8376687 -45.8590012,-67.84287871 -45.86187221,-67.8480113 -45.860376,-67.8467989 -45.86128,-67.8443742 -45.8622663,-67.8429365 -45.86190760000001,-67.84751224 -45.86039212;-67.84751224 -45.86039212,-67.8492987 -45.8598679,-67.8513372 -45.8591133,-67.848022 -45.8590161,-67.8489661 -45.8582615,-67.8510582 -45.8585977,-67.85051371 -45.8587379,-67.8547168 -45.8600622,-67.8545237 -45.8589862,-67.8537083 -45.858508,-67.852335 -45.8585529,-67.85325633 -45.86047853,-67.8585362 -45.8586425,-67.8567231 -45.8591431,-67.8550386 -45.8605852,-67.85800456 -45.85865306,-67.8617334 -45.8580597,-67.8595233 -45.8583362,-67.86119926 -45.8582863,-67.8630531 -45.8577608,-67.8618944 -45.8580074,-67.86269634 -45.8576934,-67.8655958 -45.85783560000001,-67.8642118 -45.8570435,-67.86509618 -45.85797591,-67.8666365 -45.8577982,-67.8680527 -45.857716,-67.86752908 -45.85773082,-67.8694689 -45.8577534,-67.8703272 -45.8578879,-67.8705525 -45.8574694,-67.8710139 -45.8575441,-67.87029294 -45.85782787,-67.8721619 -45.8576637,-67.8734279 -45.8573798,-67.8740823 -45.8579103,-67.87227986 -45.85836679,-67.8758311 -45.8590012,-67.8755307 -45.858777,-67.8718829 -45.8588144,-67.8721619 -45.8576637,-67.8733528 -45.857462,-67.8739536 -45.8579028,-67.87446619 -45.85953534,-67.875917 -45.8590236,-67.8765607 -45.8587098,-67.8784597 -45.8588443,-67.87771797 -45.85914466,-67.8790283 -45.8588293,-67.880466 -45.8587397,-67.8813028 -45.8593598,-67.88077392 -45.85953999,-67.8814316 -45.8592926,-67.8808415 -45.8591357,-67.880863 -45.8587322,-67.8817642 -45.858239,-67.8850043 -45.8580522,-67.88402968 -45.85834964,-67.887429 -45.855564,-67.8882551 -45.8548691,-67.8894138 -45.853808,-67.8920853 -45.8535689,-67.8916454 -45.8538678,-67.8897357 -45.85395,-67.88910 -45.85436,-67.8875685 -45.8562589,-67.885799 -45.8571033,-67.88544 -45.8578281,-67.88523 -45.85794,-67.88581092 -45.85597227,-67.887429 -45.855564,-67.8894138 -45.853808,-67.8932333 -45.8533447,-67.8969455 -45.8545851,-67.8963768 -45.8546599,-67.89483427 -45.85484841,-67.9008508 -45.8548093,-67.8990161 -45.8545403,-67.898823 -45.8538678,-67.8965485 -45.8545553,-67.90022567 -45.85540767;-67.90022567 -45.85540767,,-67.90067511 -45.8549717,-67.904284 -45.8564084,-67.9033184 -45.8552726,-67.9019022 -45.8551232,-67.90400196 -45.85653031,-67.90773330000002 -45.8580522,-67.9073417 -45.8579177,-67.9068965 -45.8568567,-67.9053408 -45.8563822,-67.90707943 -45.8582017,-67.9102653 -45.8586986,-67.9081625 -45.8581195,-67.90964669 -45.85881191,-67.9112792 -45.8592776,-67.9102921 -45.8588293,-67.9105067 -45.8586425,-67.91058213 -45.85962973,-67.9145408 -45.8594047,-67.9124916 -45.858777,-67.9112792 -45.8592776,-67.91347499 -45.85938782,-67.9153347 -45.8605702,-67.9157317 -45.8599725,-67.9146159 -45.859457,-67.91412974 -45.86109479,-67.9219651 -45.8610335,-67.9157424 -45.8609887,-67.92116295 -45.86077528,-67.9235315 -45.8601219,-67.9222655 -45.8604731,-67.92204432 -45.86025045,-67.9253769 -45.8604208,-67.9236388 -45.8595317,-67.9233384 -45.8597857,-67.92472033 -45.86078317,-67.9274476 -45.8598455,-67.9277694 -45.8609139,-67.9253554 -45.8608542,-67.92650257 -45.85998033,-67.930795 -45.8589115,-67.9290783 -45.859442,-67.9272544 -45.8596288,-67.9275012 -45.8597558,-67.92996431 -45.85892348,-67.9288638 -45.8589265,-67.9306984 -45.8588144,-67.9272817 -45.85903741;-67.9272817 -45.85903741,-67.9288638 -45.8589265,-67.9306984 -45.8588144,-67.92996431 -45.85892348,-67.9338741 -45.8553324,-67.9329085 -45.85672970000001,-67.9318249 -45.8585902,-67.9328218 -45.85546946,-67.9352367 -45.8546599,-67.9346144 -45.8547794,-67.9340136 -45.8552128,-67.93449161 -45.85473418,-67.9390132 -45.8553324,-67.9377794 -45.8546898,-67.9357088 -45.8545104,-67.93784211 -45.85566073,-67.9418778 -45.8559601,-67.9390132 -45.8553324,-67.94127839 -45.85682198,-67.9455793 -45.8575815,-67.9449892 -45.8573947,-67.9450321 -45.8569464,-67.9437447 -45.8569987,-67.9429507 -45.8566475,-67.94451337 -45.85788474,-67.95038580000002 -45.8584109,-67.9492486 -45.8582839,-67.9486799 -45.8563934,-67.9455793 -45.8575815,-67.94942594 -45.85854239,-67.9494631 -45.8607197,-67.9496992 -45.8604582,-67.9489589 -45.8596363,-67.9496777 -45.8591282,-67.9500318 -45.8586351,-67.9503858 -45.8584632,-67.94780419 -45.86081977,-67.9479718 -45.8615453,-67.9493934 -45.8606973,-67.9489589 -45.8606599,-67.94655091 -45.86160389,-67.9483044 -45.861911400000004,-67.9473495 -45.8614183,-67.94727301 -45.86217176,-67.9469097 -45.8620944,-67.9481596 -45.8620048,-67.94569946 -45.86221924,-67.9427254 -45.8635364,-67.9464859 -45.8623447,-67.9469097 -45.862016,-67.9400271 -45.8665472</t>
  </si>
  <si>
    <t>-67.9400271 -45.8665472,-67.9383588 -45.8674437,-67.9380584 -45.8682655,-67.9363847 -45.8693786,-67.9365671 -45.8696326,-67.93551008 -45.87004015,-67.936492 -45.8696625,-67.9362881 -45.8694234,-67.9350436 -45.8703273,-67.9347003 -45.8699986,-67.933282 -45.87018527,-67.9337347 -45.872531,-67.9350007 -45.8704245,-67.9346895 -45.8701032,-67.93292309 -45.87290945,-67.9305589 -45.8765722,-67.9309773 -45.8765423,-67.9323184 -45.875011,-67.9336917 -45.8726132,-67.92916705 -45.87686758,-67.9288745 -45.8790371,-67.9299796 -45.8786337,-67.9304302 -45.8776552,-67.9309022 -45.8766245,-67.9306126 -45.8766543,-67.92746283 -45.879252,-67.9288745 -45.8790371,-67.9299045 -45.8786188,-67.929765 -45.8784918,-67.9247224 -45.8798512,-67.9241753 -45.8796943,-67.92260289 -45.87981886,-67.9231775 -45.8798138,-67.9230273 -45.8801051,-67.9220295 -45.8802022,-67.9198301 -45.8807027,-67.9191542 -45.8814645,-67.9198301 -45.8813375,-67.91930941 -45.88137118,-67.9183173 -45.8833018,-67.9179525 -45.8832943,-67.9178452 -45.8829358,-67.9186606 -45.8819873,-67.9191113 -45.8815466,-67.9197979 -45.8813898,-67.91747464 -45.88372353,-67.9166651 -45.8823159,-67.9170835 -45.8822711,-67.9178345 -45.8833989,-67.9184783 -45.8832943,-67.91541483 -45.88231338,-67.911365 -45.8831076,-67.9142618 -45.8826968,-67.9159892 -45.8825026,-67.90970498 -45.88326091,-67.9076958 -45.8841084,-67.9082644 -45.8839366,-67.9093373 -45.8833167,-67.9103136 -45.8831972,-67.90591516 -45.88446218,,-67.90594775 -45.88423937,-67.9066443 -45.8844071,-67.9062474 -45.8852585,-67.908833 -45.885968,-67.9091012 -45.8864012,-67.90705336 -45.88840606,-67.9052818 -45.8875736,-67.90654780000001 -45.8882084,-67.9074919 -45.8882756,-67.90362098 -45.8874036,-67.9039729 -45.8871629,-67.9034686 -45.8869165,-67.9041123 -45.886192,-67.9042947 -45.8847656,-67.90316820000001 -45.883637900000004,-67.90293219 -45.8836944,-67.90316820000001 -45.883637900000004,-67.9026854 -45.8831823,-67.9021275 -45.8832794,-67.900722 -45.8842279,-67.9001105 -45.8851465,-67.8995955 -45.8843175,-67.89811074 -45.88424629,-67.896452 -45.8842129,-67.8972995 -45.8841607,-67.8987801 -45.8833839,-67.8993165 -45.8836304,-67.89478887 -45.88442779,-67.895658 -45.88465360000001,-67.8955078 -45.8872675,-67.89402720000001 -45.888186,-67.89313670000001 -45.8879097,-67.8935552 -45.8866999,-67.891624 -45.8850718,-67.88986813 -45.88509226,-67.8916669 -45.8851316,-67.891463 -45.8853332,-67.8890061 -45.8855946,-67.8886521 -45.8849672,-67.88725199 -45.88498287,-67.8877938 -45.885251,-67.8862166 -45.8849523,-67.88477851 -45.88530377,-67.8847039 -45.885542300000004,-67.8854334 -45.8851465,-67.88304639 -45.88588109,-67.8838027 -45.88608,-67.882483 -45.8868716,-67.88085052 -45.88709026,-67.8783846 -45.8885519,-67.8803802 -45.8880143,-67.8826654 -45.8868044,-67.8823113 -45.8868119,-67.87661058 -45.88889945,-67.8765285 -45.89045620000001,-67.877773 -45.8901799,-67.8803802 -45.8880143,-67.8783846 -45.8885519,-67.87484305 -45.89067788,-67.8792322 -45.8901127,-67.877934 -45.8900903,-67.8765285 -45.89045620000001,-67.87813787 -45.88993585,-67.8788996 -45.8901426,-67.877934 -45.8900903,-67.8774834 -45.8904786,-67.8777945 -45.8925098,-67.8783524 -45.8919348,-67.87768072 -45.89180609,-67.8782558 -45.8919497,-67.8778267 -45.8923828,-67.8780413 -45.8938315,-67.8791893 -45.8953398,-67.87842608 -45.89585515,-67.8799939 -45.8961761,-67.8810668 -45.8968855,-67.881496 -45.8974007,-67.88049412 -45.89765426,-67.8816462 -45.8976545,-67.8819466 -45.8992972,-67.8823757 -45.8992374,-67.88283131 -45.8994995,-67.8778481 -45.8999691,-67.8795862 -45.8996556,-67.8816676 -45.8998198,-67.8823113 -45.899342,-67.87600509 -45.90013168;-67.87600509 -45.90013168,-67.8778481 -45.8999691,-67.8795862 -45.8996556,-67.8816676 -45.8998198,-67.8823113 -45.899342,-67.88283131 -45.8994995,-67.8816462 -45.8976545,-67.8819466 -45.8992972,-67.8823757 -45.8992374,-67.88049412 -45.89765426,-67.8799939 -45.8961761,-67.8810668 -45.8968855,-67.881496 -45.8974007,-67.87842608 -45.89585515,-67.8782558 -45.8919497,-67.8778267 -45.8923828,-67.8780413 -45.8938315,-67.8791893 -45.8953398,-67.87768072 -45.89180609,-67.8788996 -45.8901426,-67.877934 -45.8900903,-67.8774834 -45.8904786,-67.8777945 -45.8925098,-67.8783524 -45.8919348,-67.87813787 -45.88993585,-67.8792322 -45.8901127,-67.877934 -45.8900903,-67.8765285 -45.89045620000001,-67.87484305 -45.89067788,-67.8765285 -45.89045620000001,-67.877773 -45.8901799,-67.8803802 -45.8880143,-67.8783846 -45.8885519,-67.87661058 -45.88889945,-67.8783846 -45.8885519,-67.8803802 -45.8880143,-67.8826654 -45.8868044,-67.8823113 -45.8868119,-67.88085052 -45.88709026,-67.8838027 -45.88608,-67.882483 -45.8868716,-67.88304639 -45.88588109,-67.8847039 -45.885542300000004,-67.8854334 -45.8851465,-67.88477851 -45.88530377,-67.8863347 -45.8849448,-67.8869569 -45.8849672,-67.8874826 -45.883847,-67.8903258 -45.883570600000006,-67.88934482 -45.88367092,-67.8808522 -45.8847432,-67.8831053 -45.8843548,-67.884897 -45.8834586,-67.8876114 -45.88378720000001,-67.8901434 -45.8835856,-67.87931365 -45.88515467,-67.8775477 -45.8859232,-67.87784810000001 -45.8854153,-67.8789425 -45.8862742,-67.879554 -45.8862667,-67.8829443 -45.8844743,-67.8806055 -45.8848253,-67.87597578 -45.88674947,,-67.87630061 -45.88642699,-67.8775907 -45.885744,-67.8778374 -45.8851241,-67.8766251 -45.8844594,-67.8767002 -45.8840561,-67.8758872 -45.88413516,-67.8738034 -45.8829806,-67.8739858 -45.8834512,-67.87655 -45.8844445,-67.8765929 -45.8840262,-67.87263059 -45.88283868,-67.8737283 -45.8829508,-67.8736854 -45.8833242,-67.8730094 -45.8829134,-67.8686643 -45.8830254,-67.86703039 -45.88312685,-67.8726017 -45.880389,-67.8697157 -45.8828462,-67.8706813 -45.8831001,-67.8686643 -45.8830254,-67.8724445 -45.87988188,-67.8772688 -45.8789101,-67.8749835 -45.8790146,-67.87362100000001 -45.8797765,-67.87684672 -45.87887091,-67.8785026 -45.8788802,-67.8798115 -45.8793806,-67.87875862 -45.87975391,-67.8797901 -45.8776627,-67.8792536 -45.87817810000001,-67.8798115 -45.8793806,-67.87897854 -45.87766371,-67.8836739 -45.8759821,-67.8838027 -45.8758402,-67.883234 -45.875631,-67.8816783 -45.8762734,-67.8803587 -45.8772818,-67.88220216 -45.87628794,-67.8856909 -45.8773042,-67.88382410000001 -45.8758999,-67.8835773 -45.8759821,-67.88515558 -45.87764642,-67.8866458 -45.877476,-67.8866458 -45.8780437,-67.8858411 -45.8780212,-67.8857124 -45.8785142,-67.88533919 -45.87880887;-67.88533919 -45.87880887,-67.8866458 -45.877476,-67.8866458 -45.8780437,-67.8858411 -45.8780212,-67.8857124 -45.8785142,-67.88515558 -45.87764642,-67.8892422 -45.878559,-67.8872895 -45.87787190000001,-67.8866029 -45.8774162,-67.88880073 -45.87886841,,-67.88853976 -45.87880407,-67.8923535 -45.879694300000004,-67.8905511 -45.8789325,-67.89202466 -45.88006668;-67.89202466 -45.88006668,-67.8923535 -45.879694300000004,-67.8905511 -45.8789325,-67.88853976 -45.87880407,,-67.88880073 -45.87886841,-67.8892422 -45.878559,-67.8872895 -45.87787190000001,-67.8866029 -45.8774162,-67.88515558 -45.87764642,-67.8856909 -45.8773042,-67.88382410000001 -45.8758999,-67.8835773 -45.8759821,-67.88220216 -45.87628794,-67.8836739 -45.8759821,-67.8838027 -45.8758402,-67.883234 -45.875631,-67.8816783 -45.8762734,-67.8803587 -45.8772818,-67.87897854 -45.87766371,-67.8797901 -45.8776627,-67.8792536 -45.87817810000001,-67.8798115 -45.8793806,-67.87875862 -45.87975391,-67.8785026 -45.8788802,-67.8798115 -45.8793806,-67.87684672 -45.87887091,-67.8772688 -45.8789101,-67.8749835 -45.8790146,-67.87362100000001 -45.8797765,-67.8724445 -45.87988188,-67.8726017 -45.880389,-67.8697157 -45.8828462,-67.8706813 -45.8831001,-67.8686643 -45.8830254,-67.86703039 -45.88312685,-67.8737283 -45.8829508,-67.8736854 -45.8833242,-67.8730094 -45.8829134,-67.8686643 -45.8830254,-67.87263059 -45.88283868,-67.8738034 -45.8829806,-67.8739858 -45.8834512,-67.87655 -45.8844445,-67.8765929 -45.8840262,-67.8758872 -45.88413516,-67.8775907 -45.885744,-67.8778374 -45.8851241,-67.8766251 -45.8844594,-67.8767002 -45.8840561,-67.87630061 -45.88642699,,-67.87597578 -45.88674947,-67.8775477 -45.8859232,-67.87784810000001 -45.8854153,-67.8789425 -45.8862742,-67.879554 -45.8862667,-67.8829443 -45.8844743,-67.8806055 -45.8848253,-67.87931365 -45.88515467,-67.8808522 -45.8847432,-67.8831053 -45.8843548,-67.884897 -45.8834586,-67.8876114 -45.88378720000001,-67.8901434 -45.8835856,-67.88934482 -45.88367092,-67.8863347 -45.8849448,-67.8869569 -45.8849672,-67.8874826 -45.883847,-67.8903258 -45.883570600000006,-67.88477851 -45.88530377,-67.8847039 -45.885542300000004,-67.8854334 -45.8851465,-67.88304639 -45.88588109,-67.8838027 -45.88608,-67.882483 -45.8868716,-67.88085052 -45.88709026,-67.8783846 -45.8885519,-67.8803802 -45.8880143,-67.8826654 -45.8868044,-67.8823113 -45.8868119,-67.87661058 -45.88889945,-67.8765285 -45.89045620000001,-67.877773 -45.8901799,-67.8803802 -45.8880143,-67.8783846 -45.8885519,-67.87484305 -45.89067788,-67.8792322 -45.8901127,-67.877934 -45.8900903,-67.8765285 -45.89045620000001,-67.87813787 -45.88993585,-67.8788996 -45.8901426,-67.877934 -45.8900903,-67.8774834 -45.8904786,-67.8777945 -45.8925098,-67.8783524 -45.8919348,-67.87768072 -45.89180609,-67.8782558 -45.8919497,-67.8778267 -45.8923828,-67.8780413 -45.8938315,-67.8791893 -45.8953398,-67.87842608 -45.89585515,-67.8799939 -45.8961761,-67.8810668 -45.8968855,-67.881496 -45.8974007,-67.88049412 -45.89765426,-67.8816462 -45.8976545,-67.8819466 -45.8992972,-67.8823757 -45.8992374,-67.88283131 -45.8994995,-67.8778481 -45.8999691,-67.8795862 -45.8996556,-67.8816676 -45.8998198,-67.8823113 -45.899342,-67.87600509 -45.90013168,-67.875402 -45.9018954,-67.8762174 -45.9018506,-67.8767323 -45.9016117,-67.8774405 -45.9009995,-67.8778481 -45.8999691,-67.87401 -45.90242679,-67.8778911 -45.9022389,-67.8772688 -45.9023733,-67.8762174 -45.9020895,-67.8762174 -45.9018506,-67.875402 -45.9018954,-67.87749311 -45.90223614,-67.8877831 -45.9058523,-67.8869033 -45.9059867,-67.8840923 -45.9048668,-67.8834271 -45.9042397,-67.8832769 -45.9030601,-67.8820109 -45.9031497,-67.8811312 -45.903299,-67.8780627 -45.9027018,-67.8772688 -45.9023733,-67.8778911 -45.9022389,-67.88690397 -45.90593083,-67.8887486 -45.9139369,-67.8892422 -45.9133771,-67.889092 -45.9088982,-67.8895211 -45.9081964,-67.8884697 -45.9068527,-67.8891134 -45.9060464,-67.8899932 -45.905494,-67.890079 -45.9049863,-67.8895855 -45.9049415,-67.8884912 -45.9054641,-67.88780562 -45.91450171;-67.88780562 -45.91450171,-67.8887486 -45.9139369,-67.8892422 -45.9133771,-67.889092 -45.9088982,-67.8895211 -45.9081964,-67.8884697 -45.9068527,-67.8891134 -45.9060464,-67.8899932 -45.905494,-67.890079 -45.9049863,-67.8895855 -45.9049415,-67.8884912 -45.9054641,-67.88690397 -45.90593083,-67.8877831 -45.9058523,-67.8869033 -45.9059867,-67.8840923 -45.9048668,-67.8834271 -45.9042397,-67.8832769 -45.9030601,-67.8820109 -45.9031497,-67.8811312 -45.903299,-67.8780627 -45.9027018,-67.8772688 -45.9023733,-67.8778911 -45.9022389,-67.87749311 -45.90223614,-67.8778911 -45.9022389,-67.8772688 -45.9023733,-67.8762174 -45.9020895,-67.8762174 -45.9018506,-67.875402 -45.9018954,-67.87401 -45.90242679,-67.875402 -45.9018954,-67.8762174 -45.9018506,-67.8767323 -45.9016117,-67.8774405 -45.9009995,-67.8778481 -45.8999691,-67.87600509 -45.90013168,-67.8778481 -45.8999691,-67.8795862 -45.8996556,-67.8816676 -45.8998198,-67.8823113 -45.899342,-67.88283131 -45.8994995,-67.8816462 -45.8976545,-67.8819466 -45.8992972,-67.8823757 -45.8992374,-67.88049412 -45.89765426,-67.8799939 -45.8961761,-67.8810668 -45.8968855,-67.881496 -45.8974007,-67.87842608 -45.89585515,-67.8782558 -45.8919497,-67.8778267 -45.8923828,-67.8780413 -45.8938315,-67.8791893 -45.8953398,-67.87768072 -45.89180609,-67.8788996 -45.8901426,-67.877934 -45.8900903,-67.8774834 -45.8904786,-67.8777945 -45.8925098,-67.8783524 -45.8919348,-67.87813787 -45.88993585,-67.8792322 -45.8901127,-67.877934 -45.8900903,-67.8765285 -45.89045620000001,-67.87484305 -45.89067788,-67.8765285 -45.89045620000001,-67.877773 -45.8901799,-67.8803802 -45.8880143,-67.8783846 -45.8885519,-67.87661058 -45.88889945,-67.8783846 -45.8885519,-67.8803802 -45.8880143,-67.8826654 -45.8868044,-67.8823113 -45.8868119,-67.88085052 -45.88709026,-67.8838027 -45.88608,-67.882483 -45.8868716,-67.88304639 -45.88588109,-67.8847039 -45.885542300000004,-67.8854334 -45.8851465,-67.88477851 -45.88530377,-67.8877938 -45.885251,-67.8862166 -45.8849523,-67.88725199 -45.88498287,-67.8916669 -45.8851316,-67.891463 -45.8853332,-67.8890061 -45.8855946,-67.8886521 -45.8849672,-67.88986813 -45.88509226,-67.895658 -45.88465360000001,-67.8955078 -45.8872675,-67.89402720000001 -45.888186,-67.89313670000001 -45.8879097,-67.8935552 -45.8866999,-67.891624 -45.8850718,-67.89478887 -45.88442779,-67.896452 -45.8842129,-67.8972995 -45.8841607,-67.8987801 -45.8833839,-67.8993165 -45.8836304,-67.89811074 -45.88424629,-67.90316820000001 -45.883637900000004,-67.9026854 -45.8831823,-67.9021275 -45.8832794,-67.900722 -45.8842279,-67.9001105 -45.8851465,-67.8995955 -45.8843175,-67.90293219 -45.8836944,-67.9039729 -45.8871629,-67.9034686 -45.8869165,-67.9041123 -45.886192,-67.9042947 -45.8847656,-67.90316820000001 -45.883637900000004,-67.90362098 -45.8874036,-67.9052818 -45.8875736,-67.90654780000001 -45.8882084,-67.9074919 -45.8882756,-67.90705336 -45.88840606,-67.9066443 -45.8844071,-67.9062474 -45.8852585,-67.908833 -45.885968,-67.9091012 -45.8864012,-67.90594775 -45.88423937,,-67.90591516 -45.88446218,-67.9076958 -45.8841084,-67.9082644 -45.8839366,-67.9093373 -45.8833167,-67.9103136 -45.8831972,-67.90970498 -45.88326091,-67.911365 -45.8831076,-67.9142618 -45.8826968,-67.9159892 -45.8825026,-67.91541483 -45.88231338,-67.9166651 -45.8823159,-67.9170835 -45.8822711,-67.9178345 -45.8833989,-67.9184783 -45.8832943,-67.91747464 -45.88372353,-67.9183173 -45.8833018,-67.9179525 -45.8832943,-67.9178452 -45.8829358,-67.9186606 -45.8819873,-67.9191113 -45.8815466,-67.9197979 -45.8813898,-67.91930941 -45.88137118,-67.9231775 -45.8798138,-67.9230273 -45.8801051,-67.9220295 -45.8802022,-67.9198301 -45.8807027,-67.9191542 -45.8814645,-67.9198301 -45.8813375,-67.92260289 -45.87981886,-67.9288745 -45.8790371,-67.9299045 -45.8786188,-67.929765 -45.8784918,-67.9247224 -45.8798512,-67.9241753 -45.8796943,-67.92746283 -45.879252,-67.9288745 -45.8790371,-67.9299796 -45.8786337,-67.9304302 -45.8776552,-67.9309022 -45.8766245,-67.9306126 -45.8766543,-67.92916705 -45.87686758,-67.9305589 -45.8765722,-67.9309773 -45.8765423,-67.9323184 -45.875011,-67.9336917 -45.8726132,-67.93292309 -45.87290945,-67.9337347 -45.872531,-67.9350007 -45.8704245,-67.9346895 -45.8701032,-67.933282 -45.87018527,-67.936492 -45.8696625,-67.9362881 -45.8694234,-67.9350436 -45.8703273,-67.9347003 -45.8699986,-67.93551008 -45.87004015,-67.9383588 -45.8674437,-67.9380584 -45.8682655,-67.9363847 -45.8693786,-67.9365671 -45.8696326,-67.9400271 -45.8665472</t>
  </si>
  <si>
    <t>-67.9400271 -45.8665472,-67.9383588 -45.8674437,-67.9380584 -45.8682655,-67.9363847 -45.8693786,-67.9365671 -45.8696326,-67.93551008 -45.87004015,,-67.93504928 -45.86995948,,-67.93505 -45.86998225;-67.93505 -45.86998225,,-67.93504928 -45.86995948,,-67.93551008 -45.87004015,-67.936492 -45.8696625,-67.9362881 -45.8694234,-67.9350436 -45.8703273,-67.9347003 -45.8699986,-67.933282 -45.87018527,-67.9337347 -45.872531,-67.9350007 -45.8704245,-67.9346895 -45.8701032,-67.93292309 -45.87290945,-67.9305589 -45.8765722,-67.9309773 -45.8765423,-67.9323184 -45.875011,-67.9336917 -45.8726132,-67.92916705 -45.87686758,-67.9288745 -45.8790371,-67.9299796 -45.8786337,-67.9304302 -45.8776552,-67.9309022 -45.8766245,-67.9306126 -45.8766543,-67.92746283 -45.879252,-67.9288745 -45.8790371,-67.9299045 -45.8786188,-67.929765 -45.8784918,-67.9247224 -45.8798512,-67.9241753 -45.8796943,-67.92260289 -45.87981886,-67.9231775 -45.8798138,-67.9230273 -45.8801051,-67.9220295 -45.8802022,-67.9198301 -45.8807027,-67.9191542 -45.8814645,-67.9198301 -45.8813375,-67.91930941 -45.88137118,-67.9183173 -45.8833018,-67.9179525 -45.8832943,-67.9178452 -45.8829358,-67.9186606 -45.8819873,-67.9191113 -45.8815466,-67.9197979 -45.8813898,-67.91747464 -45.88372353,-67.9166651 -45.8823159,-67.9170835 -45.8822711,-67.9178345 -45.8833989,-67.9184783 -45.8832943,-67.91541483 -45.88231338,-67.911365 -45.8831076,-67.9142618 -45.8826968,-67.9159892 -45.8825026,-67.90970498 -45.88326091,-67.9076958 -45.8841084,-67.9082644 -45.8839366,-67.9093373 -45.8833167,-67.9103136 -45.8831972,-67.90591516 -45.88446218,,-67.90594775 -45.88423937,-67.9066443 -45.8844071,-67.9062474 -45.8852585,-67.908833 -45.885968,-67.9091012 -45.8864012,-67.90705336 -45.88840606,-67.9052818 -45.8875736,-67.90654780000001 -45.8882084,-67.9074919 -45.8882756,-67.90362098 -45.8874036,-67.9039729 -45.8871629,-67.9034686 -45.8869165,-67.9041123 -45.886192,-67.9042947 -45.8847656,-67.90316820000001 -45.883637900000004,-67.90293219 -45.8836944,-67.90316820000001 -45.883637900000004,-67.9026854 -45.8831823,-67.9021275 -45.8832794,-67.900722 -45.8842279,-67.9001105 -45.8851465,-67.8995955 -45.8843175,-67.89811074 -45.88424629,-67.896452 -45.8842129,-67.8972995 -45.8841607,-67.8987801 -45.8833839,-67.8993165 -45.8836304,-67.89478887 -45.88442779,-67.895658 -45.88465360000001,-67.8955078 -45.8872675,-67.89402720000001 -45.888186,-67.89313670000001 -45.8879097,-67.8935552 -45.8866999,-67.891624 -45.8850718,-67.88986813 -45.88509226,-67.8916669 -45.8851316,-67.891463 -45.8853332,-67.8890061 -45.8855946,-67.8886521 -45.8849672,-67.88725199 -45.88498287,-67.8877938 -45.885251,-67.8862166 -45.8849523,-67.88477851 -45.88530377,-67.8847039 -45.885542300000004,-67.8854334 -45.8851465,-67.88304639 -45.88588109,-67.8838027 -45.88608,-67.882483 -45.8868716,-67.88085052 -45.88709026,-67.8783846 -45.8885519,-67.8803802 -45.8880143,-67.8826654 -45.8868044,-67.8823113 -45.8868119,-67.87661058 -45.88889945,-67.8765285 -45.89045620000001,-67.877773 -45.8901799,-67.8803802 -45.8880143,-67.8783846 -45.8885519,-67.87484305 -45.89067788,-67.8792322 -45.8901127,-67.877934 -45.8900903,-67.8765285 -45.89045620000001,-67.87813787 -45.88993585,-67.8788996 -45.8901426,-67.877934 -45.8900903,-67.8774834 -45.8904786,-67.8777945 -45.8925098,-67.8783524 -45.8919348,-67.87768072 -45.89180609,-67.8793395 -45.891315,-67.8811419 -45.8904936,-67.8816247 -45.8907997,-67.88069709 -45.8911118;-67.88069709 -45.8911118,-67.8793395 -45.891315,-67.8811419 -45.8904936,-67.8816247 -45.8907997,-67.87768072 -45.89180609,-67.8782558 -45.8919497,-67.8778267 -45.8923828,-67.8780413 -45.8938315,-67.8791893 -45.8953398,-67.87842608 -45.89585515,-67.8799939 -45.8961761,-67.8810668 -45.8968855,-67.881496 -45.8974007,-67.88049412 -45.89765426,-67.8816462 -45.8976545,-67.8819466 -45.8992972,-67.8823757 -45.8992374,-67.88283131 -45.8994995,-67.8778481 -45.8999691,-67.8795862 -45.8996556,-67.8816676 -45.8998198,-67.8823113 -45.899342,-67.87600509 -45.90013168,-67.875402 -45.9018954,-67.8762174 -45.9018506,-67.8767323 -45.9016117,-67.8774405 -45.9009995,-67.8778481 -45.8999691,-67.87401 -45.90242679,-67.8778911 -45.9022389,-67.8772688 -45.9023733,-67.8762174 -45.9020895,-67.8762174 -45.9018506,-67.875402 -45.9018954,-67.87749311 -45.90223614,-67.8877831 -45.9058523,-67.8869033 -45.9059867,-67.8840923 -45.9048668,-67.8834271 -45.9042397,-67.8832769 -45.9030601,-67.8820109 -45.9031497,-67.8811312 -45.903299,-67.8780627 -45.9027018,-67.8772688 -45.9023733,-67.8778911 -45.9022389,-67.88690397 -45.90593083,-67.8887486 -45.9139369,-67.8892422 -45.9133771,-67.889092 -45.9088982,-67.8895211 -45.9081964,-67.8884697 -45.9068527,-67.8891134 -45.9060464,-67.8899932 -45.905494,-67.890079 -45.9049863,-67.8895855 -45.9049415,-67.8884912 -45.9054641,-67.88780562 -45.91450171,-67.892257 -45.917781,-67.8922355 -45.9171241,-67.8925788 -45.9166017,-67.8926325 -45.9163553,-67.8917956 -45.9155044,-67.8909266 -45.914855,-67.8902507 -45.9144445,-67.8900683 -45.9137279,-67.8889096 -45.913601,-67.888813 -45.9138473,-67.89164408 -45.91850265,-67.895422 -45.9189901,-67.8929543 -45.9186468,-67.8948966 -45.91911867,-67.8951859 -45.9189752,-67.8956151 -45.9181094,-67.8975034 -45.9169749,-67.8979325 -45.9163329,-67.8972459 -45.916945,-67.8964305 -45.9169151,-67.8960013 -45.9166017,-67.89415644 -45.91643339;-67.89415644 -45.91643339,-67.8951859 -45.9189752,-67.8956151 -45.9181094,-67.8975034 -45.9169749,-67.8979325 -45.9163329,-67.8972459 -45.916945,-67.8964305 -45.9169151,-67.8960013 -45.9166017,-67.8948966 -45.91911867,-67.895422 -45.9189901,-67.8929543 -45.9186468,-67.89164408 -45.91850265;-67.89164408 -45.91850265,-67.892257 -45.917781,-67.8922355 -45.9171241,-67.8925788 -45.9166017,-67.8926325 -45.9163553,-67.8917956 -45.9155044,-67.8909266 -45.914855,-67.8902507 -45.9144445,-67.8900683 -45.9137279,-67.8889096 -45.913601,-67.888813 -45.9138473,-67.88780562 -45.91450171,-67.8887486 -45.9139369,-67.8892422 -45.9133771,-67.889092 -45.9088982,-67.8895211 -45.9081964,-67.8884697 -45.9068527,-67.8891134 -45.9060464,-67.8899932 -45.905494,-67.890079 -45.9049863,-67.8895855 -45.9049415,-67.8884912 -45.9054641,-67.88690397 -45.90593083,-67.8877831 -45.9058523,-67.8869033 -45.9059867,-67.8840923 -45.9048668,-67.8834271 -45.9042397,-67.8832769 -45.9030601,-67.8820109 -45.9031497,-67.8811312 -45.903299,-67.8780627 -45.9027018,-67.8772688 -45.9023733,-67.8778911 -45.9022389,-67.87749311 -45.90223614,-67.8778911 -45.9022389,-67.8772688 -45.9023733,-67.8762174 -45.9020895,-67.8762174 -45.9018506,-67.875402 -45.9018954,-67.87401 -45.90242679,-67.875402 -45.9018954,-67.8762174 -45.9018506,-67.8767323 -45.9016117,-67.8774405 -45.9009995,-67.8778481 -45.8999691,-67.87600509 -45.90013168,-67.8778481 -45.8999691,-67.8795862 -45.8996556,-67.8816676 -45.8998198,-67.8823113 -45.899342,-67.88283131 -45.8994995,-67.8816462 -45.8976545,-67.8819466 -45.8992972,-67.8823757 -45.8992374,-67.88049412 -45.89765426,-67.8799939 -45.8961761,-67.8810668 -45.8968855,-67.881496 -45.8974007,-67.87842608 -45.89585515,-67.8782558 -45.8919497,-67.8778267 -45.8923828,-67.8780413 -45.8938315,-67.8791893 -45.8953398,-67.87768072 -45.89180609,-67.8788996 -45.8901426,-67.877934 -45.8900903,-67.8774834 -45.8904786,-67.8777945 -45.8925098,-67.8783524 -45.8919348,-67.87813787 -45.88993585,-67.8792322 -45.8901127,-67.877934 -45.8900903,-67.8765285 -45.89045620000001,-67.87484305 -45.89067788,-67.8765285 -45.89045620000001,-67.877773 -45.8901799,-67.8803802 -45.8880143,-67.8783846 -45.8885519,-67.87661058 -45.88889945,-67.8783846 -45.8885519,-67.8803802 -45.8880143,-67.8826654 -45.8868044,-67.8823113 -45.8868119,-67.88085052 -45.88709026,-67.8838027 -45.88608,-67.882483 -45.8868716,-67.88304639 -45.88588109,-67.8847039 -45.885542300000004,-67.8854334 -45.8851465,-67.88477851 -45.88530377,-67.8877938 -45.885251,-67.8862166 -45.8849523,-67.88725199 -45.88498287,-67.8916669 -45.8851316,-67.891463 -45.8853332,-67.8890061 -45.8855946,-67.8886521 -45.8849672,-67.88986813 -45.88509226,-67.895658 -45.88465360000001,-67.8955078 -45.8872675,-67.89402720000001 -45.888186,-67.89313670000001 -45.8879097,-67.8935552 -45.8866999,-67.891624 -45.8850718,-67.89478887 -45.88442779,-67.896452 -45.8842129,-67.8972995 -45.8841607,-67.8987801 -45.8833839,-67.8993165 -45.8836304,-67.89811074 -45.88424629,-67.90316820000001 -45.883637900000004,-67.9026854 -45.8831823,-67.9021275 -45.8832794,-67.900722 -45.8842279,-67.9001105 -45.8851465,-67.8995955 -45.8843175,-67.90293219 -45.8836944,-67.9039729 -45.8871629,-67.9034686 -45.8869165,-67.9041123 -45.886192,-67.9042947 -45.8847656,-67.90316820000001 -45.883637900000004,-67.90362098 -45.8874036,-67.9052818 -45.8875736,-67.90654780000001 -45.8882084,-67.9074919 -45.8882756,-67.90705336 -45.88840606,-67.9066443 -45.8844071,-67.9062474 -45.8852585,-67.908833 -45.885968,-67.9091012 -45.8864012,-67.90594775 -45.88423937,,-67.90591516 -45.88446218,-67.9076958 -45.8841084,-67.9082644 -45.8839366,-67.9093373 -45.8833167,-67.9103136 -45.8831972,-67.90970498 -45.88326091,-67.911365 -45.8831076,-67.9142618 -45.8826968,-67.9159892 -45.8825026,-67.91541483 -45.88231338,-67.9166651 -45.8823159,-67.9170835 -45.8822711,-67.9178345 -45.8833989,-67.9184783 -45.8832943,-67.91747464 -45.88372353,-67.9183173 -45.8833018,-67.9179525 -45.8832943,-67.9178452 -45.8829358,-67.9186606 -45.8819873,-67.9191113 -45.8815466,-67.9197979 -45.8813898,-67.91930941 -45.88137118,-67.9231775 -45.8798138,-67.9230273 -45.8801051,-67.9220295 -45.8802022,-67.9198301 -45.8807027,-67.9191542 -45.8814645,-67.9198301 -45.8813375,-67.92260289 -45.87981886,-67.9288745 -45.8790371,-67.9299045 -45.8786188,-67.929765 -45.8784918,-67.9247224 -45.8798512,-67.9241753 -45.8796943,-67.92746283 -45.879252,-67.9288745 -45.8790371,-67.9299796 -45.8786337,-67.9308271 -45.8793582,-67.9310632 -45.8796271,-67.9308057 -45.8796645,-67.92926139 -45.87980166,-67.9308057 -45.8796645,-67.9309773 -45.8795823,-67.9308271 -45.8793582,-67.9319429 -45.8795524,-67.9332089 -45.8799333,-67.9339921 -45.8795524,-67.9349685 -45.8793358,-67.935698 -45.8793209,-67.93512028 -45.8793768,-67.9364383 -45.8791566,-67.9368889 -45.8790371,-67.9370821 -45.878798,-67.939657 -45.8787906,-67.9398179 -45.8784246,-67.93938002 -45.87863178;-67.93938002 -45.87863178,-67.9364383 -45.8791566,-67.9368889 -45.8790371,-67.9370821 -45.878798,-67.939657 -45.8787906,-67.9398179 -45.8784246,-67.93512028 -45.8793768,-67.9308057 -45.8796645,-67.9309773 -45.8795823,-67.9308271 -45.8793582,-67.9319429 -45.8795524,-67.9332089 -45.8799333,-67.9339921 -45.8795524,-67.9349685 -45.8793358,-67.935698 -45.8793209,-67.92926139 -45.87980166,-67.9288745 -45.8790371,-67.9299796 -45.8786337,-67.9308271 -45.8793582,-67.9310632 -45.8796271,-67.9308057 -45.8796645,-67.92746283 -45.879252,-67.9288745 -45.8790371,-67.9299796 -45.8786337,-67.9304302 -45.8776552,-67.9309022 -45.8766245,-67.9306126 -45.8766543,-67.92916705 -45.87686758,-67.9305589 -45.8765722,-67.9309773 -45.8765423,-67.9323184 -45.875011,-67.9336917 -45.8726132,-67.93292309 -45.87290945,-67.9337347 -45.872531,-67.9350007 -45.8704245,-67.9346895 -45.8701032,-67.933282 -45.87018527,-67.936492 -45.8696625,-67.9362881 -45.8694234,-67.9350436 -45.8703273,-67.9347003 -45.8699986,-67.93551008 -45.87004015,-67.9383588 -45.8674437,-67.9380584 -45.8682655,-67.9363847 -45.8693786,-67.9365671 -45.8696326,-67.9400271 -45.8665472</t>
  </si>
  <si>
    <t>-67.9400271 -45.8665472,-67.9383588 -45.8674437,-67.9380584 -45.8682655,-67.9363847 -45.8693786,-67.9365671 -45.8696326,-67.93551008 -45.87004015,-67.936492 -45.8696625,-67.9362881 -45.8694234,-67.9350436 -45.8703273,-67.9347003 -45.8699986,-67.933282 -45.87018527,-67.9337347 -45.872531,-67.9350007 -45.8704245,-67.9346895 -45.8701032,-67.93292309 -45.87290945,-67.9305589 -45.8765722,-67.9309773 -45.8765423,-67.9323184 -45.875011,-67.9336917 -45.8726132,-67.92916705 -45.87686758,-67.9288745 -45.8790371,-67.9299796 -45.8786337,-67.9304302 -45.8776552,-67.9309022 -45.8766245,-67.9306126 -45.8766543,-67.92746283 -45.879252,-67.9288745 -45.8790371,-67.9299045 -45.8786188,-67.929765 -45.8784918,-67.9247224 -45.8798512,-67.9241753 -45.8796943,-67.92260289 -45.87981886,-67.9231775 -45.8798138,-67.9230273 -45.8801051,-67.9220295 -45.8802022,-67.9198301 -45.8807027,-67.9191542 -45.8814645,-67.9198301 -45.8813375,-67.91930941 -45.88137118,-67.9183173 -45.8833018,-67.9179525 -45.8832943,-67.9178452 -45.8829358,-67.9186606 -45.8819873,-67.9191113 -45.8815466,-67.9197979 -45.8813898,-67.91747464 -45.88372353,-67.9166651 -45.8823159,-67.9170835 -45.8822711,-67.9178345 -45.8833989,-67.9184783 -45.8832943,-67.91541483 -45.88231338,-67.911365 -45.8831076,-67.9142618 -45.8826968,-67.9159892 -45.8825026,-67.90970498 -45.88326091,-67.9076958 -45.8841084,-67.9082644 -45.8839366,-67.9093373 -45.8833167,-67.9103136 -45.8831972,-67.90591516 -45.88446218,,-67.90594775 -45.88423937,-67.9066443 -45.8844071,-67.9062474 -45.8852585,-67.908833 -45.885968,-67.9091012 -45.8864012,-67.90705336 -45.88840606,-67.9052818 -45.8875736,-67.90654780000001 -45.8882084,-67.9074919 -45.8882756,-67.90362098 -45.8874036,-67.9039729 -45.8871629,-67.9034686 -45.8869165,-67.9041123 -45.886192,-67.9042947 -45.8847656,-67.90316820000001 -45.883637900000004,-67.90293219 -45.8836944,-67.90316820000001 -45.883637900000004,-67.9026854 -45.8831823,-67.9021275 -45.8832794,-67.900722 -45.8842279,-67.9001105 -45.8851465,-67.8995955 -45.8843175,-67.89811074 -45.88424629,-67.896452 -45.8842129,-67.8972995 -45.8841607,-67.8987801 -45.8833839,-67.8993165 -45.8836304,-67.89478887 -45.88442779,-67.895658 -45.88465360000001,-67.8955078 -45.8872675,-67.89402720000001 -45.888186,-67.89313670000001 -45.8879097,-67.8935552 -45.8866999,-67.891624 -45.8850718,-67.88986813 -45.88509226,-67.8916669 -45.8851316,-67.891463 -45.8853332,-67.8890061 -45.8855946,-67.8886521 -45.8849672,-67.88725199 -45.88498287,-67.8877938 -45.885251,-67.8862166 -45.8849523,-67.88477851 -45.88530377,-67.8863347 -45.8849448,-67.8869569 -45.8849672,-67.8874826 -45.883847,-67.8903258 -45.883570600000006,-67.88934482 -45.88367092,-67.8808522 -45.8847432,-67.8831053 -45.8843548,-67.884897 -45.8834586,-67.8876114 -45.88378720000001,-67.8901434 -45.8835856,-67.87931365 -45.88515467,-67.8775477 -45.8859232,-67.87784810000001 -45.8854153,-67.8789425 -45.8862742,-67.879554 -45.8862667,-67.8829443 -45.8844743,-67.8806055 -45.8848253,-67.87597578 -45.88674947,,-67.87630061 -45.88642699,-67.8775907 -45.885744,-67.8778374 -45.8851241,-67.8766251 -45.8844594,-67.8767002 -45.8840561,-67.8758872 -45.88413516,-67.8738034 -45.8829806,-67.8739858 -45.8834512,-67.87655 -45.8844445,-67.8765929 -45.8840262,-67.87263059 -45.88283868,-67.8737283 -45.8829508,-67.8736854 -45.8833242,-67.8730094 -45.8829134,-67.8686643 -45.8830254,-67.86703039 -45.88312685,-67.8685462 -45.8831151,-67.8700483 -45.8829059,-67.8648233 -45.8818603,-67.8628063 -45.8810537,-67.8621304 -45.8814645,-67.86071597 -45.88116865,-67.8614116 -45.8855274,-67.862978 -45.884788,-67.8635466 -45.8831599,-67.8632355 -45.8817483,-67.86391140000002 -45.8815093,-67.8628063 -45.8810537,-67.8623772 -45.8814346,-67.85908094 -45.88593849,-67.8609717 -45.8856767,-67.862817 -45.8848403,-67.8617656 -45.8854826,-67.8616369 -45.886192,-67.8618944 -45.8867671,-67.86045923 -45.88724171,-67.8618944 -45.8867671,-67.8616261 -45.8862443,-67.8603601 -45.88681940000001,-67.8594589 -45.8868119,-67.8584075 -45.8873347,-67.856369 -45.8871629,-67.8557789 -45.8865655,-67.85399644 -45.88640005,-67.8548133 -45.885968,-67.8544056 -45.8857215,-67.8542554 -45.8852884,-67.85284989 -45.88522411,-67.8535903 -45.8848851,-67.8530109 -45.8845938,-67.8524315 -45.8844893,-67.85093028 -45.88433862,-67.8516591 -45.8844445,-67.8505969 -45.8845789,-67.84921346 -45.88477072;-67.84921346 -45.88477072,-67.8516591 -45.8844445,-67.8505969 -45.8845789,-67.85093028 -45.88433862,-67.8535903 -45.8848851,-67.8530109 -45.8845938,-67.8524315 -45.8844893,-67.85284989 -45.88522411,-67.8548133 -45.885968,-67.8544056 -45.8857215,-67.8542554 -45.8852884,-67.85399644 -45.88640005,-67.8618944 -45.8867671,-67.8616261 -45.8862443,-67.8603601 -45.88681940000001,-67.8594589 -45.8868119,-67.8584075 -45.8873347,-67.856369 -45.8871629,-67.8557789 -45.8865655,-67.86045923 -45.88724171,-67.8609717 -45.8856767,-67.862817 -45.8848403,-67.8617656 -45.8854826,-67.8616369 -45.886192,-67.8618944 -45.8867671,-67.85908094 -45.88593849,-67.8614116 -45.8855274,-67.862978 -45.884788,-67.8635466 -45.8831599,-67.8632355 -45.8817483,-67.86391140000002 -45.8815093,-67.8628063 -45.8810537,-67.8623772 -45.8814346,-67.86071597 -45.88116865,-67.8685462 -45.8831151,-67.8700483 -45.8829059,-67.8648233 -45.8818603,-67.8628063 -45.8810537,-67.8621304 -45.8814645,-67.86703039 -45.88312685,-67.8726017 -45.880389,-67.8697157 -45.8828462,-67.8706813 -45.8831001,-67.8686643 -45.8830254,-67.8724445 -45.87988188,-67.8772688 -45.8789101,-67.8749835 -45.8790146,-67.87362100000001 -45.8797765,-67.87684672 -45.87887091;-67.87684672 -45.87887091,-67.8772688 -45.8789101,-67.8749835 -45.8790146,-67.87362100000001 -45.8797765,-67.8724445 -45.87988188,-67.8726017 -45.880389,-67.8697157 -45.8828462,-67.8706813 -45.8831001,-67.8686643 -45.8830254,-67.86703039 -45.88312685,-67.8737283 -45.8829508,-67.8736854 -45.8833242,-67.8730094 -45.8829134,-67.8686643 -45.8830254,-67.87263059 -45.88283868,-67.8738034 -45.8829806,-67.8739858 -45.8834512,-67.87655 -45.8844445,-67.8765929 -45.8840262,-67.8758872 -45.88413516,-67.8775907 -45.885744,-67.8778374 -45.8851241,-67.8766251 -45.8844594,-67.8767002 -45.8840561,-67.87630061 -45.88642699,,-67.87597578 -45.88674947,-67.8775477 -45.8859232,-67.87784810000001 -45.8854153,-67.8789425 -45.8862742,-67.879554 -45.8862667,-67.8829443 -45.8844743,-67.8806055 -45.8848253,-67.87931365 -45.88515467,-67.8808522 -45.8847432,-67.8831053 -45.8843548,-67.884897 -45.8834586,-67.8876114 -45.88378720000001,-67.8901434 -45.8835856,-67.88934482 -45.88367092,-67.8863347 -45.8849448,-67.8869569 -45.8849672,-67.8874826 -45.883847,-67.8903258 -45.883570600000006,-67.88477851 -45.88530377,-67.8877938 -45.885251,-67.8862166 -45.8849523,-67.88725199 -45.88498287,-67.8916669 -45.8851316,-67.891463 -45.8853332,-67.8890061 -45.8855946,-67.8886521 -45.8849672,-67.88986813 -45.88509226,-67.895658 -45.88465360000001,-67.8955078 -45.8872675,-67.89402720000001 -45.888186,-67.89313670000001 -45.8879097,-67.8935552 -45.8866999,-67.891624 -45.8850718,-67.89478887 -45.88442779,-67.896452 -45.8842129,-67.8972995 -45.8841607,-67.8987801 -45.8833839,-67.8993165 -45.8836304,-67.89811074 -45.88424629,-67.90316820000001 -45.883637900000004,-67.9026854 -45.8831823,-67.9021275 -45.8832794,-67.900722 -45.8842279,-67.9001105 -45.8851465,-67.8995955 -45.8843175,-67.90293219 -45.8836944,-67.9039729 -45.8871629,-67.9034686 -45.8869165,-67.9041123 -45.886192,-67.9042947 -45.8847656,-67.90316820000001 -45.883637900000004,-67.90362098 -45.8874036,-67.9052818 -45.8875736,-67.90654780000001 -45.8882084,-67.9074919 -45.8882756,-67.90705336 -45.88840606,-67.9066443 -45.8844071,-67.9062474 -45.8852585,-67.908833 -45.885968,-67.9091012 -45.8864012,-67.90594775 -45.88423937,,-67.90591516 -45.88446218,-67.9076958 -45.8841084,-67.9082644 -45.8839366,-67.9093373 -45.8833167,-67.9103136 -45.8831972,-67.90970498 -45.88326091,-67.911365 -45.8831076,-67.9142618 -45.8826968,-67.9159892 -45.8825026,-67.91541483 -45.88231338,-67.9166651 -45.8823159,-67.9170835 -45.8822711,-67.9178345 -45.8833989,-67.9184783 -45.8832943,-67.91747464 -45.88372353,-67.9183173 -45.8833018,-67.9179525 -45.8832943,-67.9178452 -45.8829358,-67.9186606 -45.8819873,-67.9191113 -45.8815466,-67.9197979 -45.8813898,-67.91930941 -45.88137118,-67.9231775 -45.8798138,-67.9230273 -45.8801051,-67.9220295 -45.8802022,-67.9198301 -45.8807027,-67.9191542 -45.8814645,-67.9198301 -45.8813375,-67.92260289 -45.87981886,-67.9288745 -45.8790371,-67.9299045 -45.8786188,-67.929765 -45.8784918,-67.9247224 -45.8798512,-67.9241753 -45.8796943,-67.92746283 -45.879252,-67.9288745 -45.8790371,-67.9299796 -45.8786337,-67.9304302 -45.8776552,-67.9309022 -45.8766245,-67.9306126 -45.8766543,-67.92916705 -45.87686758,-67.9305589 -45.8765722,-67.9309773 -45.8765423,-67.9323184 -45.875011,-67.9336917 -45.8726132,-67.93292309 -45.87290945,-67.9377472 -45.8730539,-67.9373825 -45.8732855,-67.9341102 -45.8732706,-67.9337132 -45.8730988,-67.93657519 -45.87287387,-67.9370606 -45.8725086, -67.9373395 -45.8719857, -67.9399681 -45.871911, -67.9399037 -45.8711192, -67.9393244 -45.8707681, -67.9393351 -45.8700883,-67.938863 -45.8702228,-67.9403329 -45.8708279, -67.9393888 -45.8708652, -67.9392493 -45.8700435,-67.93913831 -45.87094442,-67.9436159 -45.8698567,-67.942425 -45.8700509,-67.941395 -45.8694608,-67.9411268 -45.8698194,-67.9401827 -45.8705515,-67.94277872 -45.87009226,-67.9438949 -45.8700584,-67.9443777 -45.8707457,-67.9432297 -45.8702825,-67.9431975 -45.8705739,-67.9433692 -45.8709175,-67.94248451 -45.87146009,-67.9433692 -45.8709175,-67.9431653 -45.8707233,-67.9422212 -45.8717691,-67.9418242 -45.8716795,-67.94042654 -45.87182779;-67.94042654 -45.87182779,-67.9433692 -45.8709175,-67.9431653 -45.8707233,-67.9422212 -45.8717691,-67.9418242 -45.8716795,-67.94248451 -45.87146009,-67.9438949 -45.8700584,-67.9443777 -45.8707457,-67.9432297 -45.8702825,-67.9431975 -45.8705739,-67.9433692 -45.8709175,-67.94277872 -45.87009226,-67.9421461 -45.8691918,-67.9418027 -45.8693487,-67.941159 -45.8692068,-67.9424894 -45.8699912,-67.9436159 -45.8698567,-67.94121642 -45.86914222,-67.9388952 -45.8675782,-67.941159 -45.8692068,-67.9419637 -45.8693413,-67.9421461 -45.8692815,-67.9400271 -45.8665472</t>
  </si>
  <si>
    <t>-67.9400271 -45.8665472,-67.9383588 -45.8674437,-67.9380584 -45.8682655,-67.9363847 -45.8693786,-67.9365671 -45.8696326,-67.93551008 -45.87004015,-67.936492 -45.8696625,-67.9362881 -45.8694234,-67.9350436 -45.8703273,-67.9347003 -45.8699986,-67.933282 -45.87018527,-67.9337347 -45.872531,-67.9350007 -45.8704245,-67.9346895 -45.8701032,-67.93292309 -45.87290945,-67.9305589 -45.8765722,-67.9309773 -45.8765423,-67.9323184 -45.875011,-67.9336917 -45.8726132,-67.92916705 -45.87686758,-67.9288745 -45.8790371,-67.9299796 -45.8786337,-67.9304302 -45.8776552,-67.9309022 -45.8766245,-67.9306126 -45.8766543,-67.92746283 -45.879252,-67.9288745 -45.8790371,-67.9299796 -45.8786337,-67.9308271 -45.8793582,-67.9310632 -45.8796271,-67.9308057 -45.8796645,-67.92926139 -45.87980166,-67.9308057 -45.8796645,-67.9309773 -45.8795823,-67.9308271 -45.8793582,-67.9319429 -45.8795524,-67.9332089 -45.8799333,-67.9339921 -45.8795524,-67.9349685 -45.8793358,-67.935698 -45.8793209,-67.93512028 -45.8793768,-67.9364383 -45.8791566,-67.9368889 -45.8790371,-67.9370821 -45.878798,-67.939657 -45.8787906,-67.9398179 -45.8784246,-67.93938002 -45.87863178,-67.9433799 -45.8793582,-67.9425859 -45.8792462,-67.9414809 -45.8788951,-67.9399574 -45.8788802,-67.9395819 -45.8785889,-67.9398179 -45.8784246,-67.94258106 -45.87928487,-67.9468131 -45.8799931,-67.9464698 -45.8794927,-67.9443026 -45.8791491,-67.9459034 -45.88040255,-67.9472744 -45.8827118,-67.9475963 -45.8819051,-67.9476392 -45.8807475,-67.9472208 -45.8805159,-67.94607409 -45.88311995,-67.9472744 -45.8852212,-67.9470921 -45.8844967,-67.9472423 -45.883959,-67.9472315 -45.8831823,-67.94628753 -45.88560005,-67.9487872 -45.8868418,-67.9495382 -45.8874766,-67.9496884 -45.88726,-67.9485726 -45.886095,-67.9476714 -45.8855871,-67.94746568 -45.88694764,-67.948755 -45.886894,-67.9494202 -45.887484,-67.9503751 -45.8875587,-67.9509008 -45.8873571,-67.9508793 -45.8868716,-67.94972726 -45.88693813,-67.951051 -45.8868418,-67.9516089 -45.886207,-67.952832 -45.8866028,-67.95178221 -45.88666191,-67.957381 -45.8868268,-67.9566729 -45.8866327,-67.953701 -45.8868791,-67.9533148 -45.8869911,-67.9529393 -45.8866103,-67.95650174 -45.8868325,-67.9573059 -45.8868268,-67.956748 -45.8864908,-67.9563725 -45.8857215,-67.9556644 -45.8849971,-67.9546167 -45.88506443,-67.960428 -45.8852436,-67.9597843 -45.8853855,-67.9578102 -45.8852959,-67.9558897 -45.8849448,-67.95958113 -45.88533853,-67.9643977 -45.8867746,-67.9641402 -45.8867895,-67.9629064 -45.8855274,-67.9625845 -45.8842055,-67.9620588 -45.8840412,-67.9608893 -45.8848926,-67.96291589 -45.88644251,-67.9642582 -45.8866849,-67.9660714 -45.8869613,-67.9663503 -45.8865505,-67.9662859 -45.88549,-67.9665112 -45.8837798,-67.9671657 -45.8837275,-67.9670477 -45.8843548,-67.96615149 -45.88487087,-67.9689896 -45.8855572,-67.9684317 -45.8850942,-67.9680133 -45.8843399,-67.9672301 -45.8837872,-67.9670477 -45.8843548,-67.96828667 -45.88589528,-67.9702342 -45.8858709,-67.9697192 -45.8860352,-67.9691613 -45.8857589,-67.96952973 -45.8860392,-67.9752874 -45.8886341,-67.9738069 -45.8884922,-67.9698479 -45.8860651,-67.9702234 -45.8859307,-67.97417558 -45.88870119,-67.9753625 -45.8886192,-67.9764462 -45.8884623,-67.9771543 -45.8881561,-67.9769289 -45.888649,-67.97595558 -45.88889979,-67.9770148 -45.8886117,-67.9772186 -45.8879396,-67.9777443 -45.8870285,-67.97698555 -45.88678202,-67.98136 -45.8871704,-67.9796433 -45.8867148,-67.9789674 -45.8862518,-67.9784203 -45.8865057,-67.98086798 -45.88739413,-67.9825723 -45.8872002,-67.9846001 -45.8867148,-67.9850078 -45.8864385,-67.98442531 -45.88655141;-67.98442531 -45.88655141,-67.9825723 -45.8872002,-67.9846001 -45.8867148,-67.9850078 -45.8864385,-67.98086798 -45.88739413,-67.98136 -45.8871704,-67.9796433 -45.8867148,-67.9789674 -45.8862518,-67.9784203 -45.8865057,-67.97698555 -45.88678202,-67.9770148 -45.8886117,-67.9772186 -45.8879396,-67.9777443 -45.8870285,-67.97595558 -45.88889979,-67.9753625 -45.8886192,-67.9764462 -45.8884623,-67.9771543 -45.8881561,-67.9769289 -45.888649,-67.97417558 -45.88870119,-67.9752874 -45.8886341,-67.9738069 -45.8884922,-67.9698479 -45.8860651,-67.9702234 -45.8859307,-67.96952973 -45.8860392,-67.9702342 -45.8858709,-67.9697192 -45.8860352,-67.9691613 -45.8857589,-67.96828667 -45.88589528,-67.9689896 -45.8855572,-67.9684317 -45.8850942,-67.9680133 -45.8843399,-67.9672301 -45.8837872,-67.9670477 -45.8843548,-67.96615149 -45.88487087,-67.9642582 -45.8866849,-67.9660714 -45.8869613,-67.9663503 -45.8865505,-67.9662859 -45.88549,-67.9665112 -45.8837798,-67.9671657 -45.8837275,-67.9670477 -45.8843548,-67.96291589 -45.88644251,-67.9643977 -45.8867746,-67.9641402 -45.8867895,-67.9629064 -45.8855274,-67.9625845 -45.8842055,-67.9620588 -45.8840412,-67.9608893 -45.8848926,-67.95958113 -45.88533853,-67.960428 -45.8852436,-67.9597843 -45.8853855,-67.9578102 -45.8852959,-67.9558897 -45.8849448,-67.9546167 -45.88506443,-67.9573059 -45.8868268,-67.956748 -45.8864908,-67.9563725 -45.8857215,-67.9556644 -45.8849971,-67.95650174 -45.8868325,-67.957381 -45.8868268,-67.9566729 -45.8866327,-67.953701 -45.8868791,-67.9533148 -45.8869911,-67.9529393 -45.8866103,-67.95178221 -45.88666191,-67.951051 -45.8868418,-67.9516089 -45.886207,-67.952832 -45.8866028,-67.94972726 -45.88693813,-67.948755 -45.886894,-67.9494202 -45.887484,-67.9503751 -45.8875587,-67.9509008 -45.8873571,-67.9508793 -45.8868716,-67.94746568 -45.88694764,-67.9487872 -45.8868418,-67.9495382 -45.8874766,-67.9496884 -45.88726,-67.9485726 -45.886095,-67.9476714 -45.8855871,-67.94628753 -45.88560005,-67.9472744 -45.8852212,-67.9470921 -45.8844967,-67.9472423 -45.883959,-67.9472315 -45.8831823,-67.94607409 -45.88311995,-67.9472744 -45.8827118,-67.9475963 -45.8819051,-67.9476392 -45.8807475,-67.9472208 -45.8805159,-67.9459034 -45.88040255,-67.9468131 -45.8799931,-67.9464698 -45.8794927,-67.9443026 -45.8791491,-67.94258106 -45.87928487,-67.9433799 -45.8793582,-67.9425859 -45.8792462,-67.9414809 -45.8788951,-67.9399574 -45.8788802,-67.9395819 -45.8785889,-67.9398179 -45.8784246,-67.93938002 -45.87863178,,-67.93921257 -45.87804782,-67.9512119 -45.8788877,-67.952435 -45.8787607,-67.9518127 -45.8800454,-67.9474354 -45.8786785,-67.9441524 -45.8779764,-67.9427791 -45.8776328,-67.940805 -45.8776926,-67.94944114 -45.87896309,-67.9534543 -45.8773565,-67.9526925 -45.87711,-67.9530144 -45.8775731,-67.9524779 -45.878813,-67.9512334 -45.8789325,-67.95259842 -45.87763583,-67.9540229 -45.8774984,-67.9559112 -45.8773639,-67.9570377 -45.8767664,-67.9581749 -45.8755115,-67.9592478 -45.87404,-67.960149 -45.8733229,-67.961179 -45.8736441,-67.9631639 -45.8743836,-67.9648268 -45.8746973,-67.96414173 -45.87523514,-67.965728 -45.8759672,-67.9653203 -45.8753546,-67.96522239 -45.87643672;-67.96522239 -45.87643672,-67.965728 -45.8759672,-67.9653203 -45.8753546,-67.96414173 -45.87523514,-67.9540229 -45.8774984,-67.9559112 -45.8773639,-67.9570377 -45.8767664,-67.9581749 -45.8755115,-67.9592478 -45.87404,-67.960149 -45.8733229,-67.961179 -45.8736441,-67.9631639 -45.8743836,-67.9648268 -45.8746973,-67.95259842 -45.87763583,-67.9534543 -45.8773565,-67.9526925 -45.87711,-67.9530144 -45.8775731,-67.9524779 -45.878813,-67.9512334 -45.8789325,-67.94944114 -45.87896309,-67.9512119 -45.8788877,-67.952435 -45.8787607,-67.9518127 -45.8800454,-67.9474354 -45.8786785,-67.9441524 -45.8779764,-67.9427791 -45.8776328,-67.940805 -45.8776926,-67.93921257 -45.87804782,,-67.93938002 -45.87863178,-67.9364383 -45.8791566,-67.9368889 -45.8790371,-67.9370821 -45.878798,-67.939657 -45.8787906,-67.9398179 -45.8784246,-67.93512028 -45.8793768,-67.9308057 -45.8796645,-67.9309773 -45.8795823,-67.9308271 -45.8793582,-67.9319429 -45.8795524,-67.9332089 -45.8799333,-67.9339921 -45.8795524,-67.9349685 -45.8793358,-67.935698 -45.8793209,-67.92926139 -45.87980166,-67.9288745 -45.8790371,-67.9299796 -45.8786337,-67.9308271 -45.8793582,-67.9310632 -45.8796271,-67.9308057 -45.8796645,-67.92746283 -45.879252,-67.9288745 -45.8790371,-67.9299045 -45.8786188,-67.929765 -45.8784918,-67.9247224 -45.8798512,-67.9241753 -45.8796943,-67.92260289 -45.87981886,-67.9231775 -45.8798138,-67.9230273 -45.8801051,-67.9220295 -45.8802022,-67.9198301 -45.8807027,-67.9191542 -45.8814645,-67.9198301 -45.8813375,-67.91930941 -45.88137118,-67.9183173 -45.8833018,-67.9179525 -45.8832943,-67.9178452 -45.8829358,-67.9186606 -45.8819873,-67.9191113 -45.8815466,-67.9197979 -45.8813898,-67.91747464 -45.88372353,-67.9166651 -45.8823159,-67.9170835 -45.8822711,-67.9178345 -45.8833989,-67.9184783 -45.8832943,-67.91541483 -45.88231338,-67.911365 -45.8831076,-67.9142618 -45.8826968,-67.9159892 -45.8825026,-67.90970498 -45.88326091,-67.9076958 -45.8841084,-67.9082644 -45.8839366,-67.9093373 -45.8833167,-67.9103136 -45.8831972,-67.90591516 -45.88446218,,-67.90594775 -45.88423937,-67.9066443 -45.8844071,-67.9062474 -45.8852585,-67.908833 -45.885968,-67.9091012 -45.8864012,-67.90705336 -45.88840606,-67.9052818 -45.8875736,-67.90654780000001 -45.8882084,-67.9074919 -45.8882756,-67.90362098 -45.8874036,-67.9039729 -45.8871629,-67.9034686 -45.8869165,-67.9041123 -45.886192,-67.9042947 -45.8847656,-67.90316820000001 -45.883637900000004,-67.90293219 -45.8836944,-67.90316820000001 -45.883637900000004,-67.9026854 -45.8831823,-67.9021275 -45.8832794,-67.900722 -45.8842279,-67.9001105 -45.8851465,-67.8995955 -45.8843175,-67.89811074 -45.88424629,-67.896452 -45.8842129,-67.8972995 -45.8841607,-67.8987801 -45.8833839,-67.8993165 -45.8836304,-67.89478887 -45.88442779,-67.895658 -45.88465360000001,-67.8955078 -45.8872675,-67.89402720000001 -45.888186,-67.89313670000001 -45.8879097,-67.8935552 -45.8866999,-67.891624 -45.8850718,-67.88986813 -45.88509226,-67.8916669 -45.8851316,-67.891463 -45.8853332,-67.8890061 -45.8855946,-67.8886521 -45.8849672,-67.88725199 -45.88498287,-67.8877938 -45.885251,-67.8862166 -45.8849523,-67.88477851 -45.88530377,-67.8863347 -45.8849448,-67.8869569 -45.8849672,-67.8874826 -45.883847,-67.8903258 -45.883570600000006,-67.88934482 -45.88367092,-67.8808522 -45.8847432,-67.8831053 -45.8843548,-67.884897 -45.8834586,-67.8876114 -45.88378720000001,-67.8901434 -45.8835856,-67.87931365 -45.88515467,-67.8775477 -45.8859232,-67.87784810000001 -45.8854153,-67.8789425 -45.8862742,-67.879554 -45.8862667,-67.8829443 -45.8844743,-67.8806055 -45.8848253,-67.87597578 -45.88674947,,-67.87630061 -45.88642699,-67.8769255 -45.8868343,-67.8757453 -45.887708100000005,-67.87378622 -45.88828128,-67.8745329 -45.88833540000001,-67.8730309 -45.88891790000001,-67.87112696 -45.88890334;-67.87112696 -45.88890334,-67.8745329 -45.88833540000001,-67.8730309 -45.88891790000001,-67.87378622 -45.88828128,-67.8769255 -45.8868343,-67.8757453 -45.887708100000005,-67.87630061 -45.88642699,-67.8775907 -45.885744,-67.8778374 -45.8851241,-67.8766251 -45.8844594,-67.8767002 -45.8840561,-67.8758872 -45.88413516,-67.8738034 -45.8829806,-67.8739858 -45.8834512,-67.87655 -45.8844445,-67.8765929 -45.8840262,-67.87263059 -45.88283868,-67.8737283 -45.8829508,-67.8736854 -45.8833242,-67.8730094 -45.8829134,-67.8686643 -45.8830254,-67.86703039 -45.88312685,-67.8685462 -45.8831151,-67.869308 -45.8829582,-67.8708422 -45.883018,-67.8705847 -45.8839366,-67.8693122 -45.8842458,-67.8672695 -45.88491500000001,-67.867409 -45.8861099,-67.8680742 -45.8863339,-67.8686106 -45.8860875,-67.8688896 -45.8849822,-67.870338 -45.8842577,-67.86589689 -45.88477956,-67.86739830000002 -45.8868567,-67.8667223 -45.8862667,-67.8672802 -45.8848552,-67.86685323 -45.88712476,-67.8674626 -45.88708080000001,-67.866658 -45.886864200000005,-67.8658855 -45.887125600000005,-67.8670657 -45.8886864,-67.86520231 -45.88917465,-67.8652418 -45.8907101,-67.8656602 -45.890351700000004,-67.8659928 -45.88941820000001,-67.86328043 -45.89089136,-67.86183 -45.8907101,-67.8635895 -45.8906578,-67.85994544 -45.89074459,-67.8583002 -45.8906802,-67.8604245 -45.8905832,-67.85652652 -45.89043864,-67.8569698 -45.8905682,-67.8562617 -45.8905682,-67.8551674 -45.8886042,-67.8555107 -45.8875214,-67.8557789 -45.88838020000001,-67.85537987 -45.88855243,-67.8558648 -45.8883652,-67.8555107 -45.8875214,-67.8540516 -45.8893734,-67.85313424 -45.8900104;-67.85313424 -45.8900104,-67.8558648 -45.8883652,-67.8555107 -45.8875214,-67.8540516 -45.8893734,-67.85537987 -45.88855243,-67.8569698 -45.8905682,-67.8562617 -45.8905682,-67.8551674 -45.8886042,-67.8555107 -45.8875214,-67.8557789 -45.88838020000001,-67.85652652 -45.89043864,-67.8583002 -45.8906802,-67.8604245 -45.8905832,-67.85994544 -45.89074459,-67.86183 -45.8907101,-67.8635895 -45.8906578,-67.86328043 -45.89089136;-67.86328043 -45.89089136,-67.8652418 -45.8907101,-67.8656602 -45.890351700000004,-67.8659928 -45.88941820000001,-67.86520231 -45.88917465,-67.8674626 -45.88708080000001,-67.866658 -45.886864200000005,-67.8658855 -45.887125600000005,-67.8670657 -45.8886864,-67.86685323 -45.88712476,-67.86739830000002 -45.8868567,-67.8667223 -45.8862667,-67.8672802 -45.8848552,-67.86589689 -45.88477956,-67.8672695 -45.88491500000001,-67.867409 -45.8861099,-67.8680742 -45.8863339,-67.8686106 -45.8860875,-67.8688896 -45.8849822,-67.870338 -45.8842577,-67.8693122 -45.8842458,-67.8685462 -45.8831151,-67.869308 -45.8829582,-67.8708422 -45.883018,-67.8705847 -45.8839366,-67.86703039 -45.88312685,-67.8737283 -45.8829508,-67.8736854 -45.8833242,-67.8730094 -45.8829134,-67.8686643 -45.8830254,-67.87263059 -45.88283868,-67.8738034 -45.8829806,-67.8739858 -45.8834512,-67.87655 -45.8844445,-67.8765929 -45.8840262,-67.8758872 -45.88413516,-67.8775907 -45.885744,-67.8778374 -45.8851241,-67.8766251 -45.8844594,-67.8767002 -45.8840561,-67.87630061 -45.88642699,,-67.87597578 -45.88674947,-67.8775477 -45.8859232,-67.87784810000001 -45.8854153,-67.8789425 -45.8862742,-67.879554 -45.8862667,-67.8829443 -45.8844743,-67.8806055 -45.8848253,-67.87931365 -45.88515467,-67.8808522 -45.8847432,-67.8831053 -45.8843548,-67.884897 -45.8834586,-67.8876114 -45.88378720000001,-67.8901434 -45.8835856,-67.88934482 -45.88367092,-67.8863347 -45.8849448,-67.8869569 -45.8849672,-67.8874826 -45.883847,-67.8903258 -45.883570600000006,-67.88477851 -45.88530377,-67.8877938 -45.885251,-67.8862166 -45.8849523,-67.88725199 -45.88498287,-67.8916669 -45.8851316,-67.891463 -45.8853332,-67.8890061 -45.8855946,-67.8886521 -45.8849672,-67.88986813 -45.88509226,-67.895658 -45.88465360000001,-67.8955078 -45.8872675,-67.89402720000001 -45.888186,-67.89313670000001 -45.8879097,-67.8935552 -45.8866999,-67.891624 -45.8850718,-67.89478887 -45.88442779,-67.896452 -45.8842129,-67.8972995 -45.8841607,-67.8987801 -45.8833839,-67.8993165 -45.8836304,-67.89811074 -45.88424629,-67.90316820000001 -45.883637900000004,-67.9026854 -45.8831823,-67.9021275 -45.8832794,-67.900722 -45.8842279,-67.9001105 -45.8851465,-67.8995955 -45.8843175,-67.90293219 -45.8836944,-67.9039729 -45.8871629,-67.9034686 -45.8869165,-67.9041123 -45.886192,-67.9042947 -45.8847656,-67.90316820000001 -45.883637900000004,-67.90362098 -45.8874036,-67.9052818 -45.8875736,-67.90654780000001 -45.8882084,-67.9074919 -45.8882756,-67.90705336 -45.88840606,-67.9066443 -45.8844071,-67.9062474 -45.8852585,-67.908833 -45.885968,-67.9091012 -45.8864012,-67.90594775 -45.88423937,,-67.90591516 -45.88446218,-67.9076958 -45.8841084,-67.9082644 -45.8839366,-67.9093373 -45.8833167,-67.9103136 -45.8831972,-67.90970498 -45.88326091,-67.911365 -45.8831076,-67.9142618 -45.8826968,-67.9159892 -45.8825026,-67.91541483 -45.88231338,-67.9166651 -45.8823159,-67.9170835 -45.8822711,-67.9178345 -45.8833989,-67.9184783 -45.8832943,-67.91747464 -45.88372353,-67.9183173 -45.8833018,-67.9179525 -45.8832943,-67.9178452 -45.8829358,-67.9186606 -45.8819873,-67.9191113 -45.8815466,-67.9197979 -45.8813898,-67.91930941 -45.88137118,-67.9231775 -45.8798138,-67.9230273 -45.8801051,-67.9220295 -45.8802022,-67.9198301 -45.8807027,-67.9191542 -45.8814645,-67.9198301 -45.8813375,-67.92260289 -45.87981886,-67.9288745 -45.8790371,-67.9299045 -45.8786188,-67.929765 -45.8784918,-67.9247224 -45.8798512,-67.9241753 -45.8796943,-67.92746283 -45.879252,-67.9288745 -45.8790371,-67.9299796 -45.8786337,-67.9304302 -45.8776552,-67.9309022 -45.8766245,-67.9306126 -45.8766543,-67.92916705 -45.87686758,-67.9305589 -45.8765722,-67.9309773 -45.8765423,-67.9323184 -45.875011,-67.9336917 -45.8726132,-67.93292309 -45.87290945,-67.9337347 -45.872531,-67.9350007 -45.8704245,-67.9346895 -45.8701032,-67.933282 -45.87018527,-67.936492 -45.8696625,-67.9362881 -45.8694234,-67.9350436 -45.8703273,-67.9347003 -45.8699986,-67.93551008 -45.87004015,-67.9383588 -45.8674437,-67.9380584 -45.8682655,-67.9363847 -45.8693786,-67.9365671 -45.8696326,-67.9400271 -45.8665472</t>
  </si>
  <si>
    <t>-67.9400271 -45.8665472,-67.9383588 -45.8674437,-67.9380101 -45.8666929,-67.9392922 -45.8661064,-67.93822649 -45.86645361,,-67.93820898 -45.86621382,-67.939437 -45.8659907,-67.9410034 -45.8642985,-67.9397787 -45.86446671,-67.9413575 -45.8643508,-67.94191 -45.8638801,-67.9413092 -45.8637717,-67.94026881 -45.86394522,-67.9412395 -45.8636896,-67.94085860000001 -45.8628677,-67.94016816 -45.86304785,-67.9407513 -45.863103100000004,-67.9403973 -45.8622551,-67.93757020000001 -45.8636746,-67.93638614 -45.8639203,-67.9374468 -45.8637643,-67.93648120000002 -45.8648999,-67.93542287 -45.86514387,-67.9364544 -45.8650082,-67.9343033 -45.8651128,-67.93322311 -45.86539389,-67.934196 -45.8650755,-67.9339492 -45.8648887,-67.9318678 -45.8652174,-67.93025624 -45.86524613,-67.92887450000002 -45.8655984,-67.929647 -45.8660093,-67.9311919 -45.8652622,-67.92761571 -45.86576064,-67.9284239 -45.8655835,-67.9270077 -45.8655162,-67.92568273 -45.86555172,,-67.92617947 -45.86596757,-67.9266429 -45.8657927,-67.9259992 -45.8665696,-67.92478129 -45.86687146,-67.9258382 -45.86658460000001,-67.9220402 -45.8663903,-67.92069068 -45.86664171,-67.9224908 -45.8663306,-67.9191971 -45.8656582,-67.91774956 -45.8661538,-67.9187572 -45.8661064,-67.9176843 -45.8663679,-67.9172981 -45.8656657,-67.91575239 -45.86551598,-67.9164934 -45.8652398,-67.9147875 -45.8642536,-67.9133606 -45.865322,-67.9120409 -45.8651352,-67.91093971 -45.86527418,-67.9122448 -45.8649709,-67.911129 -45.8644105,-67.9103887 -45.8645226,-67.90917641 -45.86476613,-67.9100668 -45.8647318,-67.9098523 -45.8659197,-67.9103565 -45.8661513,-67.90947109 -45.86641003,-67.9100454 -45.8663754,-67.9094982 -45.8663306,-67.909627 -45.86429100000001,-67.90869072 -45.86438156;-67.90869072 -45.86438156,-67.9108179 -45.86391,-67.9094768 -45.8638353,-67.9077816 -45.8657329,-67.9066443 -45.8662484,-67.90565529 -45.8665856;-67.90565529 -45.8665856,-67.9108179 -45.86391,-67.9094768 -45.8638353,-67.9077816 -45.8657329,-67.9066443 -45.8662484,-67.90869072 -45.86438156,-67.9100454 -45.8663754,-67.9094982 -45.8663306,-67.909627 -45.86429100000001,-67.90947109 -45.86641003,-67.9100668 -45.8647318,-67.9098523 -45.8659197,-67.9103565 -45.8661513,-67.90917641 -45.86476613,-67.9122448 -45.8649709,-67.911129 -45.8644105,-67.9103887 -45.8645226,-67.91093971 -45.86527418,-67.9164934 -45.8652398,-67.9147875 -45.8642536,-67.9133606 -45.865322,-67.9120409 -45.8651352,-67.91575239 -45.86551598,-67.9187572 -45.8661064,-67.9176843 -45.8663679,-67.9172981 -45.8656657,-67.91774956 -45.8661538,-67.9224908 -45.8663306,-67.9191971 -45.8656582,-67.92069068 -45.86664171,-67.9258382 -45.86658460000001,-67.9220402 -45.8663903,-67.92478129 -45.86687146,-67.9266429 -45.8657927,-67.9259992 -45.8665696,-67.92617947 -45.86596757,,-67.92568273 -45.86555172,-67.9284239 -45.8655835,-67.9270077 -45.8655162,-67.92761571 -45.86576064,-67.92887450000002 -45.8655984,-67.929647 -45.8660093,-67.9311919 -45.8652622,-67.93025624 -45.86524613,-67.934196 -45.8650755,-67.9339492 -45.8648887,-67.9318678 -45.8652174,-67.93322311 -45.86539389,-67.9364544 -45.8650082,-67.9343033 -45.8651128,-67.93542287 -45.86514387,-67.9374468 -45.8637643,-67.93648120000002 -45.8648999,-67.93638614 -45.8639203,-67.9407513 -45.863103100000004,-67.9403973 -45.8622551,-67.93757020000001 -45.8636746,-67.94016816 -45.86304785,-67.9412395 -45.8636896,-67.94085860000001 -45.8628677,-67.94026881 -45.86394522,-67.9413575 -45.8643508,-67.94191 -45.8638801,-67.9413092 -45.8637717,-67.9397787 -45.86446671,-67.939437 -45.8659907,-67.9410034 -45.8642985,-67.93820898 -45.86621382,,-67.93822649 -45.86645361,-67.9383588 -45.8674437,-67.9380101 -45.8666929,-67.9392922 -45.8661064,-67.9400271 -45.8665472</t>
  </si>
  <si>
    <t>-67.9400271 -45.8665472,-67.9427254 -45.8635364,-67.9464859 -45.8623447,-67.9469097 -45.862016,-67.94569946 -45.86221924,-67.9469097 -45.8620944,-67.9481596 -45.8620048,-67.94727301 -45.86217176,-67.9483044 -45.861911400000004,-67.9473495 -45.8614183,-67.94655091 -45.86160389,-67.9479718 -45.8615453,-67.9493934 -45.8606973,-67.9489589 -45.8606599,-67.94780419 -45.86081977,-67.9549134 -45.858239,-67.9527032 -45.8590684,-67.9493666 -45.8607794,-67.9491198 -45.8606898,-67.9539623 -45.85805836,-67.9549778 -45.85820170000001,-67.9571986 -45.85672970000001,-67.9579175 -45.8564981,-67.9585719 -45.8567521,-67.95773843 -45.85672753,-67.9586148 -45.8568044,-67.9579926 -45.8564383,-67.9605138 -45.8553847,-67.9615545 -45.8546374,-67.963078 -45.8525451,-67.9633892 -45.8522836,-67.9675841 -45.8512224,-67.9699767 -45.8512598,-67.9700732 -45.8515064,-67.9697835 -45.8517381,-67.96836168 -45.85192469,-67.9697835 -45.8517381,-67.9700947 -45.8517082,-67.9702342 -45.8514018,-67.9710817 -45.8516335,-67.97135 -45.8516633,-67.97067338 -45.85178783,-67.9748797 -45.8534568,-67.9738176 -45.8522612,-67.9730666 -45.8517007,-67.9728305 -45.8516858,-67.9720902 -45.8515438,-67.97404757 -45.85313584,-67.9750836 -45.8543983,-67.9752016 -45.8534194,-67.97353981 -45.85482131,-67.9721439 -45.8564532,-67.9723585 -45.855833,-67.9728305 -45.8549363,-67.9739249 -45.8544805,-67.9741395 -45.8540023,-67.9740536 -45.853539,-67.9744184 -45.8538977,-67.9746437 -45.8541517,-67.9750943 -45.8540247,-67.9749548 -45.854488,-67.97079424 -45.85669528,-67.9716182 -45.8586425,-67.9730558 -45.8570659,-67.9720259 -45.8565877,-67.97062811 -45.85914674,-67.97135 -45.8605329,-67.9716933 -45.8600771,-67.9713929 -45.8591282,-67.96999638 -45.86075838,-67.9688287 -45.8612875,-67.9708672 -45.860772,-67.9674538 -45.86158535,-67.9682064 -45.8628939,-67.968421 -45.8615714,-67.96738506 -45.86316959;-67.96738506 -45.86316959,-67.9682064 -45.8628939,-67.968421 -45.8615714,-67.9674538 -45.86158535,-67.9688287 -45.8612875,-67.9708672 -45.860772,-67.96999638 -45.86075838,-67.97135 -45.8605329,-67.9716933 -45.8600771,-67.9713929 -45.8591282,-67.97062811 -45.85914674,-67.9716182 -45.8586425,-67.9730558 -45.8570659,-67.9720259 -45.8565877,-67.97079424 -45.85669528,-67.9721439 -45.8564532,-67.9723585 -45.855833,-67.9728305 -45.8549363,-67.9739249 -45.8544805,-67.9741395 -45.8540023,-67.9740536 -45.853539,-67.9744184 -45.8538977,-67.9746437 -45.8541517,-67.9750943 -45.8540247,-67.9749548 -45.854488,-67.97353981 -45.85482131,-67.9750836 -45.8543983,-67.9752016 -45.8534194,-67.97404757 -45.85313584,-67.9748797 -45.8534568,-67.9738176 -45.8522612,-67.9730666 -45.8517007,-67.9728305 -45.8516858,-67.9720902 -45.8515438,-67.97067338 -45.85178783,-67.9697835 -45.8517381,-67.9700947 -45.8517082,-67.9702342 -45.8514018,-67.9710817 -45.8516335,-67.97135 -45.8516633,-67.96836168 -45.85192469,-67.9586148 -45.8568044,-67.9579926 -45.8564383,-67.9605138 -45.8553847,-67.9615545 -45.8546374,-67.963078 -45.8525451,-67.9633892 -45.8522836,-67.9675841 -45.8512224,-67.9699767 -45.8512598,-67.9700732 -45.8515064,-67.9697835 -45.8517381,-67.95773843 -45.85672753,-67.9549778 -45.85820170000001,-67.9571986 -45.85672970000001,-67.9579175 -45.8564981,-67.9585719 -45.8567521,-67.9539623 -45.85805836,-67.9549134 -45.858239,-67.9527032 -45.8590684,-67.9493666 -45.8607794,-67.9491198 -45.8606898,-67.94780419 -45.86081977,-67.9494631 -45.8607197,-67.9496992 -45.8604582,-67.9489589 -45.8596363,-67.9496777 -45.8591282,-67.9500318 -45.8586351,-67.9503858 -45.8584632,-67.94942594 -45.85854239,-67.95038580000002 -45.8584109,-67.9492486 -45.8582839,-67.9486799 -45.8563934,-67.9455793 -45.8575815,-67.94451337 -45.85788474,-67.9455793 -45.8575815,-67.9449892 -45.8573947,-67.9450321 -45.8569464,-67.9437447 -45.8569987,-67.9429507 -45.8566475,-67.94127839 -45.85682198,-67.9418778 -45.8559601,-67.9390132 -45.8553324,-67.93784211 -45.85566073,-67.9390132 -45.8553324,-67.9377794 -45.8546898,-67.9357088 -45.8545104,-67.93449161 -45.85473418,-67.9352367 -45.8546599,-67.9346144 -45.8547794,-67.9340136 -45.8552128,-67.9328218 -45.85546946,-67.9338741 -45.8553324,-67.9329085 -45.85672970000001,-67.9318249 -45.8585902,-67.92996431 -45.85892348,-67.930795 -45.8589115,-67.9290783 -45.859442,-67.9272544 -45.8596288,-67.9275012 -45.8597558,-67.92650257 -45.85998033,-67.9274476 -45.8598455,-67.9277694 -45.8609139,-67.9253554 -45.8608542,-67.92472033 -45.86078317,-67.9253769 -45.8604208,-67.9236388 -45.8595317,-67.9233384 -45.8597857,-67.92204432 -45.86025045,-67.9235315 -45.8601219,-67.9222655 -45.8604731,-67.92116295 -45.86077528,-67.9219651 -45.8610335,-67.9157424 -45.8609887,-67.91412974 -45.86109479,-67.9153347 -45.8605702,-67.9157317 -45.8599725,-67.9146159 -45.859457,-67.91347499 -45.85938782,-67.9145408 -45.8594047,-67.9124916 -45.858777,-67.9112792 -45.8592776,-67.91058213 -45.85962973,-67.9112792 -45.8592776,-67.9102921 -45.8588293,-67.9105067 -45.8586425,-67.90964669 -45.85881191,-67.9102653 -45.8586986,-67.9081625 -45.8581195,-67.90707943 -45.8582017,-67.90773330000002 -45.8580522,-67.9073417 -45.8579177,-67.9068965 -45.8568567,-67.9053408 -45.8563822,-67.90400196 -45.85653031,-67.904284 -45.8564084,-67.9033184 -45.8552726,-67.9019022 -45.8551232,-67.90067511 -45.8549717,,-67.90022567 -45.85540767,-67.9008508 -45.8548093,-67.8990161 -45.8545403,-67.898823 -45.8538678,-67.8965485 -45.8545553,-67.89483427 -45.85484841,-67.887429 -45.855564,-67.8894138 -45.853808,-67.8932333 -45.8533447,-67.8969455 -45.8545851,-67.8963768 -45.8546599,-67.88581092 -45.85597227,-67.887429 -45.855564,-67.8882551 -45.8548691,-67.8894138 -45.853808,-67.8920853 -45.8535689,-67.8916454 -45.8538678,-67.8897357 -45.85395,-67.88910 -45.85436,-67.8875685 -45.8562589,-67.885799 -45.8571033,-67.88544 -45.8578281,-67.88523 -45.85794,-67.88402968 -45.85834964,-67.8814316 -45.8592926,-67.8808415 -45.8591357,-67.880863 -45.8587322,-67.8817642 -45.858239,-67.8850043 -45.8580522,-67.88077392 -45.85953999,-67.8790283 -45.8588293,-67.880466 -45.8587397,-67.8813028 -45.8593598,-67.87771797 -45.85914466,-67.875917 -45.8590236,-67.8765607 -45.8587098,-67.8784597 -45.8588443,-67.87446619 -45.85953534,-67.8758311 -45.8590012,-67.8755307 -45.858777,-67.8718829 -45.8588144,-67.8721619 -45.8576637,-67.8733528 -45.857462,-67.8739536 -45.8579028,-67.87227986 -45.85836679,-67.8721619 -45.8576637,-67.8734279 -45.8573798,-67.8740823 -45.8579103,-67.87029294 -45.85782787,-67.8694689 -45.8577534,-67.8703272 -45.8578879,-67.8705525 -45.8574694,-67.8710139 -45.8575441,-67.86752908 -45.85773082,-67.8666365 -45.8577982,-67.8680527 -45.857716,-67.86509618 -45.85797591,-67.8655958 -45.85783560000001,-67.8642118 -45.8570435,-67.86269634 -45.8576934,-67.8630531 -45.8577608,-67.8618944 -45.8580074,-67.86119926 -45.8582863,-67.8617334 -45.8580597,-67.8595233 -45.8583362,-67.85800456 -45.85865306,-67.8585362 -45.8586425,-67.8567231 -45.8591431,-67.8550386 -45.8605852,-67.85325633 -45.86047853,-67.8547168 -45.8600622,-67.8545237 -45.8589862,-67.8537083 -45.858508,-67.852335 -45.8585529,-67.85051371 -45.8587379,-67.8511226 -45.8587172,-67.8489661 -45.8581942,-67.8504252 -45.8565952,-67.84992667 -45.85649082,-67.851541 -45.8561394,-67.8511119 -45.8555416,-67.8497386 -45.8553249,-67.8490841 -45.8555341,-67.84737753 -45.85568862,-67.8480864 -45.8556163,-67.846477 -45.8561992,-67.8452325 -45.8556537,-67.84359994 -45.85582912,-67.8438914 -45.8557508,-67.8414237 -45.8563262,-67.8377545 -45.8563187,-67.83653581 -45.85644197,-67.8371108 -45.8561767,-67.8326368 -45.8556313,-67.83154193 -45.85548135,-67.8319716 -45.855437,-67.8292787 -45.855108200000004,-67.82760578 -45.8552439,-67.8277767 -45.8550036,-67.8251696 -45.8547271,-67.824676 -45.8544207,-67.82322995 -45.85451391,-67.8244078 -45.8540994,-67.8225088 -45.8518801,-67.82163737 -45.8516816,-67.8223801 -45.8515886,-67.8209639 -45.8504751,-67.8196657 -45.8504079,-67.81800483 -45.85079524,-67.8185713 -45.8505798,-67.816962 -45.851073,-67.8161895 -45.8523658,-67.81497943 -45.85259887,-67.816329 -45.8519921,-67.8167796 -45.8511701,-67.8158462 -45.8513121,-67.8150415 -45.8533148,-67.8138399 -45.8541293,-67.81217316 -45.85421245,-67.809999 -45.85395,-67.81053540000002 -45.8542265,-67.8125417 -45.8543386,-67.80813131 -45.85419968,-67.8064048 -45.853539,-67.8089046 -45.854361,-67.8103852 -45.8542265,-67.8098702 -45.8539126,-67.80441533 -45.8533642,-67.805289 -45.8529487,-67.8034651 -45.8522612,-67.8028214 -45.85306820000001,-67.8021669 -45.8529711,-67.80053473 -45.85338776;-67.80053473 -45.85338776,-67.805289 -45.8529487,-67.8034651 -45.8522612,-67.8028214 -45.85306820000001,-67.8021669 -45.8529711,-67.80441533 -45.8533642,-67.8067052 -45.8553548,-67.8072202 -45.8551381,-67.8064048 -45.853539,-67.80486959 -45.85565241,-67.807982 -45.8550559,-67.8067052 -45.8553548,-67.8072436 -45.85498762,-67.8098595 -45.8560647,-67.809999 -45.8550036,-67.8090441 -45.8548691,-67.80907829 -45.8565264,-67.8125632 -45.8568492,-67.810396 -45.8571033,-67.8101599 -45.8566923,-67.81224182 -45.85671416,-67.8138077 -45.8564532,-67.814548 -45.8566699,-67.813561 -45.8597484,-67.8137219 -45.8605777,-67.81282229 -45.86107452,-67.8186142 -45.8634617,-67.8183568 -45.8624605,-67.8160179 -45.8615565,-67.8143764 -45.8610559,-67.81720169 -45.86444747,-67.8182173 -45.868004,-67.8160286 -45.8663455,-67.8181314 -45.8648065,-67.8182173 -45.864545,-67.81633269 -45.86814359,-67.819097 -45.8668461,-67.8186357 -45.8670552,-67.8192151 -45.868385,-67.81829240000002 -45.8680713,-67.8187144 -45.86699435,-67.8260922 -45.8716048,-67.8258884 -45.8718886,-67.8219509 -45.871657,-67.8194082 -45.8687287,-67.8185391 -45.8670926,-67.8190756 -45.8667788,-67.82435527 -45.87146335;-67.82435527 -45.87146335,-67.8326046 -45.8712686,-67.8287637 -45.8718438,-67.8266931 -45.8718811,-67.8259957 -45.8715076,-67.83204724 -45.87132308,-67.8347504 -45.8724041,-67.8345788 -45.8717915,-67.8335381 -45.8712686,-67.8339131 -45.87269245,-67.8368962 -45.8743761,-67.8363168 -45.8740101,-67.8365743 -45.8734723,-67.8358126 -45.8726879,-67.8366923 -45.875026,-67.8362739 -45.8749812,-67.8353405 -45.875362100000004,-67.8336787 -45.87548722,-67.8340852 -45.8751231,-67.8342354 -45.8742566,-67.8322077 -45.8732855,-67.8288817 -45.8737262,-67.82716871 -45.873948,-67.821511 -45.878081,-67.8234959 -45.8768037,-67.8260922 -45.8734274,-67.8288066 -45.8736889,-67.82018891 -45.8787842,-67.826339 -45.88047110000001,-67.8268754 -45.8811284,-67.8273153 -45.8802321,-67.8244936 -45.8781408,-67.8228843 -45.8780212,-67.8223586 -45.8783947,-67.8233027 -45.8768411,-67.8215861 -45.8781258,-67.82495492 -45.88019856;-67.82495492 -45.88019856,-67.826339 -45.88047110000001,-67.8268754 -45.8811284,-67.8273153 -45.8802321,-67.8244936 -45.8781408,-67.8228843 -45.8780212,-67.8223586 -45.8783947,-67.8233027 -45.8768411,-67.8215861 -45.8781258,-67.82018891 -45.8787842,-67.821511 -45.878081,-67.8234959 -45.8768037,-67.8260922 -45.8734274,-67.8288066 -45.8736889,-67.82716871 -45.873948,-67.8340852 -45.8751231,-67.8342354 -45.8742566,-67.8322077 -45.8732855,-67.8288817 -45.8737262,-67.8336787 -45.87548722,-67.8362739 -45.8749812,-67.8353405 -45.875362100000004,-67.8366923 -45.875026,-67.8368962 -45.8743761,-67.8363168 -45.8740101,-67.8365743 -45.8734723,-67.8358126 -45.8726879,-67.8339131 -45.87269245,-67.8347504 -45.8724041,-67.8345788 -45.8717915,-67.8335381 -45.8712686,-67.83204724 -45.87132308,-67.8363276 -45.8710445,-67.8348899 -45.87091,-67.8336024 -45.8710221,-67.83598551 -45.8713908,-67.8404045 -45.871440400000004,-67.8396642 -45.8713657,-67.8393745 -45.8705216,-67.8371751 -45.8699314,-67.8344822 -45.8697969,-67.8345251 -45.8700584,-67.8363597 -45.8707606,-67.83999726 -45.87142467,-67.8403401 -45.8715002,-67.8396213 -45.8713059,-67.8401256 -45.8706859,-67.8424323 -45.8705216,-67.8432369 -45.8702153,-67.84266503 -45.8702826,-67.8433174 -45.8702414,-67.8424054 -45.8705701,-67.8442401 -45.8712014,-67.8457582 -45.8705029,-67.8468794 -45.8714778,-67.8465736 -45.871657000000006,-67.8464073 -45.8713396,-67.84458226 -45.87132178,-67.8464448 -45.8713396,-67.8465736 -45.871657000000006,-67.84484620000002 -45.8726692,-67.84336962 -45.87289033,-67.8489339 -45.8731324,-67.8501302 -45.8733565,-67.8485316 -45.8736739,-67.8459191 -45.8729942,-67.84549 -45.8723406,-67.8449106 -45.8726842,-67.84711722 -45.87310355,-67.84873010000001 -45.87312860000001,-67.8543305 -45.8741595,-67.857635 -45.8744807,-67.857019 -45.87438052,-67.857635 -45.8744807,-67.8541696 -45.874152,-67.8588581 -45.8727103,-67.8593409 -45.8716048,-67.85882935 -45.87179542,-67.8593409 -45.8716048,-67.85971640000001 -45.8705365,-67.8614008 -45.870529,-67.861948 -45.8698268,-67.8630531 -45.8694832,-67.86235431 -45.86962035,-67.8639972 -45.8691171,-67.8657031 -45.8680713,-67.86498939 -45.86808329,-67.8668189 -45.8667639,-67.8664005 -45.866988,-67.8663254 -45.8676305,-67.86635342 -45.86702056,-67.8668725 -45.8688706,-67.8667974 -45.868646500000004,-67.8676665 -45.8677127,-67.867012 -45.86727940000001,-67.86653014 -45.86909111,-67.8665292 -45.8705589,-67.866143 -45.8710594,-67.8657889 -45.8704767,-67.8668725 -45.8688706,-67.86552841 -45.87071955,-67.8665292 -45.8704394,-67.8664756 -45.8701107,-67.8674197 -45.8697073,-67.8698659 -45.8700883,-67.8700376 -45.8699389,-67.8700268 -45.8692964,-67.86891343 -45.86940172,-67.8699839 -45.8693413,-67.8700376 -45.8699389,-67.8703916 -45.8701929,-67.8709173 -45.8699239,-67.8707349 -45.8692815,-67.8712177 -45.8686166,-67.8731596 -45.8681236,-67.8729107 -45.86822856,-67.8735942 -45.8680488,-67.8724301 -45.8682281,-67.8724086 -45.8686689,-67.8764427 -45.8695952,-67.87545792 -45.87007243,-67.8773439 -45.8681385,-67.878288 -45.8679816,-67.8767216 -45.8696102,-67.87529512 -45.86884053,-67.8773224 -45.8682132,-67.8784168 -45.867951700000006,-67.8792751 -45.866988,-67.87841593 -45.86693979,-67.8794253 -45.8652025,-67.8813779 -45.8643508,-67.8805947 -45.8648065,-67.8801227 -45.8652622,-67.8801119 -45.8658151,-67.8798544 -45.8661513,-67.87816911 -45.86559299,-67.8800154 -45.8627071,-67.880863 -45.8635887,-67.8814101 -45.8638502,-67.881496 -45.8643508,-67.8795862 -45.8651352,-67.87889297 -45.8626014,-67.8809917 -45.8619301,-67.8822792 -45.8616611,-67.8835666 -45.8617507,-67.8845859 -45.8612277,-67.8843284 -45.8612427,-67.88286864 -45.86153258,-67.8855836 -45.8605329,-67.8847253 -45.8611754,-67.8843284 -45.8612427,-67.88485253 -45.86038085,-67.8862917 -45.8600846,-67.8869355 -45.8600547,-67.8873861 -45.8596438,-67.8876221 -45.8588667,-67.8886843 -45.8579999,-67.8905296 -45.8572453,-67.8915596 -45.8569165,-67.8910661 -45.8570435,-67.89119881 -45.85678635,-67.8960952 -45.8598436,-67.8959692 -45.8585678,-67.8961945 -45.8583138,-67.8955936 -45.8581419,-67.8949177 -45.8572976,-67.8950787 -45.8562589,-67.894907 -45.8558629,-67.8937376 -45.8558928,-67.8932869 -45.8566101,-67.8928149 -45.8568492,-67.8926003 -45.8566998,-67.89506126 -45.86022417,-67.8961086 -45.8601668,-67.8949714 -45.8618927,-67.89369378 -45.862107,-67.8961945 -45.8632674,-67.8952932 -45.8629985,-67.8948426 -45.8620347,-67.8946526 -45.86372426,-67.8962696 -45.8632899,-67.8974175 -45.8625203,-67.8984583 -45.8622177,-67.89779792 -45.86312838,,-67.8975525 -45.86346654,-67.8993487 -45.8636634,-67.8988981 -45.8636933,-67.89861920000001 -45.8635215,-67.89867893 -45.86374335,-67.9039943 -45.8644255,-67.9028034 -45.8637381,-67.8999174 -45.8635812,-67.90314798 -45.8648888,-67.906419 -45.86626330000001,-67.9050887 -45.8652025,-67.9043591 -45.864814,-67.90565529 -45.8665856,-67.9044342 -45.868273,-67.9057431 -45.8668087,-67.9061723 -45.8665771,-67.90323768 -45.86872225;-67.90323768 -45.86872225,-67.9044342 -45.868273,-67.9057431 -45.8668087,-67.9061723 -45.8665771,-67.90565529 -45.8665856,-67.9108179 -45.86391,-67.9094768 -45.8638353,-67.9077816 -45.8657329,-67.9066443 -45.8662484,-67.90869072 -45.86438156,-67.9100454 -45.8663754,-67.9094982 -45.8663306,-67.909627 -45.86429100000001,-67.90947109 -45.86641003,-67.9100668 -45.8647318,-67.9098523 -45.8659197,-67.9103565 -45.8661513,-67.90917641 -45.86476613,-67.9122448 -45.8649709,-67.911129 -45.8644105,-67.9103887 -45.8645226,-67.91093971 -45.86527418,-67.9164934 -45.8652398,-67.9147875 -45.8642536,-67.9133606 -45.865322,-67.9120409 -45.8651352,-67.91575239 -45.86551598,-67.9187572 -45.8661064,-67.9176843 -45.8663679,-67.9172981 -45.8656657,-67.91774956 -45.8661538,-67.9224908 -45.8663306,-67.9191971 -45.8656582,-67.92069068 -45.86664171,-67.9258382 -45.86658460000001,-67.9220402 -45.8663903,-67.92478129 -45.86687146,-67.9266429 -45.8657927,-67.9259992 -45.8665696,-67.92617947 -45.86596757,,-67.92568273 -45.86555172,-67.9284239 -45.8655835,-67.9270077 -45.8655162,-67.92761571 -45.86576064,-67.92887450000002 -45.8655984,-67.929647 -45.8660093,-67.9311919 -45.8652622,-67.93025624 -45.86524613,-67.934196 -45.8650755,-67.9339492 -45.8648887,-67.9318678 -45.8652174,-67.93322311 -45.86539389,-67.9364544 -45.8650082,-67.9343033 -45.8651128,-67.93542287 -45.86514387,-67.9374468 -45.8637643,-67.93648120000002 -45.8648999,-67.93638614 -45.8639203,-67.9407513 -45.863103100000004,-67.9403973 -45.8622551,-67.93757020000001 -45.8636746,-67.94016816 -45.86304785,-67.9412395 -45.8636896,-67.94085860000001 -45.8628677,-67.94026881 -45.86394522,-67.9413575 -45.8643508,-67.94191 -45.8638801,-67.9413092 -45.8637717,-67.9397787 -45.86446671,-67.939437 -45.8659907,-67.9410034 -45.8642985,-67.93820898 -45.86621382,,-67.93822649 -45.86645361,-67.9383588 -45.8674437,-67.9380101 -45.8666929,-67.9392922 -45.8661064,-67.9400271 -45.8665472</t>
  </si>
  <si>
    <t>-67.9400271 -45.8665472,-67.9383588 -45.8674437,-67.9380584 -45.8682655,-67.9363847 -45.8693786,-67.9365671 -45.8696326,-67.93551008 -45.87004015,-67.936492 -45.8696625,-67.9362881 -45.8694234,-67.9350436 -45.8703273,-67.9347003 -45.8699986,-67.933282 -45.87018527,-67.9337347 -45.872531,-67.9350007 -45.8704245,-67.9346895 -45.8701032,-67.93292309 -45.87290945,-67.9305589 -45.8765722,-67.9309773 -45.8765423,-67.9323184 -45.875011,-67.9336917 -45.8726132,-67.92916705 -45.87686758,-67.9288745 -45.8790371,-67.9299796 -45.8786337,-67.9304302 -45.8776552,-67.9309022 -45.8766245,-67.9306126 -45.8766543,-67.92746283 -45.879252,-67.9288745 -45.8790371,-67.9299045 -45.8786188,-67.929765 -45.8784918,-67.9247224 -45.8798512,-67.9241753 -45.8796943,-67.92260289 -45.87981886,-67.9231775 -45.8798138,-67.9230273 -45.8801051,-67.9220295 -45.8802022,-67.9198301 -45.8807027,-67.9191542 -45.8814645,-67.9198301 -45.8813375,-67.91930941 -45.88137118,-67.9183173 -45.8833018,-67.9179525 -45.8832943,-67.9178452 -45.8829358,-67.9186606 -45.8819873,-67.9191113 -45.8815466,-67.9197979 -45.8813898,-67.91747464 -45.88372353,-67.9166651 -45.8823159,-67.9170835 -45.8822711,-67.9178345 -45.8833989,-67.9184783 -45.8832943,-67.91541483 -45.88231338,-67.911365 -45.8831076,-67.9142618 -45.8826968,-67.9159892 -45.8825026,-67.90970498 -45.88326091,-67.9076958 -45.8841084,-67.9082644 -45.8839366,-67.9093373 -45.8833167,-67.9103136 -45.8831972,-67.90591516 -45.88446218,,-67.90594775 -45.88423937,-67.9066443 -45.8844071,-67.9062474 -45.8852585,-67.908833 -45.885968,-67.9091012 -45.8864012,-67.90705336 -45.88840606,-67.9052818 -45.8875736,-67.90654780000001 -45.8882084,-67.9074919 -45.8882756,-67.90362098 -45.8874036,-67.9022241 -45.8892913,-67.9030609 -45.889239,-67.9032218 -45.8889477,-67.9028785 -45.8877678,-67.9034686 -45.8869165,-67.9039729 -45.8871629,-67.90098858 -45.88903898,-67.9052174 -45.8898887,-67.9046273 -45.8890523,-67.9033613 -45.8891643,-67.9021382 -45.8893659,-67.90475618 -45.89004619,-67.908082 -45.8906056,-67.9061723 -45.8899111,-67.90753763 -45.89070583,-67.9088008 -45.8909117,-67.9101098 -45.8913822,-67.9100025 -45.891763,-67.9117191 -45.8917406,-67.9115689 -45.8913971,-67.911129 -45.8908445,-67.9124701 -45.8893286,-67.9118619 -45.88916575;-67.9118619 -45.88916575,-67.9088008 -45.8909117,-67.9101098 -45.8913822,-67.9100025 -45.891763,-67.9117191 -45.8917406,-67.9115689 -45.8913971,-67.911129 -45.8908445,-67.9124701 -45.8893286,-67.90753763 -45.89070583,-67.908082 -45.8906056,-67.9061723 -45.8899111,-67.90475618 -45.89004619,-67.9052174 -45.8898887,-67.9046273 -45.8890523,-67.9033613 -45.8891643,-67.9021382 -45.8893659,-67.90098858 -45.88903898,-67.9020846 -45.8894257,-67.9013014 -45.8899484,-67.8996277 -45.8906877,-67.899971 -45.8910611,-67.9025245 -45.8912403,-67.90201018 -45.89143448,-67.88692 -45.8969,-67.88699 -45.8967,-67.88813 -45.89656,-67.89097 -45.89695,-67.89245 -45.89689,-67.89426 -45.89522,-67.895143 -45.89461,-67.8961408 -45.8936821,-67.9025245 -45.8916958,-67.905325 -45.89145,-67.90461 -45.89114,-67.90381 -45.89112,-67.88552167 -45.89738087,-67.8830731 -45.8952726,-67.8847253 -45.8956385,-67.8855407 -45.8952726,-67.8875041 -45.895855,-67.8877079 -45.8965569,-67.8870857 -45.8966764,-67.8869247 -45.8969004,-67.88155956 -45.89544783;-67.88155956 -45.89544783,-67.8830731 -45.8952726,-67.8847253 -45.8956385,-67.8855407 -45.8952726,-67.8875041 -45.895855,-67.8877079 -45.8965569,-67.8870857 -45.8966764,-67.8869247 -45.8969004,-67.88552167 -45.89738087,-67.88692 -45.8969,-67.88699 -45.8967,-67.88813 -45.89656,-67.89097 -45.89695,-67.89245 -45.89689,-67.89426 -45.89522,-67.895143 -45.89461,-67.8961408 -45.8936821,-67.9025245 -45.8916958,-67.905325 -45.89145,-67.90461 -45.89114,-67.90381 -45.89112,-67.90201018 -45.89143448,-67.9020846 -45.8894257,-67.9013014 -45.8899484,-67.8996277 -45.8906877,-67.899971 -45.8910611,-67.9025245 -45.8912403,-67.90098858 -45.88903898,-67.9022241 -45.8892913,-67.9030609 -45.889239,-67.9032218 -45.8889477,-67.9028785 -45.8877678,-67.9034686 -45.8869165,-67.9039729 -45.8871629,-67.90362098 -45.8874036,-67.9039729 -45.8871629,-67.9034686 -45.8869165,-67.9041123 -45.886192,-67.9042947 -45.8847656,-67.90316820000001 -45.883637900000004,-67.90293219 -45.8836944,-67.90316820000001 -45.883637900000004,-67.9026854 -45.8831823,-67.9021275 -45.8832794,-67.900722 -45.8842279,-67.9001105 -45.8851465,-67.8995955 -45.8843175,-67.89811074 -45.88424629,-67.896452 -45.8842129,-67.8972995 -45.8841607,-67.8987801 -45.8833839,-67.8993165 -45.8836304,-67.89478887 -45.88442779,-67.895658 -45.88465360000001,-67.8955078 -45.8872675,-67.89402720000001 -45.888186,-67.89313670000001 -45.8879097,-67.8935552 -45.8866999,-67.891624 -45.8850718,-67.88986813 -45.88509226,-67.8916669 -45.8851316,-67.891463 -45.8853332,-67.8890061 -45.8855946,-67.8886521 -45.8849672,-67.88725199 -45.88498287,-67.8877938 -45.885251,-67.8862166 -45.8849523,-67.88477851 -45.88530377,-67.8863347 -45.8849448,-67.8869569 -45.8849672,-67.8874826 -45.883847,-67.8903258 -45.883570600000006,-67.88934482 -45.88367092,-67.8808522 -45.8847432,-67.8831053 -45.8843548,-67.884897 -45.8834586,-67.8876114 -45.88378720000001,-67.8901434 -45.8835856,-67.87931365 -45.88515467,-67.8775477 -45.8859232,-67.87784810000001 -45.8854153,-67.8789425 -45.8862742,-67.879554 -45.8862667,-67.8829443 -45.8844743,-67.8806055 -45.8848253,-67.87597578 -45.88674947,,-67.87630061 -45.88642699,-67.8775907 -45.885744,-67.8778374 -45.8851241,-67.8766251 -45.8844594,-67.8767002 -45.8840561,-67.8758872 -45.88413516,-67.8738034 -45.8829806,-67.8739858 -45.8834512,-67.87655 -45.8844445,-67.8765929 -45.8840262,-67.87263059 -45.88283868,-67.8737283 -45.8829508,-67.8736854 -45.8833242,-67.8730094 -45.8829134,-67.8686643 -45.8830254,-67.86703039 -45.88312685,-67.8685462 -45.8831151,-67.8700483 -45.8829059,-67.8648233 -45.8818603,-67.8628063 -45.8810537,-67.8621304 -45.8814645,-67.86071597 -45.88116865,-67.8622806 -45.8814346,-67.8628922 -45.8810985,-67.8613365 -45.8799035,-67.8605962 -45.879896,-67.85926992 -45.88036306,-67.8608537 -45.8799333,-67.8613579 -45.8799707,-67.8611863 -45.8784545,-67.86092880000001 -45.8783424,-67.859516 -45.87831444,-67.8573883 -45.8816587,-67.8575063 -45.8811433,-67.8592443 -45.8804114,-67.8593087 -45.8795599,-67.8584397 -45.8786113,-67.8589547 -45.8770502,-67.8599954 -45.87787190000001,-67.85651325 -45.88220843,-67.8574526 -45.8818977,-67.8570664 -45.8807624,-67.8556824 -45.8812367,-67.8564656 -45.8801798,-67.855851 -45.88011934,-67.8564656 -45.8801798,-67.855736 -45.8808595,-67.8561974 -45.8788727,-67.8546631 -45.8788802,-67.85276267 -45.87922955,-67.8534776 -45.8786225,-67.852689 -45.8781818,-67.8508437 -45.8775395,-67.84953817 -45.87734102,-67.8503072 -45.877095,-67.8495133 -45.8766394,-67.8481615 -45.87637800000001,-67.84644226 -45.87649326,-67.847904 -45.8759074,-67.8490949 -45.8742491,-67.8510368 -45.8734349,-67.8488266 -45.8731585,-67.84711722 -45.87310355,-67.8489339 -45.8731324,-67.8501302 -45.8733565,-67.8485316 -45.8736739,-67.8459191 -45.8729942,-67.84549 -45.8723406,-67.8449106 -45.8726842,-67.84336962 -45.87289033,-67.8464448 -45.8713396,-67.8465736 -45.871657000000006,-67.84484620000002 -45.8726692,-67.84458226 -45.87132178,-67.8433174 -45.8702414,-67.8424054 -45.8705701,-67.8442401 -45.8712014,-67.8457582 -45.8705029,-67.8468794 -45.8714778,-67.8465736 -45.871657000000006,-67.8464073 -45.8713396,-67.84266503 -45.8702826,-67.8403401 -45.8715002,-67.8396213 -45.8713059,-67.8401256 -45.8706859,-67.8424323 -45.8705216,-67.8432369 -45.8702153,-67.83999726 -45.87142467,-67.8404045 -45.871440400000004,-67.8396642 -45.8713657,-67.8393745 -45.8705216,-67.8371751 -45.8699314,-67.8344822 -45.8697969,-67.8345251 -45.8700584,-67.8363597 -45.8707606,-67.83598551 -45.8713908,-67.8363276 -45.8710445,-67.8348899 -45.87091,-67.8336024 -45.8710221,-67.83204724 -45.87132308,-67.8347504 -45.8724041,-67.8345788 -45.8717915,-67.8335381 -45.8712686,-67.8339131 -45.87269245,-67.8368962 -45.8743761,-67.8363168 -45.8740101,-67.8365743 -45.8734723,-67.8358126 -45.8726879,-67.8366923 -45.875026,-67.8369284 -45.8751679,-67.8384304 -45.875317300000006,-67.83709911 -45.87528907,-67.8404582 -45.876744,-67.8387737 -45.8754144,-67.83972408 -45.87683377,-67.8388381 -45.8793059,-67.8380656 -45.8795375,-67.8406405 -45.8772519,-67.8405118 -45.8769083,-67.8383257 -45.87925524,-67.8388596 -45.8793582,-67.8365421 -45.8801649,-67.8342998 -45.88042630000001,-67.8343749 -45.8798736,-67.83402097 -45.87975218,-67.8357589 -45.8794553,-67.8374755 -45.877700100000006,-67.8373468 -45.8775656,-67.83580083 -45.87760123,-67.83642410000002 -45.8773117,-67.8357589 -45.877349,-67.8347933 -45.8779316,-67.83319238 -45.87800268,-67.8334415 -45.8779241,-67.8319824 -45.877588,-67.83004564 -45.87782593;-67.83004564 -45.87782593,-67.8308344 -45.8797018,-67.8306949 -45.8790819,-67.8334415 -45.8781258,-67.8319824 -45.877588,-67.83022822 -45.88021021,-67.8282809 -45.8789624,-67.8289354 -45.8793806,-67.83077000000002 -45.8797541,-67.82657673 -45.87879537,-67.8270793 -45.8784321,-67.8256309 -45.8782005,-67.8233027 -45.8768411,-67.821511 -45.878081,-67.82018891 -45.8787842,-67.826339 -45.88047110000001,-67.8268754 -45.8811284,-67.8273153 -45.8802321,-67.8244936 -45.8781408,-67.8228843 -45.8780212,-67.8223586 -45.8783947,-67.8233027 -45.8768411,-67.8215861 -45.8781258,-67.82495492 -45.88019856,-67.8244615 -45.8810313,-67.8250515 -45.8799259,-67.8256953 -45.8798288,-67.82277878 -45.88156147;-67.82277878 -45.88156147,-67.8244615 -45.8810313,-67.8250515 -45.8799259,-67.8256953 -45.8798288,-67.82495492 -45.88019856,-67.826339 -45.88047110000001,-67.8268754 -45.8811284,-67.8273153 -45.8802321,-67.8244936 -45.8781408,-67.8228843 -45.8780212,-67.8223586 -45.8783947,-67.8233027 -45.8768411,-67.8215861 -45.8781258,-67.82018891 -45.8787842,-67.821511 -45.878081,-67.8234959 -45.8768037,-67.8260922 -45.8734274,-67.8288066 -45.8736889,-67.82716871 -45.873948,-67.8340852 -45.8751231,-67.8342354 -45.8742566,-67.8322077 -45.8732855,-67.8288817 -45.8737262,-67.8336787 -45.87548722,-67.8362739 -45.8749812,-67.8353405 -45.875362100000004,-67.8366923 -45.875026,-67.835952 -45.87464500000001,-67.8341711 -45.8731585,-67.8321648 -45.8729195,-67.83053849 -45.87304743;-67.83053849 -45.87304743,-67.835952 -45.87464500000001,-67.8341711 -45.8731585,-67.8321648 -45.8729195,-67.8366923 -45.875026,-67.8368962 -45.8743761,-67.8363168 -45.8740101,-67.8365743 -45.8734723,-67.8358126 -45.8726879,-67.8339131 -45.87269245,-67.8347504 -45.8724041,-67.8345788 -45.8717915,-67.8335381 -45.8712686,-67.83204724 -45.87132308,-67.8363276 -45.8710445,-67.8348899 -45.87091,-67.8336024 -45.8710221,-67.83598551 -45.8713908,-67.8404045 -45.871440400000004,-67.8396642 -45.8713657,-67.8393745 -45.8705216,-67.8371751 -45.8699314,-67.8344822 -45.8697969,-67.8345251 -45.8700584,-67.8363597 -45.8707606,-67.83999726 -45.87142467,-67.8403401 -45.8715002,-67.8396213 -45.8713059,-67.8401256 -45.8706859,-67.8424323 -45.8705216,-67.8432369 -45.8702153,-67.84266503 -45.8702826,-67.8433174 -45.8702414,-67.8424054 -45.8705701,-67.8442401 -45.8712014,-67.8457582 -45.8705029,-67.8468794 -45.8714778,-67.8465736 -45.871657000000006,-67.8464073 -45.8713396,-67.84458226 -45.87132178,-67.8464448 -45.8713396,-67.8465736 -45.871657000000006,-67.84484620000002 -45.8726692,-67.84336962 -45.87289033,-67.8489339 -45.8731324,-67.8501302 -45.8733565,-67.8485316 -45.8736739,-67.8459191 -45.8729942,-67.84549 -45.8723406,-67.8449106 -45.8726842,-67.84711722 -45.87310355,-67.84873010000001 -45.87312860000001,-67.8543305 -45.8741595,-67.857635 -45.8744807,-67.857019 -45.87438052,-67.857635 -45.8744807,-67.8541696 -45.874152,-67.8588581 -45.8727103,-67.8593409 -45.8716048,-67.85882935 -45.87179542,-67.8593409 -45.8716048,-67.85971640000001 -45.8705365,-67.8614008 -45.870529,-67.861948 -45.8698268,-67.8630531 -45.8694832,-67.86235431 -45.86962035,-67.8639972 -45.8691171,-67.8657031 -45.8680713,-67.86498939 -45.86808329,-67.8668189 -45.8667639,-67.8664005 -45.866988,-67.8663254 -45.8676305,-67.86635342 -45.86702056,-67.8668725 -45.8688706,-67.8667974 -45.868646500000004,-67.8676665 -45.8677127,-67.867012 -45.86727940000001,-67.86653014 -45.86909111,-67.8665292 -45.8705589,-67.866143 -45.8710594,-67.8657889 -45.8704767,-67.8668725 -45.8688706,-67.86552841 -45.87071955,-67.8665292 -45.8704394,-67.8664756 -45.8701107,-67.8674197 -45.8697073,-67.8698659 -45.8700883,-67.8700376 -45.8699389,-67.8700268 -45.8692964,-67.86891343 -45.86940172,-67.8699839 -45.8693413,-67.8700376 -45.8699389,-67.8703916 -45.8701929,-67.8709173 -45.8699239,-67.8707349 -45.8692815,-67.8712177 -45.8686166,-67.8731596 -45.8681236,-67.8729107 -45.86822856,-67.8735942 -45.8680488,-67.8724301 -45.8682281,-67.8724086 -45.8686689,-67.8764427 -45.8695952,-67.87545792 -45.87007243,-67.8773439 -45.8681385,-67.878288 -45.8679816,-67.8767216 -45.8696102,-67.87529512 -45.86884053,-67.8773224 -45.8682132,-67.8784168 -45.867951700000006,-67.8792751 -45.866988,-67.87841593 -45.86693979,-67.8794253 -45.8652025,-67.8813779 -45.8643508,-67.8805947 -45.8648065,-67.8801227 -45.8652622,-67.8801119 -45.8658151,-67.8798544 -45.8661513,-67.87816911 -45.86559299,-67.8800154 -45.8627071,-67.880863 -45.8635887,-67.8814101 -45.8638502,-67.881496 -45.8643508,-67.8795862 -45.8651352,-67.87889297 -45.8626014,-67.8809917 -45.8619301,-67.8822792 -45.8616611,-67.8835666 -45.8617507,-67.8845859 -45.8612277,-67.8843284 -45.8612427,-67.88286864 -45.86153258,-67.8855836 -45.8605329,-67.8847253 -45.8611754,-67.8843284 -45.8612427,-67.88485253 -45.86038085,-67.8862917 -45.8600846,-67.8869355 -45.8600547,-67.8873861 -45.8596438,-67.8876221 -45.8588667,-67.8886843 -45.8579999,-67.8905296 -45.8572453,-67.8915596 -45.8569165,-67.8910661 -45.8570435,-67.89119881 -45.85678635,-67.8960952 -45.8598436,-67.8959692 -45.8585678,-67.8961945 -45.8583138,-67.8955936 -45.8581419,-67.8949177 -45.8572976,-67.8950787 -45.8562589,-67.894907 -45.8558629,-67.8937376 -45.8558928,-67.8932869 -45.8566101,-67.8928149 -45.8568492,-67.8926003 -45.8566998,-67.89506126 -45.86022417,-67.8961086 -45.8601668,-67.8949714 -45.8618927,-67.89369378 -45.862107,-67.8961945 -45.8632674,-67.8952932 -45.8629985,-67.8948426 -45.8620347,-67.8946526 -45.86372426,-67.8962696 -45.8632899,-67.8974175 -45.8625203,-67.8984583 -45.8622177,-67.89779792 -45.86312838,,-67.8975525 -45.86346654,-67.8993487 -45.8636634,-67.8988981 -45.8636933,-67.89861920000001 -45.8635215,-67.89867893 -45.86374335,-67.9039943 -45.8644255,-67.9028034 -45.8637381,-67.8999174 -45.8635812,-67.90314798 -45.8648888,-67.906419 -45.86626330000001,-67.9050887 -45.8652025,-67.9043591 -45.864814,-67.90565529 -45.8665856,-67.9108179 -45.86391,-67.9094768 -45.8638353,-67.9077816 -45.8657329,-67.9066443 -45.8662484,-67.90869072 -45.86438156,-67.9100454 -45.8663754,-67.9094982 -45.8663306,-67.909627 -45.86429100000001,-67.90947109 -45.86641003,-67.9100668 -45.8647318,-67.9098523 -45.8659197,-67.9103565 -45.8661513,-67.90917641 -45.86476613,-67.9122448 -45.8649709,-67.911129 -45.8644105,-67.9103887 -45.8645226,-67.91093971 -45.86527418,-67.9164934 -45.8652398,-67.9147875 -45.8642536,-67.9133606 -45.865322,-67.9120409 -45.8651352,-67.91575239 -45.86551598,-67.9187572 -45.8661064,-67.9176843 -45.8663679,-67.9172981 -45.8656657,-67.91774956 -45.8661538,-67.9224908 -45.8663306,-67.9191971 -45.8656582,-67.92069068 -45.86664171,-67.9258382 -45.86658460000001,-67.9220402 -45.8663903,-67.92478129 -45.86687146,-67.9266429 -45.8657927,-67.9259992 -45.8665696,-67.92617947 -45.86596757,,-67.92568273 -45.86555172,-67.9284239 -45.8655835,-67.9270077 -45.8655162,-67.92761571 -45.86576064,-67.92887450000002 -45.8655984,-67.929647 -45.8660093,-67.9311919 -45.8652622,-67.93025624 -45.86524613,-67.934196 -45.8650755,-67.9339492 -45.8648887,-67.9318678 -45.8652174,-67.93322311 -45.86539389,-67.9364544 -45.8650082,-67.9343033 -45.8651128,-67.93542287 -45.86514387,-67.9374468 -45.8637643,-67.93648120000002 -45.8648999,-67.93638614 -45.8639203,-67.9407513 -45.863103100000004,-67.9403973 -45.8622551,-67.93757020000001 -45.8636746,-67.94016816 -45.86304785,-67.9412395 -45.8636896,-67.94085860000001 -45.8628677,-67.94026881 -45.86394522,-67.9413575 -45.8643508,-67.94191 -45.8638801,-67.9413092 -45.8637717,-67.9397787 -45.86446671,-67.939437 -45.8659907,-67.9410034 -45.8642985,-67.93820898 -45.86621382,,-67.93822649 -45.86645361,-67.9383588 -45.8674437,-67.9380101 -45.8666929,-67.9392922 -45.8661064,-67.9400271 -45.8665472</t>
  </si>
  <si>
    <t>-67.9400271 -45.8665472,-67.9452038 -45.8642219,-67.9464403 -45.8647635,-67.9454304 -45.86503525,,-67.94551194 -45.86495899,-67.949152 -45.8670029,-67.9489589 -45.866338,-67.9464805 -45.8656358,-67.946502 -45.8652099,-67.94827454 -45.86749255,-67.9581213 -45.8673466,-67.9581428 -45.8669731,-67.9568553 -45.866226,-67.9523492 -45.8659869,-67.9491305 -45.866226,-67.9489803 -45.8668834,-67.95709848 -45.86769228,-67.9570484 -45.8711267,-67.9574454 -45.8693637,-67.9580891 -45.8675707,-67.95610675 -45.87170205,-67.9571235 -45.8715898,-67.9572952 -45.8723443,-67.9570484 -45.87342,-67.95743470000001 -45.8736217,-67.95650202 -45.87386891,-67.9575098 -45.8735619,-67.9580784 -45.8727253,-67.95720623 -45.87256309,-67.9630244 -45.8733005,-67.9618549 -45.87156740000001,-67.9611683 -45.8714553,-67.9596126 -45.871724300000004,-67.95881870000001 -45.8720007,-67.96214261 -45.87344787,-67.9666829 -45.8734274,-67.9651701 -45.87286720000001,-67.9644513 -45.8730315,-67.9638612 -45.8733752,-67.9632068 -45.8733901,-67.96572509 -45.87368099,-67.96696190000002 -45.8736067,-67.9677129 -45.8742267,-67.9679918 -45.8746077,-67.9672039 -45.87497495,-67.9711676 -45.8706262,-67.9712427 -45.8723667,-67.9717791 -45.8732033,-67.9711139 -45.8738906,-67.9693866 -45.8740474,-67.9686463 -45.874533,-67.96992116 -45.87035971,-67.9710925 -45.8705739,-67.9709744 -45.8714329,-67.9711354 -45.8722173,-67.9706633 -45.8714479,-67.9697943 -45.8691545,-67.9688479 -45.86924263,-67.96972990000002 -45.8689453,-67.96923640000001 -45.8685867,-67.9698372 -45.8679667,-67.96898996 -45.86789944,-67.9704916 -45.8675259,-67.9713821 -45.8670777,-67.9725838 -45.8673092,-67.97170451 -45.86764851,-67.9784846 -45.8638128,-67.9773581 -45.8639025,-67.9769611 -45.8641416,-67.9760814 -45.864545,-67.975781 -45.8649709,-67.9756951 -45.8656806,-67.9747403 -45.8664725,-67.9738927 -45.8666518,-67.9742575 -45.8674213,-67.9730237 -45.867369,-67.97781889 -45.86412305,-67.9785061 -45.863768,-67.977562 -45.8638502,-67.9780233 -45.8634692,-67.9789352 -45.8631031,-67.9785919 -45.8629686,-67.97692655 -45.86298292;-67.97692655 -45.86298292,-67.9785919 -45.8629686,-67.9789352 -45.8631031,-67.9796863 -45.8629088,-67.9804587 -45.8629985,-67.9811132 -45.8627967,-67.98026531 -45.86300386,,-67.96977407 -45.85827673;-67.96977407 -45.85827673,,-67.98026531 -45.86300386,-67.9835165 -45.8632226,-67.9838812 -45.8630209,-67.9841387 -45.8625502,-67.9836881 -45.862991,-67.9831409 -45.8631255,-67.9816282 -45.862737,-67.98206338 -45.86352335,-67.9887307 -45.8607944,-67.9889238 -45.8604806,-67.9867244 -45.8607421,-67.9861665 -45.8609737,-67.9860163 -45.8616088,-67.9854047 -45.8619674,-67.9846215 -45.8621617,-67.9841387 -45.862468,-67.9838812 -45.8630209,-67.9834414 -45.8631927,-67.98715669 -45.86146692,-67.9928935 -45.8605404,-67.9914236 -45.8609588,-67.98931 -45.8614369,-67.9889023 -45.8613323,-67.99220337 -45.86057361,-67.9911339 -45.8618479,-67.9904687 -45.8619002,-67.9910696 -45.8615117,-67.9918849 -45.861295,-67.9930007 -45.8606151,-67.99023202 -45.86204363,-67.9886341 -45.8629088,-67.9906297 -45.8618479,-67.9911232 -45.8617956,-67.98677491 -45.86342245,-67.9859948 -45.8647094,-67.9874003 -45.863783,-67.98422803 -45.86529103,-67.9920459 -45.8642163,-67.9910159 -45.864672,-67.9903078 -45.8650157,-67.9890847 -45.8656208,-67.9855978 -45.8654415,-67.9855227 -45.865322,-67.99158422 -45.86437969;-67.99158422 -45.86437969,-67.9929578 -45.8671225,-67.9928398 -45.8662783,-67.9924321 -45.8655835,-67.9919815 -45.8652548,-67.992121 -45.8648663,-67.9910159 -45.864672,-67.9918528 -45.8642238,-67.99174523 -45.8677107,-67.9929042 -45.8670777,-67.9928398 -45.8661064,-67.9924321 -45.8655835,-67.9918849 -45.8652398,-67.9909408 -45.867115,-67.9902434 -45.8675334,-67.98895281 -45.86742251,-67.9901361 -45.8674661,-67.9900289 -45.8678098,-67.9882801 -45.8686838,-67.9882801 -45.8691246,-67.9875398 -45.8692665,-67.98621539 -45.86906201,,-67.98595749 -45.86942688,-67.9875398 -45.8692665,-67.988205 -45.8691993,-67.9883659 -45.8686465,-67.9866493 -45.8686017,-67.9853296 -45.8685195,-67.9839349 -45.868766,-67.9830122 -45.8690947,-67.9832804 -45.8686614,-67.9841065 -45.8682057,-67.98364252 -45.86827111,-67.9807377 -45.8716645,-67.9809952 -45.8709175,-67.9819071 -45.8698567,-67.9830122 -45.8690947,-67.9832804 -45.8686614,-67.9840744 -45.8683402,-67.97987219 -45.87199291,-67.9799759 -45.8737337,-67.9795146 -45.8726879,-67.9809093 -45.8709474,-67.980845 -45.8716421,-67.97905112 -45.87422359,-67.9800725 -45.873800900000006,-67.9795146 -45.8726879,-67.9796112 -45.8723816,-67.9792464 -45.872165,-67.9787529 -45.8722173,-67.9783773 -45.8729942,-67.9778409 -45.873195900000006,-67.9771113 -45.8730315,-67.97564136 -45.8729339,-67.977519 -45.8745479,-67.9775083 -45.8737262,-67.9769719 -45.8730166,-67.97664473 -45.87540708,,-67.97634703 -45.87537427;-67.97634703 -45.87537427,,-67.97664473 -45.87540708,-67.977519 -45.8745479,-67.9775083 -45.8737262,-67.9769719 -45.8730166,-67.97564136 -45.8729339,-67.9800725 -45.873800900000006,-67.9795146 -45.8726879,-67.9796112 -45.8723816,-67.9792464 -45.872165,-67.9787529 -45.8722173,-67.9783773 -45.8729942,-67.9778409 -45.873195900000006,-67.9771113 -45.8730315,-67.97905112 -45.87422359,-67.9799759 -45.8737337,-67.9795146 -45.8726879,-67.9809093 -45.8709474,-67.980845 -45.8716421,-67.97987219 -45.87199291,-67.9807377 -45.8716645,-67.9809952 -45.8709175,-67.9819071 -45.8698567,-67.9830122 -45.8690947,-67.9832804 -45.8686614,-67.9840744 -45.8683402,-67.98364252 -45.86827111,-67.9875398 -45.8692665,-67.988205 -45.8691993,-67.9883659 -45.8686465,-67.9866493 -45.8686017,-67.9853296 -45.8685195,-67.9839349 -45.868766,-67.9830122 -45.8690947,-67.9832804 -45.8686614,-67.9841065 -45.8682057,-67.98595749 -45.86942688,,-67.98621539 -45.86906201,-67.9901361 -45.8674661,-67.9900289 -45.8678098,-67.9882801 -45.8686838,-67.9882801 -45.8691246,-67.9875398 -45.8692665,-67.98895281 -45.86742251,-67.9929042 -45.8670777,-67.9928398 -45.8661064,-67.9924321 -45.8655835,-67.9918849 -45.8652398,-67.9909408 -45.867115,-67.9902434 -45.8675334,-67.99174523 -45.8677107,-67.9914558 -45.8692516,-67.9914558 -45.8690499,-67.9925716 -45.8679293,-67.99024475 -45.86974641,-67.9910052 -45.8707457,-67.9910266 -45.8705664,-67.99163820000001 -45.8700883,-67.9915524 -45.8697073,-67.9900866 -45.8710699,-67.9930758 -45.87218,-67.992754 -45.8724788,-67.9914343 -45.8718886,-67.9915845 -45.8711565,-67.9912734 -45.8710071,-67.99156523 -45.87210921,-67.9929739 -45.8721949,-67.9927379 -45.872546,-67.993784 -45.8729494,-67.9957634 -45.8725273,-67.9964232 -45.8722024,-67.99553288 -45.87226112,-67.9971957 -45.8714031,-67.9989982 -45.8712611,-67.9998028 -45.8710071,-67.99921407 -45.87121751,,-67.99960904 -45.87080973,-68.0035579 -45.8703423,-68.0025816 -45.8706859,-68.0014014 -45.8705066,-68.00284674 -45.87040916,-68.0041587 -45.8700285,-68.0051243 -45.8686091,-68.00449906 -45.86852742,-68.0070448 -45.8686241,-68.0060685 -45.868385,-68.00620422 -45.86892139,-68.0070448 -45.8686241,-68.0067122 -45.8683028,-68.0066907 -45.8679293,-68.0047274 -45.8681086,-68.0029786 -45.8686316,-68.0021524 -45.8685344,-68.0022383 -45.8682132,-68.00126819 -45.86832361,,-68.00080119 -45.86808139,-67.9980218 -45.8692665,-68.0000389 -45.8684074,-68.0017662 -45.8680339,-67.99627751 -45.86960923,-67.9969811 -45.8694981,-67.9958439 -45.8695654,-67.99512510000001 -45.8693413,-67.99505 -45.8690499,-67.99439359 -45.86914058,-67.99505 -45.8690499,-67.9947495 -45.8687287,-67.9952323 -45.8676529,-67.99437986 -45.8677879,-67.9954576 -45.8672868,-67.9960907 -45.8666518,-67.9968202 -45.8663306,-67.99554948 -45.86642106,-67.9970026 -45.8663754,-68.0035257 -45.8657777,-68.003397 -45.8661662,-68.00288598 -45.86648631,-68.0048561 -45.8661961,-68.0066156 -45.864941,-68.00601835 -45.8652672,-68.0066907 -45.8648887,-68.0076134 -45.8646197,-68.0077314 -45.8640818,-68.0066907 -45.862595,-68.0065084 -45.8626847,-68.00524993 -45.86266209,-68.0066907 -45.862595,-68.0062294 -45.8616088,-68.0054569 -45.8608467,-68.004663 -45.8610185,-68.00290781 -45.86119572,-68.0032039 -45.861564,-68.0037832 -45.8611157,-68.0040193 -45.8610858,-68.00170055 -45.8618692,-68.0024529 -45.8617881,-68.0025601 -45.862341,-68.0002105 -45.8608467,-68.0004787 -45.8601219,-67.99931829 -45.86009184,-68.0074525 -45.859442,-68.0054677 -45.8582764,-68.0048132 -45.8581195,-68.0035686 -45.8582092,-68.0016375 -45.8587994,-68.0007148 -45.8595093,-68.00660247 -45.85987417,-68.0073881 -45.8595317,-68.0048668 -45.8579775,-68.0083323 -45.8566475,-68.0111432 -45.8564831,-68.0119586 -45.855833,-68.0093408 -45.8553025,-68.0084181 -45.8553324,-68.0081391 -45.8549139,-68.0071521 -45.8545179,-68.00533143 -45.85441605,-68.0071521 -45.8545179,-68.0081713 -45.855026,-68.0084181 -45.8553324,-68.0044699 -45.8552875,-68.00310693 -45.85560933;-68.00310693 -45.85560933,-68.0071521 -45.8545179,-68.0081713 -45.855026,-68.0084181 -45.8553324,-68.0044699 -45.8552875,-68.00533143 -45.85441605,-68.0073881 -45.8595317,-68.0048668 -45.8579775,-68.0083323 -45.8566475,-68.0111432 -45.8564831,-68.0119586 -45.855833,-68.0093408 -45.8553025,-68.0084181 -45.8553324,-68.0081391 -45.8549139,-68.0071521 -45.8545179,-68.00660247 -45.85987417,-68.0074525 -45.859442,-68.0054677 -45.8582764,-68.0048132 -45.8581195,-68.0035686 -45.8582092,-68.0016375 -45.8587994,-68.0007148 -45.8595093,-67.99931829 -45.86009184,-68.0024529 -45.8617881,-68.0025601 -45.862341,-68.0002105 -45.8608467,-68.0004787 -45.8601219,-68.00170055 -45.8618692,-68.0032039 -45.861564,-68.0037832 -45.8611157,-68.0040193 -45.8610858,-68.00290781 -45.86119572,-68.0066907 -45.862595,-68.0062294 -45.8616088,-68.0054569 -45.8608467,-68.004663 -45.8610185,-68.00524993 -45.86266209,-68.0066907 -45.8648887,-68.0076134 -45.8646197,-68.0077314 -45.8640818,-68.0066907 -45.862595,-68.0065084 -45.8626847,-68.00601835 -45.8652672,-68.0048561 -45.8661961,-68.0066156 -45.864941,-68.00288598 -45.86648631,-67.9970026 -45.8663754,-68.0035257 -45.8657777,-68.003397 -45.8661662,-67.99554948 -45.86642106,-67.9954576 -45.8672868,-67.9960907 -45.8666518,-67.9968202 -45.8663306,-67.99437986 -45.8677879,-67.99505 -45.8690499,-67.9947495 -45.8687287,-67.9952323 -45.8676529,-67.99439359 -45.86914058,-67.9969811 -45.8694981,-67.9958439 -45.8695654,-67.99512510000001 -45.8693413,-67.99505 -45.8690499,-67.99627751 -45.86960923,-67.9980218 -45.8692665,-68.0000389 -45.8684074,-68.0017662 -45.8680339,-68.00080119 -45.86808139,,-68.00126819 -45.86832361,-68.0070448 -45.8686241,-68.0067122 -45.8683028,-68.0066907 -45.8679293,-68.0047274 -45.8681086,-68.0029786 -45.8686316,-68.0021524 -45.8685344,-68.0022383 -45.8682132,-68.00620422 -45.86892139,-68.0070448 -45.8686241,-68.0060685 -45.868385,-68.00449906 -45.86852742,-68.0041587 -45.8700285,-68.0051243 -45.8686091,-68.00284674 -45.87040916,-68.0036652 -45.8703498,-68.0024529 -45.8706934,-68.0012727 -45.8709175,-68.0001891 -45.8713881,-67.9995775 -45.8718363,-67.99743076 -45.87213204,-67.9984939 -45.8727327,-67.9986763 -45.8725609,-67.9987407 -45.872292,-67.99707801 -45.87306235,-68.0009079 -45.8733901,-68.0017447 -45.8731436,-68.0013478 -45.8728149,-68.0005753 -45.8728074,-67.9998672 -45.8727327,-67.9986441 -45.8728074,-67.99900055 -45.87377745,-67.9970562 -45.8749065,-67.998054 -45.8746002,-67.9989874 -45.8742865,-67.9998994 -45.8736889,-67.99575168 -45.87505796,-67.9940093 -45.875758,-67.9942882 -45.875646,-67.9944921 -45.8759223,-67.9952216 -45.8756385,-67.9962945 -45.874899,-67.99230343 -45.87612978,-67.9932904 -45.8760792,-67.9926252 -45.8763556,-67.9912949 -45.8766319,-67.98995293 -45.87688436,-67.9909623 -45.8768411,-67.9909086 -45.8766394,-67.9893529 -45.876729,-67.9896641 -45.8770726,-67.98904006 -45.87741924,-67.9896748 -45.8771548,-67.9892349 -45.8767216,-67.985158 -45.8765946,-67.9863167 -45.8762734,-67.98563419 -45.87640922,-67.9865313 -45.8763033,-67.9853833 -45.8764975,-67.98469660000002 -45.8764303,-67.98281428 -45.87644776,-67.9838705 -45.8772892,-67.9842675 -45.8766469,-67.9854584 -45.876617,-67.9846001 -45.8763854,-67.98257485 -45.87765379,-67.9797721 -45.879179,-67.9789889 -45.8790669,-67.9792571 -45.8776403,-67.9831409 -45.876744,-67.9844499 -45.8766842,-67.9838705 -45.8772892,-67.97934342 -45.87920812,-67.9789352 -45.8795823,-67.9789889 -45.8790669,-67.9799759 -45.8791491,-67.97764389 -45.88001208,-67.9789352 -45.8795823,-67.9791069 -45.8776627,-67.9756737 -45.8784769,-67.9758239 -45.8787234,-67.9765105 -45.8789474,-67.9757414 -45.87911165,-67.9764569 -45.8790072,-67.9757595 -45.8787084,-67.9755771 -45.8785142,-67.9742253 -45.8787756,-67.974236 -45.878222900000004,-67.97210325 -45.8786421,-67.9739785 -45.8781632,-67.9745579 -45.8782677,-67.9740644 -45.8788802,-67.9710174 -45.8792537,-67.96993071 -45.87922522,-67.9708028 -45.8792686,-67.9686999 -45.8795524,-67.9682064 -45.8792238,-67.96661757 -45.87943084,-67.967391 -45.8796271,-67.9660606 -45.879657,-67.9619408 -45.879179,-67.959795 -45.8789997,-67.9602242 -45.8794852,-67.95937836 -45.87978501,-67.9538298 -45.8776104,-67.9575419 -45.8788205,-67.9596341 -45.8789624,-67.9602242 -45.8794852,-67.95259842 -45.87763583,-67.9521346 -45.8759746,-67.9517162 -45.8759074,-67.9513943 -45.8758999,-67.9525959 -45.87702780000001,-67.95337920000001 -45.8774162,-67.95155064 -45.87647635,-67.9521346 -45.8759746,-67.951448 -45.8759597,-67.9509008 -45.8738383,-67.94983615 -45.87396079,-67.9508579 -45.8736739,-67.9509115 -45.8721426,-67.94974928 -45.87213834,-67.9510081 -45.87218,-67.9515123 -45.8715599,-67.9518449 -45.870925,-67.95082673 -45.87123588,-67.9518449 -45.870925,-67.9516733 -45.8706037,-67.9509866 -45.870275,-67.95089010000001 -45.8697222,-67.9517484 -45.8700734,-67.9526281 -45.8699912,-67.95188123 -45.87007275,-67.9526013 -45.869965,-67.9517484 -45.8700734,-67.9508901 -45.8697222,-67.9511476 -45.8693039,-67.95011093 -45.86936834,-67.9511476 -45.8693039,-67.95089010000001 -45.8697222,-67.9506433 -45.8681011,-67.9512978 -45.867892,-67.95075242 -45.86791677,-67.9513514 -45.867951700000006,-67.9506004 -45.8681534,-67.9493558 -45.8665622,-67.9490876 -45.8664576,-67.9492164 -45.8668461,-67.94827454 -45.86749255,-67.949152 -45.8670029,-67.9489589 -45.866338,-67.9464805 -45.8656358,-67.946502 -45.8652099,-67.94551194 -45.86495899,,-67.9454304 -45.86503525,-67.9452038 -45.8642219,-67.9464403 -45.8647635,-67.9400271 -45.8665472</t>
  </si>
  <si>
    <t>-67.9400271 -45.8665472,-67.9383588 -45.8674437,-67.9380584 -45.8682655,-67.9363847 -45.8693786,-67.9365671 -45.8696326,-67.93551008 -45.87004015,-67.936492 -45.8696625,-67.9362881 -45.8694234,-67.9350436 -45.8703273,-67.9347003 -45.8699986,-67.933282 -45.87018527,-67.9337347 -45.872531,-67.9350007 -45.8704245,-67.9346895 -45.8701032,-67.93292309 -45.87290945,-67.9305589 -45.8765722,-67.9309773 -45.8765423,-67.9323184 -45.875011,-67.9336917 -45.8726132,-67.92916705 -45.87686758,-67.9288745 -45.8790371,-67.9299796 -45.8786337,-67.9304302 -45.8776552,-67.9309022 -45.8766245,-67.9306126 -45.8766543,-67.92746283 -45.879252,-67.9288745 -45.8790371,-67.9299045 -45.8786188,-67.929765 -45.8784918,-67.9247224 -45.8798512,-67.9241753 -45.8796943,-67.92260289 -45.87981886,-67.9231775 -45.8798138,-67.9230273 -45.8801051,-67.9220295 -45.8802022,-67.9198301 -45.8807027,-67.9191542 -45.8814645,-67.9198301 -45.8813375,-67.91930941 -45.88137118,-67.9183173 -45.8833018,-67.9179525 -45.8832943,-67.9178452 -45.8829358,-67.9186606 -45.8819873,-67.9191113 -45.8815466,-67.9197979 -45.8813898,-67.91747464 -45.88372353,-67.9166651 -45.8823159,-67.9170835 -45.8822711,-67.9178345 -45.8833989,-67.9184783 -45.8832943,-67.91541483 -45.88231338,-67.911365 -45.8831076,-67.9142618 -45.8826968,-67.9159892 -45.8825026,-67.90970498 -45.88326091,-67.9076958 -45.8841084,-67.9082644 -45.8839366,-67.9093373 -45.8833167,-67.9103136 -45.8831972,-67.90591516 -45.88446218,,-67.90594775 -45.88423937,-67.9066443 -45.8844071,-67.9062474 -45.8852585,-67.908833 -45.885968,-67.9091012 -45.8864012,-67.90705336 -45.88840606,-67.9052818 -45.8875736,-67.90654780000001 -45.8882084,-67.9074919 -45.8882756,-67.90362098 -45.8874036,-67.9039729 -45.8871629,-67.9034686 -45.8869165,-67.9041123 -45.886192,-67.9042947 -45.8847656,-67.90316820000001 -45.883637900000004,-67.90293219 -45.8836944,-67.90316820000001 -45.883637900000004,-67.9026854 -45.8831823,-67.9021275 -45.8832794,-67.900722 -45.8842279,-67.9001105 -45.8851465,-67.8995955 -45.8843175,-67.89811074 -45.88424629,-67.896452 -45.8842129,-67.8972995 -45.8841607,-67.8987801 -45.8833839,-67.8993165 -45.8836304,-67.89478887 -45.88442779,-67.895658 -45.88465360000001,-67.8955078 -45.8872675,-67.89402720000001 -45.888186,-67.89313670000001 -45.8879097,-67.8935552 -45.8866999,-67.891624 -45.8850718,-67.88986813 -45.88509226,-67.8916669 -45.8851316,-67.891463 -45.8853332,-67.8890061 -45.8855946,-67.8886521 -45.8849672,-67.88725199 -45.88498287,-67.8877938 -45.885251,-67.8862166 -45.8849523,-67.88477851 -45.88530377,-67.8863347 -45.8849448,-67.8869569 -45.8849672,-67.8874826 -45.883847,-67.8903258 -45.883570600000006,-67.88934482 -45.88367092,-67.8808522 -45.8847432,-67.8831053 -45.8843548,-67.884897 -45.8834586,-67.8876114 -45.88378720000001,-67.8901434 -45.8835856,-67.87931365 -45.88515467,-67.8775477 -45.8859232,-67.87784810000001 -45.8854153,-67.8789425 -45.8862742,-67.879554 -45.8862667,-67.8829443 -45.8844743,-67.8806055 -45.8848253,-67.87597578 -45.88674947,,-67.87630061 -45.88642699,-67.8775907 -45.885744,-67.8778374 -45.8851241,-67.8766251 -45.8844594,-67.8767002 -45.8840561,-67.8758872 -45.88413516,-67.8738034 -45.8829806,-67.8739858 -45.8834512,-67.87655 -45.8844445,-67.8765929 -45.8840262,-67.87263059 -45.88283868,-67.8737283 -45.8829508,-67.8736854 -45.8833242,-67.8730094 -45.8829134,-67.8686643 -45.8830254,-67.86703039 -45.88312685,-67.8726017 -45.880389,-67.8697157 -45.8828462,-67.8706813 -45.8831001,-67.8686643 -45.8830254,-67.8724445 -45.87988188,-67.8772688 -45.8789101,-67.8749835 -45.8790146,-67.87362100000001 -45.8797765,-67.87684672 -45.87887091,-67.8785026 -45.8788802,-67.8798115 -45.8793806,-67.87875862 -45.87975391,-67.8797901 -45.8776627,-67.8792536 -45.87817810000001,-67.8798115 -45.8793806,-67.87897854 -45.87766371,-67.8803158 -45.8771847,-67.8813779 -45.8760792,-67.8823113 -45.875519,-67.8828478 -45.87486160000001,-67.88196942 -45.87464989,-67.8827298 -45.8748841,-67.8821611 -45.8754069,-67.8803909 -45.8760568,-67.8789511 -45.87665185;-67.8789511 -45.87665185,-67.8827298 -45.8748841,-67.8821611 -45.8754069,-67.8803909 -45.8760568,-67.88196942 -45.87464989,-67.8803158 -45.8771847,-67.8813779 -45.8760792,-67.8823113 -45.875519,-67.8828478 -45.87486160000001,-67.87897854 -45.87766371,-67.8797901 -45.8776627,-67.8792536 -45.87817810000001,-67.8798115 -45.8793806,-67.87875862 -45.87975391,-67.8785026 -45.8788802,-67.8798115 -45.8793806,-67.87684672 -45.87887091,-67.8772688 -45.8789101,-67.8749835 -45.8790146,-67.87362100000001 -45.8797765,-67.8724445 -45.87988188,-67.8726017 -45.880389,-67.8697157 -45.8828462,-67.8706813 -45.8831001,-67.8686643 -45.8830254,-67.86703039 -45.88312685,-67.8685462 -45.8831151,-67.8700483 -45.8829059,-67.8648233 -45.8818603,-67.8628063 -45.8810537,-67.8621304 -45.8814645,-67.86071597 -45.88116865,-67.8614116 -45.8855274,-67.862978 -45.884788,-67.8635466 -45.8831599,-67.8632355 -45.8817483,-67.86391140000002 -45.8815093,-67.8628063 -45.8810537,-67.8623772 -45.8814346,-67.85908094 -45.88593849,-67.85825730000002 -45.8853855,-67.85964130000002 -45.8854228,-67.85655105 -45.88556448,-67.8571093 -45.8855572,-67.8559184 -45.8854378,-67.8555107 -45.884698400000005,-67.85493998 -45.88481908;-67.85493998 -45.88481908,-67.8571093 -45.8855572,-67.8559184 -45.8854378,-67.8555107 -45.884698400000005,-67.85655105 -45.88556448,-67.85825730000002 -45.8853855,-67.85964130000002 -45.8854228,-67.85908094 -45.88593849,-67.8609717 -45.8856767,-67.862817 -45.8848403,-67.8617656 -45.8854826,-67.8616369 -45.886192,-67.8618944 -45.8867671,-67.86045923 -45.88724171,-67.8618944 -45.8867671,-67.8616261 -45.8862443,-67.8603601 -45.88681940000001,-67.8594589 -45.8868119,-67.8584075 -45.8873347,-67.856369 -45.8871629,-67.8557789 -45.8865655,-67.85399644 -45.88640005;-67.85399644 -45.88640005,-67.8548133 -45.885968,-67.8544056 -45.8857215,-67.8542554 -45.8852884,-67.85284989 -45.88522411,-67.8535903 -45.8848851,-67.8530109 -45.8845938,-67.8524315 -45.8844893,-67.85093028 -45.88433862;-67.85093028 -45.88433862,-67.8535903 -45.8848851,-67.8530109 -45.8845938,-67.8524315 -45.8844893,-67.85284989 -45.88522411,-67.8548133 -45.885968,-67.8544056 -45.8857215,-67.8542554 -45.8852884,-67.85399644 -45.88640005,-67.8618944 -45.8867671,-67.8616261 -45.8862443,-67.8603601 -45.88681940000001,-67.8594589 -45.8868119,-67.8584075 -45.8873347,-67.856369 -45.8871629,-67.8557789 -45.8865655,-67.86045923 -45.88724171;-67.86045923 -45.88724171,-67.8609717 -45.8856767,-67.862817 -45.8848403,-67.8617656 -45.8854826,-67.8616369 -45.886192,-67.8618944 -45.8867671,-67.85908094 -45.88593849;-67.85908094 -45.88593849,-67.8614116 -45.8855274,-67.862978 -45.884788,-67.8635466 -45.8831599,-67.8632355 -45.8817483,-67.86391140000002 -45.8815093,-67.8628063 -45.8810537,-67.8623772 -45.8814346,-67.86071597 -45.88116865,-67.8685462 -45.8831151,-67.8700483 -45.8829059,-67.8648233 -45.8818603,-67.8628063 -45.8810537,-67.8621304 -45.8814645,-67.86703039 -45.88312685,-67.8737283 -45.8829508,-67.8736854 -45.8833242,-67.8730094 -45.8829134,-67.8686643 -45.8830254,-67.87263059 -45.88283868,-67.8738034 -45.8829806,-67.8739858 -45.8834512,-67.87655 -45.8844445,-67.8765929 -45.8840262,-67.8758872 -45.88413516,-67.8775907 -45.885744,-67.8778374 -45.8851241,-67.8766251 -45.8844594,-67.8767002 -45.8840561,-67.87630061 -45.88642699,,-67.87597578 -45.88674947,-67.8775477 -45.8859232,-67.87784810000001 -45.8854153,-67.8789425 -45.8862742,-67.879554 -45.8862667,-67.8829443 -45.8844743,-67.8806055 -45.8848253,-67.87931365 -45.88515467,-67.8808522 -45.8847432,-67.8831053 -45.8843548,-67.884897 -45.8834586,-67.8876114 -45.88378720000001,-67.8901434 -45.8835856,-67.88934482 -45.88367092,-67.8863347 -45.8849448,-67.8869569 -45.8849672,-67.8874826 -45.883847,-67.8903258 -45.883570600000006,-67.88477851 -45.88530377,-67.8877938 -45.885251,-67.8862166 -45.8849523,-67.88725199 -45.88498287,-67.8916669 -45.8851316,-67.891463 -45.8853332,-67.8890061 -45.8855946,-67.8886521 -45.8849672,-67.88986813 -45.88509226,-67.895658 -45.88465360000001,-67.8955078 -45.8872675,-67.89402720000001 -45.888186,-67.89313670000001 -45.8879097,-67.8935552 -45.8866999,-67.891624 -45.8850718,-67.89478887 -45.88442779,-67.896452 -45.8842129,-67.8972995 -45.8841607,-67.8987801 -45.8833839,-67.8993165 -45.8836304,-67.89811074 -45.88424629,-67.90316820000001 -45.883637900000004,-67.9026854 -45.8831823,-67.9021275 -45.8832794,-67.900722 -45.8842279,-67.9001105 -45.8851465,-67.8995955 -45.8843175,-67.90293219 -45.8836944,-67.9039729 -45.8871629,-67.9034686 -45.8869165,-67.9041123 -45.886192,-67.9042947 -45.8847656,-67.90316820000001 -45.883637900000004,-67.90362098 -45.8874036,-67.9052818 -45.8875736,-67.90654780000001 -45.8882084,-67.9074919 -45.8882756,-67.90705336 -45.88840606,-67.9066443 -45.8844071,-67.9062474 -45.8852585,-67.908833 -45.885968,-67.9091012 -45.8864012,-67.90594775 -45.88423937,,-67.90591516 -45.88446218,-67.9076958 -45.8841084,-67.9082644 -45.8839366,-67.9093373 -45.8833167,-67.9103136 -45.8831972,-67.90970498 -45.88326091,-67.911365 -45.8831076,-67.9142618 -45.8826968,-67.9159892 -45.8825026,-67.91541483 -45.88231338,-67.9166651 -45.8823159,-67.9170835 -45.8822711,-67.9178345 -45.8833989,-67.9184783 -45.8832943,-67.91747464 -45.88372353,-67.9183173 -45.8833018,-67.9179525 -45.8832943,-67.9178452 -45.8829358,-67.9186606 -45.8819873,-67.9191113 -45.8815466,-67.9197979 -45.8813898,-67.91930941 -45.88137118,-67.9231775 -45.8798138,-67.9230273 -45.8801051,-67.9220295 -45.8802022,-67.9198301 -45.8807027,-67.9191542 -45.8814645,-67.9198301 -45.8813375,-67.92260289 -45.87981886,-67.9288745 -45.8790371,-67.9299045 -45.8786188,-67.929765 -45.8784918,-67.9247224 -45.8798512,-67.9241753 -45.8796943,-67.92746283 -45.879252,-67.9288745 -45.8790371,-67.9299796 -45.8786337,-67.9304302 -45.8776552,-67.9309022 -45.8766245,-67.9306126 -45.8766543,-67.92916705 -45.87686758,-67.9305589 -45.8765722,-67.9309773 -45.8765423,-67.9323184 -45.875011,-67.9336917 -45.8726132,-67.93292309 -45.87290945,-67.9337347 -45.872531,-67.9350007 -45.8704245,-67.9346895 -45.8701032,-67.933282 -45.87018527,-67.936492 -45.8696625,-67.9362881 -45.8694234,-67.9350436 -45.8703273,-67.9347003 -45.8699986,-67.93551008 -45.87004015,-67.9383588 -45.8674437,-67.9380584 -45.8682655,-67.9363847 -45.8693786,-67.9365671 -45.8696326,-67.9400271 -45.8665472</t>
  </si>
  <si>
    <t>-67.9400271 -45.8665472,-67.9427254 -45.8635364,-67.9464859 -45.8623447,-67.9469097 -45.862016,-67.94569946 -45.86221924,-67.9469097 -45.8620944,-67.9481596 -45.8620048,-67.94727301 -45.86217176,-67.9483044 -45.861911400000004,-67.9473495 -45.8614183,-67.94655091 -45.86160389;-67.94655091 -45.86160389,-67.9483044 -45.861911400000004,-67.9473495 -45.8614183,-67.94727301 -45.86217176,-67.9469097 -45.8620944,-67.9481596 -45.8620048,-67.94569946 -45.86221924,-67.9427254 -45.8635364,-67.9464859 -45.8623447,-67.9469097 -45.862016,-67.9400271 -45.8665472,-67.9383588 -45.8674437,-67.9380584 -45.8682655,-67.9363847 -45.8693786,-67.9365671 -45.8696326,-67.93551008 -45.87004015,-67.936492 -45.8696625,-67.9362881 -45.8694234,-67.9350436 -45.8703273,-67.9347003 -45.8699986,-67.933282 -45.87018527,-67.9337347 -45.872531,-67.9350007 -45.8704245,-67.9346895 -45.8701032,-67.93292309 -45.87290945,-67.9305589 -45.8765722,-67.9309773 -45.8765423,-67.9323184 -45.875011,-67.9336917 -45.8726132,-67.92916705 -45.87686758,-67.9288745 -45.8790371,-67.9299796 -45.8786337,-67.9304302 -45.8776552,-67.9309022 -45.8766245,-67.9306126 -45.8766543,-67.92746283 -45.879252,-67.9288745 -45.8790371,-67.9299796 -45.8786337,-67.9308271 -45.8793582,-67.9310632 -45.8796271,-67.9308057 -45.8796645,-67.92926139 -45.87980166,-67.9308057 -45.8796645,-67.9309773 -45.8795823,-67.9308271 -45.8793582,-67.9319429 -45.8795524,-67.9332089 -45.8799333,-67.9339921 -45.8795524,-67.9349685 -45.8793358,-67.935698 -45.8793209,-67.93512028 -45.8793768,-67.9364383 -45.8791566,-67.9368889 -45.8790371,-67.9370821 -45.878798,-67.939657 -45.8787906,-67.9398179 -45.8784246,-67.93938002 -45.87863178,-67.9433799 -45.8793582,-67.9425859 -45.8792462,-67.9414809 -45.8788951,-67.9399574 -45.8788802,-67.9395819 -45.8785889,-67.9398179 -45.8784246,-67.94258106 -45.87928487,-67.9468131 -45.8799931,-67.9464698 -45.8794927,-67.9443026 -45.8791491,-67.9459034 -45.88040255,-67.9472744 -45.8827118,-67.9475963 -45.8819051,-67.9476392 -45.8807475,-67.9472208 -45.8805159,-67.94607409 -45.88311995,-67.9472744 -45.8852212,-67.9470921 -45.8844967,-67.9472423 -45.883959,-67.9472315 -45.8831823,-67.94628753 -45.88560005,-67.9471672 -45.8852884,-67.9470921 -45.8848627,-67.9461265 -45.8845565,-67.94483649 -45.8845247,-67.9459763 -45.8845415,-67.9446459 -45.8841607,-67.9436696 -45.8842353,-67.94255555 -45.88454697,-67.9423177 -45.8861323,-67.9425859 -45.8852137,-67.9431438 -45.8846088,-67.9432619 -45.8842802,-67.94198922 -45.88653728,-67.9414594 -45.88785,-67.9417813 -45.8871554,-67.9419315 -45.8865879,-67.9423285 -45.8863414,-67.93992923 -45.88854577,-67.9410625 -45.888776,-67.9401827 -45.8890747,-67.9375863 -45.8886341,-67.93581454 -45.88863383,-67.9351616 -45.890628,-67.9353011 -45.8903069,-67.9351509 -45.889702,-67.9356337 -45.8888283,-67.9361594 -45.8882682,-67.9367387 -45.8882607,-67.93404442 -45.8909633,-67.9365563 -45.8934955,-67.9363203 -45.8936,-67.935344 -45.8928831,-67.935226 -45.8911432,-67.9360062 -45.89335158,-67.9386914 -45.8911283,-67.9384661 -45.8920468,-67.9380691 -45.8922111,-67.9374146 -45.8931968,-67.93808121 -45.89103139,-67.9441845 -45.8944512,-67.9437339 -45.8940256,-67.9429615 -45.8935179,-67.9420388 -45.8926442,-67.9392278 -45.8921737,-67.9386055 -45.8919721,-67.9388738 -45.8911059,-67.94342733 -45.89494583,-67.9444742 -45.8952204,-67.9448175 -45.8966465,-67.9453754 -45.8970423,-67.9465127 -45.8973708,-67.948122 -45.8975724,-67.9491735 -45.8979383,-67.9495811 -45.8977143,-67.9495168 -45.8971916,-67.948916 -45.89643,-67.9480469 -45.8964599,-67.94634029 -45.89666725;-67.94634029 -45.89666725,-67.9480469 -45.8964599,-67.9490232 -45.8964748,-67.9496241 -45.8946081,-67.9499245 -45.8939808,-67.9505253 -45.8936448,-67.9514372 -45.8936821,-67.9526389 -45.8943915,-67.95185094 -45.89446535,-67.9582393 -45.8946827,-67.9580355 -45.8936448,-67.9570484 -45.8930026,-67.9563832 -45.8929429,-67.9546344 -45.8936448,-67.9533792 -45.8943691,-67.95753705 -45.89518861,-67.9602778 -45.8973559,-67.959677 -45.8974604,-67.9590976 -45.897326,-67.9587114 -45.8968257,-67.95928 -45.896094,-67.9591405 -45.8953548,-67.95956637 -45.89743693,-67.9642367 -45.8983564,-67.9643333 -45.8976993,-67.9650199 -45.8970721,-67.9652989 -45.8964076,-67.9613721 -45.8972065,-67.96354703 -45.89869944,-67.9693437 -45.9027914,-67.9659963 -45.8987297,-67.965138 -45.8986401,-67.96793825 -45.90348141,-67.9685926 -45.9034484,-67.9653096 -45.9044488,-67.9600525 -45.9049564,-67.9584861 -45.9041651,-67.9576707 -45.9040606,-67.95594313 -45.90408308,-67.9576063 -45.9040904, -67.9586792 -45.9041949, -67.9598594 -45.9049266, -67.9530573 -45.9053894, -67.948916 -45.9068676,-67.9477358 -45.9069124,-67.9420066 -45.9072707, -67.9449141 -45.9072931, -67.9463518 -45.9076291,-67.94070253 -45.90708056,-67.9419637 -45.9061061,-67.9426718 -45.9047623,-67.9415345 -45.9048967,-67.938745 -45.9059568,-67.9340029 -45.9072707,-67.9353547 -45.9073006,-67.93482704 -45.9074612,-67.922008 -45.9097193,-67.9201412 -45.9109884,-67.9196906 -45.9109585,-67.9200125 -45.9097492,-67.9210854 -45.909585,-67.9227591 -45.90851,-67.9267287 -45.9077933,-67.9317927 -45.9075544,-67.9344964 -45.9080023,-67.9353762 -45.9076142,-67.92132124 -45.90950332,-67.9221797 -45.9097492,-67.9201412 -45.9109884,-67.91924 -45.911063,-67.9191971 -45.9115109,-67.91938339 -45.91141146,-67.9150558 -45.9126903,-67.9162359 -45.9122126,-67.9164505 -45.9115408,-67.9181457 -45.910645,-67.9202914 -45.9111078,-67.91361731 -45.91301639,-67.9095197 -45.9178556,-67.9090691 -45.9168107,-67.9049706 -45.9149894,-67.9050565 -45.9146311,-67.908597 -45.9143027,-67.9105282 -45.9135114,-67.9126954 -45.9130636,-67.9141974 -45.9123171,-67.90949828 -45.91775832,-67.9105067 -45.9207068,-67.9081678 -45.9205276,-67.9078245 -45.9200798,-67.9065156 -45.9195574,-67.9081035 -45.9191991,-67.9097772 -45.9180049,-67.91006087 -45.92075561,-67.9186392 -45.925737,-67.9181242 -45.9258713,-67.9160213 -45.924319,-67.9144335 -45.9239011,-67.9125881 -45.9236324,-67.911365 -45.9232891,-67.908361 -45.9205575,-67.9107213 -45.9206172,-67.91781996 -45.92567691;-67.91781996 -45.92567691,-67.9186392 -45.925737,-67.9181242 -45.9258713,-67.9160213 -45.924319,-67.9144335 -45.9239011,-67.9125881 -45.9236324,-67.911365 -45.9232891,-67.908361 -45.9205575,-67.9107213 -45.9206172,-67.91006087 -45.92075561,-67.9105067 -45.9207068,-67.9081678 -45.9205276,-67.9078245 -45.9200798,-67.9065156 -45.9195574,-67.9081035 -45.9191991,-67.9097772 -45.9180049,-67.90949828 -45.91775832,-67.9095197 -45.9178556,-67.9090691 -45.9168107,-67.9049706 -45.9149894,-67.9050565 -45.9146311,-67.908597 -45.9143027,-67.9105282 -45.9135114,-67.9126954 -45.9130636,-67.9141974 -45.9123171,-67.91361731 -45.91301639,-67.9150558 -45.9126903,-67.9162359 -45.9122126,-67.9164505 -45.9115408,-67.9181457 -45.910645,-67.9202914 -45.9111078,-67.91938339 -45.91141146,-67.9221797 -45.9097492,-67.9201412 -45.9109884,-67.91924 -45.911063,-67.9191971 -45.9115109,-67.92132124 -45.90950332,-67.922008 -45.9097193,-67.9201412 -45.9109884,-67.9196906 -45.9109585,-67.9200125 -45.9097492,-67.9210854 -45.909585,-67.9227591 -45.90851,-67.9267287 -45.9077933,-67.9317927 -45.9075544,-67.9344964 -45.9080023,-67.9353762 -45.9076142,-67.93482704 -45.9074612,-67.9419637 -45.9061061,-67.9426718 -45.9047623,-67.9415345 -45.9048967,-67.938745 -45.9059568,-67.9340029 -45.9072707,-67.9353547 -45.9073006,-67.94070253 -45.90708056,-67.9417276 -45.9060912,-67.9426718 -45.9047623,-67.9416203 -45.9047773,-67.9445601 -45.9035379,-67.942543 -45.9026271,-67.94048121 -45.90255833,-67.9313636 -45.9007755,-67.9299688 -45.9015296,-67.9309559 -45.9024778,-67.931664 -45.9022687,-67.9323721 -45.9010144,-67.9335737 -45.900447,-67.9371786 -45.9012832,-67.9379082 -45.9021045,-67.9396677 -45.9026719,-67.941041 -45.9025674,-67.93028301 -45.90068278,-67.9312027 -45.9008128,-67.9299688 -45.9015296,-67.9282737 -45.9003723,-67.9263103 -45.8994316,-67.9232204 -45.8984983,-67.9221046 -45.8981623,-67.92046749 -45.89809236,-67.9196155 -45.9003499,-67.9192078 -45.9000214,-67.9200554 -45.8997825,-67.9231131 -45.8985207,-67.9222226 -45.8982295,-67.91900661 -45.90044035;-67.91900661 -45.90044035,-67.9196155 -45.9003499,-67.9192078 -45.9000214,-67.9200554 -45.8997825,-67.9231131 -45.8985207,-67.9222226 -45.8982295,-67.92046749 -45.89809236,-67.9221904 -45.8981548,-67.9232204 -45.8984983,-67.9230487 -45.8980652,-67.9224908 -45.89755,-67.9236388 -45.8964449,-67.92261639 -45.89612501,-67.9235637 -45.895743,-67.9241538 -45.8953249,-67.9267287 -45.8949142,-67.9271579 -45.8944961,-67.9267287 -45.8942048,-67.9257309 -45.8936448,-67.9256558 -45.8930698,-67.9268682 -45.8923604,-67.9289711 -45.8934208,-67.9293036 -45.893361,-67.92819602 -45.89300211,-67.929368 -45.8925994,-67.9296148 -45.8919423,-67.9287994 -45.8913897,-67.9285097 -45.8910014,-67.9286277 -45.8901127,-67.92758265 -45.88993498,-67.9286492 -45.8892166,-67.9288638 -45.8878724,-67.9292393 -45.8876931,-67.92838162 -45.88770662,-67.929883 -45.8876782,-67.9306018 -45.8878724,-67.9317605 -45.8883727,-67.9326189 -45.888201,-67.93184093 -45.88869985,,-67.93195275 -45.88880085,-67.9325545 -45.8880964,-67.9324257 -45.8875363,-67.933048 -45.8868642,-67.9335093 -45.8836304,-67.93297197 -45.88384007,,-67.93288041 -45.88347512,-67.9369962 -45.8822636,-67.9367441 -45.8819686,-67.9343677 -45.8832719,-67.93623372 -45.88237227,-67.9369104 -45.8822487,-67.9367441 -45.8819686,-67.9385787 -45.881274,-67.938568 -45.8809641,-67.9379243 -45.8811844,-67.93588984 -45.88149225;-67.93588984 -45.88149225,-67.9380155 -45.8812404,-67.938627 -45.880852,-67.9384768 -45.8805682,-67.9371035 -45.8800827,-67.9358482 -45.8797093,-67.9335737 -45.8797616,-67.934432 -45.8794255,-67.9350007 -45.8792835,-67.9357088 -45.8792686,-67.93512028 -45.8793768,-67.9308057 -45.8796645,-67.9309773 -45.8795823,-67.9308271 -45.8793582,-67.9319429 -45.8795524,-67.9332089 -45.8799333,-67.9339921 -45.8795524,-67.9349685 -45.8793358,-67.935698 -45.8793209,-67.92926139 -45.87980166,-67.9288745 -45.8790371,-67.9299796 -45.8786337,-67.9308271 -45.8793582,-67.9310632 -45.8796271,-67.9308057 -45.8796645,-67.92746283 -45.879252,-67.9288745 -45.8790371,-67.9299796 -45.8786337,-67.9304302 -45.8776552,-67.9309022 -45.8766245,-67.9306126 -45.8766543,-67.92916705 -45.87686758,-67.9305589 -45.8765722,-67.9309773 -45.8765423,-67.9323184 -45.875011,-67.9336917 -45.8726132,-67.93292309 -45.87290945,-67.9337347 -45.872531,-67.9350007 -45.8704245,-67.9346895 -45.8701032,-67.933282 -45.87018527,-67.936492 -45.8696625,-67.9362881 -45.8694234,-67.9350436 -45.8703273,-67.9347003 -45.8699986,-67.93551008 -45.87004015,-67.9383588 -45.8674437,-67.9380584 -45.8682655,-67.9363847 -45.8693786,-67.9365671 -45.8696326,-67.9400271 -45.8665472</t>
  </si>
  <si>
    <t>-67.9400271 -45.8665472,-67.9383588 -45.8674437,-67.9380584 -45.8682655,-67.9363847 -45.8693786,-67.9365671 -45.8696326,-67.93551008 -45.87004015,-67.936492 -45.8696625,-67.9362881 -45.8694234,-67.9350436 -45.8703273,-67.9347003 -45.8699986,-67.933282 -45.87018527,-67.9337347 -45.872531,-67.9350007 -45.8704245,-67.9346895 -45.8701032,-67.93292309 -45.87290945,-67.9305589 -45.8765722,-67.9309773 -45.8765423,-67.9323184 -45.875011,-67.9336917 -45.8726132,-67.92916705 -45.87686758,-67.9288745 -45.8790371,-67.9299796 -45.8786337,-67.9304302 -45.8776552,-67.9309022 -45.8766245,-67.9306126 -45.8766543,-67.92746283 -45.879252,-67.9288745 -45.8790371,-67.9299796 -45.8786337,-67.9308271 -45.8793582,-67.9310632 -45.8796271,-67.9308057 -45.8796645,-67.92926139 -45.87980166,-67.9308057 -45.8796645,-67.9309773 -45.8795823,-67.9308271 -45.8793582,-67.9319429 -45.8795524,-67.9332089 -45.8799333,-67.9339921 -45.8795524,-67.9349685 -45.8793358,-67.935698 -45.8793209,-67.93512028 -45.8793768,-67.9364383 -45.8791566,-67.9368889 -45.8790371,-67.9370821 -45.878798,-67.939657 -45.8787906,-67.9398179 -45.8784246,-67.93938002 -45.87863178,-67.9433799 -45.8793582,-67.9425859 -45.8792462,-67.9414809 -45.8788951,-67.9399574 -45.8788802,-67.9395819 -45.8785889,-67.9398179 -45.8784246,-67.94258106 -45.87928487,-67.9468131 -45.8799931,-67.9464698 -45.8794927,-67.9443026 -45.8791491,-67.9459034 -45.88040255,-67.9472744 -45.8827118,-67.9475963 -45.8819051,-67.9476392 -45.8807475,-67.9472208 -45.8805159,-67.94607409 -45.88311995,-67.9472744 -45.8852212,-67.9470921 -45.8844967,-67.9472423 -45.883959,-67.9472315 -45.8831823,-67.94628753 -45.88560005,-67.9487872 -45.8868418,-67.9495382 -45.8874766,-67.9496884 -45.88726,-67.9485726 -45.886095,-67.9476714 -45.8855871,-67.94746568 -45.88694764;-67.94746568 -45.88694764,-67.948755 -45.886894,-67.9494202 -45.887484,-67.9503751 -45.8875587,-67.9509008 -45.8873571,-67.9508793 -45.8868716,-67.94972726 -45.88693813,-67.951051 -45.8868418,-67.9516089 -45.886207,-67.952832 -45.8866028,-67.95178221 -45.88666191,-67.957381 -45.8868268,-67.9566729 -45.8866327,-67.953701 -45.8868791,-67.9533148 -45.8869911,-67.9529393 -45.8866103,-67.95650174 -45.8868325,-67.9563618 -45.8869613,-67.9570055 -45.8870583,-67.9568553 -45.8866028,-67.957381 -45.8868268,-67.95495587 -45.8875866,-67.9576063 -45.8896124,-67.9577136 -45.888888,-67.9572308 -45.8876483,-67.9565012 -45.8869986,-67.95602222 -45.88970885,-67.958647 -45.8921289,-67.9580784 -45.8917854,-67.958411 -45.8907699,-67.9588509 -45.8902397,-67.9578209 -45.8896422,-67.95792371 -45.89252328,-67.958411 -45.8946678,-67.9585934 -45.8938464,-67.9590118 -45.8934581,-67.9594839 -45.8932714,-67.9597199 -45.892913,-67.9595053 -45.8926741,-67.95753705 -45.89518861,-67.9602778 -45.8973559,-67.959677 -45.8974604,-67.9590976 -45.897326,-67.9587114 -45.8968257,-67.95928 -45.896094,-67.9591405 -45.8953548,-67.95956637 -45.89743693,-67.9642367 -45.8983564,-67.9643333 -45.8976993,-67.9650199 -45.8970721,-67.9652989 -45.8964076,-67.9613721 -45.8972065,-67.96354703 -45.89869944,-67.9693437 -45.9027914,-67.9659963 -45.8987297,-67.965138 -45.8986401,-67.96793825 -45.90348141,-67.9685926 -45.9034484,-67.9653096 -45.9044488,-67.9600525 -45.9049564,-67.9584861 -45.9041651,-67.9576707 -45.9040606,-67.95594313 -45.90408308,-67.9576921 -45.9039411,-67.9583466 -45.9038888,-67.959516 -45.9036873,-67.9611468 -45.9030079,-67.9597306 -45.9022762,-67.9588938 -45.9019029,-67.9587328 -45.9013728,-67.95803039 -45.90137444;-67.95803039 -45.90137444,-67.9576921 -45.9039411,-67.9583466 -45.9038888,-67.959516 -45.9036873,-67.9611468 -45.9030079,-67.9597306 -45.9022762,-67.9588938 -45.9019029,-67.9587328 -45.9013728,-67.95594313 -45.90408308,-67.9577565 -45.9038664,-67.9585826 -45.9036126,-67.9585826 -45.9031348,-67.9576492 -45.90253,-67.9561365 -45.9021343,-67.9558575 -45.9012832,-67.95417314 -45.90131869,-67.9519415 -45.9014251,-67.9524672 -45.9015595,-67.9527569 -45.9020821,-67.9535294 -45.9024554,-67.9558897 -45.9024703,-67.956233 -45.9022389,-67.9559326 -45.9014549,-67.9556215 -45.9012309,-67.95037233 -45.90142031,-67.9506755 -45.9009696,-67.9479718 -45.9005665,-67.9449892 -45.9007008,-67.945075 -45.9032692,-67.9445601 -45.9035379,-67.9423714 -45.902642,-67.94048121 -45.90255833,-67.9313636 -45.9007755,-67.9299688 -45.9015296,-67.9309559 -45.9024778,-67.931664 -45.9022687,-67.9323721 -45.9010144,-67.9335737 -45.900447,-67.9371786 -45.9012832,-67.9379082 -45.9021045,-67.9396677 -45.9026719,-67.941041 -45.9025674,-67.93028301 -45.90068278,-67.9312027 -45.9008128,-67.9299688 -45.9015296,-67.9282737 -45.9003723,-67.9263103 -45.8994316,-67.9232204 -45.8984983,-67.9221046 -45.8981623,-67.92046749 -45.89809236,-67.9196155 -45.9003499,-67.9192078 -45.9000214,-67.9200554 -45.8997825,-67.9231131 -45.8985207,-67.9222226 -45.8982295,-67.91900661 -45.90044035,-67.9163861 -45.9059195,-67.9159999 -45.9055014,-67.9150128 -45.9052252,-67.9152274 -45.9042696,-67.9163969 -45.9024479,-67.9179418 -45.9021418,-67.9190683 -45.9011936,-67.9189825 -45.9003723,-67.9191971 -45.9000886,-67.9196155 -45.9003499,-67.91573771 -45.90642661,-67.9164612 -45.9058822,-67.9158711 -45.905479,-67.9148841 -45.9052252,-67.9124272 -45.9007456,-67.9111719 -45.9011339,-67.9084682 -45.9027914,-67.9066489 -45.9028322,-67.9084682 -45.9027914,-67.9096591 -45.9021717,-67.9111719 -45.9011339,-67.9123199 -45.9007083,-67.9114294 -45.8999766,-67.9097021 -45.9003425,-67.9089189 -45.9008875,-67.9101956 -45.899678,-67.90953741 -45.89946636,-67.9101312 -45.899663,-67.9090261 -45.9007008,-67.9088652 -45.9010443,-67.9077709 -45.901328,-67.907331 -45.9009771,-67.9077816 -45.9005441,-67.9070628 -45.8999318,-67.90575154 -45.89995116,-67.9071593 -45.8999318,-67.9077816 -45.9005441,-67.9093266 -45.8992524,-67.9094017 -45.8982519,-67.9090691 -45.8980577,-67.9083502 -45.8984833,-67.9024601 -45.8979383,-67.9008722 -45.8967959,-67.9025567 -45.8975649,-67.9050457 -45.8975575,-67.9064405 -45.8970647,-67.9069877 -45.8965047,-67.9064941 -45.8957953,-67.9053569 -45.8954966,-67.9042304 -45.895407,-67.9022777 -45.8949814,-67.9017198 -45.8952876,-67.9019129 -45.8963628,-67.9025137 -45.896766,-67.9042196 -45.8966017,-67.90372312 -45.89680061;-67.90372312 -45.89680061,-67.9071593 -45.8999318,-67.9077816 -45.9005441,-67.9093266 -45.8992524,-67.9094017 -45.8982519,-67.9090691 -45.8980577,-67.9083502 -45.8984833,-67.9024601 -45.8979383,-67.9008722 -45.8967959,-67.9025567 -45.8975649,-67.9050457 -45.8975575,-67.9064405 -45.8970647,-67.9069877 -45.8965047,-67.9064941 -45.8957953,-67.9053569 -45.8954966,-67.9042304 -45.895407,-67.9022777 -45.8949814,-67.9017198 -45.8952876,-67.9019129 -45.8963628,-67.9025137 -45.896766,-67.9042196 -45.8966017,-67.90575154 -45.89995116,-67.9101312 -45.899663,-67.9090261 -45.9007008,-67.9088652 -45.9010443,-67.9077709 -45.901328,-67.907331 -45.9009771,-67.9077816 -45.9005441,-67.9070628 -45.8999318,-67.90953741 -45.89946636,-67.9084682 -45.9027914,-67.9096591 -45.9021717,-67.9111719 -45.9011339,-67.9123199 -45.9007083,-67.9114294 -45.8999766,-67.9097021 -45.9003425,-67.9089189 -45.9008875,-67.9101956 -45.899678,-67.9066489 -45.9028322,-67.9164612 -45.9058822,-67.9158711 -45.905479,-67.9148841 -45.9052252,-67.9124272 -45.9007456,-67.9111719 -45.9011339,-67.9084682 -45.9027914,-67.91573771 -45.90642661,-67.9163861 -45.9059195,-67.9159999 -45.9055014,-67.9150128 -45.9052252,-67.9152274 -45.9042696,-67.9163969 -45.9024479,-67.9179418 -45.9021418,-67.9190683 -45.9011936,-67.9189825 -45.9003723,-67.9191971 -45.9000886,-67.9196155 -45.9003499,-67.91900661 -45.90044035,-67.9196155 -45.9003499,-67.9192078 -45.9000214,-67.9200554 -45.8997825,-67.9231131 -45.8985207,-67.9222226 -45.8982295,-67.92046749 -45.89809236,-67.9312027 -45.9008128,-67.9299688 -45.9015296,-67.9282737 -45.9003723,-67.9263103 -45.8994316,-67.9232204 -45.8984983,-67.9221046 -45.8981623,-67.93028301 -45.90068278,-67.9313636 -45.9007755,-67.9299688 -45.9015296,-67.9309559 -45.9024778,-67.931664 -45.9022687,-67.9323721 -45.9010144,-67.9335737 -45.900447,-67.9371786 -45.9012832,-67.9379082 -45.9021045,-67.9396677 -45.9026719,-67.941041 -45.9025674,-67.94048121 -45.90255833,-67.9417276 -45.9060912,-67.9426718 -45.9047623,-67.9416203 -45.9047773,-67.9445601 -45.9035379,-67.942543 -45.9026271,-67.94070253 -45.90708056,-67.9419637 -45.9061061,-67.9426718 -45.9047623,-67.9415345 -45.9048967,-67.938745 -45.9059568,-67.9340029 -45.9072707,-67.9353547 -45.9073006,-67.93482704 -45.9074612,-67.922008 -45.9097193,-67.9201412 -45.9109884,-67.9196906 -45.9109585,-67.9200125 -45.9097492,-67.9210854 -45.909585,-67.9227591 -45.90851,-67.9267287 -45.9077933,-67.9317927 -45.9075544,-67.9344964 -45.9080023,-67.9353762 -45.9076142,-67.92132124 -45.90950332,-67.9221797 -45.9097492,-67.9201412 -45.9109884,-67.91924 -45.911063,-67.9191971 -45.9115109,-67.91938339 -45.91141146,-67.9191971 -45.9115109,-67.9193473 -45.9122574,-67.9206347 -45.9121827,-67.9237676 -45.911287,-67.92339949 -45.91107871,-67.9250765 -45.911063,-67.9249692 -45.9120036,-67.9233384 -45.9123171,-67.92178415 -45.91276334,-67.9231882 -45.9122723,-67.9249692 -45.9120036,-67.9255915 -45.9130038,-67.9226518 -45.9145117,-67.9209566 -45.9155119,-67.9190469 -45.9157209,-67.9196262 -45.9152282,-67.9198102 -45.91487479,,-67.91936766 -45.91518342,-67.9294324 -45.9165121,-67.930162 -45.916945,-67.9304409 -45.9174227,-67.9261708 -45.9179004,-67.9190469 -45.9157209,-67.9196262 -45.9152282,-67.92776392 -45.91634643,-67.9315567 -45.9216173,-67.9323292 -45.9215277,-67.9268146 -45.9178258,-67.9294968 -45.9176466,-67.9304409 -45.9174227,-67.9300117 -45.9168704,-67.9294324 -45.9165121,-67.92974857 -45.92193359,-67.9378974 -45.9205575,-67.9375219 -45.920244,-67.9376721 -45.9193932,-67.9373181 -45.9201097,-67.9375005 -45.9207814,-67.9381657 -45.9214382,-67.9378438 -45.9222592,-67.9378653 -45.9235428,-67.9352689 -45.9230204,-67.9323292 -45.9215277,-67.9315567 -45.9216173,-67.93749101 -45.92107433,-67.9473066 -45.9191991,-67.9491735 -45.9182736,-67.9488516 -45.9169151,-67.9491198 -45.9161986,-67.9481864 -45.9168405,-67.9482937 -45.9178556,-67.947135 -45.9184079,-67.94559 -45.9178407,-67.9453111 -45.9174227,-67.9465771 -45.9168554,-67.9420924 -45.9173033,-67.9408264 -45.9169002,-67.9406118 -45.9177959,-67.9378867 -45.9191842,-67.9375434 -45.9200649,-67.9378974 -45.9205575,-67.94586231 -45.91962676,-67.9510295 -45.9188259,-67.949667 -45.9168704,-67.9491198 -45.9161986,-67.9486799 -45.916833,-67.9491198 -45.9181243,-67.9471564 -45.9191543,-67.95055552 -45.91916669,-67.958014 -45.9182139,-67.9570055 -45.9184677,-67.9553103 -45.9181691,-67.9540443 -45.919229,-67.95192 -45.9189752,-67.95789863 -45.9184072;-67.95789863 -45.9184072,-67.958014 -45.9182139,-67.9570055 -45.9184677,-67.9553103 -45.9181691,-67.9540443 -45.919229,-67.95192 -45.9189752,-67.95055552 -45.91916669,-67.9510295 -45.9188259,-67.949667 -45.9168704,-67.9491198 -45.9161986,-67.9486799 -45.916833,-67.9491198 -45.9181243,-67.9471564 -45.9191543,-67.94586231 -45.91962676,-67.9473066 -45.9191991,-67.9491735 -45.9182736,-67.9488516 -45.9169151,-67.9491198 -45.9161986,-67.9481864 -45.9168405,-67.9482937 -45.9178556,-67.947135 -45.9184079,-67.94559 -45.9178407,-67.9453111 -45.9174227,-67.9465771 -45.9168554,-67.9420924 -45.9173033,-67.9408264 -45.9169002,-67.9406118 -45.9177959,-67.9378867 -45.9191842,-67.9375434 -45.9200649,-67.9378974 -45.9205575,-67.93749101 -45.92107433,-67.9378974 -45.9205575,-67.9375219 -45.920244,-67.9376721 -45.9193932,-67.9373181 -45.9201097,-67.9375005 -45.9207814,-67.9381657 -45.9214382,-67.9378438 -45.9222592,-67.9378653 -45.9235428,-67.9352689 -45.9230204,-67.9323292 -45.9215277,-67.9315567 -45.9216173,-67.92974857 -45.92193359,-67.9315567 -45.9216173,-67.9323292 -45.9215277,-67.9268146 -45.9178258,-67.9294968 -45.9176466,-67.9304409 -45.9174227,-67.9300117 -45.9168704,-67.9294324 -45.9165121,-67.92776392 -45.91634643,-67.9294324 -45.9165121,-67.930162 -45.916945,-67.9304409 -45.9174227,-67.9261708 -45.9179004,-67.9190469 -45.9157209,-67.9196262 -45.9152282,-67.91936766 -45.91518342,,-67.9198102 -45.91487479,-67.9231882 -45.9122723,-67.9249692 -45.9120036,-67.9255915 -45.9130038,-67.9226518 -45.9145117,-67.9209566 -45.9155119,-67.9190469 -45.9157209,-67.9196262 -45.9152282,-67.92178415 -45.91276334,-67.9250765 -45.911063,-67.9249692 -45.9120036,-67.9233384 -45.9123171,-67.92339949 -45.91107871,-67.9191971 -45.9115109,-67.9193473 -45.9122574,-67.9206347 -45.9121827,-67.9237676 -45.911287,-67.91938339 -45.91141146,-67.9221797 -45.9097492,-67.9201412 -45.9109884,-67.91924 -45.911063,-67.9191971 -45.9115109,-67.92132124 -45.90950332,-67.922008 -45.9097193,-67.9201412 -45.9109884,-67.9196906 -45.9109585,-67.9200125 -45.9097492,-67.9210854 -45.909585,-67.9227591 -45.90851,-67.9267287 -45.9077933,-67.9317927 -45.9075544,-67.9344964 -45.9080023,-67.9353762 -45.9076142,-67.93482704 -45.9074612,-67.9419637 -45.9061061,-67.9426718 -45.9047623,-67.9415345 -45.9048967,-67.938745 -45.9059568,-67.9340029 -45.9072707,-67.9353547 -45.9073006,-67.94070253 -45.90708056,-67.9417276 -45.9060912,-67.9426718 -45.9047623,-67.9416203 -45.9047773,-67.9445601 -45.9035379,-67.942543 -45.9026271,-67.94048121 -45.90255833,-67.9313636 -45.9007755,-67.9299688 -45.9015296,-67.9309559 -45.9024778,-67.931664 -45.9022687,-67.9323721 -45.9010144,-67.9335737 -45.900447,-67.9371786 -45.9012832,-67.9379082 -45.9021045,-67.9396677 -45.9026719,-67.941041 -45.9025674,-67.93028301 -45.90068278,-67.9312027 -45.9008128,-67.9299688 -45.9015296,-67.9282737 -45.9003723,-67.9263103 -45.8994316,-67.9232204 -45.8984983,-67.9221046 -45.8981623,-67.92046749 -45.89809236,-67.9221904 -45.8981548,-67.9232204 -45.8984983,-67.9230487 -45.8980652,-67.9224908 -45.89755,-67.9236388 -45.8964449,-67.92261639 -45.89612501,-67.9235637 -45.895743,-67.9241538 -45.8953249,-67.9267287 -45.8949142,-67.9271579 -45.8944961,-67.9267287 -45.8942048,-67.9257309 -45.8936448,-67.9256558 -45.8930698,-67.9268682 -45.8923604,-67.9289711 -45.8934208,-67.9293036 -45.893361,-67.92819602 -45.89300211,-67.929368 -45.8925994,-67.9296148 -45.8919423,-67.9287994 -45.8913897,-67.9285097 -45.8910014,-67.9286277 -45.8901127,-67.92758265 -45.88993498,-67.9286492 -45.8892166,-67.9288638 -45.8878724,-67.9292393 -45.8876931,-67.92838162 -45.88770662,-67.929883 -45.8876782,-67.9306018 -45.8878724,-67.9317605 -45.8883727,-67.9326189 -45.888201,-67.93184093 -45.88869985,,-67.93195275 -45.88880085,-67.9325545 -45.8880964,-67.9324257 -45.8875363,-67.933048 -45.8868642,-67.9335093 -45.8836304,-67.93297197 -45.88384007,,-67.93288041 -45.88347512,-67.9369962 -45.8822636,-67.9367441 -45.8819686,-67.9343677 -45.8832719,-67.93623372 -45.88237227,-67.9369104 -45.8822487,-67.9367441 -45.8819686,-67.9385787 -45.881274,-67.938568 -45.8809641,-67.9379243 -45.8811844,-67.93588984 -45.88149225,-67.9380155 -45.8812404,-67.938627 -45.880852,-67.9384768 -45.8805682,-67.9371035 -45.8800827,-67.9358482 -45.8797093,-67.9335737 -45.8797616,-67.934432 -45.8794255,-67.9350007 -45.8792835,-67.9357088 -45.8792686,-67.93512028 -45.8793768,-67.9308057 -45.8796645,-67.9309773 -45.8795823,-67.9308271 -45.8793582,-67.9319429 -45.8795524,-67.9332089 -45.8799333,-67.9339921 -45.8795524,-67.9349685 -45.8793358,-67.935698 -45.8793209,-67.92926139 -45.87980166,-67.9288745 -45.8790371,-67.9299796 -45.8786337,-67.9308271 -45.8793582,-67.9310632 -45.8796271,-67.9308057 -45.8796645,-67.92746283 -45.879252,-67.9288745 -45.8790371,-67.9299796 -45.8786337,-67.9304302 -45.8776552,-67.9309022 -45.8766245,-67.9306126 -45.8766543,-67.92916705 -45.87686758,-67.9305589 -45.8765722,-67.9309773 -45.8765423,-67.9323184 -45.875011,-67.9336917 -45.8726132,-67.93292309 -45.87290945,-67.9337347 -45.872531,-67.9350007 -45.8704245,-67.9346895 -45.8701032,-67.933282 -45.87018527,-67.936492 -45.8696625,-67.9362881 -45.8694234,-67.9350436 -45.8703273,-67.9347003 -45.8699986,-67.93551008 -45.87004015,-67.9383588 -45.8674437,-67.9380584 -45.8682655,-67.9363847 -45.8693786,-67.9365671 -45.8696326,-67.9400271 -45.8665472</t>
  </si>
  <si>
    <t>-67.9400271 -45.8665472,-67.9383588 -45.8674437,-67.9380584 -45.8682655,-67.9363847 -45.8693786,-67.9365671 -45.8696326,-67.93551008 -45.87004015,-67.936492 -45.8696625,-67.9362881 -45.8694234,-67.9350436 -45.8703273,-67.9347003 -45.8699986,-67.933282 -45.87018527,-67.9337347 -45.872531,-67.9350007 -45.8704245,-67.9346895 -45.8701032,-67.93292309 -45.87290945,-67.9305589 -45.8765722,-67.9309773 -45.8765423,-67.9323184 -45.875011,-67.9336917 -45.8726132,-67.92916705 -45.87686758,-67.9288745 -45.8790371,-67.9299796 -45.8786337,-67.9304302 -45.8776552,-67.9309022 -45.8766245,-67.9306126 -45.8766543,-67.92746283 -45.879252,-67.9288745 -45.8790371,-67.9299796 -45.8786337,-67.9308271 -45.8793582,-67.9310632 -45.8796271,-67.9308057 -45.8796645,-67.92926139 -45.87980166,-67.9308057 -45.8796645,-67.9309773 -45.8795823,-67.9308271 -45.8793582,-67.9319429 -45.8795524,-67.9332089 -45.8799333,-67.9339921 -45.8795524,-67.9349685 -45.8793358,-67.935698 -45.8793209,-67.93512028 -45.8793768,-67.9364383 -45.8791566,-67.9368889 -45.8790371,-67.9370821 -45.878798,-67.939657 -45.8787906,-67.9398179 -45.8784246,-67.93938002 -45.87863178,-67.9433799 -45.8793582,-67.9425859 -45.8792462,-67.9414809 -45.8788951,-67.9399574 -45.8788802,-67.9395819 -45.8785889,-67.9398179 -45.8784246,-67.94258106 -45.87928487,-67.9468131 -45.8799931,-67.9464698 -45.8794927,-67.9443026 -45.8791491,-67.9459034 -45.88040255,-67.9472744 -45.8827118,-67.9475963 -45.8819051,-67.9476392 -45.8807475,-67.9472208 -45.8805159,-67.94607409 -45.88311995,-67.9472744 -45.8852212,-67.9470921 -45.8844967,-67.9472423 -45.883959,-67.9472315 -45.8831823,-67.94628753 -45.88560005,-67.9487872 -45.8868418,-67.9495382 -45.8874766,-67.9496884 -45.88726,-67.9485726 -45.886095,-67.9476714 -45.8855871,-67.94746568 -45.88694764,-67.948755 -45.886894,-67.9494202 -45.887484,-67.9503751 -45.8875587,-67.9509008 -45.8873571,-67.9508793 -45.8868716,-67.94972726 -45.88693813,-67.951051 -45.8868418,-67.9516089 -45.886207,-67.952832 -45.8866028,-67.95178221 -45.88666191,-67.957381 -45.8868268,-67.9566729 -45.8866327,-67.953701 -45.8868791,-67.9533148 -45.8869911,-67.9529393 -45.8866103,-67.95650174 -45.8868325,-67.9573059 -45.8868268,-67.956748 -45.8864908,-67.9563725 -45.8857215,-67.9556644 -45.8849971,-67.9546167 -45.88506443,-67.960428 -45.8852436,-67.9597843 -45.8853855,-67.9578102 -45.8852959,-67.9558897 -45.8849448,-67.95958113 -45.88533853,-67.9643977 -45.8867746,-67.9641402 -45.8867895,-67.9629064 -45.8855274,-67.9625845 -45.8842055,-67.9620588 -45.8840412,-67.9608893 -45.8848926,-67.96291589 -45.88644251,-67.9671872 -45.8881412,-67.9659748 -45.8870061,-67.9642153 -45.8869314,-67.9642582 -45.8866849,-67.96633372 -45.88873533,-67.9702985 -45.892002,-67.9693437 -45.8927189,-67.9695046 -45.8920393,-67.9694617 -45.8909565,-67.9689038 -45.8902247,-67.9675949 -45.8891494,-67.9695987 -45.89181892,-67.9702985 -45.892002,-67.969805 -45.8925695,-67.9693437 -45.8927189,-67.9691291 -45.8925844,-67.9689145 -45.8911731,-67.96747113 -45.89098947;-67.96747113 -45.89098947,-67.9702985 -45.892002,-67.969805 -45.8925695,-67.9693437 -45.8927189,-67.9691291 -45.8925844,-67.9689145 -45.8911731,-67.9695987 -45.89181892,-67.9699337 -45.8946379,-67.9693973 -45.8950411,-67.9688287 -45.894847,-67.9686248 -45.893936,-67.9694724 -45.8926591,-67.9702985 -45.892002,-67.96939983 -45.89469974,-67.9721761 -45.8962209,-67.9716182 -45.8947873,-67.9710388 -45.8947723,-67.97161551 -45.8965517,-67.9729271 -45.8958177,-67.9726696 -45.8949515,-67.97168684 -45.8946769,-67.9725194 -45.8940704,-67.9735279 -45.8935179,-67.97316911 -45.89352066,-67.9749441 -45.8933834,-67.9761243 -45.8929055,-67.9766607 -45.892353,-67.97648439 -45.89266109,-67.9748368 -45.8912328,-67.9752231 -45.891427,-67.9759526 -45.8921289,-67.9767251 -45.8924575,-67.97300504 -45.89135,-67.9743755 -45.8910088,-67.9777122 -45.890165,-67.97751751 -45.89013616,-67.9778516 -45.8901202,-67.977283 -45.8901052,-67.9767358 -45.889926,-67.97500117 -45.89011334,-67.9755127 -45.8898364,-67.9753196 -45.8896348,-67.9751372 -45.889239,-67.9736996 -45.8884922,-67.9752123 -45.8886192,-67.97417558 -45.88870119,-67.9753625 -45.8886192,-67.9764462 -45.8884623,-67.9771543 -45.8881561,-67.9769289 -45.888649,-67.97595558 -45.88889979,-67.9770148 -45.8886117,-67.9772186 -45.8879396,-67.9777443 -45.8870285,-67.97698555 -45.88678202,-67.98136 -45.8871704,-67.9796433 -45.8867148,-67.9789674 -45.8862518,-67.9784203 -45.8865057,-67.98086798 -45.88739413;-67.98086798 -45.88739413,-67.98136 -45.8871704,-67.9796433 -45.8867148,-67.9789674 -45.8862518,-67.9784203 -45.8865057,-67.97698555 -45.88678202,-67.9778302 -45.8870135,-67.9771757 -45.8878873,-67.9771113 -45.8870583,-67.9760706 -45.8855946,-67.9760921 -45.885154,-67.976414 -45.8844445,-67.9765964 -45.8829881,-67.97565115 -45.88292201,-67.9766071 -45.8824279,-67.9764247 -45.8817184,-67.9768002 -45.8819051,-67.97621382 -45.88197066;-67.97621382 -45.88197066,-67.9766071 -45.8824279,-67.9764247 -45.8817184,-67.9768002 -45.8819051,-67.97565115 -45.88292201,-67.9766285 -45.88254,-67.9760277 -45.8820396,-67.9747617 -45.8818006,-67.9745471 -45.8818454,-67.97327478 -45.88212301,-67.9741502 -45.8819201,-67.9734421 -45.8820844,-67.9724014 -45.8825176,-67.9714251 -45.8825474,-67.96961317 -45.88291315,-67.9670584 -45.8844071,-67.9672515 -45.8836677,-67.9703629 -45.8832122,-67.96615149 -45.88487087,-67.9642582 -45.8866849,-67.9660714 -45.8869613,-67.9663503 -45.8865505,-67.9662859 -45.88549,-67.9665112 -45.8837798,-67.9671657 -45.8837275,-67.9670477 -45.8843548,-67.96291589 -45.88644251,-67.9643977 -45.8867746,-67.9641402 -45.8867895,-67.9629064 -45.8855274,-67.9625845 -45.8842055,-67.9620588 -45.8840412,-67.9608893 -45.8848926,-67.95958113 -45.88533853,-67.960428 -45.8852436,-67.9597843 -45.8853855,-67.9578102 -45.8852959,-67.9558897 -45.8849448,-67.9546167 -45.88506443,-67.9573059 -45.8868268,-67.956748 -45.8864908,-67.9563725 -45.8857215,-67.9556644 -45.8849971,-67.95650174 -45.8868325,-67.957381 -45.8868268,-67.9566729 -45.8866327,-67.953701 -45.8868791,-67.9533148 -45.8869911,-67.9529393 -45.8866103,-67.95178221 -45.88666191,-67.951051 -45.8868418,-67.9516089 -45.886207,-67.952832 -45.8866028,-67.94972726 -45.88693813,-67.948755 -45.886894,-67.9494202 -45.887484,-67.9503751 -45.8875587,-67.9509008 -45.8873571,-67.9508793 -45.8868716,-67.94746568 -45.88694764,-67.9484117 -45.88667,-67.947489 -45.8864908,-67.9468238 -45.8864609,-67.9463196 -45.8856021,-67.9456758 -45.8850643,-67.945118 -45.8847581,-67.9446459 -45.8841607,-67.9440129 -45.8842652,-67.94255555 -45.88454697,-67.9423177 -45.8861323,-67.9425859 -45.8852137,-67.9431438 -45.8846088,-67.9432619 -45.8842802,-67.94198922 -45.88653728;-67.94198922 -45.88653728,-67.9423177 -45.8861323,-67.9425859 -45.8852137,-67.9431438 -45.8846088,-67.9432619 -45.8842802,-67.94255555 -45.88454697,-67.9459763 -45.8845415,-67.9446459 -45.8841607,-67.9436696 -45.8842353,-67.94483649 -45.8845247,-67.9471672 -45.8852884,-67.9470921 -45.8848627,-67.9461265 -45.8845565,-67.94628753 -45.88560005,-67.9472744 -45.8852212,-67.9470921 -45.8844967,-67.9472423 -45.883959,-67.9472315 -45.8831823,-67.94607409 -45.88311995,-67.9472744 -45.8827118,-67.9475963 -45.8819051,-67.9476392 -45.8807475,-67.9472208 -45.8805159,-67.9459034 -45.88040255,-67.9468131 -45.8799931,-67.9464698 -45.8794927,-67.9443026 -45.8791491,-67.94258106 -45.87928487,-67.9433799 -45.8793582,-67.9425859 -45.8792462,-67.9414809 -45.8788951,-67.9399574 -45.8788802,-67.9395819 -45.8785889,-67.9398179 -45.8784246,-67.93938002 -45.87863178,-67.9364383 -45.8791566,-67.9368889 -45.8790371,-67.9370821 -45.878798,-67.939657 -45.8787906,-67.9398179 -45.8784246,-67.93512028 -45.8793768,-67.9308057 -45.8796645,-67.9309773 -45.8795823,-67.9308271 -45.8793582,-67.9319429 -45.8795524,-67.9332089 -45.8799333,-67.9339921 -45.8795524,-67.9349685 -45.8793358,-67.935698 -45.8793209,-67.92926139 -45.87980166,-67.9288745 -45.8790371,-67.9299796 -45.8786337,-67.9308271 -45.8793582,-67.9310632 -45.8796271,-67.9308057 -45.8796645,-67.92746283 -45.879252,-67.9288745 -45.8790371,-67.9299796 -45.8786337,-67.9304302 -45.8776552,-67.9309022 -45.8766245,-67.9306126 -45.8766543,-67.92916705 -45.87686758,-67.9305589 -45.8765722,-67.9309773 -45.8765423,-67.9323184 -45.875011,-67.9336917 -45.8726132,-67.93292309 -45.87290945,-67.9337347 -45.872531,-67.9350007 -45.8704245,-67.9346895 -45.8701032,-67.933282 -45.87018527,-67.936492 -45.8696625,-67.9362881 -45.8694234,-67.9350436 -45.8703273,-67.9347003 -45.8699986,-67.93551008 -45.87004015,-67.9383588 -45.8674437,-67.9380584 -45.8682655,-67.9363847 -45.8693786,-67.9365671 -45.8696326,-67.9400271 -45.8665472</t>
  </si>
  <si>
    <t>-67.9400271 -45.8665472,-67.9452038 -45.8642219,-67.9464403 -45.8647635,-67.9454304 -45.86503525,,-67.94551194 -45.86495899,-67.949152 -45.8670029,-67.9489589 -45.866338,-67.9464805 -45.8656358,-67.946502 -45.8652099,-67.94827454 -45.86749255,-67.9513514 -45.867951700000006,-67.9506004 -45.8681534,-67.9493558 -45.8665622,-67.9490876 -45.8664576,-67.9492164 -45.8668461,-67.95075242 -45.86791677,-67.9511476 -45.8693039,-67.95089010000001 -45.8697222,-67.9506433 -45.8681011,-67.9512978 -45.867892,-67.95011093 -45.86936834,-67.9526013 -45.869965,-67.9517484 -45.8700734,-67.9508901 -45.8697222,-67.9511476 -45.8693039,-67.95188123 -45.87007275,-67.9518449 -45.870925,-67.9516733 -45.8706037,-67.9509866 -45.870275,-67.95089010000001 -45.8697222,-67.9517484 -45.8700734,-67.9526281 -45.8699912,-67.95082673 -45.87123588,-67.9510081 -45.87218,-67.9515123 -45.8715599,-67.9518449 -45.870925,-67.94974928 -45.87213834,-67.9508579 -45.8736739,-67.9509115 -45.8721426,-67.94983615 -45.87396079,-67.9521346 -45.8759746,-67.951448 -45.8759597,-67.9509008 -45.8738383,-67.95155064 -45.87647635,-67.9521346 -45.8759746,-67.9517162 -45.8759074,-67.9513943 -45.8758999,-67.9525959 -45.87702780000001,-67.95337920000001 -45.8774162,-67.95259842 -45.87763583,-67.9538298 -45.8776104,-67.9575419 -45.8788205,-67.9596341 -45.8789624,-67.9602242 -45.8794852,-67.95937836 -45.87978501,-67.967391 -45.8796271,-67.9660606 -45.879657,-67.9619408 -45.879179,-67.959795 -45.8789997,-67.9602242 -45.8794852,-67.96661757 -45.87943084,-67.9708028 -45.8792686,-67.9686999 -45.8795524,-67.9682064 -45.8792238,-67.96993071 -45.87922522,-67.9739785 -45.8781632,-67.9745579 -45.8782677,-67.9740644 -45.8788802,-67.9710174 -45.8792537,-67.97210325 -45.8786421,-67.9764569 -45.8790072,-67.9757595 -45.8787084,-67.9755771 -45.8785142,-67.9742253 -45.8787756,-67.974236 -45.878222900000004,-67.9757414 -45.87911165,-67.9789352 -45.8795823,-67.9791069 -45.8776627,-67.9756737 -45.8784769,-67.9758239 -45.8787234,-67.9765105 -45.8789474,-67.97764389 -45.88001208,-67.9789352 -45.8795823,-67.9789889 -45.8790669,-67.9799759 -45.8791491,-67.97934342 -45.87920812,-67.9797721 -45.879179,-67.9789889 -45.8790669,-67.9792571 -45.8776403,-67.9831409 -45.876744,-67.9844499 -45.8766842,-67.9838705 -45.8772892,-67.98257485 -45.87765379,-67.9838705 -45.8772892,-67.9842675 -45.8766469,-67.9854584 -45.876617,-67.9846001 -45.8763854,-67.98281428 -45.87644776,-67.9865313 -45.875578700000005,-67.9854369 -45.8754517,-67.9845679 -45.8750857,-67.98401 -45.8753098,-67.9841065 -45.8756534,-67.9853833 -45.8764975,-67.98469660000002 -45.8764303,-67.98591945 -45.87583057;-67.98591945 -45.87583057,-67.9865313 -45.875578700000005,-67.9854369 -45.8754517,-67.9845679 -45.8750857,-67.98401 -45.8753098,-67.9841065 -45.8756534,-67.9853833 -45.8764975,-67.98469660000002 -45.8764303,-67.98281428 -45.87644776,-67.9838705 -45.8772892,-67.9842675 -45.8766469,-67.9854584 -45.876617,-67.9846001 -45.8763854,-67.98257485 -45.87765379,-67.9797721 -45.879179,-67.9789889 -45.8790669,-67.9792571 -45.8776403,-67.9831409 -45.876744,-67.9844499 -45.8766842,-67.9838705 -45.8772892,-67.97934342 -45.87920812,-67.9789352 -45.8795823,-67.9789889 -45.8790669,-67.9799759 -45.8791491,-67.97764389 -45.88001208,-67.9789352 -45.8795823,-67.9791069 -45.8776627,-67.9756737 -45.8784769,-67.9758239 -45.8787234,-67.9765105 -45.8789474,-67.9757414 -45.87911165,-67.9764569 -45.8790072,-67.9757595 -45.8787084,-67.9755771 -45.8785142,-67.9742253 -45.8787756,-67.974236 -45.878222900000004,-67.97210325 -45.8786421,-67.9739785 -45.8781632,-67.9745579 -45.8782677,-67.9740644 -45.8788802,-67.9710174 -45.8792537,-67.96993071 -45.87922522,-67.9708028 -45.8792686,-67.9686999 -45.8795524,-67.9682064 -45.8792238,-67.96661757 -45.87943084,-67.967391 -45.8796271,-67.9660606 -45.879657,-67.9619408 -45.879179,-67.959795 -45.8789997,-67.9602242 -45.8794852,-67.95937836 -45.87978501,-67.9538298 -45.8776104,-67.9575419 -45.8788205,-67.9596341 -45.8789624,-67.9602242 -45.8794852,-67.95259842 -45.87763583,-67.9534543 -45.8773565,-67.9526925 -45.87711,-67.9530144 -45.8775731,-67.9524779 -45.878813,-67.9512334 -45.8789325,-67.94944114 -45.87896309,-67.9512119 -45.8788877,-67.952435 -45.8787607,-67.9518127 -45.8800454,-67.9474354 -45.8786785,-67.9441524 -45.8779764,-67.9427791 -45.8776328,-67.940805 -45.8776926,-67.93921257 -45.87804782,,-67.93938002 -45.87863178,-67.9364383 -45.8791566,-67.9368889 -45.8790371,-67.9370821 -45.878798,-67.939657 -45.8787906,-67.9398179 -45.8784246,-67.93512028 -45.8793768,-67.9308057 -45.8796645,-67.9309773 -45.8795823,-67.9308271 -45.8793582,-67.9319429 -45.8795524,-67.9332089 -45.8799333,-67.9339921 -45.8795524,-67.9349685 -45.8793358,-67.935698 -45.8793209,-67.92926139 -45.87980166,-67.9288745 -45.8790371,-67.9299796 -45.8786337,-67.9308271 -45.8793582,-67.9310632 -45.8796271,-67.9308057 -45.8796645,-67.92746283 -45.879252,-67.9288745 -45.8790371,-67.9299045 -45.8786188,-67.929765 -45.8784918,-67.9247224 -45.8798512,-67.9241753 -45.8796943,-67.92260289 -45.87981886,-67.9231775 -45.8798138,-67.9230273 -45.8801051,-67.9220295 -45.8802022,-67.9198301 -45.8807027,-67.9191542 -45.8814645,-67.9198301 -45.8813375,-67.91930941 -45.88137118,-67.9183173 -45.8833018,-67.9179525 -45.8832943,-67.9178452 -45.8829358,-67.9186606 -45.8819873,-67.9191113 -45.8815466,-67.9197979 -45.8813898,-67.91747464 -45.88372353,-67.9166651 -45.8823159,-67.9170835 -45.8822711,-67.9178345 -45.8833989,-67.9184783 -45.8832943,-67.91541483 -45.88231338,-67.9166651 -45.8823159,-67.9169762 -45.8821367,-67.9166543 -45.8815466,-67.913146 -45.8824205,-67.9128242 -45.8814645,-67.91214619 -45.88124859,,-67.91210808 -45.8814063,-67.9107428 -45.880501,-67.9119766 -45.880389,-67.9123414 -45.8806952,-67.9129958 -45.8809193,-67.90891537 -45.88072557,,-67.90902811 -45.88062544,-67.9128993 -45.8770876,-67.9123092 -45.8779241,-67.9113972 -45.8784843,-67.9096162 -45.8795599,-67.9116762 -45.8803665,-67.9107749 -45.88068770000001,-67.91188203 -45.87683257;-67.91188203 -45.87683257,-67.915163 -45.8739802,-67.9151952 -45.8744657,-67.9132426 -45.8763929,-67.91362407 -45.87400466,-67.9147124 -45.8735918,-67.9146481 -45.8732631,-67.9165041 -45.8723592,-67.917223 -45.8722696,-67.9172659 -45.8726356,-67.91546223 -45.87287307,-67.9221582 -45.8723966,-67.9212999 -45.8721351,-67.917105 -45.8727327,-67.92142151 -45.87273947,-67.9212248 -45.8733378,-67.9216969 -45.8732033,-67.9219866 -45.8726954,-67.91957453 -45.87370778,,-67.91979942 -45.8736741,-67.9206347 -45.8733602,-67.9204845 -45.8732108,-67.9220188 -45.8711565,-67.92053462 -45.87127057,-67.9235101 -45.8711267,-67.9226303 -45.8711043,-67.9216754 -45.8713134,-67.92270363 -45.87121385,-67.9239607 -45.87091,-67.9254735 -45.8690648,-67.92477777 -45.86902425,-67.9271686 -45.8677052,-67.926718 -45.8677948,-67.925849 -45.8687063,-67.92759808 -45.86788307,-67.9312563 -45.8666892,-67.9306877 -45.8669805,-67.9292071 -45.866338,-67.9283273 -45.867257,-67.93029002 -45.86668754,-67.9317927 -45.8665099,-67.9313958 -45.8663156,-67.9318678 -45.8652174,-67.93025624 -45.86524613,-67.934196 -45.8650755,-67.9339492 -45.8648887,-67.9318678 -45.8652174,-67.93322311 -45.86539389,-67.9364544 -45.8650082,-67.9343033 -45.8651128,-67.93542287 -45.86514387,-67.9374468 -45.8637643,-67.93648120000002 -45.8648999,-67.93638614 -45.8639203,-67.9407513 -45.863103100000004,-67.9403973 -45.8622551,-67.93757020000001 -45.8636746,-67.94016816 -45.86304785,-67.9412395 -45.8636896,-67.94085860000001 -45.8628677,-67.94026881 -45.86394522,-67.9413575 -45.8643508,-67.94191 -45.8638801,-67.9413092 -45.8637717,-67.9397787 -45.86446671,-67.939437 -45.8659907,-67.9410034 -45.8642985,-67.93820898 -45.86621382,,-67.93822649 -45.86645361,-67.9383588 -45.8674437,-67.9380101 -45.8666929,-67.9392922 -45.8661064,-67.9400271 -45.8665472</t>
  </si>
  <si>
    <t>-67.9400271 -45.8665472,-67.9383588 -45.8674437,-67.9380584 -45.8682655,-67.9363847 -45.8693786,-67.9365671 -45.8696326,-67.93551008 -45.87004015,-67.936492 -45.8696625,-67.9362881 -45.8694234,-67.9350436 -45.8703273,-67.9347003 -45.8699986,-67.933282 -45.87018527,-67.9337347 -45.872531,-67.9350007 -45.8704245,-67.9346895 -45.8701032,-67.93292309 -45.87290945,-67.9305589 -45.8765722,-67.9309773 -45.8765423,-67.9323184 -45.875011,-67.9336917 -45.8726132,-67.92916705 -45.87686758,-67.9288745 -45.8790371,-67.9299796 -45.8786337,-67.9304302 -45.8776552,-67.9309022 -45.8766245,-67.9306126 -45.8766543,-67.92746283 -45.879252,-67.9288745 -45.8790371,-67.9299796 -45.8786337,-67.9308271 -45.8793582,-67.9310632 -45.8796271,-67.9308057 -45.8796645,-67.92926139 -45.87980166,-67.9308057 -45.8796645,-67.9309773 -45.8795823,-67.9308271 -45.8793582,-67.9319429 -45.8795524,-67.9332089 -45.8799333,-67.9339921 -45.8795524,-67.9349685 -45.8793358,-67.935698 -45.8793209,-67.93512028 -45.8793768,-67.9380155 -45.8812404,-67.938627 -45.880852,-67.9384768 -45.8805682,-67.9371035 -45.8800827,-67.9358482 -45.8797093,-67.9335737 -45.8797616,-67.934432 -45.8794255,-67.9350007 -45.8792835,-67.9357088 -45.8792686,-67.93588984 -45.88149225,-67.9369104 -45.8822487,-67.9367441 -45.8819686,-67.9385787 -45.881274,-67.938568 -45.8809641,-67.9379243 -45.8811844,-67.93623372 -45.88237227,-67.9369962 -45.8822636,-67.9367441 -45.8819686,-67.9343677 -45.8832719,-67.93288041 -45.88347512,,-67.93297197 -45.88384007,-67.9325545 -45.8880964,-67.9324257 -45.8875363,-67.933048 -45.8868642,-67.9335093 -45.8836304,-67.93195275 -45.88880085,,-67.93184093 -45.88869985,-67.929883 -45.8876782,-67.9306018 -45.8878724,-67.9317605 -45.8883727,-67.9326189 -45.888201,-67.92838162 -45.88770662,-67.9286492 -45.8892166,-67.9288638 -45.8878724,-67.9292393 -45.8876931,-67.92758265 -45.88993498,-67.929368 -45.8925994,-67.9296148 -45.8919423,-67.9287994 -45.8913897,-67.9285097 -45.8910014,-67.9286277 -45.8901127,-67.92819602 -45.89300211,-67.9235637 -45.895743,-67.9241538 -45.8953249,-67.9267287 -45.8949142,-67.9271579 -45.8944961,-67.9267287 -45.8942048,-67.9257309 -45.8936448,-67.9256558 -45.8930698,-67.9268682 -45.8923604,-67.9289711 -45.8934208,-67.9293036 -45.893361,-67.92261639 -45.89612501,-67.9221904 -45.8981548,-67.9232204 -45.8984983,-67.9230487 -45.8980652,-67.9224908 -45.89755,-67.9236388 -45.8964449,-67.92046749 -45.89809236,-67.9312027 -45.9008128,-67.9299688 -45.9015296,-67.9282737 -45.9003723,-67.9263103 -45.8994316,-67.9232204 -45.8984983,-67.9221046 -45.8981623,-67.93028301 -45.90068278,-67.9313636 -45.9007755,-67.9299688 -45.9015296,-67.9309559 -45.9024778,-67.931664 -45.9022687,-67.9323721 -45.9010144,-67.9335737 -45.900447,-67.9371786 -45.9012832,-67.9379082 -45.9021045,-67.9396677 -45.9026719,-67.941041 -45.9025674,-67.94048121 -45.90255833,-67.9417276 -45.9060912,-67.9426718 -45.9047623,-67.9416203 -45.9047773,-67.9445601 -45.9035379,-67.942543 -45.9026271,-67.94070253 -45.90708056,-67.9419637 -45.9061061,-67.9426718 -45.9047623,-67.9415345 -45.9048967,-67.938745 -45.9059568,-67.9340029 -45.9072707,-67.9353547 -45.9073006,-67.93482704 -45.9074612,-67.937994 -45.9086444,-67.9371142 -45.9083457,-67.9353976 -45.9082412,-67.9346466 -45.907853,-67.9353762 -45.9076142,NA,-67.9432511 -45.9099433,-67.9437232 -45.9109734,-67.9452038 -45.9116154,-67.9434228 -45.911287,-67.9401827 -45.9100179,-67.9391742 -45.9089579,-67.94205735 -45.90980155,-67.9382944 -45.9130934,-67.9395604 -45.9136906,-67.9405904 -45.9131382,-67.9431438 -45.9124664,-67.9441524 -45.9118692,-67.9452038 -45.9116154,-67.9438734 -45.9110779,-67.9432511 -45.9099433,-67.93665996 -45.91286222,-67.9371786 -45.9124813,-67.9369533 -45.9118916,-67.9363096 -45.9101747,-67.935183 -45.9100179,-67.9330123 -45.90989279,-67.93396 -45.910003,-67.9332089 -45.9102269,-67.9314494 -45.9103464,-67.9311919 -45.9100478,-67.9308486 -45.9099433,-67.92909659 -45.90983142,-67.9287028 -45.9107794,-67.9314494 -45.9103464,-67.9308486 -45.9099433,-67.92696483 -45.91132509;-67.92696483 -45.91132509,-67.9287028 -45.9107794,-67.9314494 -45.9103464,-67.9308486 -45.9099433,-67.92909659 -45.90983142,-67.9308486 -45.9099433,-67.9312348 -45.9102419,-67.9297328 -45.910421,-67.9279304 -45.9103613,-67.9261494 -45.9116303,-67.9255915 -45.9130038,-67.924819 -45.9119737,-67.9250765 -45.911063,-67.92339949 -45.91107871;-67.92339949 -45.91107871,-67.9191971 -45.9115109,-67.9193473 -45.9122574,-67.9206347 -45.9121827,-67.9237676 -45.911287,-67.91938339 -45.91141146,-67.9221797 -45.9097492,-67.9201412 -45.9109884,-67.91924 -45.911063,-67.9191971 -45.9115109,-67.92132124 -45.90950332,-67.922008 -45.9097193,-67.9201412 -45.9109884,-67.9196906 -45.9109585,-67.9200125 -45.9097492,-67.9210854 -45.909585,-67.9227591 -45.90851,-67.9267287 -45.9077933,-67.9317927 -45.9075544,-67.9344964 -45.9080023,-67.9353762 -45.9076142,-67.93482704 -45.9074612,-67.9419637 -45.9061061,-67.9426718 -45.9047623,-67.9415345 -45.9048967,-67.938745 -45.9059568,-67.9340029 -45.9072707,-67.9353547 -45.9073006,-67.94070253 -45.90708056,-67.9420066 -45.9072707, -67.9449141 -45.9072931, -67.9463518 -45.9076291,-67.9477358 -45.9069124,-67.9576063 -45.9040904, -67.9586792 -45.9041949, -67.9598594 -45.9049266, -67.9530573 -45.9053894, -67.948916 -45.9068676,-67.95594313 -45.90408308,-67.9577565 -45.9038664,-67.9585826 -45.9036126,-67.9585826 -45.9031348,-67.9576492 -45.90253,-67.9561365 -45.9021343,-67.9558575 -45.9012832,-67.95417314 -45.90131869,-67.9551601 -45.9008651,-67.9546666 -45.8996481,-67.9538405 -45.8990284,-67.95251927 -45.89886364,-67.9566944 -45.8986327,-67.9550421 -45.8986849,-67.9549778 -45.9007158,-67.9546666 -45.8996481,-67.953701 -45.898991,-67.95625453 -45.89884007,-67.9566944 -45.8986327,-67.9549992 -45.8986252,-67.9545057 -45.8976097,-67.9539156 -45.8971991,-67.953068 -45.8970721,-67.9531431 -45.8968855,-67.9546881 -45.8965943,-67.95408006 -45.89657201;-67.95408006 -45.89657201,-67.9566944 -45.8986327,-67.9549992 -45.8986252,-67.9545057 -45.8976097,-67.9539156 -45.8971991,-67.953068 -45.8970721,-67.9531431 -45.8968855,-67.9546881 -45.8965943,-67.95625453 -45.89884007,-67.9566944 -45.8986327,-67.9550421 -45.8986849,-67.9549778 -45.9007158,-67.9546666 -45.8996481,-67.953701 -45.898991,-67.95251927 -45.89886364,-67.9551601 -45.9008651,-67.9546666 -45.8996481,-67.9538405 -45.8990284,-67.95417314 -45.90131869,-67.9577565 -45.9038664,-67.9585826 -45.9036126,-67.9585826 -45.9031348,-67.9576492 -45.90253,-67.9561365 -45.9021343,-67.9558575 -45.9012832,-67.95594313 -45.90408308,-67.9685926 -45.9034484,-67.9653096 -45.9044488,-67.9600525 -45.9049564,-67.9584861 -45.9041651,-67.9576707 -45.9040606,-67.96793825 -45.90348141,-67.9693437 -45.9027914,-67.9659963 -45.8987297,-67.965138 -45.8986401,-67.96354703 -45.89869944,-67.9642367 -45.8983564,-67.9643333 -45.8976993,-67.9650199 -45.8970721,-67.9652989 -45.8964076,-67.9613721 -45.8972065,-67.95956637 -45.89743693,-67.9602778 -45.8973559,-67.959677 -45.8974604,-67.9590976 -45.897326,-67.9587114 -45.8968257,-67.95928 -45.896094,-67.9591405 -45.8953548,-67.95753705 -45.89518861,-67.958411 -45.8946678,-67.9585934 -45.8938464,-67.9590118 -45.8934581,-67.9594839 -45.8932714,-67.9597199 -45.892913,-67.9595053 -45.8926741,-67.95792371 -45.89252328,-67.958647 -45.8921289,-67.9580784 -45.8917854,-67.958411 -45.8907699,-67.9588509 -45.8902397,-67.9578209 -45.8896422,-67.95602222 -45.88970885,-67.9576063 -45.8896124,-67.9577136 -45.888888,-67.9572308 -45.8876483,-67.9565012 -45.8869986,-67.95495587 -45.8875866,-67.9563618 -45.8869613,-67.9570055 -45.8870583,-67.9568553 -45.8866028,-67.957381 -45.8868268,-67.95650174 -45.8868325,-67.957381 -45.8868268,-67.9566729 -45.8866327,-67.953701 -45.8868791,-67.9533148 -45.8869911,-67.9529393 -45.8866103,-67.95178221 -45.88666191,-67.951051 -45.8868418,-67.9516089 -45.886207,-67.952832 -45.8866028,-67.94972726 -45.88693813,-67.948755 -45.886894,-67.9494202 -45.887484,-67.9503751 -45.8875587,-67.9509008 -45.8873571,-67.9508793 -45.8868716,-67.94746568 -45.88694764,-67.9484117 -45.88667,-67.947489 -45.8864908,-67.9468238 -45.8864609,-67.9463196 -45.8856021,-67.9456758 -45.8850643,-67.945118 -45.8847581,-67.9446459 -45.8841607,-67.9440129 -45.8842652,-67.94255555 -45.88454697,-67.9423177 -45.8861323,-67.9425859 -45.8852137,-67.9431438 -45.8846088,-67.9432619 -45.8842802,-67.94198922 -45.88653728,-67.9414594 -45.88785,-67.9417813 -45.8871554,-67.9419315 -45.8865879,-67.9423285 -45.8863414,-67.93992923 -45.88854577,-67.9410625 -45.888776,-67.9401827 -45.8890747,-67.9375863 -45.8886341,-67.93581454 -45.88863383;-67.93581454 -45.88863383,-67.9410625 -45.888776,-67.9401827 -45.8890747,-67.9375863 -45.8886341,-67.93992923 -45.88854577,-67.9414594 -45.88785,-67.9417813 -45.8871554,-67.9419315 -45.8865879,-67.9423285 -45.8863414,-67.94198922 -45.88653728,-67.9423177 -45.8861323,-67.9425859 -45.8852137,-67.9431438 -45.8846088,-67.9432619 -45.8842802,-67.94255555 -45.88454697,-67.9434013 -45.8843175,-67.9426825 -45.884086,-67.9423177 -45.8838843,-67.94191 -45.8839814,-67.9418349 -45.8844669,-67.9412127 -45.8843922,-67.94007097 -45.88448059,-67.9413199 -45.8842577,-67.94191 -45.884325,-67.9418242 -45.8848403,-67.9404724 -45.8852734,-67.9399681 -45.8854975,-67.9388416 -45.8850046,-67.9390776 -45.8859083,-67.93803519 -45.88653092,-67.9390776 -45.8859083,-67.9388952 -45.8849299,-67.9384875 -45.8844519,-67.9383051 -45.883832,-67.939024 -45.8833317,-67.9396892 -45.8836155,-67.9402363 -45.8833989,-67.93935418 -45.88340612,-67.937361 -45.8846162,-67.9377794 -45.883735,-67.9390776 -45.8830777,-67.9391098 -45.8833615,-67.9396677 -45.8835632,-67.9402363 -45.8833989,-67.936352 -45.88515172,-67.937361 -45.8846162,-67.9372966 -45.8833914,-67.93588554 -45.8836543;-67.93588554 -45.8836543,-67.937361 -45.8846162,-67.9372966 -45.8833914,-67.936352 -45.88515172,-67.937361 -45.8846162,-67.9377794 -45.883735,-67.9390776 -45.8830777,-67.9391098 -45.8833615,-67.9396677 -45.8835632,-67.9402363 -45.8833989,-67.93935418 -45.88340612,-67.9404831 -45.883003,-67.9393351 -45.8816139,-67.9395604 -45.8815392,-67.93895804 -45.88204116,-67.9394478 -45.8815018,-67.9390669 -45.8813786,-67.9390454 -45.8810425,-67.9386485 -45.8811881,-67.938568 -45.8809641,-67.9379404 -45.8812105,-67.93588984 -45.88149225,-67.9380155 -45.8812404,-67.938627 -45.880852,-67.9384768 -45.8805682,-67.9371035 -45.8800827,-67.9358482 -45.8797093,-67.9335737 -45.8797616,-67.934432 -45.8794255,-67.9350007 -45.8792835,-67.9357088 -45.8792686,-67.93512028 -45.8793768,-67.9308057 -45.8796645,-67.9309773 -45.8795823,-67.9308271 -45.8793582,-67.9319429 -45.8795524,-67.9332089 -45.8799333,-67.9339921 -45.8795524,-67.9349685 -45.8793358,-67.935698 -45.8793209,-67.92926139 -45.87980166,-67.9288745 -45.8790371,-67.9299796 -45.8786337,-67.9308271 -45.8793582,-67.9310632 -45.8796271,-67.9308057 -45.8796645,-67.92746283 -45.879252,-67.9288745 -45.8790371,-67.9299796 -45.8786337,-67.9304302 -45.8776552,-67.9309022 -45.8766245,-67.9306126 -45.8766543,-67.92916705 -45.87686758,-67.9305589 -45.8765722,-67.9309773 -45.8765423,-67.9323184 -45.875011,-67.9336917 -45.8726132,-67.93292309 -45.87290945,-67.9337347 -45.872531,-67.9350007 -45.8704245,-67.9346895 -45.8701032,-67.933282 -45.87018527,-67.936492 -45.8696625,-67.9362881 -45.8694234,-67.9350436 -45.8703273,-67.9347003 -45.8699986,-67.93551008 -45.87004015,-67.9383588 -45.8674437,-67.9380584 -45.8682655,-67.9363847 -45.8693786,-67.9365671 -45.8696326,-67.9400271 -45.8665472</t>
  </si>
  <si>
    <t>-67.9400271 -45.8665472,-67.9383588 -45.8674437,-67.9380101 -45.8666929,-67.9392922 -45.8661064,-67.93822649 -45.86645361,,-67.93820898 -45.86621382,-67.939437 -45.8659907,-67.9410034 -45.8642985,-67.9397787 -45.86446671,-67.9413575 -45.8643508,-67.94191 -45.8638801,-67.9413092 -45.8637717,-67.94026881 -45.86394522,-67.9412395 -45.8636896,-67.94085860000001 -45.8628677,-67.94016816 -45.86304785,-67.9407942 -45.8630844,-67.9403758 -45.8621878,-67.9386914 -45.8624792,-67.93749455 -45.86270022,-67.9389811 -45.8623559,-67.9389596 -45.8618329,-67.9381979 -45.8610783,-67.9390669 -45.8607794,-67.93809539 -45.86091501,-67.9388309 -45.8607794,-67.938112 -45.8611007,-67.9377472 -45.860899,-67.9362881 -45.8614743,-67.9374897 -45.8619749,-67.93652197 -45.86222667,-67.9375219 -45.8620421,-67.9357517 -45.861085800000005,-67.9346144 -45.8614519,-67.93332777 -45.86169272,-67.9343569 -45.8614145,-67.9335523 -45.861549,-67.9334021 -45.8611381,-67.9309666 -45.8609214,-67.92973166 -45.86112334,-67.9307091 -45.86097370000001,-67.9287457 -45.8609588,-67.9288423 -45.860757,-67.92827234 -45.86082887,-67.9288423 -45.860757,-67.9286063 -45.8609812,-67.9269433 -45.8608168,-67.9254305 -45.8610559,-67.9256237 -45.8606898,-67.92472033 -45.86078317,-67.9253769 -45.8604208,-67.9236388 -45.8595317,-67.9233384 -45.8597857,-67.92204432 -45.86025045,-67.9235315 -45.8601219,-67.9222655 -45.8604731,-67.92116295 -45.86077528,-67.9219651 -45.8610335,-67.9157424 -45.8609887,-67.91412974 -45.86109479,-67.9153347 -45.8605702,-67.9157317 -45.8599725,-67.9146159 -45.859457,-67.91347499 -45.85938782,-67.9145408 -45.8594047,-67.9124916 -45.858777,-67.9112792 -45.8592776,-67.91058213 -45.85962973,-67.9112792 -45.8592776,-67.9102921 -45.8588293,-67.9105067 -45.8586425,-67.90964669 -45.85881191,-67.9102653 -45.8586986,-67.9081625 -45.8581195,-67.90707943 -45.8582017,-67.90773330000002 -45.8580522,-67.9073417 -45.8579177,-67.9068965 -45.8568567,-67.9053408 -45.8563822,-67.90400196 -45.85653031,-67.904284 -45.8564084,-67.9033184 -45.8552726,-67.9019022 -45.8551232,-67.90067511 -45.8549717,,-67.90022567 -45.85540767,-67.9008508 -45.8548093,-67.8990161 -45.8545403,-67.898823 -45.8538678,-67.8965485 -45.8545553,-67.89483427 -45.85484841,-67.887429 -45.855564,-67.8894138 -45.853808,-67.8932333 -45.8533447,-67.8969455 -45.8545851,-67.8963768 -45.8546599,-67.88581092 -45.85597227,-67.887429 -45.855564,-67.8882551 -45.8548691,-67.8894138 -45.853808,-67.8920853 -45.8535689,-67.8916454 -45.8538678,-67.8897357 -45.85395,-67.88910 -45.85436,-67.8875685 -45.8562589,-67.885799 -45.8571033,-67.88544 -45.8578281,-67.88523 -45.85794,-67.88402968 -45.85834964,-67.8814316 -45.8592926,-67.8808415 -45.8591357,-67.880863 -45.8587322,-67.8817642 -45.858239,-67.8850043 -45.8580522,-67.88077392 -45.85953999,-67.8790283 -45.8588293,-67.880466 -45.8587397,-67.8813028 -45.8593598,-67.87771797 -45.85914466,-67.875917 -45.8590236,-67.8765607 -45.8587098,-67.8784597 -45.8588443,-67.87446619 -45.85953534,-67.8758311 -45.8590012,-67.8755307 -45.858777,-67.8718829 -45.8588144,-67.8721619 -45.8576637,-67.8733528 -45.857462,-67.8739536 -45.8579028,-67.87227986 -45.85836679,-67.8721619 -45.8576637,-67.8734279 -45.8573798,-67.8740823 -45.8579103,-67.87029294 -45.85782787,-67.8710139 -45.8575441,-67.8706169 -45.8573573,-67.8709602 -45.8560348,-67.86919632 -45.85619455,-67.8696942 -45.8557434,-67.86828880000002 -45.8556612,-67.86649364 -45.8559971;-67.86649364 -45.8559971,-67.8669798 -45.8557135,-67.865231 -45.8550708,-67.8632243 -45.85544803,-67.8622591 -45.8563038,-67.8636539 -45.8551829,-67.86075305 -45.85668169,-67.8618944 -45.8580074,-67.8614438 -45.8568642,-67.86119926 -45.8582863,-67.8617334 -45.8580597,-67.8595233 -45.8583362,-67.85800456 -45.85865306,-67.8585362 -45.8586425,-67.8567231 -45.8591431,-67.8550386 -45.8605852,-67.85325633 -45.86047853,-67.8547168 -45.8600622,-67.8545237 -45.8589862,-67.8537083 -45.858508,-67.852335 -45.8585529,-67.85051371 -45.8587379,-67.8511226 -45.8587172,-67.8489661 -45.8581942,-67.8504252 -45.8565952,-67.84992667 -45.85649082,-67.851541 -45.8561394,-67.8511119 -45.8555416,-67.8497386 -45.8553249,-67.8490841 -45.8555341,-67.84737753 -45.85568862,-67.8480864 -45.8556163,-67.846477 -45.8561992,-67.8452325 -45.8556537,-67.84359994 -45.85582912,-67.8438914 -45.8557508,-67.8414237 -45.8563262,-67.8377545 -45.8563187,-67.83653581 -45.85644197,-67.8371108 -45.8561767,-67.8326368 -45.8556313,-67.83154193 -45.85548135,-67.8319716 -45.855437,-67.8292787 -45.855108200000004,-67.82760578 -45.8552439,-67.8277767 -45.8550036,-67.8251696 -45.8547271,-67.824676 -45.8544207,-67.82322995 -45.85451391,-67.8244078 -45.8540994,-67.8225088 -45.8518801,-67.82163737 -45.8516816,-67.8223801 -45.8515886,-67.8209639 -45.8504751,-67.8196657 -45.8504079,-67.81800483 -45.85079524,-67.8185713 -45.8505798,-67.816962 -45.851073,-67.8161895 -45.8523658,-67.81497943 -45.85259887,-67.816329 -45.8519921,-67.8167796 -45.8511701,-67.8158462 -45.8513121,-67.8150415 -45.8533148,-67.8138399 -45.8541293,-67.81217316 -45.85421245,-67.809999 -45.85395,-67.81053540000002 -45.8542265,-67.8125417 -45.8543386,-67.80813131 -45.85419968,-67.8093982 -45.8548467,-67.8103423 -45.8545851,-67.808851 -45.8544506,-67.8103101 -45.854219,-67.8097093 -45.8539126,-67.8072436 -45.85498762,-67.8098595 -45.8560647,-67.809999 -45.8550036,-67.8090441 -45.8548691,-67.80907829 -45.8565264,-67.8125632 -45.8568492,-67.810396 -45.8571033,-67.8101599 -45.8566923,-67.81224182 -45.85671416,-67.8138077 -45.8564532,-67.814548 -45.8566699,-67.813561 -45.8597484,-67.8137219 -45.8605777,-67.81282229 -45.86107452,-67.8186142 -45.8634617,-67.8183568 -45.8624605,-67.8160179 -45.8615565,-67.8143764 -45.8610559,-67.81720169 -45.86444747;-67.81720169 -45.86444747,-67.8182173 -45.868004,-67.8160286 -45.8663455,-67.8181314 -45.8648065,-67.8182173 -45.864545,-67.81633269 -45.86814359,-67.8182173 -45.868004,-67.8163826 -45.8667415,-67.8134429 -45.8668909,-67.81175633 -45.86687163;-67.81175633 -45.86687163,-67.8182173 -45.868004,-67.8163826 -45.8667415,-67.8134429 -45.8668909,-67.81633269 -45.86814359,-67.8222084 -45.867638,-67.8207171 -45.86819080000001,-67.8187966 -45.8682506,-67.81829240000002 -45.8680713,-67.82151826 -45.86746063,-67.8236783 -45.8675633,-67.8205454 -45.8682207,-67.8219295 -45.8676529,-67.82310921 -45.86764419,-67.8240538 -45.8675707,-67.8247404 -45.8675782,-67.82420567 -45.8676006;-67.82420567 -45.8676006,-67.8240538 -45.8675707,-67.8247404 -45.8675782,-67.82310921 -45.86764419,-67.8236783 -45.8675633,-67.8205454 -45.8682207,-67.8219295 -45.8676529,-67.82151826 -45.86746063,-67.8222084 -45.867638,-67.8207171 -45.86819080000001,-67.8187966 -45.8682506,-67.81829240000002 -45.8680713,-67.81633269 -45.86814359,-67.8182173 -45.868004,-67.8160286 -45.8663455,-67.8181314 -45.8648065,-67.8182173 -45.864545,-67.81720169 -45.86444747,-67.8186142 -45.8634617,-67.8183568 -45.8624605,-67.8160179 -45.8615565,-67.8143764 -45.8610559,-67.81282229 -45.86107452,-67.8138077 -45.8564532,-67.814548 -45.8566699,-67.813561 -45.8597484,-67.8137219 -45.8605777,-67.81224182 -45.85671416,-67.8125632 -45.8568492,-67.810396 -45.8571033,-67.8101599 -45.8566923,-67.80907829 -45.8565264,-67.8098595 -45.8560647,-67.809999 -45.8550036,-67.8090441 -45.8548691,-67.8072436 -45.85498762,-67.8093982 -45.8548467,-67.8103423 -45.8545851,-67.808851 -45.8544506,-67.8103101 -45.854219,-67.8097093 -45.8539126,-67.80813131 -45.85419968,-67.809999 -45.85395,-67.81053540000002 -45.8542265,-67.8125417 -45.8543386,-67.81217316 -45.85421245,-67.816329 -45.8519921,-67.8167796 -45.8511701,-67.8158462 -45.8513121,-67.8150415 -45.8533148,-67.8138399 -45.8541293,-67.81497943 -45.85259887,-67.8185713 -45.8505798,-67.816962 -45.851073,-67.8161895 -45.8523658,-67.81800483 -45.85079524,-67.8223801 -45.8515886,-67.8209639 -45.8504751,-67.8196657 -45.8504079,-67.82163737 -45.8516816,-67.8244078 -45.8540994,-67.8225088 -45.8518801,-67.82322995 -45.85451391,-67.8277767 -45.8550036,-67.8251696 -45.8547271,-67.824676 -45.8544207,-67.82760578 -45.8552439,-67.8319716 -45.855437,-67.8292787 -45.855108200000004,-67.83154193 -45.85548135,-67.8371108 -45.8561767,-67.8326368 -45.8556313,-67.83653581 -45.85644197,-67.8438914 -45.8557508,-67.8414237 -45.8563262,-67.8377545 -45.8563187,-67.84359994 -45.85582912,-67.8480864 -45.8556163,-67.846477 -45.8561992,-67.8452325 -45.8556537,-67.84737753 -45.85568862,-67.851541 -45.8561394,-67.8511119 -45.8555416,-67.8497386 -45.8553249,-67.8490841 -45.8555341,-67.84992667 -45.85649082,-67.8511226 -45.8587172,-67.8489661 -45.8581942,-67.8504252 -45.8565952,-67.85051371 -45.8587379,-67.8547168 -45.8600622,-67.8545237 -45.8589862,-67.8537083 -45.858508,-67.852335 -45.8585529,-67.85325633 -45.86047853,-67.8585362 -45.8586425,-67.8567231 -45.8591431,-67.8550386 -45.8605852,-67.85800456 -45.85865306,-67.8617334 -45.8580597,-67.8595233 -45.8583362,-67.86119926 -45.8582863,-67.8630531 -45.8577608,-67.8618944 -45.8580074,-67.86269634 -45.8576934,-67.8655958 -45.85783560000001,-67.8642118 -45.8570435,-67.86509618 -45.85797591,-67.8666365 -45.8577982,-67.8680527 -45.857716,-67.86752908 -45.85773082,-67.8694689 -45.8577534,-67.8703272 -45.8578879,-67.8705525 -45.8574694,-67.8710139 -45.8575441,-67.87029294 -45.85782787,-67.8721619 -45.8576637,-67.8734279 -45.8573798,-67.8740823 -45.8579103,-67.87227986 -45.85836679,-67.8758311 -45.8590012,-67.8755307 -45.858777,-67.8718829 -45.8588144,-67.8721619 -45.8576637,-67.8733528 -45.857462,-67.8739536 -45.8579028,-67.87446619 -45.85953534,-67.875917 -45.8590236,-67.8765607 -45.8587098,-67.8784597 -45.8588443,-67.87771797 -45.85914466,-67.8790283 -45.8588293,-67.880466 -45.8587397,-67.8813028 -45.8593598,-67.88077392 -45.85953999,-67.8814316 -45.8592926,-67.8808415 -45.8591357,-67.880863 -45.8587322,-67.8817642 -45.858239,-67.8850043 -45.8580522,-67.88402968 -45.85834964,-67.887429 -45.855564,-67.8882551 -45.8548691,-67.8894138 -45.853808,-67.8920853 -45.8535689,-67.8916454 -45.8538678,-67.8897357 -45.85395,-67.88910 -45.85436,-67.8875685 -45.8562589,-67.885799 -45.8571033,-67.88544 -45.8578281,-67.88523 -45.85794,-67.88581092 -45.85597227,-67.887429 -45.855564,-67.8894138 -45.853808,-67.8932333 -45.8533447,-67.8969455 -45.8545851,-67.8963768 -45.8546599,-67.89483427 -45.85484841,-67.9008508 -45.8548093,-67.8990161 -45.8545403,-67.898823 -45.8538678,-67.8965485 -45.8545553,-67.90022567 -45.85540767,,-67.90067511 -45.8549717,-67.904284 -45.8564084,-67.9033184 -45.8552726,-67.9019022 -45.8551232,-67.90400196 -45.85653031,-67.90773330000002 -45.8580522,-67.9073417 -45.8579177,-67.9068965 -45.8568567,-67.9053408 -45.8563822,-67.90707943 -45.8582017,-67.9102653 -45.8586986,-67.9081625 -45.8581195,-67.90964669 -45.85881191,-67.9112792 -45.8592776,-67.9102921 -45.8588293,-67.9105067 -45.8586425,-67.91058213 -45.85962973,-67.9145408 -45.8594047,-67.9124916 -45.858777,-67.9112792 -45.8592776,-67.91347499 -45.85938782,-67.9153347 -45.8605702,-67.9157317 -45.8599725,-67.9146159 -45.859457,-67.91412974 -45.86109479,-67.9219651 -45.8610335,-67.9157424 -45.8609887,-67.92116295 -45.86077528,-67.9235315 -45.8601219,-67.9222655 -45.8604731,-67.92204432 -45.86025045,-67.9253769 -45.8604208,-67.9236388 -45.8595317,-67.9233384 -45.8597857,-67.92472033 -45.86078317,-67.9288423 -45.860757,-67.9286063 -45.8609812,-67.9269433 -45.8608168,-67.9254305 -45.8610559,-67.9256237 -45.8606898,-67.92827234 -45.86082887,-67.9307091 -45.86097370000001,-67.9287457 -45.8609588,-67.9288423 -45.860757,-67.92973166 -45.86112334,-67.9343569 -45.8614145,-67.9335523 -45.861549,-67.9334021 -45.8611381,-67.9309666 -45.8609214,-67.93332777 -45.86169272,-67.9375219 -45.8620421,-67.9357517 -45.861085800000005,-67.9346144 -45.8614519,-67.93652197 -45.86222667,-67.9388309 -45.8607794,-67.938112 -45.8611007,-67.9377472 -45.860899,-67.9362881 -45.8614743,-67.9374897 -45.8619749,-67.93809539 -45.86091501,-67.9389811 -45.8623559,-67.9389596 -45.8618329,-67.9381979 -45.8610783,-67.9390669 -45.8607794,-67.93749455 -45.86270022,-67.9407942 -45.8630844,-67.9403758 -45.8621878,-67.9386914 -45.8624792,-67.94016816 -45.86304785,-67.9412395 -45.8636896,-67.94085860000001 -45.8628677,-67.94026881 -45.86394522,-67.9413575 -45.8643508,-67.94191 -45.8638801,-67.9413092 -45.8637717,-67.9397787 -45.86446671;-67.9397787 -45.86446671,-67.939437 -45.8659907,-67.9410034 -45.8642985,-67.93820898 -45.86621382,,-67.93822649 -45.86645361,-67.9383588 -45.8674437,-67.9380101 -45.8666929,-67.9392922 -45.8661064,-67.9400271 -45.8665472</t>
  </si>
  <si>
    <t>-67.9400271 -45.8665472,-67.9383588 -45.8674437,-67.9380584 -45.8682655,-67.9363847 -45.8693786,-67.9365671 -45.8696326,-67.93551008 -45.87004015,-67.936492 -45.8696625,-67.9362881 -45.8694234,-67.9350436 -45.8703273,-67.9347003 -45.8699986,-67.933282 -45.87018527,-67.9337347 -45.872531,-67.9350007 -45.8704245,-67.9346895 -45.8701032,-67.93292309 -45.87290945,-67.9305589 -45.8765722,-67.9309773 -45.8765423,-67.9323184 -45.875011,-67.9336917 -45.8726132,-67.92916705 -45.87686758,-67.9288745 -45.8790371,-67.9299796 -45.8786337,-67.9304302 -45.8776552,-67.9309022 -45.8766245,-67.9306126 -45.8766543,-67.92746283 -45.879252,-67.9288745 -45.8790371,-67.9299045 -45.8786188,-67.929765 -45.8784918,-67.9247224 -45.8798512,-67.9241753 -45.8796943,-67.92260289 -45.87981886,,-67.9226841 -45.8797625;-67.9226841 -45.8797625,,-67.92260289 -45.87981886,-67.9231775 -45.8798138,-67.9230273 -45.8801051,-67.9220295 -45.8802022,-67.9198301 -45.8807027,-67.9191542 -45.8814645,-67.9198301 -45.8813375,-67.91930941 -45.88137118,-67.9183173 -45.8833018,-67.9179525 -45.8832943,-67.9178452 -45.8829358,-67.9186606 -45.8819873,-67.9191113 -45.8815466,-67.9197979 -45.8813898,-67.91747464 -45.88372353,-67.9166651 -45.8823159,-67.9170835 -45.8822711,-67.9178345 -45.8833989,-67.9184783 -45.8832943,-67.91541483 -45.88231338,-67.911365 -45.8831076,-67.9142618 -45.8826968,-67.9159892 -45.8825026,-67.90970498 -45.88326091,-67.9076958 -45.8841084,-67.9082644 -45.8839366,-67.9093373 -45.8833167,-67.9103136 -45.8831972,-67.90591516 -45.88446218,,-67.90594775 -45.88423937,-67.9066443 -45.8844071,-67.9062474 -45.8852585,-67.908833 -45.885968,-67.9091012 -45.8864012,-67.90705336 -45.88840606,-67.9052818 -45.8875736,-67.90654780000001 -45.8882084,-67.9074919 -45.8882756,-67.90362098 -45.8874036,-67.9039729 -45.8871629,-67.9034686 -45.8869165,-67.9041123 -45.886192,-67.9042947 -45.8847656,-67.90316820000001 -45.883637900000004,-67.90293219 -45.8836944,-67.90316820000001 -45.883637900000004,-67.9026854 -45.8831823,-67.9021275 -45.8832794,-67.900722 -45.8842279,-67.9001105 -45.8851465,-67.8995955 -45.8843175,-67.89811074 -45.88424629,-67.896452 -45.8842129,-67.8972995 -45.8841607,-67.8987801 -45.8833839,-67.8993165 -45.8836304,-67.89478887 -45.88442779,-67.895658 -45.88465360000001,-67.8955078 -45.8872675,-67.89402720000001 -45.888186,-67.89313670000001 -45.8879097,-67.8935552 -45.8866999,-67.891624 -45.8850718,-67.88986813 -45.88509226,-67.8916669 -45.8851316,-67.891463 -45.8853332,-67.8890061 -45.8855946,-67.8886521 -45.8849672,-67.88725199 -45.88498287,-67.8877938 -45.885251,-67.8862166 -45.8849523,-67.88477851 -45.88530377,-67.8847039 -45.885542300000004,-67.8854334 -45.8851465,-67.88304639 -45.88588109,-67.8838027 -45.88608,-67.882483 -45.8868716,-67.88085052 -45.88709026,-67.8783846 -45.8885519,-67.8803802 -45.8880143,-67.8826654 -45.8868044,-67.8823113 -45.8868119,-67.87661058 -45.88889945,-67.8765285 -45.89045620000001,-67.877773 -45.8901799,-67.8803802 -45.8880143,-67.8783846 -45.8885519,-67.87484305 -45.89067788,-67.8792322 -45.8901127,-67.877934 -45.8900903,-67.8765285 -45.89045620000001,-67.87813787 -45.88993585,-67.8789854 -45.8901127,-67.8777838 -45.8901052,-67.8751981 -45.8927935,-67.8739536 -45.8942571,-67.87230402 -45.89457162,-67.8727734 -45.8946678,-67.8694153 -45.8954742,-67.8682566 -45.89504860000001,-67.86797017 -45.89505687,-67.8685999 -45.895295,-67.8667116 -45.8956833,-67.8646088 -45.8956833,-67.86301998 -45.89560501;-67.86301998 -45.89560501,-67.8685999 -45.895295,-67.8667116 -45.8956833,-67.8646088 -45.8956833,-67.86797017 -45.89505687,-67.8727734 -45.8946678,-67.8694153 -45.8954742,-67.8682566 -45.89504860000001,-67.87230402 -45.89457162,-67.8789854 -45.8901127,-67.8777838 -45.8901052,-67.8751981 -45.8927935,-67.8739536 -45.8942571,-67.87813787 -45.88993585,-67.8792322 -45.8901127,-67.877934 -45.8900903,-67.8765285 -45.89045620000001,-67.87484305 -45.89067788,-67.8765285 -45.89045620000001,-67.877773 -45.8901799,-67.8803802 -45.8880143,-67.8783846 -45.8885519,-67.87661058 -45.88889945,-67.8783846 -45.8885519,-67.8803802 -45.8880143,-67.8826654 -45.8868044,-67.8823113 -45.8868119,-67.88085052 -45.88709026,-67.8838027 -45.88608,-67.882483 -45.8868716,-67.88304639 -45.88588109,-67.8847039 -45.885542300000004,-67.8854334 -45.8851465,-67.88477851 -45.88530377,-67.8877938 -45.885251,-67.8862166 -45.8849523,-67.88725199 -45.88498287,-67.8916669 -45.8851316,-67.891463 -45.8853332,-67.8890061 -45.8855946,-67.8886521 -45.8849672,-67.88986813 -45.88509226,-67.895658 -45.88465360000001,-67.8955078 -45.8872675,-67.89402720000001 -45.888186,-67.89313670000001 -45.8879097,-67.8935552 -45.8866999,-67.891624 -45.8850718,-67.89478887 -45.88442779,-67.896452 -45.8842129,-67.8972995 -45.8841607,-67.8987801 -45.8833839,-67.8993165 -45.8836304,-67.89811074 -45.88424629,-67.90316820000001 -45.883637900000004,-67.9026854 -45.8831823,-67.9021275 -45.8832794,-67.900722 -45.8842279,-67.9001105 -45.8851465,-67.8995955 -45.8843175,-67.90293219 -45.8836944,-67.9039729 -45.8871629,-67.9034686 -45.8869165,-67.9041123 -45.886192,-67.9042947 -45.8847656,-67.90316820000001 -45.883637900000004,-67.90362098 -45.8874036,-67.9022241 -45.8892913,-67.9030609 -45.889239,-67.9032218 -45.8889477,-67.9028785 -45.8877678,-67.9034686 -45.8869165,-67.9039729 -45.8871629,-67.90098858 -45.88903898,-67.9020846 -45.8894257,-67.9013014 -45.8899484,-67.8996277 -45.8906877,-67.899971 -45.8910611,-67.9025245 -45.8912403,-67.90201018 -45.89143448,-67.9100668 -45.8930624,-67.90882230000001 -45.8924799,-67.9064727 -45.8916734,-67.9044127 -45.8911507,-67.9037046 -45.8911806,-67.9095676 -45.89358013,-67.9101956 -45.899678,-67.9090798 -45.9005739,-67.9091763 -45.9006934,-67.9097128 -45.9003873,-67.9113436 -45.8999841,-67.9123521 -45.9008128,-67.9124165 -45.9004769,-67.9120195 -45.899566,-67.9120624 -45.8986177,-67.9110324 -45.8972513,-67.9111183 -45.8939286,-67.90953741 -45.89946636,-67.9084682 -45.9027914,-67.9096591 -45.9021717,-67.9111719 -45.9011339,-67.9123199 -45.9007083,-67.9114294 -45.8999766,-67.9097021 -45.9003425,-67.9089189 -45.9008875,-67.9101956 -45.899678,-67.9066489 -45.9028322;-67.9066489 -45.9028322,-67.9084682 -45.9027914,-67.9096591 -45.9021717,-67.9111719 -45.9011339,-67.9123199 -45.9007083,-67.9114294 -45.8999766,-67.9097021 -45.9003425,-67.9089189 -45.9008875,-67.9101956 -45.899678,-67.90953741 -45.89946636,-67.9101956 -45.899678,-67.9090798 -45.9005739,-67.9091763 -45.9006934,-67.9097128 -45.9003873,-67.9113436 -45.8999841,-67.9123521 -45.9008128,-67.9124165 -45.9004769,-67.9120195 -45.899566,-67.9120624 -45.8986177,-67.9110324 -45.8972513,-67.9111183 -45.8939286,-67.9095676 -45.89358013,-67.9100668 -45.8930624,-67.90882230000001 -45.8924799,-67.9064727 -45.8916734,-67.9044127 -45.8911507,-67.9037046 -45.8911806,-67.90201018 -45.89143448,-67.9020846 -45.8894257,-67.9013014 -45.8899484,-67.8996277 -45.8906877,-67.899971 -45.8910611,-67.9025245 -45.8912403,-67.90098858 -45.88903898,-67.9022241 -45.8892913,-67.9030609 -45.889239,-67.9032218 -45.8889477,-67.9028785 -45.8877678,-67.9034686 -45.8869165,-67.9039729 -45.8871629,-67.90362098 -45.8874036,-67.9039729 -45.8871629,-67.9034686 -45.8869165,-67.9041123 -45.886192,-67.9042947 -45.8847656,-67.90316820000001 -45.883637900000004,-67.90293219 -45.8836944,-67.90316820000001 -45.883637900000004,-67.9026854 -45.8831823,-67.9021275 -45.8832794,-67.900722 -45.8842279,-67.9001105 -45.8851465,-67.8995955 -45.8843175,-67.89811074 -45.88424629,-67.896452 -45.8842129,-67.8972995 -45.8841607,-67.8987801 -45.8833839,-67.8993165 -45.8836304,-67.89478887 -45.88442779,-67.895658 -45.88465360000001,-67.8955078 -45.8872675,-67.89402720000001 -45.888186,-67.89313670000001 -45.8879097,-67.8935552 -45.8866999,-67.891624 -45.8850718,-67.88986813 -45.88509226,-67.8916669 -45.8851316,-67.891463 -45.8853332,-67.8890061 -45.8855946,-67.8886521 -45.8849672,-67.88725199 -45.88498287,-67.8877938 -45.885251,-67.8862166 -45.8849523,-67.88477851 -45.88530377,-67.8847039 -45.885542300000004,-67.8854334 -45.8851465,-67.88304639 -45.88588109,-67.8838027 -45.88608,-67.882483 -45.8868716,-67.88085052 -45.88709026,-67.8783846 -45.8885519,-67.8803802 -45.8880143,-67.8826654 -45.8868044,-67.8823113 -45.8868119,-67.87661058 -45.88889945,-67.8765285 -45.89045620000001,-67.877773 -45.8901799,-67.8803802 -45.8880143,-67.8783846 -45.8885519,-67.87484305 -45.89067788,-67.8792322 -45.8901127,-67.877934 -45.8900903,-67.8765285 -45.89045620000001,-67.87813787 -45.88993585,-67.8788996 -45.8901426,-67.877934 -45.8900903,-67.8774834 -45.8904786,-67.8777945 -45.8925098,-67.8783524 -45.8919348,-67.87768072 -45.89180609,-67.8782558 -45.8919497,-67.8778267 -45.8923828,-67.8780413 -45.8938315,-67.8791893 -45.8953398,-67.87842608 -45.89585515,-67.8799939 -45.8961761,-67.8810668 -45.8968855,-67.881496 -45.8974007,-67.88049412 -45.89765426,-67.8816462 -45.8976545,-67.8819466 -45.8992972,-67.8823757 -45.8992374,-67.88283131 -45.8994995,-67.8778481 -45.8999691,-67.8795862 -45.8996556,-67.8816676 -45.8998198,-67.8823113 -45.899342,-67.87600509 -45.90013168,-67.875402 -45.9018954,-67.8762174 -45.9018506,-67.8767323 -45.9016117,-67.8774405 -45.9009995,-67.8778481 -45.8999691,-67.87401 -45.90242679,-67.8778911 -45.9022389,-67.8772688 -45.9023733,-67.8762174 -45.9020895,-67.8762174 -45.9018506,-67.875402 -45.9018954,-67.87749311 -45.90223614,-67.8877831 -45.9058523,-67.8869033 -45.9059867,-67.8840923 -45.9048668,-67.8834271 -45.9042397,-67.8832769 -45.9030601,-67.8820109 -45.9031497,-67.8811312 -45.903299,-67.8780627 -45.9027018,-67.8772688 -45.9023733,-67.8778911 -45.9022389,-67.88690397 -45.90593083,-67.8887486 -45.9139369,-67.8892422 -45.9133771,-67.889092 -45.9088982,-67.8895211 -45.9081964,-67.8884697 -45.9068527,-67.8891134 -45.9060464,-67.8899932 -45.905494,-67.890079 -45.9049863,-67.8895855 -45.9049415,-67.8884912 -45.9054641,-67.88780562 -45.91450171,-67.8846073 -45.9123171,-67.8879547 -45.9129889,-67.8887486 -45.9136607,-67.88302674 -45.91253107,-67.8890276 -45.9167659,-67.8884053 -45.9153477,-67.8880405 -45.9137055,-67.8874612 -45.9131382,-67.8845859 -45.9125112,-67.88832586 -45.91746828;-67.88832586 -45.91746828,-67.8890276 -45.9167659,-67.8884053 -45.9153477,-67.8880405 -45.9137055,-67.8874612 -45.9131382,-67.8845859 -45.9125112,-67.88302674 -45.91253107,-67.8846073 -45.9123171,-67.8879547 -45.9129889,-67.8887486 -45.9136607,-67.88780562 -45.91450171,-67.8887486 -45.9139369,-67.8892422 -45.9133771,-67.889092 -45.9088982,-67.8895211 -45.9081964,-67.8884697 -45.9068527,-67.8891134 -45.9060464,-67.8899932 -45.905494,-67.890079 -45.9049863,-67.8895855 -45.9049415,-67.8884912 -45.9054641,-67.88690397 -45.90593083,-67.8877831 -45.9058523,-67.8869033 -45.9059867,-67.8840923 -45.9048668,-67.8834271 -45.9042397,-67.8832769 -45.9030601,-67.8820109 -45.9031497,-67.8811312 -45.903299,-67.8780627 -45.9027018,-67.8772688 -45.9023733,-67.8778911 -45.9022389,-67.87749311 -45.90223614,-67.8778911 -45.9022389,-67.8772688 -45.9023733,-67.8762174 -45.9020895,-67.8762174 -45.9018506,-67.875402 -45.9018954,-67.87401 -45.90242679,-67.875402 -45.9018954,-67.8762174 -45.9018506,-67.8767323 -45.9016117,-67.8774405 -45.9009995,-67.8778481 -45.8999691,-67.87600509 -45.90013168,-67.8778481 -45.8999691,-67.8795862 -45.8996556,-67.8816676 -45.8998198,-67.8823113 -45.899342,-67.88283131 -45.8994995,-67.8816462 -45.8976545,-67.8819466 -45.8992972,-67.8823757 -45.8992374,-67.88049412 -45.89765426,-67.8799939 -45.8961761,-67.8810668 -45.8968855,-67.881496 -45.8974007,-67.87842608 -45.89585515,-67.8782558 -45.8919497,-67.8778267 -45.8923828,-67.8780413 -45.8938315,-67.8791893 -45.8953398,-67.87768072 -45.89180609,-67.8788996 -45.8901426,-67.877934 -45.8900903,-67.8774834 -45.8904786,-67.8777945 -45.8925098,-67.8783524 -45.8919348,-67.87813787 -45.88993585,-67.8792322 -45.8901127,-67.877934 -45.8900903,-67.8765285 -45.89045620000001,-67.87484305 -45.89067788,-67.8765285 -45.89045620000001,-67.877773 -45.8901799,-67.8803802 -45.8880143,-67.8783846 -45.8885519,-67.87661058 -45.88889945,-67.8783846 -45.8885519,-67.8803802 -45.8880143,-67.8826654 -45.8868044,-67.8823113 -45.8868119,-67.88085052 -45.88709026,-67.8838027 -45.88608,-67.882483 -45.8868716,-67.88304639 -45.88588109,-67.8847039 -45.885542300000004,-67.8854334 -45.8851465,-67.88477851 -45.88530377,-67.8877938 -45.885251,-67.8862166 -45.8849523,-67.88725199 -45.88498287,-67.8916669 -45.8851316,-67.891463 -45.8853332,-67.8890061 -45.8855946,-67.8886521 -45.8849672,-67.88986813 -45.88509226,-67.895658 -45.88465360000001,-67.8955078 -45.8872675,-67.89402720000001 -45.888186,-67.89313670000001 -45.8879097,-67.8935552 -45.8866999,-67.891624 -45.8850718,-67.89478887 -45.88442779,-67.896452 -45.8842129,-67.8972995 -45.8841607,-67.8987801 -45.8833839,-67.8993165 -45.8836304,-67.89811074 -45.88424629,-67.90316820000001 -45.883637900000004,-67.9026854 -45.8831823,-67.9021275 -45.8832794,-67.900722 -45.8842279,-67.9001105 -45.8851465,-67.8995955 -45.8843175,-67.90293219 -45.8836944,-67.9039729 -45.8871629,-67.9034686 -45.8869165,-67.9041123 -45.886192,-67.9042947 -45.8847656,-67.90316820000001 -45.883637900000004,-67.90362098 -45.8874036,-67.9052818 -45.8875736,-67.90654780000001 -45.8882084,-67.9074919 -45.8882756,-67.90705336 -45.88840606,-67.9066443 -45.8844071,-67.9062474 -45.8852585,-67.908833 -45.885968,-67.9091012 -45.8864012,-67.90594775 -45.88423937,,-67.90591516 -45.88446218,-67.9076958 -45.8841084,-67.9082644 -45.8839366,-67.9093373 -45.8833167,-67.9103136 -45.8831972,-67.90970498 -45.88326091,-67.911365 -45.8831076,-67.9142618 -45.8826968,-67.9159892 -45.8825026,-67.91541483 -45.88231338,-67.9166651 -45.8823159,-67.9170835 -45.8822711,-67.9178345 -45.8833989,-67.9184783 -45.8832943,-67.91747464 -45.88372353,-67.9183173 -45.8833018,-67.9179525 -45.8832943,-67.9178452 -45.8829358,-67.9186606 -45.8819873,-67.9191113 -45.8815466,-67.9197979 -45.8813898,-67.91930941 -45.88137118,-67.9231775 -45.8798138,-67.9230273 -45.8801051,-67.9220295 -45.8802022,-67.9198301 -45.8807027,-67.9191542 -45.8814645,-67.9198301 -45.8813375,-67.92260289 -45.87981886,-67.9288745 -45.8790371,-67.9299045 -45.8786188,-67.929765 -45.8784918,-67.9247224 -45.8798512,-67.9241753 -45.8796943,-67.92746283 -45.879252,-67.9288745 -45.8790371,-67.9299796 -45.8786337,-67.9308271 -45.8793582,-67.9310632 -45.8796271,-67.9308057 -45.8796645,-67.92926139 -45.87980166,-67.9308057 -45.8796645,-67.9309773 -45.8795823,-67.9308271 -45.8793582,-67.9319429 -45.8795524,-67.9332089 -45.8799333,-67.9339921 -45.8795524,-67.9349685 -45.8793358,-67.935698 -45.8793209,-67.93512028 -45.8793768,-67.9380155 -45.8812404,-67.938627 -45.880852,-67.9384768 -45.8805682,-67.9371035 -45.8800827,-67.9358482 -45.8797093,-67.9335737 -45.8797616,-67.934432 -45.8794255,-67.9350007 -45.8792835,-67.9357088 -45.8792686,-67.93588984 -45.88149225,-67.9394478 -45.8815018,-67.9390669 -45.8813786,-67.9390454 -45.8810425,-67.9386485 -45.8811881,-67.938568 -45.8809641,-67.9379404 -45.8812105,-67.93895804 -45.88204116,-67.9404831 -45.883003,-67.9393351 -45.8816139,-67.9395604 -45.8815392,-67.93935418 -45.88340612,-67.9390776 -45.8859083,-67.9388952 -45.8849299,-67.9384875 -45.8844519,-67.9383051 -45.883832,-67.939024 -45.8833317,-67.9396892 -45.8836155,-67.9402363 -45.8833989,-67.93803519 -45.88653092;-67.93803519 -45.88653092,-67.9390776 -45.8859083,-67.9388952 -45.8849299,-67.9384875 -45.8844519,-67.9383051 -45.883832,-67.939024 -45.8833317,-67.9396892 -45.8836155,-67.9402363 -45.8833989,-67.93935418 -45.88340612,-67.9404831 -45.883003,-67.9393351 -45.8816139,-67.9395604 -45.8815392,-67.93895804 -45.88204116,-67.9394478 -45.8815018,-67.9390669 -45.8813786,-67.9390454 -45.8810425,-67.9386485 -45.8811881,-67.938568 -45.8809641,-67.9379404 -45.8812105,-67.93588984 -45.88149225,-67.9380155 -45.8812404,-67.938627 -45.880852,-67.9384768 -45.8805682,-67.9371035 -45.8800827,-67.9358482 -45.8797093,-67.9335737 -45.8797616,-67.934432 -45.8794255,-67.9350007 -45.8792835,-67.9357088 -45.8792686,-67.93512028 -45.8793768,-67.9308057 -45.8796645,-67.9309773 -45.8795823,-67.9308271 -45.8793582,-67.9319429 -45.8795524,-67.9332089 -45.8799333,-67.9339921 -45.8795524,-67.9349685 -45.8793358,-67.935698 -45.8793209,-67.92926139 -45.87980166,-67.9288745 -45.8790371,-67.9299796 -45.8786337,-67.9308271 -45.8793582,-67.9310632 -45.8796271,-67.9308057 -45.8796645,-67.92746283 -45.879252,-67.9288745 -45.8790371,-67.9299796 -45.8786337,-67.9304302 -45.8776552,-67.9309022 -45.8766245,-67.9306126 -45.8766543,-67.92916705 -45.87686758,-67.9305589 -45.8765722,-67.9309773 -45.8765423,-67.9323184 -45.875011,-67.9336917 -45.8726132,-67.93292309 -45.87290945,-67.9337347 -45.872531,-67.9350007 -45.8704245,-67.9346895 -45.8701032,-67.933282 -45.87018527,-67.936492 -45.8696625,-67.9362881 -45.8694234,-67.9350436 -45.8703273,-67.9347003 -45.8699986,-67.93551008 -45.87004015,-67.9383588 -45.8674437,-67.9380584 -45.8682655,-67.9363847 -45.8693786,-67.9365671 -45.8696326,-67.9400271 -45.8665472</t>
  </si>
  <si>
    <t>-67.9400271 -45.8665472,-67.9383588 -45.8674437,-67.9380101 -45.8666929,-67.9392922 -45.8661064,-67.93822649 -45.86645361,,-67.93820898 -45.86621382,-67.939437 -45.8659907,-67.9410034 -45.8642985,-67.9397787 -45.86446671,-67.9413575 -45.8643508,-67.94191 -45.8638801,-67.9413092 -45.8637717,-67.94026881 -45.86394522,-67.9412395 -45.8636896,-67.94085860000001 -45.8628677,-67.94016816 -45.86304785,-67.94085860000001 -45.8628677,-67.9404294 -45.860772,-67.93965509 -45.86091672,-67.940526 -45.8606599,-67.9383802 -45.8597857,-67.9380262 -45.8585902,-67.93716946 -45.85860936;-67.93716946 -45.85860936,-67.940526 -45.8606599,-67.9383802 -45.8597857,-67.9380262 -45.8585902,-67.93965509 -45.86091672,-67.94085860000001 -45.8628677,-67.9404294 -45.860772,-67.94016816 -45.86304785,-67.9412395 -45.8636896,-67.94085860000001 -45.8628677,-67.94026881 -45.86394522,-67.9413575 -45.8643508,-67.94191 -45.8638801,-67.9413092 -45.8637717,-67.9397787 -45.86446671,-67.939437 -45.8659907,-67.9410034 -45.8642985,-67.93820898 -45.86621382,,-67.93822649 -45.86645361,-67.9383588 -45.8674437,-67.9380101 -45.8666929,-67.9392922 -45.8661064,-67.9400271 -45.8665472,-67.9383588 -45.8674437,-67.9380584 -45.8682655,-67.9363847 -45.8693786,-67.9365671 -45.8696326,-67.93551008 -45.87004015,-67.936492 -45.8696625,-67.9362881 -45.8694234,-67.9350436 -45.8703273,-67.9347003 -45.8699986,-67.933282 -45.87018527,-67.9337347 -45.872531,-67.9350007 -45.8704245,-67.9346895 -45.8701032,-67.93292309 -45.87290945,-67.9305589 -45.8765722,-67.9309773 -45.8765423,-67.9323184 -45.875011,-67.9336917 -45.8726132,-67.92916705 -45.87686758,-67.9288745 -45.8790371,-67.9299796 -45.8786337,-67.9304302 -45.8776552,-67.9309022 -45.8766245,-67.9306126 -45.8766543,-67.92746283 -45.879252,-67.9288745 -45.8790371,-67.9299045 -45.8786188,-67.929765 -45.8784918,-67.9247224 -45.8798512,-67.9241753 -45.8796943,-67.92260289 -45.87981886,-67.9231775 -45.8798138,-67.9230273 -45.8801051,-67.9220295 -45.8802022,-67.9198301 -45.8807027,-67.9191542 -45.8814645,-67.9198301 -45.8813375,-67.91930941 -45.88137118,-67.9183173 -45.8833018,-67.9179525 -45.8832943,-67.9178452 -45.8829358,-67.9186606 -45.8819873,-67.9191113 -45.8815466,-67.9197979 -45.8813898,-67.91747464 -45.88372353,-67.9166651 -45.8823159,-67.9170835 -45.8822711,-67.9178345 -45.8833989,-67.9184783 -45.8832943,-67.91541483 -45.88231338,-67.911365 -45.8831076,-67.9142618 -45.8826968,-67.9159892 -45.8825026,-67.90970498 -45.88326091,-67.9076958 -45.8841084,-67.9082644 -45.8839366,-67.9093373 -45.8833167,-67.9103136 -45.8831972,-67.90591516 -45.88446218,,-67.90594775 -45.88423937,-67.9066443 -45.8844071,-67.9062474 -45.8852585,-67.908833 -45.885968,-67.9091012 -45.8864012,-67.90705336 -45.88840606,-67.9052818 -45.8875736,-67.90654780000001 -45.8882084,-67.9074919 -45.8882756,-67.90362098 -45.8874036,-67.9039729 -45.8871629,-67.9034686 -45.8869165,-67.9041123 -45.886192,-67.9042947 -45.8847656,-67.90316820000001 -45.883637900000004,-67.90293219 -45.8836944,-67.90316820000001 -45.883637900000004,-67.9026854 -45.8831823,-67.9021275 -45.8832794,-67.900722 -45.8842279,-67.9001105 -45.8851465,-67.8995955 -45.8843175,-67.89811074 -45.88424629,-67.896452 -45.8842129,-67.8972995 -45.8841607,-67.8987801 -45.8833839,-67.8993165 -45.8836304,-67.89478887 -45.88442779,-67.895658 -45.88465360000001,-67.8955078 -45.8872675,-67.89402720000001 -45.888186,-67.89313670000001 -45.8879097,-67.8935552 -45.8866999,-67.891624 -45.8850718,-67.88986813 -45.88509226,-67.8916669 -45.8851316,-67.891463 -45.8853332,-67.8890061 -45.8855946,-67.8886521 -45.8849672,-67.88725199 -45.88498287,-67.8886521 -45.8849672,-67.8892422 -45.88701350000001,-67.8898752 -45.8867522,-67.8894167 -45.88643746,-67.8897142 -45.8868418,-67.8891993 -45.8870658,-67.88837310000001 -45.8892465,-67.8877509 -45.8880665,-67.88676403 -45.88778688;-67.88676403 -45.88778688,-67.8897142 -45.8868418,-67.8891993 -45.8870658,-67.88837310000001 -45.8892465,-67.8877509 -45.8880665,-67.8894167 -45.88643746,-67.8886521 -45.8849672,-67.8892422 -45.88701350000001,-67.8898752 -45.8867522,-67.88725199 -45.88498287,-67.8877938 -45.885251,-67.8862166 -45.8849523,-67.88477851 -45.88530377,-67.8863347 -45.8849448,-67.8869569 -45.8849672,-67.8874826 -45.883847,-67.8903258 -45.883570600000006,-67.88934482 -45.88367092,-67.8808522 -45.8847432,-67.8831053 -45.8843548,-67.884897 -45.8834586,-67.8876114 -45.88378720000001,-67.8901434 -45.8835856,-67.87931365 -45.88515467,-67.8775477 -45.8859232,-67.87784810000001 -45.8854153,-67.8789425 -45.8862742,-67.879554 -45.8862667,-67.8829443 -45.8844743,-67.8806055 -45.8848253,-67.87597578 -45.88674947,,-67.87630061 -45.88642699,-67.8775907 -45.885744,-67.8778374 -45.8851241,-67.8766251 -45.8844594,-67.8767002 -45.8840561,-67.8758872 -45.88413516,-67.8738034 -45.8829806,-67.8739858 -45.8834512,-67.87655 -45.8844445,-67.8765929 -45.8840262,-67.87263059 -45.88283868,-67.8737283 -45.8829508,-67.8736854 -45.8833242,-67.8730094 -45.8829134,-67.8686643 -45.8830254,-67.86703039 -45.88312685,-67.8726017 -45.880389,-67.8697157 -45.8828462,-67.8706813 -45.8831001,-67.8686643 -45.8830254,-67.8724445 -45.87988188,-67.8772688 -45.8789101,-67.8749835 -45.8790146,-67.87362100000001 -45.8797765,-67.87684672 -45.87887091,-67.8785026 -45.8788802,-67.8798115 -45.8793806,-67.87875862 -45.87975391,-67.8797901 -45.8776627,-67.8792536 -45.87817810000001,-67.8798115 -45.8793806,-67.87897854 -45.87766371,-67.8803158 -45.8771847,-67.8813779 -45.8760792,-67.8823113 -45.875519,-67.8828478 -45.87486160000001,-67.88196942 -45.87464989,-67.8836632 -45.8741296,-67.884264 -45.8734723,-67.8839421 -45.8733229,-67.8833306 -45.8736515,-67.8822899 -45.87404,-67.8816032 -45.8749737,-67.8808522 -45.875153,-67.8791678 -45.8762809,-67.8782129 -45.8766021,-67.8774083 -45.8765572,-67.87580898 -45.87623664,-67.8772473 -45.875646,-67.87714 -45.874899,-67.8760457 -45.8739578,-67.8750265 -45.8733005,-67.8741574 -45.8732108,-67.8737283 -45.8741819,-67.87226293 -45.87472228,-67.8721726 -45.8748019,-67.868793 -45.8753024,-67.8683639 -45.8750633,-67.8691471 -45.8759522,-67.86877282 -45.87598303,-67.8690398 -45.8759074,-67.8681815 -45.8748691,-67.8664434 -45.8762585,-67.86520975 -45.8764158,-67.8666043 -45.8740773,-67.8655958 -45.8758999,-67.8658319 -45.8761464,-67.86601994 -45.87390747,-67.8686213 -45.87223970000001,-67.8679776 -45.8725012,-67.867173 -45.87342,-67.86803091 -45.87230485,-67.8687286 -45.87223970000001,-67.8671408 -45.8717542,-67.8661752 -45.8712611,-67.8662395 -45.8705888,-67.86552841 -45.87071955,-67.8665292 -45.8704394,-67.8664756 -45.8701107,-67.8674197 -45.8697073,-67.8698659 -45.8700883,-67.8700376 -45.8699389,-67.8700268 -45.8692964,-67.86891343 -45.86940172,-67.8699839 -45.8693413,-67.8700376 -45.8699389,-67.8703916 -45.8701929,-67.8709173 -45.8699239,-67.8707349 -45.8692815,-67.8712177 -45.8686166,-67.8731596 -45.8681236,-67.8729107 -45.86822856,-67.8740609 -45.8679218,-67.8740501 -45.8676828,-67.8730416 -45.867115,-67.8732347 -45.8667639,-67.8746724 -45.8662783,-67.8754556 -45.865591,-67.876035 -45.8638054,-67.8748977 -45.8643134,-67.87319628 -45.86441938,-67.8776658 -45.8646496,-67.876035 -45.8642312,-67.8759491 -45.8638278,-67.8749514 -45.864380600000004,-67.87711554 -45.86436098,-67.87849190000001 -45.8641416,-67.8785133 -45.863499,-67.8778052 -45.8630732,-67.87624464 -45.86324951,-67.8765821 -45.8616835,-67.8769684 -45.861803,-67.877183 -45.8627295,-67.87598229 -45.86175617,-67.8761101 -45.86104100000001,-67.8766465 -45.8610185,-67.8767216 -45.8614071,-67.87444477 -45.86135588,-67.8759491 -45.8590983,-67.8764319 -45.8599501,-67.87655 -45.8609588,-67.8760779 -45.8611231,-67.87446619 -45.85953534,-67.875917 -45.8590236,-67.876507 -45.8586575,-67.8763676 -45.8580597,-67.87463577 -45.85800361,-67.8743291 -45.8564159,-67.8760457 -45.8568941,-67.8756917 -45.8576936,-67.87242565 -45.85686269;-67.87242565 -45.85686269,-67.8743291 -45.8564159,-67.8760457 -45.8568941,-67.8756917 -45.8576936,-67.87463577 -45.85800361,-67.875917 -45.8590236,-67.876507 -45.8586575,-67.8763676 -45.8580597,-67.87446619 -45.85953534,-67.8759491 -45.8590983,-67.8764319 -45.8599501,-67.87655 -45.8609588,-67.8760779 -45.8611231,-67.87444477 -45.86135588,-67.8761101 -45.86104100000001,-67.8766465 -45.8610185,-67.8767216 -45.8614071,-67.87598229 -45.86175617,-67.8765821 -45.8616835,-67.8769684 -45.861803,-67.877183 -45.8627295,-67.87624464 -45.86324951,-67.87849190000001 -45.8641416,-67.8785133 -45.863499,-67.8778052 -45.8630732,-67.87711554 -45.86436098,-67.8776658 -45.8646496,-67.876035 -45.8642312,-67.8759491 -45.8638278,-67.8749514 -45.864380600000004,-67.87319628 -45.86441938,-67.8740609 -45.8679218,-67.8740501 -45.8676828,-67.8730416 -45.867115,-67.8732347 -45.8667639,-67.8746724 -45.8662783,-67.8754556 -45.865591,-67.876035 -45.8638054,-67.8748977 -45.8643134,-67.8729107 -45.86822856,-67.8699839 -45.8693413,-67.8700376 -45.8699389,-67.8703916 -45.8701929,-67.8709173 -45.8699239,-67.8707349 -45.8692815,-67.8712177 -45.8686166,-67.8731596 -45.8681236,-67.86891343 -45.86940172,-67.8665292 -45.8704394,-67.8664756 -45.8701107,-67.8674197 -45.8697073,-67.8698659 -45.8700883,-67.8700376 -45.8699389,-67.8700268 -45.8692964,-67.86552841 -45.87071955,-67.8687286 -45.87223970000001,-67.8671408 -45.8717542,-67.8661752 -45.8712611,-67.8662395 -45.8705888,-67.86803091 -45.87230485,-67.8686213 -45.87223970000001,-67.8679776 -45.8725012,-67.867173 -45.87342,-67.86601994 -45.87390747,-67.8666043 -45.8740773,-67.8655958 -45.8758999,-67.8658319 -45.8761464,-67.86520975 -45.8764158,-67.8690398 -45.8759074,-67.8681815 -45.8748691,-67.8664434 -45.8762585,-67.86877282 -45.87598303,-67.8721726 -45.8748019,-67.868793 -45.8753024,-67.8683639 -45.8750633,-67.8691471 -45.8759522,-67.87226293 -45.87472228,-67.8772473 -45.875646,-67.87714 -45.874899,-67.8760457 -45.8739578,-67.8750265 -45.8733005,-67.8741574 -45.8732108,-67.8737283 -45.8741819,-67.87580898 -45.87623664,-67.8836632 -45.8741296,-67.884264 -45.8734723,-67.8839421 -45.8733229,-67.8833306 -45.8736515,-67.8822899 -45.87404,-67.8816032 -45.8749737,-67.8808522 -45.875153,-67.8791678 -45.8762809,-67.8782129 -45.8766021,-67.8774083 -45.8765572,-67.88196942 -45.87464989,-67.8803158 -45.8771847,-67.8813779 -45.8760792,-67.8823113 -45.875519,-67.8828478 -45.87486160000001,-67.87897854 -45.87766371,-67.8797901 -45.8776627,-67.8789961 -45.8782677,-67.8770435 -45.8780959,-67.87551597 -45.87817057,-67.8762603 -45.8779017,-67.8751016 -45.8782379,-67.8734457 -45.87858353;-67.8734457 -45.87858353,-67.8762603 -45.8779017,-67.8751016 -45.8782379,-67.87551597 -45.87817057,-67.8797901 -45.8776627,-67.8789961 -45.8782677,-67.8770435 -45.8780959,-67.87897854 -45.87766371,-67.8797901 -45.8776627,-67.8792536 -45.87817810000001,-67.8798115 -45.8793806,-67.87875862 -45.87975391,-67.8785026 -45.8788802,-67.8798115 -45.8793806,-67.87684672 -45.87887091,-67.8772688 -45.8789101,-67.8749835 -45.8790146,-67.87362100000001 -45.8797765,-67.8724445 -45.87988188,-67.8726017 -45.880389,-67.8697157 -45.8828462,-67.8706813 -45.8831001,-67.8686643 -45.8830254,-67.86703039 -45.88312685,-67.8737283 -45.8829508,-67.8736854 -45.8833242,-67.8730094 -45.8829134,-67.8686643 -45.8830254,-67.87263059 -45.88283868,-67.8738034 -45.8829806,-67.8739858 -45.8834512,-67.87655 -45.8844445,-67.8765929 -45.8840262,-67.8758872 -45.88413516,-67.8775907 -45.885744,-67.8778374 -45.8851241,-67.8766251 -45.8844594,-67.8767002 -45.8840561,-67.87630061 -45.88642699,,-67.87597578 -45.88674947,-67.8775477 -45.8859232,-67.87784810000001 -45.8854153,-67.8789425 -45.8862742,-67.879554 -45.8862667,-67.8829443 -45.8844743,-67.8806055 -45.8848253,-67.87931365 -45.88515467,-67.8808522 -45.8847432,-67.8831053 -45.8843548,-67.884897 -45.8834586,-67.8876114 -45.88378720000001,-67.8901434 -45.8835856,-67.88934482 -45.88367092,-67.8863347 -45.8849448,-67.8869569 -45.8849672,-67.8874826 -45.883847,-67.8903258 -45.883570600000006,-67.88477851 -45.88530377,-67.8877938 -45.885251,-67.8862166 -45.8849523,-67.88725199 -45.88498287,-67.8916669 -45.8851316,-67.891463 -45.8853332,-67.8890061 -45.8855946,-67.8886521 -45.8849672,-67.88986813 -45.88509226,-67.895658 -45.88465360000001,-67.8955078 -45.8872675,-67.89402720000001 -45.888186,-67.89313670000001 -45.8879097,-67.8935552 -45.8866999,-67.891624 -45.8850718,-67.89478887 -45.88442779,-67.896452 -45.8842129,-67.8972995 -45.8841607,-67.8987801 -45.8833839,-67.8993165 -45.8836304,-67.89811074 -45.88424629,-67.90316820000001 -45.883637900000004,-67.9026854 -45.8831823,-67.9021275 -45.8832794,-67.900722 -45.8842279,-67.9001105 -45.8851465,-67.8995955 -45.8843175,-67.90293219 -45.8836944,-67.9039729 -45.8871629,-67.9034686 -45.8869165,-67.9041123 -45.886192,-67.9042947 -45.8847656,-67.90316820000001 -45.883637900000004,-67.90362098 -45.8874036,-67.9052818 -45.8875736,-67.90654780000001 -45.8882084,-67.9074919 -45.8882756,-67.90705336 -45.88840606,-67.9066443 -45.8844071,-67.9062474 -45.8852585,-67.908833 -45.885968,-67.9091012 -45.8864012,-67.90594775 -45.88423937,,-67.90591516 -45.88446218,-67.9076958 -45.8841084,-67.9082644 -45.8839366,-67.9093373 -45.8833167,-67.9103136 -45.8831972,-67.90970498 -45.88326091,-67.911365 -45.8831076,-67.9142618 -45.8826968,-67.9159892 -45.8825026,-67.91541483 -45.88231338,-67.9166651 -45.8823159,-67.9170835 -45.8822711,-67.9178345 -45.8833989,-67.9184783 -45.8832943,-67.91747464 -45.88372353,-67.9183173 -45.8833018,-67.9179525 -45.8832943,-67.9178452 -45.8829358,-67.9186606 -45.8819873,-67.9191113 -45.8815466,-67.9197979 -45.8813898,-67.91930941 -45.88137118,-67.9231775 -45.8798138,-67.9230273 -45.8801051,-67.9220295 -45.8802022,-67.9198301 -45.8807027,-67.9191542 -45.8814645,-67.9198301 -45.8813375,-67.92260289 -45.87981886,-67.9288745 -45.8790371,-67.9299045 -45.8786188,-67.929765 -45.8784918,-67.9247224 -45.8798512,-67.9241753 -45.8796943,-67.92746283 -45.879252,-67.9288745 -45.8790371,-67.9299796 -45.8786337,-67.9304302 -45.8776552,-67.9309022 -45.8766245,-67.9306126 -45.8766543,-67.92916705 -45.87686758,-67.9305589 -45.8765722,-67.9309773 -45.8765423,-67.9323184 -45.875011,-67.9336917 -45.8726132,-67.93292309 -45.87290945,-67.9337347 -45.872531,-67.9350007 -45.8704245,-67.9346895 -45.8701032,-67.933282 -45.87018527,-67.936492 -45.8696625,-67.9362881 -45.8694234,-67.9350436 -45.8703273,-67.9347003 -45.8699986,-67.93551008 -45.87004015,-67.9383588 -45.8674437,-67.9380584 -45.8682655,-67.9363847 -45.8693786,-67.9365671 -45.8696326,-67.9400271 -45.8665472</t>
  </si>
  <si>
    <t>-67.9400271 -45.8665472,-67.9383588 -45.8674437,-67.9380101 -45.8666929,-67.9392922 -45.8661064,-67.93822649 -45.86645361,,-67.93820898 -45.86621382,-67.939437 -45.8659907,-67.9410034 -45.8642985,-67.9397787 -45.86446671,-67.9413575 -45.8643508,-67.94191 -45.8638801,-67.9413092 -45.8637717,-67.94026881 -45.86394522,-67.9412395 -45.8636896,-67.94085860000001 -45.8628677,-67.94016816 -45.86304785,-67.9407513 -45.863103100000004,-67.9403973 -45.8622551,-67.93757020000001 -45.8636746,-67.93638614 -45.8639203,-67.9374468 -45.8637643,-67.93648120000002 -45.8648999,-67.93542287 -45.86514387,-67.9364544 -45.8650082,-67.9343033 -45.8651128,-67.93322311 -45.86539389,-67.934196 -45.8650755,-67.9339492 -45.8648887,-67.9318678 -45.8652174,-67.93025624 -45.86524613,-67.92887450000002 -45.8655984,-67.929647 -45.8660093,-67.9311919 -45.8652622,-67.92761571 -45.86576064,-67.9284239 -45.8655835,-67.9270077 -45.8655162,-67.92568273 -45.86555172,,-67.92617947 -45.86596757,-67.9266429 -45.8657927,-67.9259992 -45.8665696,-67.92478129 -45.86687146,-67.9258382 -45.86658460000001,-67.9220402 -45.8663903,-67.92069068 -45.86664171,-67.9224908 -45.8663306,-67.9191971 -45.8656582,-67.91774956 -45.8661538,-67.9187572 -45.8661064,-67.9176843 -45.8663679,-67.9172981 -45.8656657,-67.91575239 -45.86551598,-67.9164934 -45.8652398,-67.9147875 -45.8642536,-67.9133606 -45.865322,-67.9120409 -45.8651352,-67.91093971 -45.86527418,-67.9122448 -45.8649709,-67.911129 -45.8644105,-67.9103887 -45.8645226,-67.90917641 -45.86476613,-67.9100668 -45.8647318,-67.9098523 -45.8659197,-67.9103565 -45.8661513,-67.90947109 -45.86641003,-67.9100454 -45.8663754,-67.9094982 -45.8663306,-67.909627 -45.86429100000001,-67.90869072 -45.86438156,-67.9108179 -45.86391,-67.9094768 -45.8638353,-67.9077816 -45.8657329,-67.9066443 -45.8662484,-67.90565529 -45.8665856,-67.906419 -45.86626330000001,-67.9050887 -45.8652025,-67.9043591 -45.864814,-67.90314798 -45.8648888,-67.9039943 -45.8644255,-67.9028034 -45.8637381,-67.8999174 -45.8635812,-67.89867893 -45.86374335,-67.8993487 -45.8636634,-67.8988981 -45.8636933,-67.89861920000001 -45.8635215,-67.8975525 -45.86346654,,-67.89779792 -45.86312838,-67.8962696 -45.8632899,-67.8974175 -45.8625203,-67.8984583 -45.8622177,-67.8946526 -45.86372426,-67.8961945 -45.8632674,-67.8952932 -45.8629985,-67.8948426 -45.8620347,-67.89369378 -45.862107,-67.8961086 -45.8601668,-67.8949714 -45.8618927,-67.89506126 -45.86022417,-67.8960952 -45.8598436,-67.8959692 -45.8585678,-67.8961945 -45.8583138,-67.8955936 -45.8581419,-67.8949177 -45.8572976,-67.8950787 -45.8562589,-67.894907 -45.8558629,-67.8937376 -45.8558928,-67.8932869 -45.8566101,-67.8928149 -45.8568492,-67.8926003 -45.8566998,-67.89119881 -45.85678635,-67.8915596 -45.8569165,-67.8910661 -45.8570435,-67.8905296 -45.8572453,-67.8862917 -45.8600846,-67.8869355 -45.8600547,-67.8873861 -45.8596438,-67.8876221 -45.8588667,-67.8886843 -45.8579999,-67.88485253 -45.86038085,-67.8855836 -45.8605329,-67.8847253 -45.8611754,-67.8843284 -45.8612427,-67.88286864 -45.86153258,-67.8809917 -45.8619301,-67.8822792 -45.8616611,-67.8835666 -45.8617507,-67.8845859 -45.8612277,-67.8843284 -45.8612427,-67.87889297 -45.8626014,-67.8800154 -45.8627071,-67.880863 -45.8635887,-67.8814101 -45.8638502,-67.881496 -45.8643508,-67.8795862 -45.8651352,-67.87816911 -45.86559299,-67.8794253 -45.8652025,-67.8813779 -45.8643508,-67.8805947 -45.8648065,-67.8801227 -45.8652622,-67.8801119 -45.8658151,-67.8798544 -45.8661513,-67.87841593 -45.86693979,-67.8773224 -45.8682132,-67.8784168 -45.867951700000006,-67.8792751 -45.866988,-67.87529512 -45.86884053,-67.8755951 -45.8690125,-67.8751016 -45.8692815,-67.8764427 -45.8695952,-67.87545792 -45.87007243,-67.8735942 -45.8680488,-67.8724301 -45.8682281,-67.8724086 -45.8686689,-67.8764427 -45.8695952,-67.8729107 -45.86822856,-67.8699839 -45.8693413,-67.8700376 -45.8699389,-67.8703916 -45.8701929,-67.8709173 -45.8699239,-67.8707349 -45.8692815,-67.8712177 -45.8686166,-67.8731596 -45.8681236,-67.86891343 -45.86940172,-67.8665292 -45.8704394,-67.8664756 -45.8701107,-67.8674197 -45.8697073,-67.8698659 -45.8700883,-67.8700376 -45.8699389,-67.8700268 -45.8692964,-67.86552841 -45.87071955,-67.8665292 -45.8705589,-67.866143 -45.8710594,-67.8657889 -45.8704767,-67.8668725 -45.8688706,-67.86653014 -45.86909111,-67.8668725 -45.8688706,-67.8667974 -45.868646500000004,-67.8676665 -45.8677127,-67.867012 -45.86727940000001,-67.86635342 -45.86702056,-67.8668189 -45.8667639,-67.8664005 -45.866988,-67.8663254 -45.8676305,-67.86498939 -45.86808329,-67.8639972 -45.8691171,-67.8657031 -45.8680713,-67.86235431 -45.86962035,-67.8593409 -45.8716048,-67.85971640000001 -45.8705365,-67.8614008 -45.870529,-67.861948 -45.8698268,-67.8630531 -45.8694832,-67.85882935 -45.87179542,-67.857635 -45.8744807,-67.8541696 -45.874152,-67.8588581 -45.8727103,-67.8593409 -45.8716048,-67.857019 -45.87438052,-67.84873010000001 -45.87312860000001,-67.8543305 -45.8741595,-67.857635 -45.8744807,-67.84711722 -45.87310355,-67.8489339 -45.8731324,-67.8501302 -45.8733565,-67.8485316 -45.8736739,-67.8459191 -45.8729942,-67.84549 -45.8723406,-67.8449106 -45.8726842,-67.84336962 -45.87289033,-67.8464448 -45.8713396,-67.8465736 -45.871657000000006,-67.84484620000002 -45.8726692,-67.84458226 -45.87132178,-67.8433174 -45.8702414,-67.8424054 -45.8705701,-67.8442401 -45.8712014,-67.8457582 -45.8705029,-67.8468794 -45.8714778,-67.8465736 -45.871657000000006,-67.8464073 -45.8713396,-67.84266503 -45.8702826,-67.8403401 -45.8715002,-67.8396213 -45.8713059,-67.8401256 -45.8706859,-67.8424323 -45.8705216,-67.8432369 -45.8702153,-67.83999726 -45.87142467,-67.8404045 -45.871440400000004,-67.8396642 -45.8713657,-67.8393745 -45.8705216,-67.8371751 -45.8699314,-67.8344822 -45.8697969,-67.8345251 -45.8700584,-67.8363597 -45.8707606,-67.83598551 -45.8713908,-67.8363276 -45.8710445,-67.8348899 -45.87091,-67.8336024 -45.8710221,-67.83204724 -45.87132308,-67.8347504 -45.8724041,-67.8345788 -45.8717915,-67.8335381 -45.8712686,-67.8339131 -45.87269245,-67.8368962 -45.8743761,-67.8363168 -45.8740101,-67.8365743 -45.8734723,-67.8358126 -45.8726879,-67.8366923 -45.875026,-67.8369284 -45.8751679,-67.8384304 -45.875317300000006,-67.83709911 -45.87528907,-67.8404582 -45.876744,-67.8387737 -45.8754144,-67.83972408 -45.87683377,-67.8388381 -45.8793059,-67.8380656 -45.8795375,-67.8406405 -45.8772519,-67.8405118 -45.8769083,-67.8383257 -45.87925524,-67.8400719 -45.8789325,-67.841295 -45.8786487,-67.8416598 -45.8782453,-67.84090038 -45.8779021;-67.84090038 -45.8779021,-67.8400719 -45.8789325,-67.841295 -45.8786487,-67.8416598 -45.8782453,-67.8383257 -45.87925524,-67.8388381 -45.8793059,-67.8380656 -45.8795375,-67.8406405 -45.8772519,-67.8405118 -45.8769083,-67.83972408 -45.87683377,-67.8404582 -45.876744,-67.8387737 -45.8754144,-67.83709911 -45.87528907,-67.8369284 -45.8751679,-67.8384304 -45.875317300000006,-67.8366923 -45.875026,-67.8368962 -45.8743761,-67.8363168 -45.8740101,-67.8365743 -45.8734723,-67.8358126 -45.8726879,-67.8339131 -45.87269245,-67.8347504 -45.8724041,-67.8345788 -45.8717915,-67.8335381 -45.8712686,-67.83204724 -45.87132308,-67.8363276 -45.8710445,-67.8348899 -45.87091,-67.8336024 -45.8710221,-67.83598551 -45.8713908,-67.8404045 -45.871440400000004,-67.8396642 -45.8713657,-67.8393745 -45.8705216,-67.8371751 -45.8699314,-67.8344822 -45.8697969,-67.8345251 -45.8700584,-67.8363597 -45.8707606,-67.83999726 -45.87142467,-67.8403401 -45.8715002,-67.8396213 -45.8713059,-67.8401256 -45.8706859,-67.8424323 -45.8705216,-67.8432369 -45.8702153,-67.84266503 -45.8702826,-67.8433174 -45.8702414,-67.8424054 -45.8705701,-67.8442401 -45.8712014,-67.8457582 -45.8705029,-67.8468794 -45.8714778,-67.8465736 -45.871657000000006,-67.8464073 -45.8713396,-67.84458226 -45.87132178,-67.8464448 -45.8713396,-67.8465736 -45.871657000000006,-67.84484620000002 -45.8726692,-67.84336962 -45.87289033,-67.8489339 -45.8731324,-67.8501302 -45.8733565,-67.8485316 -45.8736739,-67.8459191 -45.8729942,-67.84549 -45.8723406,-67.8449106 -45.8726842,-67.84711722 -45.87310355,-67.84873010000001 -45.87312860000001,-67.8543305 -45.8741595,-67.857635 -45.8744807,-67.857019 -45.87438052,-67.857635 -45.8744807,-67.8541696 -45.874152,-67.8588581 -45.8727103,-67.8593409 -45.8716048,-67.85882935 -45.87179542,-67.8593409 -45.8716048,-67.85971640000001 -45.8705365,-67.8614008 -45.870529,-67.861948 -45.8698268,-67.8630531 -45.8694832,-67.86235431 -45.86962035,-67.8639972 -45.8691171,-67.8657031 -45.8680713,-67.86498939 -45.86808329,-67.8668189 -45.8667639,-67.8664005 -45.866988,-67.8663254 -45.8676305,-67.86635342 -45.86702056,-67.8668725 -45.8688706,-67.8667974 -45.868646500000004,-67.8676665 -45.8677127,-67.867012 -45.86727940000001,-67.86653014 -45.86909111,-67.8665292 -45.8705589,-67.866143 -45.8710594,-67.8657889 -45.8704767,-67.8668725 -45.8688706,-67.86552841 -45.87071955,-67.8665292 -45.8704394,-67.8664756 -45.8701107,-67.8674197 -45.8697073,-67.8698659 -45.8700883,-67.8700376 -45.8699389,-67.8700268 -45.8692964,-67.86891343 -45.86940172,-67.8699839 -45.8693413,-67.8700376 -45.8699389,-67.8703916 -45.8701929,-67.8709173 -45.8699239,-67.8707349 -45.8692815,-67.8712177 -45.8686166,-67.8731596 -45.8681236,-67.8729107 -45.86822856,-67.8735942 -45.8680488,-67.8724301 -45.8682281,-67.8724086 -45.8686689,-67.8764427 -45.8695952,-67.87545792 -45.87007243,-67.8773439 -45.8681385,-67.878288 -45.8679816,-67.8767216 -45.8696102,-67.87529512 -45.86884053,-67.8773224 -45.8682132,-67.8784168 -45.867951700000006,-67.8792751 -45.866988,-67.87841593 -45.86693979,-67.8794253 -45.8652025,-67.8813779 -45.8643508,-67.8805947 -45.8648065,-67.8801227 -45.8652622,-67.8801119 -45.8658151,-67.8798544 -45.8661513,-67.87816911 -45.86559299,-67.8800154 -45.8627071,-67.880863 -45.8635887,-67.8814101 -45.8638502,-67.881496 -45.8643508,-67.8795862 -45.8651352,-67.87889297 -45.8626014,-67.8809917 -45.8619301,-67.8822792 -45.8616611,-67.8835666 -45.8617507,-67.8845859 -45.8612277,-67.8843284 -45.8612427,-67.88286864 -45.86153258,-67.8855836 -45.8605329,-67.8847253 -45.8611754,-67.8843284 -45.8612427,-67.88485253 -45.86038085,-67.8862917 -45.8600846,-67.8869355 -45.8600547,-67.8873861 -45.8596438,-67.8876221 -45.8588667,-67.8886843 -45.8579999,-67.8905296 -45.8572453,-67.8915596 -45.8569165,-67.8910661 -45.8570435,-67.89119881 -45.85678635,-67.8960952 -45.8598436,-67.8959692 -45.8585678,-67.8961945 -45.8583138,-67.8955936 -45.8581419,-67.8949177 -45.8572976,-67.8950787 -45.8562589,-67.894907 -45.8558629,-67.8937376 -45.8558928,-67.8932869 -45.8566101,-67.8928149 -45.8568492,-67.8926003 -45.8566998,-67.89506126 -45.86022417,-67.8961086 -45.8601668,-67.8949714 -45.8618927,-67.89369378 -45.862107,-67.8961945 -45.8632674,-67.8952932 -45.8629985,-67.8948426 -45.8620347,-67.8946526 -45.86372426,-67.8942311 -45.8647841,-67.8944886 -45.8644778,-67.8944886 -45.8640444,-67.8955936 -45.8639772,-67.8958511 -45.8637307,-67.8924736 -45.86523062;-67.8924736 -45.86523062,-67.8942311 -45.8647841,-67.8944886 -45.8644778,-67.8944886 -45.8640444,-67.8955936 -45.8639772,-67.8958511 -45.8637307,-67.8946526 -45.86372426,-67.8962696 -45.8632899,-67.8974175 -45.8625203,-67.8984583 -45.8622177,-67.89779792 -45.86312838,,-67.8975525 -45.86346654,-67.8993487 -45.8636634,-67.8988981 -45.8636933,-67.89861920000001 -45.8635215,-67.89867893 -45.86374335,-67.9039943 -45.8644255,-67.9028034 -45.8637381,-67.8999174 -45.8635812,-67.90314798 -45.8648888,-67.906419 -45.86626330000001,-67.9050887 -45.8652025,-67.9043591 -45.864814,-67.90565529 -45.8665856,-67.9108179 -45.86391,-67.9094768 -45.8638353,-67.9077816 -45.8657329,-67.9066443 -45.8662484,-67.90869072 -45.86438156,-67.9100454 -45.8663754,-67.9094982 -45.8663306,-67.909627 -45.86429100000001,-67.90947109 -45.86641003,-67.9100668 -45.8647318,-67.9098523 -45.8659197,-67.9103565 -45.8661513,-67.90917641 -45.86476613,-67.9122448 -45.8649709,-67.911129 -45.8644105,-67.9103887 -45.8645226,-67.91093971 -45.86527418,-67.9164934 -45.8652398,-67.9147875 -45.8642536,-67.9133606 -45.865322,-67.9120409 -45.8651352,-67.91575239 -45.86551598,-67.9187572 -45.8661064,-67.9176843 -45.8663679,-67.9172981 -45.8656657,-67.91774956 -45.8661538,-67.9224908 -45.8663306,-67.9191971 -45.8656582,-67.92069068 -45.86664171,-67.9258382 -45.86658460000001,-67.9220402 -45.8663903,-67.92478129 -45.86687146,-67.9266429 -45.8657927,-67.9259992 -45.8665696,-67.92617947 -45.86596757,,-67.92568273 -45.86555172,-67.9284239 -45.8655835,-67.9270077 -45.8655162,-67.92761571 -45.86576064,-67.92887450000002 -45.8655984,-67.929647 -45.8660093,-67.9311919 -45.8652622,-67.93025624 -45.86524613,-67.934196 -45.8650755,-67.9339492 -45.8648887,-67.9318678 -45.8652174,-67.93322311 -45.86539389,-67.9364544 -45.8650082,-67.9343033 -45.8651128,-67.93542287 -45.86514387,-67.9374468 -45.8637643,-67.93648120000002 -45.8648999,-67.93638614 -45.8639203,-67.9407513 -45.863103100000004,-67.9403973 -45.8622551,-67.93757020000001 -45.8636746,-67.94016816 -45.86304785,-67.9412395 -45.8636896,-67.94085860000001 -45.8628677,-67.94026881 -45.86394522,-67.9413575 -45.8643508,-67.94191 -45.8638801,-67.9413092 -45.8637717,-67.9397787 -45.86446671,-67.939437 -45.8659907,-67.9410034 -45.8642985,-67.93820898 -45.86621382,,-67.93822649 -45.86645361,-67.9383588 -45.8674437,-67.9380101 -45.8666929,-67.9392922 -45.8661064,-67.9400271 -45.8665472</t>
  </si>
  <si>
    <t>-67.9400271 -45.8665472,-67.9383588 -45.8674437,-67.9380101 -45.8666929,-67.9392922 -45.8661064,-67.93822649 -45.86645361,,-67.93820898 -45.86621382,-67.939437 -45.8659907,-67.9410034 -45.8642985,-67.9397787 -45.86446671,-67.9413575 -45.8643508,-67.94191 -45.8638801,-67.9413092 -45.8637717,-67.94026881 -45.86394522,-67.9412395 -45.8636896,-67.94085860000001 -45.8628677,-67.94016816 -45.86304785,-67.9407513 -45.863103100000004,-67.9403973 -45.8622551,-67.93757020000001 -45.8636746,-67.93638614 -45.8639203,-67.9374468 -45.8637643,-67.93648120000002 -45.8648999,-67.93542287 -45.86514387,-67.9364544 -45.8650082,-67.9343033 -45.8651128,-67.93322311 -45.86539389,-67.934196 -45.8650755,-67.9339492 -45.8648887,-67.9318678 -45.8652174,-67.93025624 -45.86524613,-67.92887450000002 -45.8655984,-67.929647 -45.8660093,-67.9311919 -45.8652622,-67.92761571 -45.86576064,-67.9284239 -45.8655835,-67.9270077 -45.8655162,-67.92568273 -45.86555172,,-67.92617947 -45.86596757,-67.9266429 -45.8657927,-67.9259992 -45.8665696,-67.92478129 -45.86687146,-67.9258382 -45.86658460000001,-67.9220402 -45.8663903,-67.92069068 -45.86664171,-67.9224908 -45.8663306,-67.9191971 -45.8656582,-67.91774956 -45.8661538,-67.9187572 -45.8661064,-67.9176843 -45.8663679,-67.9172981 -45.8656657,-67.91575239 -45.86551598;-67.91575239 -45.86551598,-67.9187572 -45.8661064,-67.9176843 -45.8663679,-67.9172981 -45.8656657,-67.91774956 -45.8661538,-67.9224908 -45.8663306,-67.9191971 -45.8656582,-67.92069068 -45.86664171,-67.9258382 -45.86658460000001,-67.9220402 -45.8663903,-67.92478129 -45.86687146,-67.925849 -45.8667938,-67.9245508 -45.8671822,-67.92313135 -45.86736612,-67.9247117 -45.8672271,-67.9251409 -45.8672644,-67.9242826 -45.8677948,-67.9240143 -45.8689378,-67.9238534 -45.8689528,-67.92209124 -45.86928836,-67.9217505 -45.8712238,-67.9221582 -45.8710893,-67.9240143 -45.8689901,-67.9237783 -45.8690051,-67.92053462 -45.87127057,-67.9206347 -45.8733602,-67.9204845 -45.8732108,-67.9220188 -45.8711565,-67.91979942 -45.8736741,,-67.91957453 -45.87370778,-67.9194653 -45.874084800000006,-67.9204845 -45.8732108,-67.9206347 -45.8733602,-67.91777485 -45.87443865,-67.9123628 -45.8789922,-67.9139936 -45.8782154,-67.9156995 -45.8769755,-67.9165149 -45.8759447,-67.9189503 -45.874689800000006,-67.91076944 -45.87927096,-67.9128349 -45.8790819,-67.91394 -45.8782827,-67.9123628 -45.8789922,-67.91191949 -45.87938061,-67.9128456 -45.8792537,-67.9124808 -45.8793284,-67.9119766 -45.880389,-67.9108071 -45.880613,-67.90902811 -45.88062544,-67.9108071 -45.880613,-67.9116762 -45.8803665,-67.9099488 -45.8795972,-67.9089832 -45.8795748,-67.908479 -45.879291,-67.9081464 -45.8778345,-67.9075241 -45.8768784,-67.9078567 -45.8763107,-67.9075456 -45.8753322,-67.9072452 -45.8752799,-67.9064727 -45.8764004,-67.90493501 -45.87690763,-67.9065692 -45.87642280000001,-67.9066443 -45.8758626,-67.9054427 -45.876363,-67.9050243 -45.8759149,-67.90388535 -45.87594679;-67.90388535 -45.87594679,-67.9065692 -45.87642280000001,-67.9066443 -45.8758626,-67.9054427 -45.876363,-67.9050243 -45.8759149,-67.90493501 -45.87690763,-67.9108071 -45.880613,-67.9116762 -45.8803665,-67.9099488 -45.8795972,-67.9089832 -45.8795748,-67.908479 -45.879291,-67.9081464 -45.8778345,-67.9075241 -45.8768784,-67.9078567 -45.8763107,-67.9075456 -45.8753322,-67.9072452 -45.8752799,-67.9064727 -45.8764004,-67.90902811 -45.88062544,,-67.90891537 -45.88072557,-67.9107428 -45.880501,-67.9119766 -45.880389,-67.9123414 -45.8806952,-67.9129958 -45.8809193,-67.91210808 -45.8814063,,-67.91214619 -45.88124859,-67.9166651 -45.8823159,-67.9169762 -45.8821367,-67.9166543 -45.8815466,-67.913146 -45.8824205,-67.9128242 -45.8814645,-67.91541483 -45.88231338,-67.911365 -45.8831076,-67.9142618 -45.8826968,-67.9159892 -45.8825026,-67.90970498 -45.88326091,-67.9076958 -45.8841084,-67.9082644 -45.8839366,-67.9093373 -45.8833167,-67.9103136 -45.8831972,-67.90591516 -45.88446218,,-67.90594775 -45.88423937,-67.9066443 -45.8844071,-67.9062474 -45.8852585,-67.908833 -45.885968,-67.9091012 -45.8864012,-67.90705336 -45.88840606,-67.9052818 -45.8875736,-67.90654780000001 -45.8882084,-67.9074919 -45.8882756,-67.90362098 -45.8874036,-67.9039729 -45.8871629,-67.9034686 -45.8869165,-67.9041123 -45.886192,-67.9042947 -45.8847656,-67.90316820000001 -45.883637900000004,-67.90293219 -45.8836944,-67.90316820000001 -45.883637900000004,-67.9026854 -45.8831823,-67.9021275 -45.8832794,-67.900722 -45.8842279,-67.9001105 -45.8851465,-67.8995955 -45.8843175,-67.89811074 -45.88424629,-67.896452 -45.8842129,-67.8972995 -45.8841607,-67.8987801 -45.8833839,-67.8993165 -45.8836304,-67.89478887 -45.88442779,-67.895658 -45.88465360000001,-67.8955078 -45.8872675,-67.89402720000001 -45.888186,-67.89313670000001 -45.8879097,-67.8935552 -45.8866999,-67.891624 -45.8850718,-67.88986813 -45.88509226,-67.8916669 -45.8851316,-67.891463 -45.8853332,-67.8890061 -45.8855946,-67.8886521 -45.8849672,-67.88725199 -45.88498287,-67.8877938 -45.885251,-67.8862166 -45.8849523,-67.88477851 -45.88530377,-67.8863347 -45.8849448,-67.8869569 -45.8849672,-67.8874826 -45.883847,-67.8903258 -45.883570600000006,-67.88934482 -45.88367092,-67.8808522 -45.8847432,-67.8831053 -45.8843548,-67.884897 -45.8834586,-67.8876114 -45.88378720000001,-67.8901434 -45.8835856,-67.87931365 -45.88515467,-67.8775477 -45.8859232,-67.87784810000001 -45.8854153,-67.8789425 -45.8862742,-67.879554 -45.8862667,-67.8829443 -45.8844743,-67.8806055 -45.8848253,-67.87597578 -45.88674947,,-67.87630061 -45.88642699,-67.8775907 -45.885744,-67.8778374 -45.8851241,-67.8766251 -45.8844594,-67.8767002 -45.8840561,-67.8758872 -45.88413516,-67.8738034 -45.8829806,-67.8739858 -45.8834512,-67.87655 -45.8844445,-67.8765929 -45.8840262,-67.87263059 -45.88283868,-67.8737283 -45.8829508,-67.8736854 -45.8833242,-67.8730094 -45.8829134,-67.8686643 -45.8830254,-67.86703039 -45.88312685,-67.8726017 -45.880389,-67.8697157 -45.8828462,-67.8706813 -45.8831001,-67.8686643 -45.8830254,-67.8724445 -45.87988188,-67.8772688 -45.8789101,-67.8749835 -45.8790146,-67.87362100000001 -45.8797765,-67.87684672 -45.87887091,-67.8785026 -45.8788802,-67.8798115 -45.8793806,-67.87875862 -45.87975391,-67.8797901 -45.8776627,-67.8792536 -45.87817810000001,-67.8798115 -45.8793806,-67.87897854 -45.87766371,-67.8836739 -45.8759821,-67.8838027 -45.8758402,-67.883234 -45.875631,-67.8816783 -45.8762734,-67.8803587 -45.8772818,-67.88220216 -45.87628794,-67.8856909 -45.8773042,-67.88382410000001 -45.8758999,-67.8835773 -45.8759821,-67.88515558 -45.87764642,-67.8866458 -45.877476,-67.8866458 -45.8780437,-67.8858411 -45.8780212,-67.8857124 -45.8785142,-67.88533919 -45.87880887,-67.8864312 -45.8790146,-67.8847039 -45.8811657,-67.8828692 -45.8823084,-67.8824294 -45.8835632,-67.881732 -45.8839964,-67.87992186 -45.88445386,-67.881732 -45.8839964,-67.8825152 -45.883593100000006,-67.8827727 -45.8823981,-67.8807878 -45.8819649,-67.8819788 -45.8813674,-67.88159325 -45.88135603;-67.88159325 -45.88135603,-67.881732 -45.8839964,-67.8825152 -45.883593100000006,-67.8827727 -45.8823981,-67.8807878 -45.8819649,-67.8819788 -45.8813674,-67.87992186 -45.88445386,-67.8864312 -45.8790146,-67.8847039 -45.8811657,-67.8828692 -45.8823084,-67.8824294 -45.8835632,-67.881732 -45.8839964,-67.88533919 -45.87880887,-67.8866458 -45.877476,-67.8866458 -45.8780437,-67.8858411 -45.8780212,-67.8857124 -45.8785142,-67.88515558 -45.87764642,-67.8856909 -45.8773042,-67.88382410000001 -45.8758999,-67.8835773 -45.8759821,-67.88220216 -45.87628794,-67.8836739 -45.8759821,-67.8838027 -45.8758402,-67.883234 -45.875631,-67.8816783 -45.8762734,-67.8803587 -45.8772818,-67.87897854 -45.87766371,-67.8803158 -45.8771847,-67.8813779 -45.8760792,-67.8823113 -45.875519,-67.8828478 -45.87486160000001,-67.88196942 -45.87464989,-67.8851008 -45.8739503,-67.8845429 -45.874533,-67.8839421 -45.8736665,-67.8834701 -45.8740549,-67.8844417 -45.8738576;-67.8844417 -45.8738576,-67.8851008 -45.8739503,-67.8845429 -45.874533,-67.8839421 -45.8736665,-67.8834701 -45.8740549,-67.88196942 -45.87464989,-67.8836632 -45.8741296,-67.884264 -45.8734723,-67.8839421 -45.8733229,-67.8833306 -45.8736515,-67.8822899 -45.87404,-67.8816032 -45.8749737,-67.8808522 -45.875153,-67.8791678 -45.8762809,-67.8782129 -45.8766021,-67.8774083 -45.8765572,-67.87580898 -45.87623664,-67.8772473 -45.875646,-67.87714 -45.874899,-67.8760457 -45.8739578,-67.8750265 -45.8733005,-67.8741574 -45.8732108,-67.8737283 -45.8741819,-67.87226293 -45.87472228,-67.8735888 -45.8741744,-67.8739643 -45.8739055,-67.8744149 -45.8726132,-67.8760242 -45.8715599,-67.87563056 -45.87167842;-67.87563056 -45.87167842,-67.8735888 -45.8741744,-67.8739643 -45.8739055,-67.8744149 -45.8726132,-67.8760242 -45.8715599,-67.87226293 -45.87472228,-67.8721726 -45.8748019,-67.868793 -45.8753024,-67.8683639 -45.8750633,-67.8691471 -45.8759522,-67.86877282 -45.87598303,-67.8690398 -45.8759074,-67.8681815 -45.8748691,-67.8664434 -45.8762585,-67.86520975 -45.8764158,-67.8666043 -45.8740773,-67.8655958 -45.8758999,-67.8658319 -45.8761464,-67.86601994 -45.87390747,-67.8686213 -45.87223970000001,-67.8679776 -45.8725012,-67.867173 -45.87342,-67.86803091 -45.87230485,-67.8687286 -45.87223970000001,-67.8671408 -45.8717542,-67.8661752 -45.8712611,-67.8662395 -45.8705888,-67.86552841 -45.87071955,-67.8665292 -45.8704394,-67.8664756 -45.8701107,-67.8674197 -45.8697073,-67.8698659 -45.8700883,-67.8700376 -45.8699389,-67.8700268 -45.8692964,-67.86891343 -45.86940172,-67.8699839 -45.8693413,-67.8700376 -45.8699389,-67.8703916 -45.8701929,-67.8709173 -45.8699239,-67.8707349 -45.8692815,-67.8712177 -45.8686166,-67.8731596 -45.8681236,-67.8729107 -45.86822856,-67.8735942 -45.8680488,-67.8724301 -45.8682281,-67.8724086 -45.8686689,-67.8764427 -45.8695952,-67.87545792 -45.87007243,-67.8773439 -45.8681385,-67.878288 -45.8679816,-67.8767216 -45.8696102,-67.87529512 -45.86884053,-67.8773224 -45.8682132,-67.8784168 -45.867951700000006,-67.8792751 -45.866988,-67.87841593 -45.86693979,-67.8794253 -45.8652025,-67.8813779 -45.8643508,-67.8805947 -45.8648065,-67.8801227 -45.8652622,-67.8801119 -45.8658151,-67.8798544 -45.8661513,-67.87816911 -45.86559299,-67.8800154 -45.8627071,-67.880863 -45.8635887,-67.8814101 -45.8638502,-67.881496 -45.8643508,-67.8795862 -45.8651352,-67.87889297 -45.8626014,-67.8809917 -45.8619301,-67.8822792 -45.8616611,-67.8835666 -45.8617507,-67.8845859 -45.8612277,-67.8843284 -45.8612427,-67.88286864 -45.86153258,-67.8855836 -45.8605329,-67.8847253 -45.8611754,-67.8843284 -45.8612427,-67.88485253 -45.86038085,-67.8862917 -45.8600846,-67.8869355 -45.8600547,-67.8873861 -45.8596438,-67.8876221 -45.8588667,-67.8886843 -45.8579999,-67.8905296 -45.8572453,-67.8915596 -45.8569165,-67.8910661 -45.8570435,-67.89119881 -45.85678635,-67.8960952 -45.8598436,-67.8959692 -45.8585678,-67.8961945 -45.8583138,-67.8955936 -45.8581419,-67.8949177 -45.8572976,-67.8950787 -45.8562589,-67.894907 -45.8558629,-67.8937376 -45.8558928,-67.8932869 -45.8566101,-67.8928149 -45.8568492,-67.8926003 -45.8566998,-67.89506126 -45.86022417,-67.8961086 -45.8601668,-67.8949714 -45.8618927,-67.89369378 -45.862107,-67.8961945 -45.8632674,-67.8952932 -45.8629985,-67.8948426 -45.8620347,-67.8946526 -45.86372426,-67.8962696 -45.8632899,-67.8974175 -45.8625203,-67.8984583 -45.8622177,-67.89779792 -45.86312838,,-67.8975525 -45.86346654,-67.8993487 -45.8636634,-67.8988981 -45.8636933,-67.89861920000001 -45.8635215,-67.89867893 -45.86374335,-67.9039943 -45.8644255,-67.9028034 -45.8637381,-67.8999174 -45.8635812,-67.90314798 -45.8648888,-67.906419 -45.86626330000001,-67.9050887 -45.8652025,-67.9043591 -45.864814,-67.90565529 -45.8665856,-67.9108179 -45.86391,-67.9094768 -45.8638353,-67.9077816 -45.8657329,-67.9066443 -45.8662484,-67.90869072 -45.86438156,-67.9100454 -45.8663754,-67.9094982 -45.8663306,-67.909627 -45.86429100000001,-67.90947109 -45.86641003,-67.9100668 -45.8647318,-67.9098523 -45.8659197,-67.9103565 -45.8661513,-67.90917641 -45.86476613,-67.9122448 -45.8649709,-67.911129 -45.8644105,-67.9103887 -45.8645226,-67.91093971 -45.86527418,-67.9164934 -45.8652398,-67.9147875 -45.8642536,-67.9133606 -45.865322,-67.9120409 -45.8651352,-67.91575239 -45.86551598,-67.9187572 -45.8661064,-67.9176843 -45.8663679,-67.9172981 -45.8656657,-67.91774956 -45.8661538,-67.9224908 -45.8663306,-67.9191971 -45.8656582,-67.92069068 -45.86664171,-67.9258382 -45.86658460000001,-67.9220402 -45.8663903,-67.92478129 -45.86687146,-67.9266429 -45.8657927,-67.9259992 -45.8665696,-67.92617947 -45.86596757,,-67.92568273 -45.86555172,-67.9284239 -45.8655835,-67.9270077 -45.8655162,-67.92761571 -45.86576064,-67.92887450000002 -45.8655984,-67.929647 -45.8660093,-67.9311919 -45.8652622,-67.93025624 -45.86524613,-67.934196 -45.8650755,-67.9339492 -45.8648887,-67.9318678 -45.8652174,-67.93322311 -45.86539389,-67.9364544 -45.8650082,-67.9343033 -45.8651128,-67.93542287 -45.86514387,-67.9374468 -45.8637643,-67.93648120000002 -45.8648999,-67.93638614 -45.8639203,-67.9407513 -45.863103100000004,-67.9403973 -45.8622551,-67.93757020000001 -45.8636746,-67.94016816 -45.86304785,-67.9412395 -45.8636896,-67.94085860000001 -45.8628677,-67.94026881 -45.86394522,-67.9413575 -45.8643508,-67.94191 -45.8638801,-67.9413092 -45.8637717,-67.9397787 -45.86446671,-67.939437 -45.8659907,-67.9410034 -45.8642985,-67.93820898 -45.86621382,,-67.93822649 -45.86645361,-67.9383588 -45.8674437,-67.9380101 -45.8666929,-67.9392922 -45.8661064,-67.9400271 -45.8665472</t>
  </si>
  <si>
    <t>-67.9400271 -45.8665472,-67.9383588 -45.8674437,-67.9380101 -45.8666929,-67.9392922 -45.8661064,-67.93822649 -45.86645361,,-67.93820898 -45.86621382,-67.939437 -45.8659907,-67.9410034 -45.8642985,-67.9397787 -45.86446671,-67.9413575 -45.8643508,-67.94191 -45.8638801,-67.9413092 -45.8637717,-67.94026881 -45.86394522,-67.9412395 -45.8636896,-67.94085860000001 -45.8628677,-67.94016816 -45.86304785,-67.9407942 -45.8630844,-67.9403758 -45.8621878,-67.9386914 -45.8624792,-67.93749455 -45.86270022;-67.93749455 -45.86270022,-67.9407942 -45.8630844,-67.9403758 -45.8621878,-67.9386914 -45.8624792,-67.94016816 -45.86304785,-67.9407513 -45.863103100000004,-67.9403973 -45.8622551,-67.93757020000001 -45.8636746,-67.93638614 -45.8639203,-67.9374468 -45.8637643,-67.93648120000002 -45.8648999,-67.93542287 -45.86514387,-67.9364544 -45.8650082,-67.9343033 -45.8651128,-67.93322311 -45.86539389,-67.934196 -45.8650755,-67.9339492 -45.8648887,-67.9318678 -45.8652174,-67.93025624 -45.86524613,-67.92887450000002 -45.8655984,-67.929647 -45.8660093,-67.9311919 -45.8652622,-67.92761571 -45.86576064,-67.9284239 -45.8655835,-67.9270077 -45.8655162,-67.92568273 -45.86555172,,-67.92617947 -45.86596757,-67.9266429 -45.8657927,-67.9259992 -45.8665696,-67.92478129 -45.86687146,-67.9258382 -45.86658460000001,-67.9220402 -45.8663903,-67.92069068 -45.86664171,-67.9224908 -45.8663306,-67.9191971 -45.8656582,-67.91774956 -45.8661538,-67.9187572 -45.8661064,-67.9176843 -45.8663679,-67.9172981 -45.8656657,-67.91575239 -45.86551598,-67.9164934 -45.8652398,-67.9147875 -45.8642536,-67.9133606 -45.865322,-67.9120409 -45.8651352,-67.91093971 -45.86527418,-67.9122448 -45.8649709,-67.911129 -45.8644105,-67.9103887 -45.8645226,-67.90917641 -45.86476613,-67.9100668 -45.8647318,-67.9098523 -45.8659197,-67.9103565 -45.8661513,-67.90947109 -45.86641003,-67.9110271 -45.86621850000001,-67.9131621 -45.8664613,-67.9139614 -45.8669058,-67.9130059 -45.86729039;-67.9130059 -45.86729039,-67.9110271 -45.86621850000001,-67.9131621 -45.8664613,-67.9139614 -45.8669058,-67.90947109 -45.86641003,-67.9100454 -45.8663754,-67.9094982 -45.8663306,-67.909627 -45.86429100000001,-67.90869072 -45.86438156,-67.9108179 -45.86391,-67.9094768 -45.8638353,-67.9077816 -45.8657329,-67.9066443 -45.8662484,-67.90565529 -45.8665856,-67.906419 -45.86626330000001,-67.9050887 -45.8652025,-67.9043591 -45.864814,-67.90314798 -45.8648888,-67.9039943 -45.8644255,-67.9028034 -45.8637381,-67.8999174 -45.8635812,-67.89867893 -45.86374335,-67.8993487 -45.8636634,-67.8988981 -45.8636933,-67.89861920000001 -45.8635215,-67.8975525 -45.86346654,,-67.89779792 -45.86312838,-67.8962696 -45.8632899,-67.8974175 -45.8625203,-67.8984583 -45.8622177,-67.8946526 -45.86372426,-67.8961945 -45.8632674,-67.8952932 -45.8629985,-67.8948426 -45.8620347,-67.89369378 -45.862107,-67.8961086 -45.8601668,-67.8949714 -45.8618927,-67.89506126 -45.86022417,-67.8960952 -45.8598436,-67.8959692 -45.8585678,-67.8961945 -45.8583138,-67.8955936 -45.8581419,-67.8949177 -45.8572976,-67.8950787 -45.8562589,-67.894907 -45.8558629,-67.8937376 -45.8558928,-67.8932869 -45.8566101,-67.8928149 -45.8568492,-67.8926003 -45.8566998,-67.89119881 -45.85678635,-67.8915596 -45.8569165,-67.8910661 -45.8570435,-67.8905296 -45.8572453,-67.8862917 -45.8600846,-67.8869355 -45.8600547,-67.8873861 -45.8596438,-67.8876221 -45.8588667,-67.8886843 -45.8579999,-67.88485253 -45.86038085,-67.8855836 -45.8605329,-67.8847253 -45.8611754,-67.8843284 -45.8612427,-67.88286864 -45.86153258,-67.8809917 -45.8619301,-67.8822792 -45.8616611,-67.8835666 -45.8617507,-67.8845859 -45.8612277,-67.8843284 -45.8612427,-67.87889297 -45.8626014,-67.8800154 -45.8627071,-67.880863 -45.8635887,-67.8814101 -45.8638502,-67.881496 -45.8643508,-67.8795862 -45.8651352,-67.87816911 -45.86559299,-67.8794253 -45.8652025,-67.8813779 -45.8643508,-67.8805947 -45.8648065,-67.8801227 -45.8652622,-67.8801119 -45.8658151,-67.8798544 -45.8661513,-67.87841593 -45.86693979,-67.8773224 -45.8682132,-67.8784168 -45.867951700000006,-67.8792751 -45.866988,-67.87529512 -45.86884053,-67.8755951 -45.8690125,-67.8751016 -45.8692815,-67.8764427 -45.8695952,-67.87545792 -45.87007243,-67.8735942 -45.8680488,-67.8724301 -45.8682281,-67.8724086 -45.8686689,-67.8764427 -45.8695952,-67.8729107 -45.86822856,-67.8699839 -45.8693413,-67.8700376 -45.8699389,-67.8703916 -45.8701929,-67.8709173 -45.8699239,-67.8707349 -45.8692815,-67.8712177 -45.8686166,-67.8731596 -45.8681236,-67.86891343 -45.86940172,-67.8665292 -45.8704394,-67.8664756 -45.8701107,-67.8674197 -45.8697073,-67.8698659 -45.8700883,-67.8700376 -45.8699389,-67.8700268 -45.8692964,-67.86552841 -45.87071955,-67.8687286 -45.87223970000001,-67.8671408 -45.8717542,-67.8661752 -45.8712611,-67.8662395 -45.8705888,-67.86803091 -45.87230485,-67.8686213 -45.87223970000001,-67.8679776 -45.8725012,-67.867173 -45.87342,-67.86601994 -45.87390747,-67.8666043 -45.8740773,-67.8655958 -45.8758999,-67.8658319 -45.8761464,-67.86520975 -45.8764158,-67.8690398 -45.8759074,-67.8681815 -45.8748691,-67.8664434 -45.8762585,-67.86877282 -45.87598303,-67.8721726 -45.8748019,-67.868793 -45.8753024,-67.8683639 -45.8750633,-67.8691471 -45.8759522,-67.87226293 -45.87472228,-67.8772473 -45.875646,-67.87714 -45.874899,-67.8760457 -45.8739578,-67.8750265 -45.8733005,-67.8741574 -45.8732108,-67.8737283 -45.8741819,-67.87580898 -45.87623664,-67.8836632 -45.8741296,-67.884264 -45.8734723,-67.8839421 -45.8733229,-67.8833306 -45.8736515,-67.8822899 -45.87404,-67.8816032 -45.8749737,-67.8808522 -45.875153,-67.8791678 -45.8762809,-67.8782129 -45.8766021,-67.8774083 -45.8765572,-67.88196942 -45.87464989,-67.8855407 -45.8747869,-67.8848219 -45.8745703,-67.8843713 -45.8743089,-67.8840923 -45.8735395,-67.8836632 -45.8741296,-67.88511415 -45.8749264,-67.88980010000002 -45.8758999,-67.8896391 -45.8754592,-67.8868389 -45.87464500000001,-67.8887044 -45.87631529,-67.8926647 -45.877827,-67.8914523 -45.8771996,-67.8902185 -45.8770054,-67.8897464 -45.8764377,-67.89202706 -45.87769743;-67.89202706 -45.87769743,-67.8926647 -45.877827,-67.8914523 -45.8771996,-67.8902185 -45.8770054,-67.8897464 -45.8764377,-67.8887044 -45.87631529,-67.88980010000002 -45.8758999,-67.8903151 -45.875578700000005,-67.89009239 -45.87601642;-67.89009239 -45.87601642,-67.88980010000002 -45.8758999,-67.8903151 -45.875578700000005,-67.8887044 -45.87631529,-67.88980010000002 -45.8758999,-67.8896391 -45.8754592,-67.8868389 -45.87464500000001,-67.88511415 -45.8749264,-67.8855407 -45.8747869,-67.8848219 -45.8745703,-67.8843713 -45.8743089,-67.8840923 -45.8735395,-67.8836632 -45.8741296,-67.88196942 -45.87464989,-67.8803158 -45.8771847,-67.8813779 -45.8760792,-67.8823113 -45.875519,-67.8828478 -45.87486160000001,-67.87897854 -45.87766371,-67.8836739 -45.8759821,-67.8838027 -45.8758402,-67.883234 -45.875631,-67.8816783 -45.8762734,-67.8803587 -45.8772818,-67.88220216 -45.87628794,-67.8856909 -45.8773042,-67.88382410000001 -45.8758999,-67.8835773 -45.8759821,-67.88515558 -45.87764642,-67.8866458 -45.877476,-67.8866458 -45.8780437,-67.8858411 -45.8780212,-67.8857124 -45.8785142,-67.88533919 -45.87880887,-67.8864312 -45.8790146,-67.8847039 -45.8811657,-67.8828692 -45.8823084,-67.8824294 -45.8835632,-67.881732 -45.8839964,-67.87992186 -45.88445386;-67.87992186 -45.88445386,-67.8864312 -45.8790146,-67.8847039 -45.8811657,-67.8828692 -45.8823084,-67.8824294 -45.8835632,-67.881732 -45.8839964,-67.88533919 -45.87880887,-67.8866458 -45.877476,-67.8866458 -45.8780437,-67.8858411 -45.8780212,-67.8857124 -45.8785142,-67.88515558 -45.87764642,-67.8856909 -45.8773042,-67.88382410000001 -45.8758999,-67.8835773 -45.8759821,-67.88220216 -45.87628794,-67.8836739 -45.8759821,-67.8838027 -45.8758402,-67.883234 -45.875631,-67.8816783 -45.8762734,-67.8803587 -45.8772818,-67.87897854 -45.87766371,-67.8797901 -45.8776627,-67.8792536 -45.87817810000001,-67.8798115 -45.8793806,-67.87875862 -45.87975391,-67.8785026 -45.8788802,-67.8798115 -45.8793806,-67.87684672 -45.87887091,-67.8772688 -45.8789101,-67.8749835 -45.8790146,-67.87362100000001 -45.8797765,-67.8724445 -45.87988188,-67.8726017 -45.880389,-67.8697157 -45.8828462,-67.8706813 -45.8831001,-67.8686643 -45.8830254,-67.86703039 -45.88312685,-67.8737283 -45.8829508,-67.8736854 -45.8833242,-67.8730094 -45.8829134,-67.8686643 -45.8830254,-67.87263059 -45.88283868,-67.8738034 -45.8829806,-67.8739858 -45.8834512,-67.87655 -45.8844445,-67.8765929 -45.8840262,-67.8758872 -45.88413516,-67.8775907 -45.885744,-67.8778374 -45.8851241,-67.8766251 -45.8844594,-67.8767002 -45.8840561,-67.87630061 -45.88642699,,-67.87597578 -45.88674947,-67.8775477 -45.8859232,-67.87784810000001 -45.8854153,-67.8789425 -45.8862742,-67.879554 -45.8862667,-67.8829443 -45.8844743,-67.8806055 -45.8848253,-67.87931365 -45.88515467,-67.8808522 -45.8847432,-67.8831053 -45.8843548,-67.884897 -45.8834586,-67.8876114 -45.88378720000001,-67.8901434 -45.8835856,-67.88934482 -45.88367092,-67.8863347 -45.8849448,-67.8869569 -45.8849672,-67.8874826 -45.883847,-67.8903258 -45.883570600000006,-67.88477851 -45.88530377,-67.8877938 -45.885251,-67.8862166 -45.8849523,-67.88725199 -45.88498287,-67.8916669 -45.8851316,-67.891463 -45.8853332,-67.8890061 -45.8855946,-67.8886521 -45.8849672,-67.88986813 -45.88509226,-67.895658 -45.88465360000001,-67.8955078 -45.8872675,-67.89402720000001 -45.888186,-67.89313670000001 -45.8879097,-67.8935552 -45.8866999,-67.891624 -45.8850718,-67.89478887 -45.88442779,-67.896452 -45.8842129,-67.8972995 -45.8841607,-67.8987801 -45.8833839,-67.8993165 -45.8836304,-67.89811074 -45.88424629,-67.90316820000001 -45.883637900000004,-67.9026854 -45.8831823,-67.9021275 -45.8832794,-67.900722 -45.8842279,-67.9001105 -45.8851465,-67.8995955 -45.8843175,-67.90293219 -45.8836944,-67.9039729 -45.8871629,-67.9034686 -45.8869165,-67.9041123 -45.886192,-67.9042947 -45.8847656,-67.90316820000001 -45.883637900000004,-67.90362098 -45.8874036,-67.9052818 -45.8875736,-67.90654780000001 -45.8882084,-67.9074919 -45.8882756,-67.90705336 -45.88840606,-67.9066443 -45.8844071,-67.9062474 -45.8852585,-67.908833 -45.885968,-67.9091012 -45.8864012,-67.90594775 -45.88423937,,-67.90591516 -45.88446218,-67.9076958 -45.8841084,-67.9082644 -45.8839366,-67.9093373 -45.8833167,-67.9103136 -45.8831972,-67.90970498 -45.88326091,-67.911365 -45.8831076,-67.9142618 -45.8826968,-67.9159892 -45.8825026,-67.91541483 -45.88231338,-67.9166651 -45.8823159,-67.9170835 -45.8822711,-67.9178345 -45.8833989,-67.9184783 -45.8832943,-67.91747464 -45.88372353,-67.9183173 -45.8833018,-67.9179525 -45.8832943,-67.9178452 -45.8829358,-67.9186606 -45.8819873,-67.9191113 -45.8815466,-67.9197979 -45.8813898,-67.91930941 -45.88137118,-67.9231775 -45.8798138,-67.9230273 -45.8801051,-67.9220295 -45.8802022,-67.9198301 -45.8807027,-67.9191542 -45.8814645,-67.9198301 -45.8813375,-67.92260289 -45.87981886,-67.9288745 -45.8790371,-67.9299045 -45.8786188,-67.929765 -45.8784918,-67.9247224 -45.8798512,-67.9241753 -45.8796943,-67.92746283 -45.879252,-67.9288745 -45.8790371,-67.9299796 -45.8786337,-67.9304302 -45.8776552,-67.9309022 -45.8766245,-67.9306126 -45.8766543,-67.92916705 -45.87686758,-67.9305589 -45.8765722,-67.9309773 -45.8765423,-67.9323184 -45.875011,-67.9336917 -45.8726132,-67.93292309 -45.87290945,-67.9337347 -45.872531,-67.9350007 -45.8704245,-67.9346895 -45.8701032,-67.933282 -45.87018527,-67.936492 -45.8696625,-67.9362881 -45.8694234,-67.9350436 -45.8703273,-67.9347003 -45.8699986,-67.93551008 -45.87004015,-67.9383588 -45.8674437,-67.9380584 -45.8682655,-67.9363847 -45.8693786,-67.9365671 -45.8696326,-67.9400271 -45.8665472</t>
  </si>
  <si>
    <t>-67.9400271 -45.8665472,-67.9427254 -45.8635364,-67.9464859 -45.8623447,-67.9469097 -45.862016,-67.94569946 -45.86221924,-67.9469097 -45.8620944,-67.9481596 -45.8620048,-67.94727301 -45.86217176,-67.9483044 -45.861911400000004,-67.9473495 -45.8614183,-67.94655091 -45.86160389,,-67.94614101 -45.86156482;-67.94614101 -45.86156482,,-67.94655091 -45.86160389,-67.9479718 -45.8615453,-67.9493934 -45.8606973,-67.9489589 -45.8606599,-67.94780419 -45.86081977,-67.9549134 -45.858239,-67.9527032 -45.8590684,-67.9493666 -45.8607794,-67.9491198 -45.8606898,-67.9539623 -45.85805836,-67.9549778 -45.85820170000001,-67.9571986 -45.85672970000001,-67.9579175 -45.8564981,-67.9585719 -45.8567521,-67.95773843 -45.85672753,-67.9586148 -45.8568044,-67.9579926 -45.8564383,-67.9605138 -45.8553847,-67.9615545 -45.8546374,-67.963078 -45.8525451,-67.9633892 -45.8522836,-67.9675841 -45.8512224,-67.9699767 -45.8512598,-67.9700732 -45.8515064,-67.9697835 -45.8517381,-67.96836168 -45.85192469,-67.9697835 -45.8517381,-67.9700947 -45.8517082,-67.9702342 -45.8514018,-67.9710817 -45.8516335,-67.97135 -45.8516633,-67.97067338 -45.85178783,-67.9748797 -45.8534568,-67.9738176 -45.8522612,-67.9730666 -45.8517007,-67.9728305 -45.8516858,-67.9720902 -45.8515438,-67.97404757 -45.85313584,-67.9750836 -45.8543983,-67.9752016 -45.8534194,-67.97353981 -45.85482131,-67.9721439 -45.8564532,-67.9723585 -45.855833,-67.9728305 -45.8549363,-67.9739249 -45.8544805,-67.9741395 -45.8540023,-67.9740536 -45.853539,-67.9744184 -45.8538977,-67.9746437 -45.8541517,-67.9750943 -45.8540247,-67.9749548 -45.854488,-67.97079424 -45.85669528,-67.9761672 -45.8586351,-67.9759634 -45.858508,-67.9757595 -45.8578206,-67.9751909 -45.8575143,-67.9723477 -45.8568567,-67.9721653 -45.8565802,-67.97543611 -45.85876585,-67.9762101 -45.8587172,-67.9768431 -45.8590385,-67.9774976 -45.8593075,-67.9783773 -45.8600024,-67.9787743 -45.859569,-67.97805617 -45.85962835,-67.9787743 -45.859569,-67.9784095 -45.8600622,-67.9786134 -45.860249,-67.9797721 -45.8603909,-67.9814243 -45.8607346,-67.98085648 -45.8609192,-67.9840422 -45.8594345,-67.9846001 -45.8591805,-67.9853618 -45.8588742,-67.9842031 -45.8589414,-67.9834092 -45.8591431,-67.9824221 -45.8597185,-67.9820251 -45.8604432,-67.98252887 -45.85998837,-67.9863274 -45.8592029,-67.9874325 -45.8590161,-67.9853618 -45.8588742,-67.9839349 -45.859442,-67.98485316 -45.85947976,-67.9892135 -45.8580672,-67.9890418 -45.8588742,-67.9885483 -45.8590684,-67.9874325 -45.8590161,-67.9863274 -45.8592627,-67.98816032 -45.8579739,-67.9891598 -45.8574097,-67.989471 -45.8568044,-67.9900932 -45.8564383,-67.9923999 -45.8559003,-67.9930544 -45.8553697,-67.9934084 -45.8544955,-67.99257609 -45.85442377,-67.9942131 -45.8542489,-67.9949319 -45.8537856,-67.9959404 -45.8535315,-67.99541214 -45.85331974,-67.9973888 -45.8529038,-67.9979253 -45.8530757,-67.998054 -45.8531654,-67.998848 -45.8531654,-67.9993522 -45.853808,-67.99882481 -45.85386089;-67.99882481 -45.85386089,-67.9973888 -45.8529038,-67.9979253 -45.8530757,-67.998054 -45.8531654,-67.998848 -45.8531654,-67.9993522 -45.853808,-67.99541214 -45.85331974,-67.9942131 -45.8542489,-67.9949319 -45.8537856,-67.9959404 -45.8535315,-67.99257609 -45.85442377,-67.9891598 -45.8574097,-67.989471 -45.8568044,-67.9900932 -45.8564383,-67.9923999 -45.8559003,-67.9930544 -45.8553697,-67.9934084 -45.8544955,-67.98816032 -45.8579739,-67.9892135 -45.8580672,-67.9890418 -45.8588742,-67.9885483 -45.8590684,-67.9874325 -45.8590161,-67.9863274 -45.8592627,-67.98485316 -45.85947976,-67.9863274 -45.8592029,-67.9874325 -45.8590161,-67.9853618 -45.8588742,-67.9839349 -45.859442,-67.98252887 -45.85998837,-67.9840422 -45.8594345,-67.9846001 -45.8591805,-67.9853618 -45.8588742,-67.9842031 -45.8589414,-67.9834092 -45.8591431,-67.9824221 -45.8597185,-67.9820251 -45.8604432,-67.98085648 -45.8609192,-67.9787743 -45.859569,-67.9784095 -45.8600622,-67.9786134 -45.860249,-67.9797721 -45.8603909,-67.9814243 -45.8607346,-67.97805617 -45.85962835,-67.9762101 -45.8587172,-67.9768431 -45.8590385,-67.9774976 -45.8593075,-67.9783773 -45.8600024,-67.9787743 -45.859569,-67.97543611 -45.85876585,-67.9761672 -45.8586351,-67.9759634 -45.858508,-67.9757595 -45.8578206,-67.9751909 -45.8575143,-67.9723477 -45.8568567,-67.9721653 -45.8565802,-67.97079424 -45.85669528,-67.9721439 -45.8564532,-67.9723585 -45.855833,-67.9728305 -45.8549363,-67.9739249 -45.8544805,-67.9741395 -45.8540023,-67.9740536 -45.853539,-67.9744184 -45.8538977,-67.9746437 -45.8541517,-67.9750943 -45.8540247,-67.9749548 -45.854488,-67.97353981 -45.85482131;-67.97353981 -45.85482131,-67.9750836 -45.8543983,-67.9752016 -45.8534194,-67.97404757 -45.85313584,,-67.97397058 -45.85339515;-67.97397058 -45.85339515,,-67.97404757 -45.85313584,-67.9748797 -45.8534568,-67.9738176 -45.8522612,-67.9730666 -45.8517007,-67.9728305 -45.8516858,-67.9720902 -45.8515438,-67.97067338 -45.85178783,-67.9697835 -45.8517381,-67.9700947 -45.8517082,-67.9702342 -45.8514018,-67.9710817 -45.8516335,-67.97135 -45.8516633,-67.96836168 -45.85192469,-67.9586148 -45.8568044,-67.9579926 -45.8564383,-67.9605138 -45.8553847,-67.9615545 -45.8546374,-67.963078 -45.8525451,-67.9633892 -45.8522836,-67.9675841 -45.8512224,-67.9699767 -45.8512598,-67.9700732 -45.8515064,-67.9697835 -45.8517381,-67.95773843 -45.85672753,-67.9549778 -45.85820170000001,-67.9571986 -45.85672970000001,-67.9579175 -45.8564981,-67.9585719 -45.8567521,-67.9539623 -45.85805836,-67.9549134 -45.858239,-67.9527032 -45.8590684,-67.9493666 -45.8607794,-67.9491198 -45.8606898,-67.94780419 -45.86081977,-67.9494631 -45.8607197,-67.9496992 -45.8604582,-67.9489589 -45.8596363,-67.9496777 -45.8591282,-67.9500318 -45.8586351,-67.9503858 -45.8584632,-67.94942594 -45.85854239;-67.94942594 -45.85854239,-67.9494631 -45.8607197,-67.9496992 -45.8604582,-67.9489589 -45.8596363,-67.9496777 -45.8591282,-67.9500318 -45.8586351,-67.9503858 -45.8584632,-67.94780419 -45.86081977,-67.9479718 -45.8615453,-67.9493934 -45.8606973,-67.9489589 -45.8606599,-67.94655091 -45.86160389,-67.9477841 -45.861549,-67.9509008 -45.8613996,-67.94986397 -45.86139841;-67.94986397 -45.86139841,-67.9477841 -45.861549,-67.9509008 -45.8613996,-67.94655091 -45.86160389,-67.9483044 -45.861911400000004,-67.9473495 -45.8614183,-67.94727301 -45.86217176,-67.9469097 -45.8620944,-67.9481596 -45.8620048,-67.94569946 -45.86221924,-67.9427254 -45.8635364,-67.9464859 -45.8623447,-67.9469097 -45.862016,-67.9400271 -45.8665472</t>
  </si>
  <si>
    <t>-67.9400271 -45.8665472,-67.9383588 -45.8674437,-67.9380584 -45.8682655,-67.9363847 -45.8693786,-67.9365671 -45.8696326,-67.93551008 -45.87004015,-67.936492 -45.8696625,-67.9362881 -45.8694234,-67.9350436 -45.8703273,-67.9347003 -45.8699986,-67.933282 -45.87018527,-67.9337347 -45.872531,-67.9350007 -45.8704245,-67.9346895 -45.8701032,-67.93292309 -45.87290945,-67.9305589 -45.8765722,-67.9309773 -45.8765423,-67.9323184 -45.875011,-67.9336917 -45.8726132,-67.92916705 -45.87686758,-67.9288745 -45.8790371,-67.9299796 -45.8786337,-67.9304302 -45.8776552,-67.9309022 -45.8766245,-67.9306126 -45.8766543,-67.92746283 -45.879252,-67.9288745 -45.8790371,-67.9299796 -45.8786337,-67.9308271 -45.8793582,-67.9310632 -45.8796271,-67.9308057 -45.8796645,-67.92926139 -45.87980166,-67.9308057 -45.8796645,-67.9309773 -45.8795823,-67.9308271 -45.8793582,-67.9319429 -45.8795524,-67.9332089 -45.8799333,-67.9339921 -45.8795524,-67.9349685 -45.8793358,-67.935698 -45.8793209,-67.93512028 -45.8793768,-67.9380155 -45.8812404,-67.938627 -45.880852,-67.9384768 -45.8805682,-67.9371035 -45.8800827,-67.9358482 -45.8797093,-67.9335737 -45.8797616,-67.934432 -45.8794255,-67.9350007 -45.8792835,-67.9357088 -45.8792686,-67.93588984 -45.88149225,-67.9369104 -45.8822487,-67.9367441 -45.8819686,-67.9385787 -45.881274,-67.938568 -45.8809641,-67.9379243 -45.8811844,-67.93623372 -45.88237227,-67.9369962 -45.8822636,-67.9367441 -45.8819686,-67.9343677 -45.8832719,-67.93288041 -45.88347512,,-67.93297197 -45.88384007,-67.9325545 -45.8880964,-67.9324257 -45.8875363,-67.933048 -45.8868642,-67.9335093 -45.8836304,-67.93195275 -45.88880085,,-67.93184093 -45.88869985,-67.929883 -45.8876782,-67.9306018 -45.8878724,-67.9317605 -45.8883727,-67.9326189 -45.888201,-67.92838162 -45.88770662;-67.92838162 -45.88770662,-67.9286492 -45.8892166,-67.9288638 -45.8878724,-67.9292393 -45.8876931,-67.92758265 -45.88993498,-67.929368 -45.8925994,-67.9296148 -45.8919423,-67.9287994 -45.8913897,-67.9285097 -45.8910014,-67.9286277 -45.8901127,-67.92819602 -45.89300211,-67.9292285 -45.8926143,-67.9297435 -45.8916137,-67.930634 -45.8913523,-67.9310846 -45.8915241,-67.9320288 -45.8924127,-67.9322755 -45.8923231,-67.9316425 -45.8910014,-67.93002857 -45.89099999,-67.9326725 -45.8927039,-67.9321253 -45.8924276,-67.9320502 -45.8919796,-67.9315674 -45.8910163,-67.93203261 -45.89325144,-67.9365563 -45.8934432,-67.9362988 -45.8935104,-67.9354835 -45.8929653,-67.9325223 -45.8923978,-67.932297 -45.8925471,-67.9325116 -45.8927189,-67.9360062 -45.89335158,-67.9386914 -45.8911283,-67.9384661 -45.8920468,-67.9380691 -45.8922111,-67.9374146 -45.8931968,-67.93808121 -45.89103139,-67.9441845 -45.8944512,-67.9437339 -45.8940256,-67.9429615 -45.8935179,-67.9420388 -45.8926442,-67.9392278 -45.8921737,-67.9386055 -45.8919721,-67.9388738 -45.8911059,-67.94342733 -45.89494583,-67.9444742 -45.8952204,-67.9448175 -45.8966465,-67.9453754 -45.8970423,-67.9465127 -45.8973708,-67.948122 -45.8975724,-67.9491735 -45.8979383,-67.9495811 -45.8977143,-67.9495168 -45.8971916,-67.948916 -45.89643,-67.9480469 -45.8964599,-67.94634029 -45.89666725,-67.9480469 -45.8964599,-67.9490232 -45.8964748,-67.9496241 -45.8946081,-67.9499245 -45.8939808,-67.9505253 -45.8936448,-67.9514372 -45.8936821,-67.9526389 -45.8943915,-67.95185094 -45.89446535,-67.9582393 -45.8946827,-67.9580355 -45.8936448,-67.9570484 -45.8930026,-67.9563832 -45.8929429,-67.9546344 -45.8936448,-67.9533792 -45.8943691,-67.95753705 -45.89518861,-67.9602778 -45.8973559,-67.959677 -45.8974604,-67.9590976 -45.897326,-67.9587114 -45.8968257,-67.95928 -45.896094,-67.9591405 -45.8953548,-67.95956637 -45.89743693,-67.9612112 -45.8971319,-67.9633784 -45.8962807,-67.9639149 -45.8957132,-67.9634535 -45.8934357,-67.9631853 -45.892801,-67.96212496 -45.89267136,-67.9636359 -45.8920916,-67.9636359 -45.890964,-67.96267485 -45.89061558,-67.9667902 -45.8928309,-67.9665112 -45.8926517,-67.9661894 -45.8920169,-67.965138 -45.8917033,-67.964741 -45.8917481,-67.9635823 -45.8909043,-67.96564342 -45.89329615;-67.96564342 -45.89329615,-67.9667902 -45.8928309,-67.9665112 -45.8926517,-67.9661894 -45.8920169,-67.965138 -45.8917033,-67.964741 -45.8917481,-67.9635823 -45.8909043,-67.96267485 -45.89061558,-67.9636359 -45.8920916,-67.9636359 -45.890964,-67.96212496 -45.89267136,-67.963196 -45.8927189,-67.9626918 -45.8927114,-67.9624236 -45.8909043,-67.9618871 -45.8908445,-67.9608786 -45.8903442,-67.95958813 -45.89007642;-67.95958813 -45.89007642,-67.9609108 -45.8902845,-67.9623485 -45.8909491,-67.9621017 -45.8899111,-67.962445 -45.8899634,-67.9637861 -45.8886864,-67.96290254 -45.88863388,-67.9670262 -45.8881263,-67.9660714 -45.8869613,-67.9657602 -45.8876259,-67.9651165 -45.8877678,-67.9650307 -45.887947,-67.964462 -45.8880815,-67.96633372 -45.88873533,-67.9671872 -45.8881412,-67.9659748 -45.8870061,-67.9642153 -45.8869314,-67.9642582 -45.8866849,-67.96291589 -45.88644251,-67.9643977 -45.8867746,-67.9641402 -45.8867895,-67.9629064 -45.8855274,-67.9625845 -45.8842055,-67.9620588 -45.8840412,-67.9608893 -45.8848926,-67.95958113 -45.88533853,-67.960428 -45.8852436,-67.9597843 -45.8853855,-67.9578102 -45.8852959,-67.9558897 -45.8849448,-67.9546167 -45.88506443,-67.9558575 -45.8850121,-67.9577243 -45.885266,-67.9570806 -45.8846984,-67.9572737 -45.8842727,-67.95630644 -45.88424642,-67.9574776 -45.8841607,-67.957145 -45.8847059,-67.9566514 -45.8846162,-67.9556644 -45.8837499,-67.9523063 -45.8835856,-67.9527569 -45.8833092,-67.9532826 -45.8832644,-67.95269672 -45.88342498;-67.95269672 -45.88342498,-67.952832 -45.8866028,-67.9515767 -45.8861547,-67.9514158 -45.8859157,-67.950815 -45.8855647,-67.9502463 -45.8848776,-67.9522634 -45.8836379,-67.9526711 -45.8833914,-67.9532182 -45.8833317,-67.95178221 -45.88666191,-67.951051 -45.8868418,-67.9516089 -45.886207,-67.952832 -45.8866028,-67.94972726 -45.88693813,-67.948755 -45.886894,-67.9494202 -45.887484,-67.9503751 -45.8875587,-67.9509008 -45.8873571,-67.9508793 -45.8868716,-67.94746568 -45.88694764,-67.9487872 -45.8868418,-67.9495382 -45.8874766,-67.9496884 -45.88726,-67.9485726 -45.886095,-67.9476714 -45.8855871,-67.94628753 -45.88560005,-67.9472744 -45.8852212,-67.9470921 -45.8844967,-67.9472423 -45.883959,-67.9472315 -45.8831823,-67.94607409 -45.88311995,-67.9472744 -45.8827118,-67.9475963 -45.8819051,-67.9476392 -45.8807475,-67.9472208 -45.8805159,-67.9459034 -45.88040255,-67.9468131 -45.8799931,-67.9464698 -45.8794927,-67.9443026 -45.8791491,-67.94258106 -45.87928487,-67.9433799 -45.8793582,-67.9425859 -45.8792462,-67.9414809 -45.8788951,-67.9399574 -45.8788802,-67.9395819 -45.8785889,-67.9398179 -45.8784246,-67.93938002 -45.87863178,-67.9364383 -45.8791566,-67.9368889 -45.8790371,-67.9370821 -45.878798,-67.939657 -45.8787906,-67.9398179 -45.8784246,-67.93512028 -45.8793768,-67.9308057 -45.8796645,-67.9309773 -45.8795823,-67.9308271 -45.8793582,-67.9319429 -45.8795524,-67.9332089 -45.8799333,-67.9339921 -45.8795524,-67.9349685 -45.8793358,-67.935698 -45.8793209,-67.92926139 -45.87980166,-67.9288745 -45.8790371,-67.9299796 -45.8786337,-67.9308271 -45.8793582,-67.9310632 -45.8796271,-67.9308057 -45.8796645,-67.92746283 -45.879252,-67.9288745 -45.8790371,-67.9299045 -45.8786188,-67.929765 -45.8784918,-67.9247224 -45.8798512,-67.9241753 -45.8796943,-67.92260289 -45.87981886,-67.9231775 -45.8798138,-67.9230273 -45.8801051,-67.9220295 -45.8802022,-67.9198301 -45.8807027,-67.9191542 -45.8814645,-67.9198301 -45.8813375,-67.91930941 -45.88137118,-67.9183173 -45.8833018,-67.9179525 -45.8832943,-67.9178452 -45.8829358,-67.9186606 -45.8819873,-67.9191113 -45.8815466,-67.9197979 -45.8813898,-67.91747464 -45.88372353,-67.9166651 -45.8823159,-67.9170835 -45.8822711,-67.9178345 -45.8833989,-67.9184783 -45.8832943,-67.91541483 -45.88231338,-67.911365 -45.8831076,-67.9142618 -45.8826968,-67.9159892 -45.8825026,-67.90970498 -45.88326091,-67.9076958 -45.8841084,-67.9082644 -45.8839366,-67.9093373 -45.8833167,-67.9103136 -45.8831972,-67.90591516 -45.88446218,,-67.90594775 -45.88423937,-67.9066443 -45.8844071,-67.9062474 -45.8852585,-67.908833 -45.885968,-67.9091012 -45.8864012,-67.90705336 -45.88840606,-67.9052818 -45.8875736,-67.90654780000001 -45.8882084,-67.9074919 -45.8882756,-67.90362098 -45.8874036,-67.9039729 -45.8871629,-67.9034686 -45.8869165,-67.9041123 -45.886192,-67.9042947 -45.8847656,-67.90316820000001 -45.883637900000004,-67.90293219 -45.8836944,-67.90316820000001 -45.883637900000004,-67.9026854 -45.8831823,-67.9021275 -45.8832794,-67.900722 -45.8842279,-67.9001105 -45.8851465,-67.8995955 -45.8843175,-67.89811074 -45.88424629,-67.896452 -45.8842129,-67.8972995 -45.8841607,-67.8987801 -45.8833839,-67.8993165 -45.8836304,-67.89478887 -45.88442779,-67.895658 -45.88465360000001,-67.8955078 -45.8872675,-67.89402720000001 -45.888186,-67.89313670000001 -45.8879097,-67.8935552 -45.8866999,-67.891624 -45.8850718,-67.88986813 -45.88509226,-67.8916669 -45.8851316,-67.891463 -45.8853332,-67.8890061 -45.8855946,-67.8886521 -45.8849672,-67.88725199 -45.88498287,-67.8877938 -45.885251,-67.8862166 -45.8849523,-67.88477851 -45.88530377,-67.8847039 -45.885542300000004,-67.8854334 -45.8851465,-67.88304639 -45.88588109,-67.8838027 -45.88608,-67.882483 -45.8868716,-67.88085052 -45.88709026,-67.8783846 -45.8885519,-67.8803802 -45.8880143,-67.8826654 -45.8868044,-67.8823113 -45.8868119,-67.87661058 -45.88889945,-67.8765285 -45.89045620000001,-67.877773 -45.8901799,-67.8803802 -45.8880143,-67.8783846 -45.8885519,-67.87484305 -45.89067788,-67.8792322 -45.8901127,-67.877934 -45.8900903,-67.8765285 -45.89045620000001,-67.87813787 -45.88993585,-67.8788996 -45.8901426,-67.877934 -45.8900903,-67.8774834 -45.8904786,-67.8777945 -45.8925098,-67.8783524 -45.8919348,-67.87768072 -45.89180609,-67.877419 -45.893361,-67.8777194 -45.8924724,-67.8782558 -45.8919497,-67.87597121 -45.89385401;-67.87597121 -45.89385401,-67.877419 -45.893361,-67.8777194 -45.8924724,-67.8782558 -45.8919497,-67.87768072 -45.89180609,-67.8788996 -45.8901426,-67.877934 -45.8900903,-67.8774834 -45.8904786,-67.8777945 -45.8925098,-67.8783524 -45.8919348,-67.87813787 -45.88993585,-67.8789854 -45.8901127,-67.8777838 -45.8901052,-67.8751981 -45.8927935,-67.8739536 -45.8942571,-67.87230402 -45.89457162,-67.8727734 -45.8946678,-67.8698874 -45.8956236,-67.8718185 -45.8958326,-67.87162467 -45.89615328;-67.87162467 -45.89615328,-67.8727734 -45.8946678,-67.8698874 -45.8956236,-67.8718185 -45.8958326,-67.87230402 -45.89457162,-67.8789854 -45.8901127,-67.8777838 -45.8901052,-67.8751981 -45.8927935,-67.8739536 -45.8942571,-67.87813787 -45.88993585,-67.8792322 -45.8901127,-67.877934 -45.8900903,-67.8765285 -45.89045620000001,-67.87484305 -45.89067788,-67.8765285 -45.89045620000001,-67.877773 -45.8901799,-67.8803802 -45.8880143,-67.8783846 -45.8885519,-67.87661058 -45.88889945,-67.8783846 -45.8885519,-67.8803802 -45.8880143,-67.8826654 -45.8868044,-67.8823113 -45.8868119,-67.88085052 -45.88709026,-67.8838027 -45.88608,-67.882483 -45.8868716,-67.88304639 -45.88588109,-67.8847039 -45.885542300000004,-67.8854334 -45.8851465,-67.88477851 -45.88530377,-67.8877938 -45.885251,-67.8862166 -45.8849523,-67.88725199 -45.88498287,-67.8916669 -45.8851316,-67.891463 -45.8853332,-67.8890061 -45.8855946,-67.8886521 -45.8849672,-67.88986813 -45.88509226,-67.895658 -45.88465360000001,-67.8955078 -45.8872675,-67.89402720000001 -45.888186,-67.89313670000001 -45.8879097,-67.8935552 -45.8866999,-67.891624 -45.8850718,-67.89478887 -45.88442779,-67.896452 -45.8842129,-67.8972995 -45.8841607,-67.8987801 -45.8833839,-67.8993165 -45.8836304,-67.89811074 -45.88424629,-67.90316820000001 -45.883637900000004,-67.9026854 -45.8831823,-67.9021275 -45.8832794,-67.900722 -45.8842279,-67.9001105 -45.8851465,-67.8995955 -45.8843175,-67.90293219 -45.8836944,-67.9039729 -45.8871629,-67.9034686 -45.8869165,-67.9041123 -45.886192,-67.9042947 -45.8847656,-67.90316820000001 -45.883637900000004,-67.90362098 -45.8874036,-67.9052818 -45.8875736,-67.90654780000001 -45.8882084,-67.9074919 -45.8882756,-67.90705336 -45.88840606,-67.9066443 -45.8844071,-67.9062474 -45.8852585,-67.908833 -45.885968,-67.9091012 -45.8864012,-67.90594775 -45.88423937,,-67.90591516 -45.88446218,-67.9076958 -45.8841084,-67.9082644 -45.8839366,-67.9093373 -45.8833167,-67.9103136 -45.8831972,-67.90970498 -45.88326091,-67.911365 -45.8831076,-67.9142618 -45.8826968,-67.9159892 -45.8825026,-67.91541483 -45.88231338,-67.9166651 -45.8823159,-67.9170835 -45.8822711,-67.9178345 -45.8833989,-67.9184783 -45.8832943,-67.91747464 -45.88372353,-67.9183173 -45.8833018,-67.9179525 -45.8832943,-67.9178452 -45.8829358,-67.9186606 -45.8819873,-67.9191113 -45.8815466,-67.9197979 -45.8813898,-67.91930941 -45.88137118,-67.9231775 -45.8798138,-67.9230273 -45.8801051,-67.9220295 -45.8802022,-67.9198301 -45.8807027,-67.9191542 -45.8814645,-67.9198301 -45.8813375,-67.92260289 -45.87981886,-67.9288745 -45.8790371,-67.9299045 -45.8786188,-67.929765 -45.8784918,-67.9247224 -45.8798512,-67.9241753 -45.8796943,-67.92746283 -45.879252,-67.9288745 -45.8790371,-67.9299796 -45.8786337,-67.9304302 -45.8776552,-67.9309022 -45.8766245,-67.9306126 -45.8766543,-67.92916705 -45.87686758,-67.9305589 -45.8765722,-67.9309773 -45.8765423,-67.9323184 -45.875011,-67.9336917 -45.8726132,-67.93292309 -45.87290945,-67.9337347 -45.872531,-67.9350007 -45.8704245,-67.9346895 -45.8701032,-67.933282 -45.87018527,-67.936492 -45.8696625,-67.9362881 -45.8694234,-67.9350436 -45.8703273,-67.9347003 -45.8699986,-67.93551008 -45.87004015,-67.9383588 -45.8674437,-67.9380584 -45.8682655,-67.9363847 -45.8693786,-67.9365671 -45.8696326,-67.9400271 -45.8665472</t>
  </si>
  <si>
    <t>-67.9400271 -45.8665472,-67.9383588 -45.8674437,-67.9380584 -45.8682655,-67.9363847 -45.8693786,-67.9365671 -45.8696326,-67.93551008 -45.87004015,-67.936492 -45.8696625,-67.9362881 -45.8694234,-67.9350436 -45.8703273,-67.9347003 -45.8699986,-67.933282 -45.87018527,-67.9337347 -45.872531,-67.9350007 -45.8704245,-67.9346895 -45.8701032,-67.93292309 -45.87290945,-67.9305589 -45.8765722,-67.9309773 -45.8765423,-67.9323184 -45.875011,-67.9336917 -45.8726132,-67.92916705 -45.87686758,-67.9288745 -45.8790371,-67.9299796 -45.8786337,-67.9304302 -45.8776552,-67.9309022 -45.8766245,-67.9306126 -45.8766543,-67.92746283 -45.879252,-67.9288745 -45.8790371,-67.9299045 -45.8786188,-67.929765 -45.8784918,-67.9247224 -45.8798512,-67.9241753 -45.8796943,-67.92260289 -45.87981886,-67.9231775 -45.8798138,-67.9230273 -45.8801051,-67.9220295 -45.8802022,-67.9198301 -45.8807027,-67.9191542 -45.8814645,-67.9198301 -45.8813375,-67.91930941 -45.88137118,-67.9183173 -45.8833018,-67.9179525 -45.8832943,-67.9178452 -45.8829358,-67.9186606 -45.8819873,-67.9191113 -45.8815466,-67.9197979 -45.8813898,-67.91747464 -45.88372353,-67.9166651 -45.8823159,-67.9170835 -45.8822711,-67.9178345 -45.8833989,-67.9184783 -45.8832943,-67.91541483 -45.88231338,-67.9166651 -45.8823159,-67.9169762 -45.8821367,-67.9166543 -45.8815466,-67.913146 -45.8824205,-67.9128242 -45.8814645,-67.91214619 -45.88124859,,-67.91210808 -45.8814063,-67.9107428 -45.880501,-67.9119766 -45.880389,-67.9123414 -45.8806952,-67.9129958 -45.8809193,-67.90891537 -45.88072557,,-67.90902811 -45.88062544,-67.9108071 -45.880613,-67.9116762 -45.8803665,-67.9099488 -45.8795972,-67.9089832 -45.8795748,-67.908479 -45.879291,-67.9081464 -45.8778345,-67.9075241 -45.8768784,-67.9078567 -45.8763107,-67.9075456 -45.8753322,-67.9072452 -45.8752799,-67.9064727 -45.8764004,-67.90493501 -45.87690763,-67.9065692 -45.87642280000001,-67.9066443 -45.8758626,-67.9054427 -45.876363,-67.9050243 -45.8759149,-67.90388535 -45.87594679,-67.9027498 -45.8764153,-67.9023206 -45.8766319,-67.9053462 -45.8764079,-67.9049706 -45.8759672,-67.90200809 -45.87637167,-67.8998315 -45.8761838,-67.9001212 -45.8769457,-67.900883 -45.8771399,-67.9025674 -45.8764527,-67.89805175 -45.8762384,,-67.89781334 -45.87614703,-67.8996062 -45.8756758,-67.8981364 -45.8751081,-67.8992522 -45.8749438,-67.89863672 -45.87485225,-67.8996921 -45.8744209,-67.8999817 -45.8733453,-67.89956807 -45.87344883,,-67.899083 -45.87328051;-67.899083 -45.87328051,,-67.89956807 -45.87344883,-67.8996921 -45.8744209,-67.8999817 -45.8733453,-67.89863672 -45.87485225,-67.8996062 -45.8756758,-67.8981364 -45.8751081,-67.8992522 -45.8749438,-67.89781334 -45.87614703,,-67.89805175 -45.8762384,-67.8998315 -45.8761838,-67.9001212 -45.8769457,-67.900883 -45.8771399,-67.9025674 -45.8764527,-67.90200809 -45.87637167,-67.9027498 -45.8764153,-67.9023206 -45.8766319,-67.9053462 -45.8764079,-67.9049706 -45.8759672,-67.90388535 -45.87594679,-67.9065692 -45.87642280000001,-67.9066443 -45.8758626,-67.9054427 -45.876363,-67.9050243 -45.8759149,-67.90493501 -45.87690763,-67.9108071 -45.880613,-67.9116762 -45.8803665,-67.9099488 -45.8795972,-67.9089832 -45.8795748,-67.908479 -45.879291,-67.9081464 -45.8778345,-67.9075241 -45.8768784,-67.9078567 -45.8763107,-67.9075456 -45.8753322,-67.9072452 -45.8752799,-67.9064727 -45.8764004,-67.90902811 -45.88062544,,-67.90891537 -45.88072557,-67.9107428 -45.880501,-67.9119766 -45.880389,-67.9123414 -45.8806952,-67.9129958 -45.8809193,-67.91210808 -45.8814063,,-67.91214619 -45.88124859,-67.9166651 -45.8823159,-67.9169762 -45.8821367,-67.9166543 -45.8815466,-67.913146 -45.8824205,-67.9128242 -45.8814645,-67.91541483 -45.88231338,-67.9166651 -45.8823159,-67.9170835 -45.8822711,-67.9178345 -45.8833989,-67.9184783 -45.8832943,-67.91747464 -45.88372353,-67.9183173 -45.8833018,-67.9179525 -45.8832943,-67.9178452 -45.8829358,-67.9186606 -45.8819873,-67.9191113 -45.8815466,-67.9197979 -45.8813898,-67.91930941 -45.88137118,-67.9231775 -45.8798138,-67.9230273 -45.8801051,-67.9220295 -45.8802022,-67.9198301 -45.8807027,-67.9191542 -45.8814645,-67.9198301 -45.8813375,-67.92260289 -45.87981886,-67.9288745 -45.8790371,-67.9299045 -45.8786188,-67.929765 -45.8784918,-67.9247224 -45.8798512,-67.9241753 -45.8796943,-67.92746283 -45.879252,-67.9288745 -45.8790371,-67.9299796 -45.8786337,-67.9304302 -45.8776552,-67.9309022 -45.8766245,-67.9306126 -45.8766543,-67.92916705 -45.87686758,-67.9305589 -45.8765722,-67.9309773 -45.8765423,-67.9323184 -45.875011,-67.9336917 -45.8726132,-67.93292309 -45.87290945,-67.9337347 -45.872531,-67.9350007 -45.8704245,-67.9346895 -45.8701032,-67.933282 -45.87018527,-67.936492 -45.8696625,-67.9362881 -45.8694234,-67.9350436 -45.8703273,-67.9347003 -45.8699986,-67.93551008 -45.87004015,-67.9383588 -45.8674437,-67.9380584 -45.8682655,-67.9363847 -45.8693786,-67.9365671 -45.8696326,-67.9400271 -45.8665472,-67.9427254 -45.8635364,-67.9464859 -45.8623447,-67.9469097 -45.862016,-67.94569946 -45.86221924,-67.9469097 -45.8620944,-67.9481596 -45.8620048,-67.94727301 -45.86217176,-67.9483044 -45.861911400000004,-67.9473495 -45.8614183,-67.94655091 -45.86160389,-67.9479718 -45.8615453,-67.9493934 -45.8606973,-67.9489589 -45.8606599,-67.94780419 -45.86081977,-67.9549134 -45.858239,-67.9527032 -45.8590684,-67.9493666 -45.8607794,-67.9491198 -45.8606898,-67.9539623 -45.85805836,-67.9549778 -45.85820170000001,-67.9571986 -45.85672970000001,-67.9579175 -45.8564981,-67.9585719 -45.8567521,-67.95773843 -45.85672753,-67.9637325 -45.8577459,-67.9643655 -45.8579476,-67.9642689 -45.8583885,-67.9623485 -45.8582017,-67.9617047 -45.8578879,-67.960825 -45.8571257,-67.9587221 -45.8568418,-67.96207279 -45.85789473,-67.9637325 -45.8577459,-67.9642367 -45.8578505,-67.9642689 -45.8583885,-67.963078 -45.8585603,-67.9614151 -45.8585603,-67.95977833 -45.85857686;-67.95977833 -45.85857686,-67.9637325 -45.8577459,-67.9642367 -45.8578505,-67.9642689 -45.8583885,-67.963078 -45.8585603,-67.9614151 -45.8585603,-67.96207279 -45.85789473,-67.9637325 -45.8577459,-67.9643655 -45.8579476,-67.9642689 -45.8583885,-67.9623485 -45.8582017,-67.9617047 -45.8578879,-67.960825 -45.8571257,-67.9587221 -45.8568418,-67.95773843 -45.85672753,-67.9549778 -45.85820170000001,-67.9571986 -45.85672970000001,-67.9579175 -45.8564981,-67.9585719 -45.8567521,-67.9539623 -45.85805836,-67.9549134 -45.858239,-67.9527032 -45.8590684,-67.9493666 -45.8607794,-67.9491198 -45.8606898,-67.94780419 -45.86081977,-67.9479718 -45.8615453,-67.9493934 -45.8606973,-67.9489589 -45.8606599,-67.94655091 -45.86160389,-67.9483044 -45.861911400000004,-67.9473495 -45.8614183,-67.94727301 -45.86217176,-67.9469097 -45.8620944,-67.9481596 -45.8620048,-67.94569946 -45.86221924,-67.9427254 -45.8635364,-67.9464859 -45.8623447,-67.9469097 -45.862016,-67.9400271 -45.8665472,-67.9383588 -45.8674437,-67.9380584 -45.8682655,-67.9363847 -45.8693786,-67.9365671 -45.8696326,-67.93551008 -45.87004015,-67.936492 -45.8696625,-67.9362881 -45.8694234,-67.9350436 -45.8703273,-67.9347003 -45.8699986,-67.933282 -45.87018527,-67.9337347 -45.872531,-67.9350007 -45.8704245,-67.9346895 -45.8701032,-67.93292309 -45.87290945,-67.9305589 -45.8765722,-67.9309773 -45.8765423,-67.9323184 -45.875011,-67.9336917 -45.8726132,-67.92916705 -45.87686758,-67.9288745 -45.8790371,-67.9299796 -45.8786337,-67.9304302 -45.8776552,-67.9309022 -45.8766245,-67.9306126 -45.8766543,-67.92746283 -45.879252,-67.9288745 -45.8790371,-67.9299796 -45.8786337,-67.9308271 -45.8793582,-67.9310632 -45.8796271,-67.9308057 -45.8796645,-67.92926139 -45.87980166,-67.9308057 -45.8796645,-67.9309773 -45.8795823,-67.9308271 -45.8793582,-67.9319429 -45.8795524,-67.9332089 -45.8799333,-67.9339921 -45.8795524,-67.9349685 -45.8793358,-67.935698 -45.8793209,-67.93512028 -45.8793768,-67.9364383 -45.8791566,-67.9368889 -45.8790371,-67.9370821 -45.878798,-67.939657 -45.8787906,-67.9398179 -45.8784246,-67.93938002 -45.87863178,-67.9433799 -45.8793582,-67.9425859 -45.8792462,-67.9414809 -45.8788951,-67.9399574 -45.8788802,-67.9395819 -45.8785889,-67.9398179 -45.8784246,-67.94258106 -45.87928487,-67.9468131 -45.8799931,-67.9464698 -45.8794927,-67.9443026 -45.8791491,-67.9459034 -45.88040255,-67.9472744 -45.8827118,-67.9475963 -45.8819051,-67.9476392 -45.8807475,-67.9472208 -45.8805159,-67.94607409 -45.88311995,-67.9472744 -45.8852212,-67.9470921 -45.8844967,-67.9472423 -45.883959,-67.9472315 -45.8831823,-67.94628753 -45.88560005,-67.9487872 -45.8868418,-67.9495382 -45.8874766,-67.9496884 -45.88726,-67.9485726 -45.886095,-67.9476714 -45.8855871,-67.94746568 -45.88694764,-67.948755 -45.886894,-67.9494202 -45.887484,-67.9503751 -45.8875587,-67.9509008 -45.8873571,-67.9508793 -45.8868716,-67.94972726 -45.88693813,-67.951051 -45.8868418,-67.9516089 -45.886207,-67.952832 -45.8866028,-67.95178221 -45.88666191,-67.957381 -45.8868268,-67.9566729 -45.8866327,-67.953701 -45.8868791,-67.9533148 -45.8869911,-67.9529393 -45.8866103,-67.95650174 -45.8868325,-67.9573059 -45.8868268,-67.956748 -45.8864908,-67.9563725 -45.8857215,-67.9556644 -45.8849971,-67.9546167 -45.88506443,-67.960428 -45.8852436,-67.9597843 -45.8853855,-67.9578102 -45.8852959,-67.9558897 -45.8849448,-67.95958113 -45.88533853,-67.9643977 -45.8867746,-67.9641402 -45.8867895,-67.9629064 -45.8855274,-67.9625845 -45.8842055,-67.9620588 -45.8840412,-67.9608893 -45.8848926,-67.96291589 -45.88644251,-67.9642582 -45.8866849,-67.9660714 -45.8869613,-67.9663503 -45.8865505,-67.9662859 -45.88549,-67.9665112 -45.8837798,-67.9671657 -45.8837275,-67.9670477 -45.8843548,-67.96615149 -45.88487087,-67.9689896 -45.8855572,-67.9684317 -45.8850942,-67.9680133 -45.8843399,-67.9672301 -45.8837872,-67.9670477 -45.8843548,-67.96828667 -45.88589528,-67.9702342 -45.8858709,-67.9697192 -45.8860352,-67.9691613 -45.8857589,-67.96952973 -45.8860392,-67.9752874 -45.8886341,-67.9738069 -45.8884922,-67.9698479 -45.8860651,-67.9702234 -45.8859307,-67.97417558 -45.88870119,-67.9755127 -45.8898364,-67.9753196 -45.8896348,-67.9751372 -45.889239,-67.9736996 -45.8884922,-67.9752123 -45.8886192,-67.97500117 -45.89011334,-67.9778516 -45.8901202,-67.977283 -45.8901052,-67.9767358 -45.889926,-67.97751751 -45.89013616,-67.9825187 -45.8903218,-67.979182 -45.8900455,-67.98197943 -45.89056257;-67.98197943 -45.89056257,-67.9825187 -45.8903218,-67.979182 -45.8900455,-67.97751751 -45.89013616,-67.9778516 -45.8901202,-67.977283 -45.8901052,-67.9767358 -45.889926,-67.97500117 -45.89011334,-67.9755127 -45.8898364,-67.9753196 -45.8896348,-67.9751372 -45.889239,-67.9736996 -45.8884922,-67.9752123 -45.8886192,-67.97417558 -45.88870119,-67.9752874 -45.8886341,-67.9738069 -45.8884922,-67.9698479 -45.8860651,-67.9702234 -45.8859307,-67.96952973 -45.8860392,-67.9702342 -45.8858709,-67.9697192 -45.8860352,-67.9691613 -45.8857589,-67.96828667 -45.88589528,-67.9689896 -45.8855572,-67.9684317 -45.8850942,-67.9680133 -45.8843399,-67.9672301 -45.8837872,-67.9670477 -45.8843548,-67.96615149 -45.88487087,-67.9642582 -45.8866849,-67.9660714 -45.8869613,-67.9663503 -45.8865505,-67.9662859 -45.88549,-67.9665112 -45.8837798,-67.9671657 -45.8837275,-67.9670477 -45.8843548,-67.96291589 -45.88644251,-67.9643977 -45.8867746,-67.9641402 -45.8867895,-67.9629064 -45.8855274,-67.9625845 -45.8842055,-67.9620588 -45.8840412,-67.9608893 -45.8848926,-67.95958113 -45.88533853,-67.960428 -45.8852436,-67.9597843 -45.8853855,-67.9578102 -45.8852959,-67.9558897 -45.8849448,-67.9546167 -45.88506443,-67.9573059 -45.8868268,-67.956748 -45.8864908,-67.9563725 -45.8857215,-67.9556644 -45.8849971,-67.95650174 -45.8868325,-67.957381 -45.8868268,-67.9566729 -45.8866327,-67.953701 -45.8868791,-67.9533148 -45.8869911,-67.9529393 -45.8866103,-67.95178221 -45.88666191,-67.951051 -45.8868418,-67.9516089 -45.886207,-67.952832 -45.8866028,-67.94972726 -45.88693813,-67.948755 -45.886894,-67.9494202 -45.887484,-67.9503751 -45.8875587,-67.9509008 -45.8873571,-67.9508793 -45.8868716,-67.94746568 -45.88694764,-67.9487872 -45.8868418,-67.9495382 -45.8874766,-67.9496884 -45.88726,-67.9485726 -45.886095,-67.9476714 -45.8855871,-67.94628753 -45.88560005,-67.9472744 -45.8852212,-67.9470921 -45.8844967,-67.9472423 -45.883959,-67.9472315 -45.8831823,-67.94607409 -45.88311995,-67.9472744 -45.8827118,-67.9475963 -45.8819051,-67.9476392 -45.8807475,-67.9472208 -45.8805159,-67.9459034 -45.88040255,-67.9468131 -45.8799931,-67.9464698 -45.8794927,-67.9443026 -45.8791491,-67.94258106 -45.87928487,-67.9433799 -45.8793582,-67.9425859 -45.8792462,-67.9414809 -45.8788951,-67.9399574 -45.8788802,-67.9395819 -45.8785889,-67.9398179 -45.8784246,-67.93938002 -45.87863178,,-67.93921257 -45.87804782,-67.9512119 -45.8788877,-67.952435 -45.8787607,-67.9518127 -45.8800454,-67.9474354 -45.8786785,-67.9441524 -45.8779764,-67.9427791 -45.8776328,-67.940805 -45.8776926,-67.94944114 -45.87896309,-67.9534543 -45.8773565,-67.9526925 -45.87711,-67.9530144 -45.8775731,-67.9524779 -45.878813,-67.9512334 -45.8789325,-67.95259842 -45.87763583,-67.9521346 -45.8759746,-67.9517162 -45.8759074,-67.9513943 -45.8758999,-67.9525959 -45.87702780000001,-67.95337920000001 -45.8774162,-67.95155064 -45.87647635;-67.95155064 -45.87647635,-67.9521346 -45.8759746,-67.951448 -45.8759597,-67.9509008 -45.8738383,-67.94983615 -45.87396079,-67.9508579 -45.8736739,-67.9509115 -45.8721426,-67.94974928 -45.87213834,-67.9510081 -45.87218,-67.9515123 -45.8715599,-67.9518449 -45.870925,-67.95082673 -45.87123588,-67.9518449 -45.870925,-67.9516733 -45.8706037,-67.9509866 -45.870275,-67.95089010000001 -45.8697222,-67.9517484 -45.8700734,-67.9526281 -45.8699912,-67.95188123 -45.87007275,-67.9526013 -45.869965,-67.9517484 -45.8700734,-67.9508901 -45.8697222,-67.9511476 -45.8693039,-67.95011093 -45.86936834,-67.9511476 -45.8693039,-67.95089010000001 -45.8697222,-67.9506433 -45.8681011,-67.9512978 -45.867892,-67.95075242 -45.86791677,-67.9513514 -45.867951700000006,-67.9506004 -45.8681534,-67.9493558 -45.8665622,-67.9490876 -45.8664576,-67.9492164 -45.8668461,-67.94827454 -45.86749255,-67.949152 -45.8670029,-67.9489589 -45.866338,-67.9464805 -45.8656358,-67.946502 -45.8652099,-67.94551194 -45.86495899,,-67.9454304 -45.86503525,-67.9452038 -45.8642219,-67.9464403 -45.8647635,-67.9400271 -45.8665472</t>
  </si>
  <si>
    <t>-67.9400271 -45.8665472,-67.9383588 -45.8674437,-67.9380584 -45.8682655,-67.9363847 -45.8693786,-67.9365671 -45.8696326,-67.93551008 -45.87004015,-67.936492 -45.8696625,-67.9362881 -45.8694234,-67.9350436 -45.8703273,-67.9347003 -45.8699986,-67.933282 -45.87018527,-67.9337347 -45.872531,-67.9350007 -45.8704245,-67.9346895 -45.8701032,-67.93292309 -45.87290945,-67.9305589 -45.8765722,-67.9309773 -45.8765423,-67.9323184 -45.875011,-67.9336917 -45.8726132,-67.92916705 -45.87686758,-67.9288745 -45.8790371,-67.9299796 -45.8786337,-67.9304302 -45.8776552,-67.9309022 -45.8766245,-67.9306126 -45.8766543,-67.92746283 -45.879252,-67.9288745 -45.8790371,-67.9299796 -45.8786337,-67.9308271 -45.8793582,-67.9310632 -45.8796271,-67.9308057 -45.8796645,-67.92926139 -45.87980166,-67.9309022 -45.8820844,-67.931546 -45.8802844,-67.9315138 -45.8799184,-67.9308915 -45.8797018,-67.92972985 -45.88255921,-67.9307413 -45.885378,-67.9301298 -45.8848478,-67.9305589 -45.8826669,-67.92968482 -45.88517223,-67.9306662 -45.8853705,-67.9301298 -45.8848478,-67.9301834 -45.8845415,-67.9296148 -45.8841457,-67.9283166 -45.8832794,-67.9278016 -45.8828089,-67.927072 -45.8829806,-67.9266322 -45.8833914,-67.9264498 -45.8840636,-67.9268146 -45.883959,-67.92608202 -45.88391758;-67.92608202 -45.88391758,-67.9273725 -45.8808371,-67.9279733 -45.8808371,-67.9285955 -45.8814794,-67.9291534 -45.881584,-67.9297328 -45.8811956,-67.9299903 -45.8814346,-67.9273295 -45.8829582,-67.9266322 -45.8833914,-67.9264498 -45.8840636,-67.9268146 -45.883959,-67.92604563 -45.88125368,-67.9271579 -45.8812329,-67.9272652 -45.8815242,-67.9268789 -45.8817483,-67.9256773 -45.881808,-67.9241323 -45.8825624,-67.9234779 -45.8826296,-67.9235315 -45.8824279,-67.9238641 -45.8824055,-67.9229362 -45.88248116,-67.9238641 -45.8824055,-67.9235315 -45.8824279,-67.9226196 -45.8841831,-67.9213428 -45.8843847,-67.9205918 -45.884198,-67.9203773 -45.8840337,-67.91902285 -45.88401169,-67.9199052 -45.8837125,-67.9188645 -45.8826669,-67.9191864 -45.8815466,-67.9198301 -45.881457,-67.91930941 -45.88137118,-67.9183173 -45.8833018,-67.9179525 -45.8832943,-67.9178452 -45.8829358,-67.9186606 -45.8819873,-67.9191113 -45.8815466,-67.9197979 -45.8813898,-67.91747464 -45.88372353,-67.9166651 -45.8823159,-67.9170835 -45.8822711,-67.9178345 -45.8833989,-67.9184783 -45.8832943,-67.91541483 -45.88231338,-67.911365 -45.8831076,-67.9142618 -45.8826968,-67.9159892 -45.8825026,-67.90970498 -45.88326091,-67.9076958 -45.8841084,-67.9082644 -45.8839366,-67.9093373 -45.8833167,-67.9103136 -45.8831972,-67.90591516 -45.88446218,,-67.90594775 -45.88423937,-67.9066443 -45.8844071,-67.9062474 -45.8852585,-67.908833 -45.885968,-67.9091012 -45.8864012,-67.90705336 -45.88840606,-67.9052818 -45.8875736,-67.90654780000001 -45.8882084,-67.9074919 -45.8882756,-67.90362098 -45.8874036,-67.9039729 -45.8871629,-67.9034686 -45.8869165,-67.9041123 -45.886192,-67.9042947 -45.8847656,-67.90316820000001 -45.883637900000004,-67.90293219 -45.8836944,-67.90316820000001 -45.883637900000004,-67.9026854 -45.8831823,-67.9021275 -45.8832794,-67.900722 -45.8842279,-67.9001105 -45.8851465,-67.8995955 -45.8843175,-67.89811074 -45.88424629,-67.896452 -45.8842129,-67.8972995 -45.8841607,-67.8987801 -45.8833839,-67.8993165 -45.8836304,-67.89478887 -45.88442779,-67.895658 -45.88465360000001,-67.8955078 -45.8872675,-67.89402720000001 -45.888186,-67.89313670000001 -45.8879097,-67.8935552 -45.8866999,-67.891624 -45.8850718,-67.88986813 -45.88509226,-67.8916669 -45.8851316,-67.891463 -45.8853332,-67.8890061 -45.8855946,-67.8886521 -45.8849672,-67.88725199 -45.88498287,-67.8877938 -45.885251,-67.8862166 -45.8849523,-67.88477851 -45.88530377,-67.8863347 -45.8849448,-67.8869569 -45.8849672,-67.8874826 -45.883847,-67.8903258 -45.883570600000006,-67.88934482 -45.88367092,-67.8808522 -45.8847432,-67.8831053 -45.8843548,-67.884897 -45.8834586,-67.8876114 -45.88378720000001,-67.8901434 -45.8835856,-67.87931365 -45.88515467,-67.8775477 -45.8859232,-67.87784810000001 -45.8854153,-67.8789425 -45.8862742,-67.879554 -45.8862667,-67.8829443 -45.8844743,-67.8806055 -45.8848253,-67.87597578 -45.88674947,,-67.87630061 -45.88642699,-67.8775907 -45.885744,-67.8778374 -45.8851241,-67.8766251 -45.8844594,-67.8767002 -45.8840561,-67.8758872 -45.88413516,-67.8738034 -45.8829806,-67.8739858 -45.8834512,-67.87655 -45.8844445,-67.8765929 -45.8840262,-67.87263059 -45.88283868,-67.8737283 -45.8829508,-67.8736854 -45.8833242,-67.8730094 -45.8829134,-67.8686643 -45.8830254,-67.86703039 -45.88312685,-67.8685462 -45.8831151,-67.869308 -45.8829582,-67.8708422 -45.883018,-67.8705847 -45.8839366,-67.8693122 -45.8842458,-67.8672695 -45.88491500000001,-67.867409 -45.8861099,-67.8680742 -45.8863339,-67.8686106 -45.8860875,-67.8688896 -45.8849822,-67.870338 -45.8842577,-67.86589689 -45.88477956,-67.86739830000002 -45.8868567,-67.8667223 -45.8862667,-67.8672802 -45.8848552,-67.86685323 -45.88712476,-67.8674626 -45.88708080000001,-67.866658 -45.886864200000005,-67.8658855 -45.887125600000005,-67.8670657 -45.8886864,-67.86520231 -45.88917465,-67.8652418 -45.8907101,-67.8656602 -45.890351700000004,-67.8659928 -45.88941820000001,-67.86328043 -45.89089136,-67.86183 -45.8907101,-67.8635895 -45.8906578,-67.85994544 -45.89074459;-67.85994544 -45.89074459,-67.86183 -45.8907101,-67.8635895 -45.8906578,-67.86328043 -45.89089136,-67.8640401 -45.8909939,-67.8672266 -45.8915539,-67.86687975 -45.89168688;-67.86687975 -45.89168688,-67.8640401 -45.8909939,-67.8672266 -45.8915539,-67.86328043 -45.89089136,-67.86183 -45.8907101,-67.8635895 -45.8906578,-67.85994544 -45.89074459,-67.8583002 -45.8906802,-67.8604245 -45.8905832,-67.85652652 -45.89043864,-67.8569698 -45.8905682,-67.8562617 -45.8905682,-67.8551674 -45.8886042,-67.8555107 -45.8875214,-67.8557789 -45.88838020000001,-67.85537987 -45.88855243,-67.8530109 -45.886319,-67.8539872 -45.8868567,-67.8555858 -45.8874168,-67.8559721 -45.8882756,-67.85159293 -45.88612644,-67.8525496 -45.8855871,-67.8516698 -45.8851988,-67.8510153 -45.885027,-67.84983520000002 -45.8848851,-67.84921346 -45.88477072,-67.84983520000002 -45.8848851,-67.8485048 -45.8854826,-67.849406 -45.8856842,-67.84894709 -45.88576073,-67.8493631 -45.8856319,-67.8480864 -45.8853183,-67.8494918 -45.8833541,-67.849642 -45.8827043,-67.8493738 -45.8815317,-67.8484726 -45.8806578,-67.8487837 -45.8803516,-67.8495455 -45.8807549,-67.8485758 -45.88086765,-67.8494382 -45.880628,-67.84873010000001 -45.8802396,-67.8461766 -45.8806653,-67.8457046 -45.880515900000006,-67.84518194 -45.88032275,-67.8455973 -45.8806504,-67.8449214 -45.8812852,-67.8420246 -45.8795972,-67.8425181 -45.87953,-67.84221298 -45.87973382,-67.842561 -45.8794628,-67.8420246 -45.8792462,-67.8431511 -45.8775283,-67.8462946 -45.877095,-67.8445137 -45.8768261,-67.84286672 -45.87711998,-67.8467989 -45.878081,-67.8463697 -45.8770502,-67.8443956 -45.8768859,-67.84627973 -45.87829114,-67.8467667 -45.8780212,-67.846477 -45.87698300000001,-67.8477967 -45.8764751,-67.84644226 -45.87649326,-67.847904 -45.8759074,-67.8490949 -45.8742491,-67.8510368 -45.8734349,-67.8488266 -45.8731585,-67.84711722 -45.87310355,-67.8489339 -45.8731324,-67.8501302 -45.8733565,-67.8485316 -45.8736739,-67.8459191 -45.8729942,-67.84549 -45.8723406,-67.8449106 -45.8726842,-67.84336962 -45.87289033,-67.8464448 -45.8713396,-67.8465736 -45.871657000000006,-67.84484620000002 -45.8726692,-67.84458226 -45.87132178,-67.8433174 -45.8702414,-67.8424054 -45.8705701,-67.8442401 -45.8712014,-67.8457582 -45.8705029,-67.8468794 -45.8714778,-67.8465736 -45.871657000000006,-67.8464073 -45.8713396,-67.84266503 -45.8702826,-67.8403401 -45.8715002,-67.8396213 -45.8713059,-67.8401256 -45.8706859,-67.8424323 -45.8705216,-67.8432369 -45.8702153,-67.83999726 -45.87142467,-67.8404045 -45.871440400000004,-67.8396642 -45.8713657,-67.8393745 -45.8705216,-67.8371751 -45.8699314,-67.8344822 -45.8697969,-67.8345251 -45.8700584,-67.8363597 -45.8707606,-67.83598551 -45.8713908,-67.8363276 -45.8710445,-67.8348899 -45.87091,-67.8336024 -45.8710221,-67.83204724 -45.87132308,-67.8347504 -45.8724041,-67.8345788 -45.8717915,-67.8335381 -45.8712686,-67.8339131 -45.87269245,-67.8368962 -45.8743761,-67.8363168 -45.8740101,-67.8365743 -45.8734723,-67.8358126 -45.8726879,-67.8366923 -45.875026,-67.8369284 -45.8751679,-67.8384304 -45.875317300000006,-67.83709911 -45.87528907,-67.8404582 -45.876744,-67.8387737 -45.8754144,-67.83972408 -45.87683377,-67.8388381 -45.8793059,-67.8380656 -45.8795375,-67.8406405 -45.8772519,-67.8405118 -45.8769083,-67.8383257 -45.87925524,-67.8388596 -45.8793582,-67.8365421 -45.8801649,-67.8342998 -45.88042630000001,-67.8343749 -45.8798736,-67.83402097 -45.87975218,-67.8357589 -45.8794553,-67.8374755 -45.877700100000006,-67.8373468 -45.8775656,-67.83580083 -45.87760123;-67.83580083 -45.87760123,-67.8357589 -45.8794553,-67.8374755 -45.877700100000006,-67.8373468 -45.8775656,-67.83402097 -45.87975218,-67.8388596 -45.8793582,-67.8365421 -45.8801649,-67.8342998 -45.88042630000001,-67.8343749 -45.8798736,-67.8383257 -45.87925524,-67.8388381 -45.8793059,-67.8380656 -45.8795375,-67.8406405 -45.8772519,-67.8405118 -45.8769083,-67.83972408 -45.87683377,-67.8404582 -45.876744,-67.8387737 -45.8754144,-67.83709911 -45.87528907,-67.8369284 -45.8751679,-67.8384304 -45.875317300000006,-67.8366923 -45.875026,-67.8368962 -45.8743761,-67.8363168 -45.8740101,-67.8365743 -45.8734723,-67.8358126 -45.8726879,-67.8339131 -45.87269245,-67.8347504 -45.8724041,-67.8345788 -45.8717915,-67.8335381 -45.8712686,-67.83204724 -45.87132308,-67.8326046 -45.8712686,-67.8287637 -45.8718438,-67.8266931 -45.8718811,-67.8259957 -45.8715076,-67.82435527 -45.87146335,-67.8260922 -45.8716048,-67.8258884 -45.8718886,-67.8219509 -45.871657,-67.8194082 -45.8687287,-67.8185391 -45.8670926,-67.8190756 -45.8667788,-67.8187144 -45.86699435,-67.819097 -45.8668461,-67.8186357 -45.8670552,-67.8192151 -45.868385,-67.81829240000002 -45.8680713,-67.81633269 -45.86814359,-67.8182173 -45.868004,-67.8160286 -45.8663455,-67.8181314 -45.8648065,-67.8182173 -45.864545,-67.81720169 -45.86444747,-67.8186142 -45.8634617,-67.8183568 -45.8624605,-67.8160179 -45.8615565,-67.8143764 -45.8610559,-67.81282229 -45.86107452,-67.8138077 -45.8564532,-67.814548 -45.8566699,-67.813561 -45.8597484,-67.8137219 -45.8605777,-67.81224182 -45.85671416,-67.8125632 -45.8568492,-67.810396 -45.8571033,-67.8101599 -45.8566923,-67.80907829 -45.8565264,-67.8098595 -45.8560647,-67.809999 -45.8550036,-67.8090441 -45.8548691,-67.8072436 -45.85498762,-67.807982 -45.8550559,-67.8067052 -45.8553548,-67.80486959 -45.85565241,-67.8067052 -45.8553548,-67.8072202 -45.8551381,-67.8064048 -45.853539,-67.80441533 -45.8533642,-67.8022742 -45.8555864,-67.8041196 -45.8551755,-67.8052676 -45.8539873,-67.8064048 -45.853539,-67.80089696 -45.85587052,-67.8020167 -45.855975,-67.8003323 -45.857716,-67.79860937 -45.85802352;-67.79860937 -45.85802352,-67.8020167 -45.855975,-67.8003323 -45.857716,-67.80089696 -45.85587052,-67.8022742 -45.8555864,-67.8041196 -45.8551755,-67.8052676 -45.8539873,-67.8064048 -45.853539,-67.80441533 -45.8533642,-67.8064048 -45.853539,-67.8089046 -45.854361,-67.8103852 -45.8542265,-67.8098702 -45.8539126,-67.80813131 -45.85419968,-67.809999 -45.85395,-67.81053540000002 -45.8542265,-67.8125417 -45.8543386,-67.81217316 -45.85421245,-67.816329 -45.8519921,-67.8167796 -45.8511701,-67.8158462 -45.8513121,-67.8150415 -45.8533148,-67.8138399 -45.8541293,-67.81497943 -45.85259887,-67.8185713 -45.8505798,-67.816962 -45.851073,-67.8161895 -45.8523658,-67.81800483 -45.85079524,-67.8223801 -45.8515886,-67.8209639 -45.8504751,-67.8196657 -45.8504079,-67.82163737 -45.8516816,-67.8244078 -45.8540994,-67.8225088 -45.8518801,-67.82322995 -45.85451391,-67.8277767 -45.8550036,-67.8251696 -45.8547271,-67.824676 -45.8544207,-67.82760578 -45.8552439,-67.8319716 -45.855437,-67.8292787 -45.855108200000004,-67.83154193 -45.85548135,-67.8371108 -45.8561767,-67.8326368 -45.8556313,-67.83653581 -45.85644197,-67.8438914 -45.8557508,-67.8414237 -45.8563262,-67.8377545 -45.8563187,-67.84359994 -45.85582912,-67.8480864 -45.8556163,-67.846477 -45.8561992,-67.8452325 -45.8556537,-67.84737753 -45.85568862,-67.851541 -45.8561394,-67.8511119 -45.8555416,-67.8497386 -45.8553249,-67.8490841 -45.8555341,-67.84992667 -45.85649082,-67.8511226 -45.8587172,-67.8489661 -45.8581942,-67.8504252 -45.8565952,-67.85051371 -45.8587379,-67.8547168 -45.8600622,-67.8545237 -45.8589862,-67.8537083 -45.858508,-67.852335 -45.8585529,-67.85325633 -45.86047853,-67.8585362 -45.8586425,-67.8567231 -45.8591431,-67.8550386 -45.8605852,-67.85800456 -45.85865306,-67.8617334 -45.8580597,-67.8595233 -45.8583362,-67.86119926 -45.8582863,-67.8630531 -45.8577608,-67.8618944 -45.8580074,-67.86269634 -45.8576934,-67.8655958 -45.85783560000001,-67.8642118 -45.8570435,-67.86509618 -45.85797591,-67.8666365 -45.8577982,-67.8680527 -45.857716,-67.86752908 -45.85773082,-67.8694689 -45.8577534,-67.8703272 -45.8578879,-67.8705525 -45.8574694,-67.8710139 -45.8575441,-67.87029294 -45.85782787,-67.8721619 -45.8576637,-67.8734279 -45.8573798,-67.8740823 -45.8579103,-67.87227986 -45.85836679,-67.8758311 -45.8590012,-67.8755307 -45.858777,-67.8718829 -45.8588144,-67.8721619 -45.8576637,-67.8733528 -45.857462,-67.8739536 -45.8579028,-67.87446619 -45.85953534,-67.875917 -45.8590236,-67.8765607 -45.8587098,-67.8784597 -45.8588443,-67.87771797 -45.85914466,-67.8790283 -45.8588293,-67.880466 -45.8587397,-67.8813028 -45.8593598,-67.88077392 -45.85953999,-67.8814316 -45.8592926,-67.8808415 -45.8591357,-67.880863 -45.8587322,-67.8817642 -45.858239,-67.8850043 -45.8580522,-67.88402968 -45.85834964,-67.887429 -45.855564,-67.8882551 -45.8548691,-67.8894138 -45.853808,-67.8920853 -45.8535689,-67.8916454 -45.8538678,-67.8897357 -45.85395,-67.88910 -45.85436,-67.8875685 -45.8562589,-67.885799 -45.8571033,-67.88544 -45.8578281,-67.88523 -45.85794,-67.88581092 -45.85597227,-67.887429 -45.855564,-67.8894138 -45.853808,-67.8932333 -45.8533447,-67.8969455 -45.8545851,-67.8963768 -45.8546599,-67.89483427 -45.85484841,-67.9008508 -45.8548093,-67.8990161 -45.8545403,-67.898823 -45.8538678,-67.8965485 -45.8545553,-67.90022567 -45.85540767,,-67.90067511 -45.8549717,-67.904284 -45.8564084,-67.9033184 -45.8552726,-67.9019022 -45.8551232,-67.90400196 -45.85653031,-67.90773330000002 -45.8580522,-67.9073417 -45.8579177,-67.9068965 -45.8568567,-67.9053408 -45.8563822,-67.90707943 -45.8582017,-67.9102653 -45.8586986,-67.9081625 -45.8581195,-67.90964669 -45.85881191,-67.9112792 -45.8592776,-67.9102921 -45.8588293,-67.9105067 -45.8586425,-67.91058213 -45.85962973,-67.9145408 -45.8594047,-67.9124916 -45.858777,-67.9112792 -45.8592776,-67.91347499 -45.85938782,-67.9153347 -45.8605702,-67.9157317 -45.8599725,-67.9146159 -45.859457,-67.91412974 -45.86109479,-67.9219651 -45.8610335,-67.9157424 -45.8609887,-67.92116295 -45.86077528,-67.9235315 -45.8601219,-67.9222655 -45.8604731,-67.92204432 -45.86025045,-67.9253769 -45.8604208,-67.9236388 -45.8595317,-67.9233384 -45.8597857,-67.92472033 -45.86078317,-67.9288423 -45.860757,-67.9286063 -45.8609812,-67.9269433 -45.8608168,-67.9254305 -45.8610559,-67.9256237 -45.8606898,-67.92827234 -45.86082887,-67.9307091 -45.86097370000001,-67.9287457 -45.8609588,-67.9288423 -45.860757,-67.92973166 -45.86112334,-67.9343569 -45.8614145,-67.9335523 -45.861549,-67.9334021 -45.8611381,-67.9309666 -45.8609214,-67.93332777 -45.86169272,-67.9375219 -45.8620421,-67.9357517 -45.861085800000005,-67.9346144 -45.8614519,-67.93652197 -45.86222667,-67.9388309 -45.8607794,-67.938112 -45.8611007,-67.9377472 -45.860899,-67.9362881 -45.8614743,-67.9374897 -45.8619749,-67.93809539 -45.86091501,-67.9389811 -45.8623559,-67.9389596 -45.8618329,-67.9381979 -45.8610783,-67.9390669 -45.8607794,-67.93749455 -45.86270022,-67.9407942 -45.8630844,-67.9403758 -45.8621878,-67.9386914 -45.8624792,-67.94016816 -45.86304785,-67.9412395 -45.8636896,-67.94085860000001 -45.8628677,-67.94026881 -45.86394522,-67.9413575 -45.8643508,-67.94191 -45.8638801,-67.9413092 -45.8637717,-67.9397787 -45.86446671,-67.939437 -45.8659907,-67.9410034 -45.8642985,-67.93820898 -45.86621382,,-67.93822649 -45.86645361,-67.9383588 -45.8674437,-67.9380101 -45.8666929,-67.9392922 -45.8661064,-67.9400271 -45.8665472</t>
  </si>
  <si>
    <t>-67.9400271 -45.8665472,-67.9383588 -45.8674437,-67.9380584 -45.8682655,-67.9363847 -45.8693786,-67.9365671 -45.8696326,-67.93551008 -45.87004015,-67.936492 -45.8696625,-67.9362881 -45.8694234,-67.9350436 -45.8703273,-67.9347003 -45.8699986,-67.933282 -45.87018527,-67.9337347 -45.872531,-67.9350007 -45.8704245,-67.9346895 -45.8701032,-67.93292309 -45.87290945,-67.9305589 -45.8765722,-67.9309773 -45.8765423,-67.9323184 -45.875011,-67.9336917 -45.8726132,-67.92916705 -45.87686758,-67.9288745 -45.8790371,-67.9299796 -45.8786337,-67.9304302 -45.8776552,-67.9309022 -45.8766245,-67.9306126 -45.8766543,-67.92746283 -45.879252,-67.9288745 -45.8790371,-67.9299045 -45.8786188,-67.929765 -45.8784918,-67.9247224 -45.8798512,-67.9241753 -45.8796943,-67.92260289 -45.87981886,-67.9231775 -45.8798138,-67.9230273 -45.8801051,-67.9220295 -45.8802022,-67.9198301 -45.8807027,-67.9191542 -45.8814645,-67.9198301 -45.8813375,-67.91930941 -45.88137118,-67.9183173 -45.8833018,-67.9179525 -45.8832943,-67.9178452 -45.8829358,-67.9186606 -45.8819873,-67.9191113 -45.8815466,-67.9197979 -45.8813898,-67.91747464 -45.88372353,-67.9166651 -45.8823159,-67.9170835 -45.8822711,-67.9178345 -45.8833989,-67.9184783 -45.8832943,-67.91541483 -45.88231338,-67.911365 -45.8831076,-67.9142618 -45.8826968,-67.9159892 -45.8825026,-67.90970498 -45.88326091,-67.9076958 -45.8841084,-67.9082644 -45.8839366,-67.9093373 -45.8833167,-67.9103136 -45.8831972,-67.90591516 -45.88446218,,-67.90594775 -45.88423937,-67.9066443 -45.8844071,-67.9062474 -45.8852585,-67.908833 -45.885968,-67.9091012 -45.8864012,-67.90705336 -45.88840606,-67.9052818 -45.8875736,-67.90654780000001 -45.8882084,-67.9074919 -45.8882756,-67.90362098 -45.8874036,-67.9039729 -45.8871629,-67.9034686 -45.8869165,-67.9041123 -45.886192,-67.9042947 -45.8847656,-67.90316820000001 -45.883637900000004,-67.90293219 -45.8836944,-67.90316820000001 -45.883637900000004,-67.9026854 -45.8831823,-67.9021275 -45.8832794,-67.900722 -45.8842279,-67.9001105 -45.8851465,-67.8995955 -45.8843175,-67.89811074 -45.88424629,-67.896452 -45.8842129,-67.8972995 -45.8841607,-67.8987801 -45.8833839,-67.8993165 -45.8836304,-67.89478887 -45.88442779,-67.895658 -45.88465360000001,-67.8955078 -45.8872675,-67.89402720000001 -45.888186,-67.89313670000001 -45.8879097,-67.8935552 -45.8866999,-67.891624 -45.8850718,-67.88986813 -45.88509226,-67.8916669 -45.8851316,-67.891463 -45.8853332,-67.8890061 -45.8855946,-67.8886521 -45.8849672,-67.88725199 -45.88498287,-67.8877938 -45.885251,-67.8862166 -45.8849523,-67.88477851 -45.88530377,-67.8863347 -45.8849448,-67.8869569 -45.8849672,-67.8874826 -45.883847,-67.8903258 -45.883570600000006,-67.88934482 -45.88367092,-67.8808522 -45.8847432,-67.8831053 -45.8843548,-67.884897 -45.8834586,-67.8876114 -45.88378720000001,-67.8901434 -45.8835856,-67.87931365 -45.88515467,-67.8775477 -45.8859232,-67.87784810000001 -45.8854153,-67.8789425 -45.8862742,-67.879554 -45.8862667,-67.8829443 -45.8844743,-67.8806055 -45.8848253,-67.87597578 -45.88674947,,-67.87630061 -45.88642699,-67.8775907 -45.885744,-67.8778374 -45.8851241,-67.8766251 -45.8844594,-67.8767002 -45.8840561,-67.8758872 -45.88413516,-67.8738034 -45.8829806,-67.8739858 -45.8834512,-67.87655 -45.8844445,-67.8765929 -45.8840262,-67.87263059 -45.88283868,-67.8737283 -45.8829508,-67.8736854 -45.8833242,-67.8730094 -45.8829134,-67.8686643 -45.8830254,-67.86703039 -45.88312685,-67.8685462 -45.8831151,-67.869308 -45.8829582,-67.8708422 -45.883018,-67.8705847 -45.8839366,-67.8693122 -45.8842458,-67.8672695 -45.88491500000001,-67.867409 -45.8861099,-67.8680742 -45.8863339,-67.8686106 -45.8860875,-67.8688896 -45.8849822,-67.870338 -45.8842577,-67.86589689 -45.88477956,-67.86739830000002 -45.8868567,-67.8667223 -45.8862667,-67.8672802 -45.8848552,-67.86685323 -45.88712476,-67.8674626 -45.88708080000001,-67.866658 -45.886864200000005,-67.8658855 -45.887125600000005,-67.8670657 -45.8886864,-67.86520231 -45.88917465,-67.8652418 -45.8907101,-67.8656602 -45.890351700000004,-67.8659928 -45.88941820000001,-67.86328043 -45.89089136,-67.86183 -45.8907101,-67.8635895 -45.8906578,-67.85994544 -45.89074459,-67.8583002 -45.8906802,-67.8604245 -45.8905832,-67.85652652 -45.89043864,-67.8569698 -45.8905682,-67.8562617 -45.8905682,-67.8551674 -45.8886042,-67.8555107 -45.8875214,-67.8557789 -45.88838020000001,-67.85537987 -45.88855243,-67.8530109 -45.886319,-67.8539872 -45.8868567,-67.8555858 -45.8874168,-67.8559721 -45.8882756,-67.85159293 -45.88612644,-67.8525496 -45.8855871,-67.851584 -45.885251,-67.8524101 -45.8868119,-67.8533113 -45.8874616,-67.85259134 -45.88819644;-67.85259134 -45.88819644,-67.8525496 -45.8855871,-67.851584 -45.885251,-67.8524101 -45.8868119,-67.8533113 -45.8874616,-67.85159293 -45.88612644,-67.8530109 -45.886319,-67.8539872 -45.8868567,-67.8555858 -45.8874168,-67.8559721 -45.8882756,-67.85537987 -45.88855243,-67.8569698 -45.8905682,-67.8562617 -45.8905682,-67.8551674 -45.8886042,-67.8555107 -45.8875214,-67.8557789 -45.88838020000001,-67.85652652 -45.89043864,-67.8583002 -45.8906802,-67.8604245 -45.8905832,-67.85994544 -45.89074459,-67.86183 -45.8907101,-67.8635895 -45.8906578,-67.86328043 -45.89089136,-67.8652418 -45.8907101,-67.8656602 -45.890351700000004,-67.8659928 -45.88941820000001,-67.86520231 -45.88917465,-67.8674626 -45.88708080000001,-67.866658 -45.886864200000005,-67.8658855 -45.887125600000005,-67.8670657 -45.8886864,-67.86685323 -45.88712476,-67.86739830000002 -45.8868567,-67.8667223 -45.8862667,-67.8672802 -45.8848552,-67.86589689 -45.88477956,-67.8672695 -45.88491500000001,-67.867409 -45.8861099,-67.8680742 -45.8863339,-67.8686106 -45.8860875,-67.8688896 -45.8849822,-67.870338 -45.8842577,-67.8693122 -45.8842458,-67.8685462 -45.8831151,-67.869308 -45.8829582,-67.8708422 -45.883018,-67.8705847 -45.8839366,-67.86703039 -45.88312685,-67.8737283 -45.8829508,-67.8736854 -45.8833242,-67.8730094 -45.8829134,-67.8686643 -45.8830254,-67.87263059 -45.88283868,-67.8738034 -45.8829806,-67.8739858 -45.8834512,-67.87655 -45.8844445,-67.8765929 -45.8840262,-67.8758872 -45.88413516,-67.8775907 -45.885744,-67.8778374 -45.8851241,-67.8766251 -45.8844594,-67.8767002 -45.8840561,-67.87630061 -45.88642699,,-67.87597578 -45.88674947,-67.8775477 -45.8859232,-67.87784810000001 -45.8854153,-67.8789425 -45.8862742,-67.879554 -45.8862667,-67.8829443 -45.8844743,-67.8806055 -45.8848253,-67.87931365 -45.88515467,-67.8808522 -45.8847432,-67.8831053 -45.8843548,-67.884897 -45.8834586,-67.8876114 -45.88378720000001,-67.8901434 -45.8835856,-67.88934482 -45.88367092,-67.8863347 -45.8849448,-67.8869569 -45.8849672,-67.8874826 -45.883847,-67.8903258 -45.883570600000006,-67.88477851 -45.88530377,-67.8877938 -45.885251,-67.8862166 -45.8849523,-67.88725199 -45.88498287,-67.8916669 -45.8851316,-67.891463 -45.8853332,-67.8890061 -45.8855946,-67.8886521 -45.8849672,-67.88986813 -45.88509226,-67.895658 -45.88465360000001,-67.8955078 -45.8872675,-67.89402720000001 -45.888186,-67.89313670000001 -45.8879097,-67.8935552 -45.8866999,-67.891624 -45.8850718,-67.89478887 -45.88442779,-67.896452 -45.8842129,-67.8972995 -45.8841607,-67.8987801 -45.8833839,-67.8993165 -45.8836304,-67.89811074 -45.88424629,-67.90316820000001 -45.883637900000004,-67.9026854 -45.8831823,-67.9021275 -45.8832794,-67.900722 -45.8842279,-67.9001105 -45.8851465,-67.8995955 -45.8843175,-67.90293219 -45.8836944,-67.9039729 -45.8871629,-67.9034686 -45.8869165,-67.9041123 -45.886192,-67.9042947 -45.8847656,-67.90316820000001 -45.883637900000004,-67.90362098 -45.8874036,-67.9052818 -45.8875736,-67.90654780000001 -45.8882084,-67.9074919 -45.8882756,-67.90705336 -45.88840606,-67.9066443 -45.8844071,-67.9062474 -45.8852585,-67.908833 -45.885968,-67.9091012 -45.8864012,-67.90594775 -45.88423937,,-67.90591516 -45.88446218,-67.9076958 -45.8841084,-67.9082644 -45.8839366,-67.9093373 -45.8833167,-67.9103136 -45.8831972,-67.90970498 -45.88326091,-67.911365 -45.8831076,-67.9142618 -45.8826968,-67.9159892 -45.8825026,-67.91541483 -45.88231338,-67.9166651 -45.8823159,-67.9170835 -45.8822711,-67.9178345 -45.8833989,-67.9184783 -45.8832943,-67.91747464 -45.88372353,-67.9183173 -45.8833018,-67.9179525 -45.8832943,-67.9178452 -45.8829358,-67.9186606 -45.8819873,-67.9191113 -45.8815466,-67.9197979 -45.8813898,-67.91930941 -45.88137118,-67.9231775 -45.8798138,-67.9230273 -45.8801051,-67.9220295 -45.8802022,-67.9198301 -45.8807027,-67.9191542 -45.8814645,-67.9198301 -45.8813375,-67.92260289 -45.87981886,-67.9288745 -45.8790371,-67.9299045 -45.8786188,-67.929765 -45.8784918,-67.9247224 -45.8798512,-67.9241753 -45.8796943,-67.92746283 -45.879252,-67.9288745 -45.8790371,-67.9299796 -45.8786337,-67.9308271 -45.8793582,-67.9310632 -45.8796271,-67.9308057 -45.8796645,-67.92926139 -45.87980166,-67.9308057 -45.8796645,-67.9309773 -45.8795823,-67.9308271 -45.8793582,-67.9319429 -45.8795524,-67.9332089 -45.8799333,-67.9339921 -45.8795524,-67.9349685 -45.8793358,-67.935698 -45.8793209,-67.93512028 -45.8793768,-67.9364383 -45.8791566,-67.9368889 -45.8790371,-67.9370821 -45.878798,-67.939657 -45.8787906,-67.9398179 -45.8784246,-67.93938002 -45.87863178,-67.9433799 -45.8793582,-67.9425859 -45.8792462,-67.9414809 -45.8788951,-67.9399574 -45.8788802,-67.9395819 -45.8785889,-67.9398179 -45.8784246,-67.94258106 -45.87928487,-67.9468131 -45.8799931,-67.9464698 -45.8794927,-67.9443026 -45.8791491,-67.9459034 -45.88040255,-67.9472744 -45.8827118,-67.9475963 -45.8819051,-67.9476392 -45.8807475,-67.9472208 -45.8805159,-67.94607409 -45.88311995,-67.9472744 -45.8852212,-67.9470921 -45.8844967,-67.9472423 -45.883959,-67.9472315 -45.8831823,-67.94628753 -45.88560005,-67.9487872 -45.8868418,-67.9495382 -45.8874766,-67.9496884 -45.88726,-67.9485726 -45.886095,-67.9476714 -45.8855871,-67.94746568 -45.88694764,-67.948755 -45.886894,-67.9494202 -45.887484,-67.9503751 -45.8875587,-67.9509008 -45.8873571,-67.9508793 -45.8868716,-67.94972726 -45.88693813,-67.951051 -45.8868418,-67.9516089 -45.886207,-67.952832 -45.8866028,-67.95178221 -45.88666191;-67.95178221 -45.88666191,-67.957381 -45.8868268,-67.9566729 -45.8866327,-67.953701 -45.8868791,-67.9533148 -45.8869911,-67.9529393 -45.8866103,-67.95650174 -45.8868325,-67.9563618 -45.8869613,-67.9570055 -45.8870583,-67.9568553 -45.8866028,-67.957381 -45.8868268,-67.95495587 -45.8875866,-67.9576063 -45.8896124,-67.9577136 -45.888888,-67.9572308 -45.8876483,-67.9565012 -45.8869986,-67.95602222 -45.88970885,-67.958647 -45.8921289,-67.9580784 -45.8917854,-67.958411 -45.8907699,-67.9588509 -45.8902397,-67.9578209 -45.8896422,-67.95792371 -45.89252328,-67.958411 -45.8946678,-67.9585934 -45.8938464,-67.9590118 -45.8934581,-67.9594839 -45.8932714,-67.9597199 -45.892913,-67.9595053 -45.8926741,-67.95753705 -45.89518861,-67.9602778 -45.8973559,-67.959677 -45.8974604,-67.9590976 -45.897326,-67.9587114 -45.8968257,-67.95928 -45.896094,-67.9591405 -45.8953548,-67.95956637 -45.89743693,-67.9642367 -45.8983564,-67.9643333 -45.8976993,-67.9650199 -45.8970721,-67.9652989 -45.8964076,-67.9613721 -45.8972065,-67.96354703 -45.89869944,-67.9693437 -45.9027914,-67.9659963 -45.8987297,-67.965138 -45.8986401,-67.96793825 -45.90348141,-67.9685926 -45.9034484,-67.9653096 -45.9044488,-67.9600525 -45.9049564,-67.9584861 -45.9041651,-67.9576707 -45.9040606,-67.95594313 -45.90408308,-67.9577565 -45.9038664,-67.9585826 -45.9036126,-67.9585826 -45.9031348,-67.9576492 -45.90253,-67.9561365 -45.9021343,-67.9558575 -45.9012832,-67.95417314 -45.90131869,-67.9519415 -45.9014251,-67.9524672 -45.9015595,-67.9527569 -45.9020821,-67.9535294 -45.9024554,-67.9558897 -45.9024703,-67.956233 -45.9022389,-67.9559326 -45.9014549,-67.9556215 -45.9012309,-67.95037233 -45.90142031,-67.9506969 -45.9010816,-67.9497743 -45.9008576,-67.9498494 -45.8992001,-67.94838203 -45.89904174,-67.9498494 -45.8992001,-67.949506 -45.8996854,-67.9466414 -45.8986103,-67.9437232 -45.8985057,-67.9415774 -45.8979681,-67.9412556 -45.8976545,-67.9422104 -45.8972588,-67.94188659 -45.8972671,-67.942307 -45.8972439,-67.941395 -45.8969527,-67.9402256 -45.8963927,-67.9396248 -45.8958401,-67.93839722 -45.89565726;-67.93839722 -45.89565726,-67.942307 -45.8972439,-67.941395 -45.8969527,-67.9402256 -45.8963927,-67.9396248 -45.8958401,-67.94188659 -45.8972671,-67.9498494 -45.8992001,-67.949506 -45.8996854,-67.9466414 -45.8986103,-67.9437232 -45.8985057,-67.9415774 -45.8979681,-67.9412556 -45.8976545,-67.9422104 -45.8972588,-67.94838203 -45.89904174,-67.9506969 -45.9010816,-67.9497743 -45.9008576,-67.9498494 -45.8992001,-67.95037233 -45.90142031,-67.9519415 -45.9014251,-67.9524672 -45.9015595,-67.9527569 -45.9020821,-67.9535294 -45.9024554,-67.9558897 -45.9024703,-67.956233 -45.9022389,-67.9559326 -45.9014549,-67.9556215 -45.9012309,-67.95417314 -45.90131869,-67.9577565 -45.9038664,-67.9585826 -45.9036126,-67.9585826 -45.9031348,-67.9576492 -45.90253,-67.9561365 -45.9021343,-67.9558575 -45.9012832,-67.95594313 -45.90408308,-67.9685926 -45.9034484,-67.9653096 -45.9044488,-67.9600525 -45.9049564,-67.9584861 -45.9041651,-67.9576707 -45.9040606,-67.96793825 -45.90348141,-67.970438 -45.9058075,-67.9690218 -45.9036126,-67.96980563 -45.90670646;-67.96980563 -45.90670646,-67.970438 -45.9058075,-67.9690218 -45.9036126,-67.96793825 -45.90348141,-67.9693437 -45.9027914,-67.9659963 -45.8987297,-67.965138 -45.8986401,-67.96354703 -45.89869944,-67.9642367 -45.8983564,-67.9643333 -45.8976993,-67.9650199 -45.8970721,-67.9652989 -45.8964076,-67.9613721 -45.8972065,-67.95956637 -45.89743693,-67.9602778 -45.8973559,-67.959677 -45.8974604,-67.9590976 -45.897326,-67.9587114 -45.8968257,-67.95928 -45.896094,-67.9591405 -45.8953548,-67.95753705 -45.89518861,-67.958411 -45.8946678,-67.9585934 -45.8938464,-67.9590118 -45.8934581,-67.9594839 -45.8932714,-67.9597199 -45.892913,-67.9595053 -45.8926741,-67.95792371 -45.89252328,-67.958647 -45.8921289,-67.9580784 -45.8917854,-67.958411 -45.8907699,-67.9588509 -45.8902397,-67.9578209 -45.8896422,-67.95602222 -45.88970885,-67.9576063 -45.8896124,-67.9577136 -45.888888,-67.9572308 -45.8876483,-67.9565012 -45.8869986,-67.95495587 -45.8875866,-67.9563618 -45.8869613,-67.9570055 -45.8870583,-67.9568553 -45.8866028,-67.957381 -45.8868268,-67.95650174 -45.8868325,-67.957381 -45.8868268,-67.9566729 -45.8866327,-67.953701 -45.8868791,-67.9533148 -45.8869911,-67.9529393 -45.8866103,-67.95178221 -45.88666191,-67.951051 -45.8868418,-67.9516089 -45.886207,-67.952832 -45.8866028,-67.94972726 -45.88693813,-67.948755 -45.886894,-67.9494202 -45.887484,-67.9503751 -45.8875587,-67.9509008 -45.8873571,-67.9508793 -45.8868716,-67.94746568 -45.88694764,-67.9487872 -45.8868418,-67.9495382 -45.8874766,-67.9496884 -45.88726,-67.9485726 -45.886095,-67.9476714 -45.8855871,-67.94628753 -45.88560005,-67.9472744 -45.8852212,-67.9470921 -45.8844967,-67.9472423 -45.883959,-67.9472315 -45.8831823,-67.94607409 -45.88311995,-67.9472744 -45.8827118,-67.9475963 -45.8819051,-67.9476392 -45.8807475,-67.9472208 -45.8805159,-67.9459034 -45.88040255,-67.9468131 -45.8799931,-67.9464698 -45.8794927,-67.9443026 -45.8791491,-67.94258106 -45.87928487,-67.9433799 -45.8793582,-67.9425859 -45.8792462,-67.9414809 -45.8788951,-67.9399574 -45.8788802,-67.9395819 -45.8785889,-67.9398179 -45.8784246,-67.93938002 -45.87863178,-67.9364383 -45.8791566,-67.9368889 -45.8790371,-67.9370821 -45.878798,-67.939657 -45.8787906,-67.9398179 -45.8784246,-67.93512028 -45.8793768,-67.9308057 -45.8796645,-67.9309773 -45.8795823,-67.9308271 -45.8793582,-67.9319429 -45.8795524,-67.9332089 -45.8799333,-67.9339921 -45.8795524,-67.9349685 -45.8793358,-67.935698 -45.8793209,-67.92926139 -45.87980166,-67.9288745 -45.8790371,-67.9299796 -45.8786337,-67.9308271 -45.8793582,-67.9310632 -45.8796271,-67.9308057 -45.8796645,-67.92746283 -45.879252,-67.9288745 -45.8790371,-67.9299796 -45.8786337,-67.9304302 -45.8776552,-67.9309022 -45.8766245,-67.9306126 -45.8766543,-67.92916705 -45.87686758,-67.9305589 -45.8765722,-67.9309773 -45.8765423,-67.9323184 -45.875011,-67.9336917 -45.8726132,-67.93292309 -45.87290945,-67.9337347 -45.872531,-67.9350007 -45.8704245,-67.9346895 -45.8701032,-67.933282 -45.87018527,-67.936492 -45.8696625,-67.9362881 -45.8694234,-67.9350436 -45.8703273,-67.9347003 -45.8699986,-67.93551008 -45.87004015,-67.9383588 -45.8674437,-67.9380584 -45.8682655,-67.9363847 -45.8693786,-67.9365671 -45.8696326,-67.9400271 -45.8665472</t>
  </si>
  <si>
    <t>-67.9400271 -45.8665472,-67.9452038 -45.8642219,-67.9464403 -45.8647635,-67.9454304 -45.86503525,,-67.94551194 -45.86495899,-67.949152 -45.8670029,-67.9489589 -45.866338,-67.9464805 -45.8656358,-67.946502 -45.8652099,-67.94827454 -45.86749255,-67.9513514 -45.867951700000006,-67.9506004 -45.8681534,-67.9493558 -45.8665622,-67.9490876 -45.8664576,-67.9492164 -45.8668461,-67.95075242 -45.86791677,-67.9511476 -45.8693039,-67.95089010000001 -45.8697222,-67.9506433 -45.8681011,-67.9512978 -45.867892,-67.95011093 -45.86936834,-67.9526013 -45.869965,-67.9517484 -45.8700734,-67.9508901 -45.8697222,-67.9511476 -45.8693039,-67.95188123 -45.87007275,-67.9518449 -45.870925,-67.9516733 -45.8706037,-67.9509866 -45.870275,-67.95089010000001 -45.8697222,-67.9517484 -45.8700734,-67.9526281 -45.8699912,-67.95082673 -45.87123588,-67.9510081 -45.87218,-67.9515123 -45.8715599,-67.9518449 -45.870925,-67.94974928 -45.87213834,-67.9508579 -45.8736739,-67.9509115 -45.8721426,-67.94983615 -45.87396079,-67.9521346 -45.8759746,-67.951448 -45.8759597,-67.9509008 -45.8738383,-67.95155064 -45.87647635,-67.9521346 -45.8759746,-67.9517162 -45.8759074,-67.9513943 -45.8758999,-67.9525959 -45.87702780000001,-67.95337920000001 -45.8774162,-67.95259842 -45.87763583,-67.9538298 -45.8776104,-67.9575419 -45.8788205,-67.9596341 -45.8789624,-67.9602242 -45.8794852,-67.95937836 -45.87978501,-67.967391 -45.8796271,-67.9660606 -45.879657,-67.9619408 -45.879179,-67.959795 -45.8789997,-67.9602242 -45.8794852,-67.96661757 -45.87943084,-67.9708028 -45.8792686,-67.9686999 -45.8795524,-67.9682064 -45.8792238,-67.96993071 -45.87922522,-67.9739785 -45.8781632,-67.9745579 -45.8782677,-67.9740644 -45.8788802,-67.9710174 -45.8792537,-67.97210325 -45.8786421,-67.9764569 -45.8790072,-67.9757595 -45.8787084,-67.9755771 -45.8785142,-67.9742253 -45.8787756,-67.974236 -45.878222900000004,-67.9757414 -45.87911165,-67.9789352 -45.8795823,-67.9791069 -45.8776627,-67.9756737 -45.8784769,-67.9758239 -45.8787234,-67.9765105 -45.8789474,-67.97764389 -45.88001208,-67.9836452 -45.880628,-67.9827011 -45.8809865,-67.9772079 -45.8809641,-67.9786885 -45.8806504,-67.9790211 -45.8800977,-67.98281025 -45.88038134,-67.9814887 -45.8817558,-67.9819179 -45.8816512,-67.9821432 -45.8813076,-67.9828405 -45.8810462,-67.9829264 -45.8808968,-67.9836452 -45.880628,-67.98000949 -45.88192468,-67.9813814 -45.881808,-67.9819071 -45.8817483,-67.9820681 -45.881345,-67.981478 -45.8815466,-67.980212 -45.881345,-67.9783578 -45.88149778;-67.9783578 -45.88149778,-67.9813814 -45.881808,-67.9819071 -45.8817483,-67.9820681 -45.881345,-67.981478 -45.8815466,-67.980212 -45.881345,-67.98000949 -45.88192468,-67.9814887 -45.8817558,-67.9819179 -45.8816512,-67.9821432 -45.8813076,-67.9828405 -45.8810462,-67.9829264 -45.8808968,-67.9836452 -45.880628,-67.98281025 -45.88038134,-67.9836452 -45.880628,-67.9827011 -45.8809865,-67.9772079 -45.8809641,-67.9786885 -45.8806504,-67.9790211 -45.8800977,-67.97764389 -45.88001208,-67.9801154 -45.8760643,-67.9798043 -45.8759522,-67.979418 -45.8747869,-67.9791927 -45.874772,-67.9793322 -45.8767141,-67.9789352 -45.8795823,-67.97932522 -45.87631183,-67.9801047 -45.8737412,-67.9795146 -45.8726879,-67.9791605 -45.8735694,-67.9792249 -45.8748467,-67.9793966 -45.8748467,-67.9797721 -45.8758476,-67.9800725 -45.876012,-67.97905112 -45.87422359,-67.9800725 -45.873800900000006,-67.9795146 -45.8726879,-67.9796112 -45.8723816,-67.9792464 -45.872165,-67.9787529 -45.8722173,-67.9783773 -45.8729942,-67.9778409 -45.873195900000006,-67.9771113 -45.8730315,-67.97564136 -45.8729339,-67.9761887 -45.8726132,-67.9763067 -45.8720604,-67.9778838 -45.8710893,-67.9773795 -45.87092197,-67.9788065 -45.8706037,-67.9790211 -45.8702228,-67.978828 -45.868893,-67.97752558 -45.86902372,-67.9788494 -45.8686091,-67.9777122 -45.8662932,-67.9771221 -45.8662409,-67.97572674 -45.86647737,-67.9770362 -45.8661886,-67.9775405 -45.8660019,-67.9780447 -45.8660616,-67.9790211 -45.8666444,-67.9791498 -45.8664875,-67.9789352 -45.8662036,-67.978828 -45.8655685,-67.9785597 -45.8651502,-67.97746123 -45.86525028,-67.9780984 -45.8649709,-67.9776263 -45.8648289,-67.9768217 -45.8650007,-67.9760063 -45.86583,-67.9748476 -45.8665622,-67.9738605 -45.866353,-67.9728091 -45.865591,-67.97157481 -45.86531756,-67.9732597 -45.8674138,-67.9739678 -45.8674661,-67.9742575 -45.8672345,-67.9737854 -45.8666444,-67.9743755 -45.8664576,-67.9735065 -45.8661812,-67.9728949 -45.8655461,-67.97170451 -45.86764851,-67.9784846 -45.8638128,-67.9773581 -45.8639025,-67.9769611 -45.8641416,-67.9760814 -45.864545,-67.975781 -45.8649709,-67.9756951 -45.8656806,-67.9747403 -45.8664725,-67.9738927 -45.8666518,-67.9742575 -45.8674213,-67.9730237 -45.867369,-67.97781889 -45.86412305,-67.9785061 -45.863768,-67.977562 -45.8638502,-67.9780233 -45.8634692,-67.9789352 -45.8631031,-67.9785919 -45.8629686,-67.97692655 -45.86298292,-67.9777443 -45.8626249,-67.9774654 -45.8621692,-67.9766178 -45.8616013,-67.9764462 -45.8607421,-67.9758561 -45.860772,-67.97410575 -45.86125796,,-67.97432341 -45.86124202;-67.97432341 -45.86124202,,-67.97410575 -45.86125796,-67.9777443 -45.8626249,-67.9774654 -45.8621692,-67.9766178 -45.8616013,-67.9764462 -45.8607421,-67.9758561 -45.860772,-67.97692655 -45.86298292,-67.9785919 -45.8629686,-67.9789352 -45.8631031,-67.9796863 -45.8629088,-67.9804587 -45.8629985,-67.9811132 -45.8627967,-67.98026531 -45.86300386,-67.9835165 -45.8632226,-67.9838812 -45.8630209,-67.9841387 -45.8625502,-67.9836881 -45.862991,-67.9831409 -45.8631255,-67.9816282 -45.862737,-67.98206338 -45.86352335,-67.9887307 -45.8607944,-67.9889238 -45.8604806,-67.9867244 -45.8607421,-67.9861665 -45.8609737,-67.9860163 -45.8616088,-67.9854047 -45.8619674,-67.9846215 -45.8621617,-67.9841387 -45.862468,-67.9838812 -45.8630209,-67.9834414 -45.8631927,-67.98715669 -45.86146692,-67.9928935 -45.8605404,-67.9914236 -45.8609588,-67.98931 -45.8614369,-67.9889023 -45.8613323,-67.99220337 -45.86057361,-67.9911339 -45.8618479,-67.9904687 -45.8619002,-67.9910696 -45.8615117,-67.9918849 -45.861295,-67.9930007 -45.8606151,-67.99023202 -45.86204363,-67.9952538 -45.8605927,-67.9947281 -45.8608168,-67.9940629 -45.8615789,-67.9931509 -45.862087,-67.9937303 -45.8615714,-67.9916918 -45.8619226,-67.99496681 -45.86045139;-67.99496681 -45.86045139,-67.9952538 -45.8605927,-67.9947281 -45.8608168,-67.9940629 -45.8615789,-67.9931509 -45.862087,-67.9937303 -45.8615714,-67.9916918 -45.8619226,-67.99023202 -45.86204363,-67.9886341 -45.8629088,-67.9906297 -45.8618479,-67.9911232 -45.8617956,-67.98677491 -45.86342245,-67.9859948 -45.8647094,-67.9874003 -45.863783,-67.98422803 -45.86529103,-67.9920459 -45.8642163,-67.9910159 -45.864672,-67.9903078 -45.8650157,-67.9890847 -45.8656208,-67.9855978 -45.8654415,-67.9855227 -45.865322,-67.99158422 -45.86437969,-67.9929578 -45.8671225,-67.9928398 -45.8662783,-67.9924321 -45.8655835,-67.9919815 -45.8652548,-67.992121 -45.8648663,-67.9910159 -45.864672,-67.9918528 -45.8642238,-67.99174523 -45.8677107,-67.9914558 -45.8692516,-67.9914558 -45.8690499,-67.9925716 -45.8679293,-67.99024475 -45.86974641,-67.9910052 -45.8707457,-67.9910266 -45.8705664,-67.99163820000001 -45.8700883,-67.9915524 -45.8697073,-67.9900866 -45.8710699,-67.9930758 -45.87218,-67.992754 -45.8724788,-67.9914343 -45.8718886,-67.9915845 -45.8711565,-67.9912734 -45.8710071,-67.99156523 -45.87210921,-67.9929739 -45.8721949,-67.9927379 -45.872546,-67.993784 -45.8729494,-67.9957634 -45.8725273,-67.9964232 -45.8722024,-67.99553288 -45.87226112,-67.9971957 -45.8714031,-67.9989982 -45.8712611,-67.9998028 -45.8710071,-67.99921407 -45.87121751,,-67.99960904 -45.87080973,-68.0035579 -45.8703423,-68.0025816 -45.8706859,-68.0014014 -45.8705066,-68.00284674 -45.87040916,-68.0041587 -45.8700285,-68.0051243 -45.8686091,-68.00449906 -45.86852742,-68.0070448 -45.8686241,-68.0060685 -45.868385,-68.00620422 -45.86892139,-68.0070448 -45.8686241,-68.0067122 -45.8683028,-68.0066907 -45.8679293,-68.0047274 -45.8681086,-68.0029786 -45.8686316,-68.0021524 -45.8685344,-68.0022383 -45.8682132,-68.00126819 -45.86832361,,-68.00080119 -45.86808139,-67.9980218 -45.8692665,-68.0000389 -45.8684074,-68.0017662 -45.8680339,-67.99627751 -45.86960923,-67.9969811 -45.8694981,-67.9958439 -45.8695654,-67.99512510000001 -45.8693413,-67.99505 -45.8690499,-67.99439359 -45.86914058,-67.99505 -45.8690499,-67.9947495 -45.8687287,-67.9952323 -45.8676529,-67.99437986 -45.8677879,-67.9954576 -45.8672868,-67.9960907 -45.8666518,-67.9968202 -45.8663306,-67.99554948 -45.86642106,-67.9970026 -45.8663754,-68.0035257 -45.8657777,-68.003397 -45.8661662,-68.00288598 -45.86648631,-68.0048561 -45.8661961,-68.0066156 -45.864941,-68.00601835 -45.8652672,-68.0066907 -45.8648887,-68.0076134 -45.8646197,-68.0077314 -45.8640818,-68.0066907 -45.862595,-68.0065084 -45.8626847,-68.00524993 -45.86266209,-68.0066907 -45.862595,-68.0062294 -45.8616088,-68.0054569 -45.8608467,-68.004663 -45.8610185,-68.00290781 -45.86119572,-68.0032039 -45.861564,-68.0037832 -45.8611157,-68.0040193 -45.8610858,-68.00170055 -45.8618692,-68.0024529 -45.8617881,-68.0025601 -45.862341,-68.0002105 -45.8608467,-68.0004787 -45.8601219,-67.99931829 -45.86009184,-67.9994917 -45.8615789,-68.0002105 -45.8608467,-68.0004895 -45.8600099,-67.99771431 -45.86216142;-67.99771431 -45.86216142,-67.9994917 -45.8615789,-68.0002105 -45.8608467,-68.0004895 -45.8600099,-67.99931829 -45.86009184,-68.0024529 -45.8617881,-68.0025601 -45.862341,-68.0002105 -45.8608467,-68.0004787 -45.8601219,-68.00170055 -45.8618692,-68.0032039 -45.861564,-68.0037832 -45.8611157,-68.0040193 -45.8610858,-68.00290781 -45.86119572,-68.0066907 -45.862595,-68.0062294 -45.8616088,-68.0054569 -45.8608467,-68.004663 -45.8610185,-68.00524993 -45.86266209,-68.0066907 -45.8648887,-68.0076134 -45.8646197,-68.0077314 -45.8640818,-68.0066907 -45.862595,-68.0065084 -45.8626847,-68.00601835 -45.8652672,-68.0048561 -45.8661961,-68.0066156 -45.864941,-68.00288598 -45.86648631,-67.9970026 -45.8663754,-68.0035257 -45.8657777,-68.003397 -45.8661662,-67.99554948 -45.86642106,-67.9954576 -45.8672868,-67.9960907 -45.8666518,-67.9968202 -45.8663306,-67.99437986 -45.8677879,-67.99505 -45.8690499,-67.9947495 -45.8687287,-67.9952323 -45.8676529,-67.99439359 -45.86914058,-67.9969811 -45.8694981,-67.9958439 -45.8695654,-67.99512510000001 -45.8693413,-67.99505 -45.8690499,-67.99627751 -45.86960923,-67.9980218 -45.8692665,-68.0000389 -45.8684074,-68.0017662 -45.8680339,-68.00080119 -45.86808139,,-68.00126819 -45.86832361,-68.0070448 -45.8686241,-68.0067122 -45.8683028,-68.0066907 -45.8679293,-68.0047274 -45.8681086,-68.0029786 -45.8686316,-68.0021524 -45.8685344,-68.0022383 -45.8682132,-68.00620422 -45.86892139,-68.0131066 -45.8689005,-68.0126238 -45.8687212,-68.0113363 -45.868385,-68.01036 -45.8679741,-68.0097055 -45.8679816,-68.0074954 -45.8686166,-68.01223482 -45.86912312,-68.0136108 -45.8697596,-68.012892 -45.8698418,-68.0106711 -45.8695579,-68.0112398 -45.869416,-68.0126882 -45.8689677,-68.01323141 -45.86984796,-68.0170333 -45.8699613,-68.0162179 -45.8701854,-68.0148554 -45.8699837,-68.01624065 -45.87002946,-68.0173981 -45.8697447,-68.018117 -45.8693263,-68.019619 -45.8685942,-68.01888103 -45.86869015,-68.0200803 -45.8683477,-68.0205953 -45.867877,-68.0235457 -45.8671822,-68.0237496 -45.867765,-68.02227322 -45.8681232,-68.0183744 -45.871052,-68.0195653 -45.8706187,-68.020606 -45.8698343,-68.0231166 -45.8688856,-68.0237281 -45.8683701,-68.0236638 -45.8680862,-68.01664295 -45.87109696;-68.01664295 -45.87109696,-68.0183744 -45.871052,-68.0195653 -45.8706187,-68.020606 -45.8698343,-68.0231166 -45.8688856,-68.0237281 -45.8683701,-68.0236638 -45.8680862,-68.02227322 -45.8681232,-68.0200803 -45.8683477,-68.0205953 -45.867877,-68.0235457 -45.8671822,-68.0237496 -45.867765,-68.01888103 -45.86869015,-68.0173981 -45.8697447,-68.018117 -45.8693263,-68.019619 -45.8685942,-68.01624065 -45.87002946,-68.0170333 -45.8699613,-68.0162179 -45.8701854,-68.0148554 -45.8699837,-68.01323141 -45.86984796,-68.0112183 -45.870163,-68.0137074 -45.8697596,-68.00929547 -45.87031042,-68.0100918 -45.8701854,-68.0091584 -45.8701107,-68.0076241 -45.8713582,-68.00605381 -45.87173811,-68.0046093 -45.8728523,-68.0045557 -45.8727178,-68.0070448 -45.8717766,-68.00353282 -45.873189,-68.0041802 -45.8731137,-68.0035472 -45.8731286,-68.0014122 -45.8739055,-68.00013115 -45.87419939,-68.0007684 -45.8741147,-67.9944921 -45.8759223,-67.9942346 -45.8757953,-67.99230343 -45.87612978,-67.9932904 -45.8760792,-67.9926252 -45.8763556,-67.9912949 -45.8766319,-67.98995293 -45.87688436,-67.9909623 -45.8768411,-67.9909086 -45.8766394,-67.9893529 -45.876729,-67.9896641 -45.8770726,-67.98904006 -45.87741924,-67.9896748 -45.8771548,-67.9892349 -45.8767216,-67.985158 -45.8765946,-67.9863167 -45.8762734,-67.98563419 -45.87640922,-67.9865313 -45.8763033,-67.9853833 -45.8764975,-67.98469660000002 -45.8764303,-67.98281428 -45.87644776,-67.9838705 -45.8772892,-67.9842675 -45.8766469,-67.9854584 -45.876617,-67.9846001 -45.8763854,-67.98257485 -45.87765379,-67.9797721 -45.879179,-67.9789889 -45.8790669,-67.9792571 -45.8776403,-67.9831409 -45.876744,-67.9844499 -45.8766842,-67.9838705 -45.8772892,-67.97934342 -45.87920812,-67.9789352 -45.8795823,-67.9789889 -45.8790669,-67.9799759 -45.8791491,-67.97764389 -45.88001208,-67.9789352 -45.8795823,-67.9791069 -45.8776627,-67.9756737 -45.8784769,-67.9758239 -45.8787234,-67.9765105 -45.8789474,-67.9757414 -45.87911165,-67.9764569 -45.8790072,-67.9757595 -45.8787084,-67.9755771 -45.8785142,-67.9742253 -45.8787756,-67.974236 -45.878222900000004,-67.97210325 -45.8786421,-67.9739785 -45.8781632,-67.9745579 -45.8782677,-67.9740644 -45.8788802,-67.9710174 -45.8792537,-67.96993071 -45.87922522,-67.9708028 -45.8792686,-67.9686999 -45.8795524,-67.9682064 -45.8792238,-67.96661757 -45.87943084,-67.967391 -45.8796271,-67.9660606 -45.879657,-67.9619408 -45.879179,-67.959795 -45.8789997,-67.9602242 -45.8794852,-67.95937836 -45.87978501,-67.9538298 -45.8776104,-67.9575419 -45.8788205,-67.9596341 -45.8789624,-67.9602242 -45.8794852,-67.95259842 -45.87763583,-67.9521346 -45.8759746,-67.9517162 -45.8759074,-67.9513943 -45.8758999,-67.9525959 -45.87702780000001,-67.95337920000001 -45.8774162,-67.95155064 -45.87647635,-67.9521346 -45.8759746,-67.951448 -45.8759597,-67.9509008 -45.8738383,-67.94983615 -45.87396079,-67.9508579 -45.8736739,-67.9509115 -45.8721426,-67.94974928 -45.87213834,-67.9510081 -45.87218,-67.9515123 -45.8715599,-67.9518449 -45.870925,-67.95082673 -45.87123588,-67.9518449 -45.870925,-67.9516733 -45.8706037,-67.9509866 -45.870275,-67.95089010000001 -45.8697222,-67.9517484 -45.8700734,-67.9526281 -45.8699912,-67.95188123 -45.87007275,-67.9526013 -45.869965,-67.9517484 -45.8700734,-67.9508901 -45.8697222,-67.9511476 -45.8693039,-67.95011093 -45.86936834,-67.9511476 -45.8693039,-67.95089010000001 -45.8697222,-67.9506433 -45.8681011,-67.9512978 -45.867892,-67.95075242 -45.86791677,-67.9513514 -45.867951700000006,-67.9506004 -45.8681534,-67.9493558 -45.8665622,-67.9490876 -45.8664576,-67.9492164 -45.8668461,-67.94827454 -45.86749255,-67.949152 -45.8670029,-67.9489589 -45.866338,-67.9464805 -45.8656358,-67.946502 -45.8652099,-67.94551194 -45.86495899,,-67.9454304 -45.86503525,-67.9452038 -45.8642219,-67.9464403 -45.8647635,-67.9400271 -45.8665472</t>
  </si>
  <si>
    <t>-67.9400271 -45.8665472,-67.9383588 -45.8674437,-67.9380584 -45.8682655,-67.9363847 -45.8693786,-67.9365671 -45.8696326,-67.93551008 -45.87004015,-67.936492 -45.8696625,-67.9362881 -45.8694234,-67.9350436 -45.8703273,-67.9347003 -45.8699986,-67.933282 -45.87018527,-67.9337347 -45.872531,-67.9350007 -45.8704245,-67.9346895 -45.8701032,-67.93292309 -45.87290945,-67.9305589 -45.8765722,-67.9309773 -45.8765423,-67.9323184 -45.875011,-67.9336917 -45.8726132,-67.92916705 -45.87686758,-67.9288745 -45.8790371,-67.9299796 -45.8786337,-67.9304302 -45.8776552,-67.9309022 -45.8766245,-67.9306126 -45.8766543,-67.92746283 -45.879252,-67.9288745 -45.8790371,-67.9299045 -45.8786188,-67.929765 -45.8784918,-67.9247224 -45.8798512,-67.9241753 -45.8796943,-67.92260289 -45.87981886,-67.9231775 -45.8798138,-67.9230273 -45.8801051,-67.9220295 -45.8802022,-67.9198301 -45.8807027,-67.9191542 -45.8814645,-67.9198301 -45.8813375,-67.91930941 -45.88137118,-67.9183173 -45.8833018,-67.9179525 -45.8832943,-67.9178452 -45.8829358,-67.9186606 -45.8819873,-67.9191113 -45.8815466,-67.9197979 -45.8813898,-67.91747464 -45.88372353,-67.9183924 -45.8832943,-67.9178345 -45.8833989,-67.9181349 -45.883832,-67.9182851 -45.8847656,-67.9179955 -45.8868492,-67.9182959 -45.887021,-67.918725 -45.8867895,-67.9189289 -45.8859232,-67.91833856 -45.88592331,-67.9201949 -45.8901426,-67.920785 -45.8896646,-67.9178774 -45.8882906,-67.9180706 -45.8870061,-67.9186499 -45.8868642,-67.918961 -45.8857962,-67.91840225 -45.89042054,-67.9200876 -45.8901874,-67.9206669 -45.8896646,-67.9178774 -45.8882906,-67.9172873 -45.8905981,-67.9169333 -45.8902621,-67.9169869 -45.889239,-67.9164076 -45.8886266,-67.91497939 -45.88844903;-67.91497939 -45.88844903,-67.9200876 -45.8901874,-67.9206669 -45.8896646,-67.9178774 -45.8882906,-67.9172873 -45.8905981,-67.9169333 -45.8902621,-67.9169869 -45.889239,-67.9164076 -45.8886266,-67.91840225 -45.89042054,-67.9201949 -45.8901426,-67.920785 -45.8896646,-67.9178774 -45.8882906,-67.9180706 -45.8870061,-67.9186499 -45.8868642,-67.918961 -45.8857962,-67.91833856 -45.88592331,-67.9183924 -45.8832943,-67.9178345 -45.8833989,-67.9181349 -45.883832,-67.9182851 -45.8847656,-67.9179955 -45.8868492,-67.9182959 -45.887021,-67.918725 -45.8867895,-67.9189289 -45.8859232,-67.91747464 -45.88372353,-67.9166651 -45.8823159,-67.9170835 -45.8822711,-67.9178345 -45.8833989,-67.9184783 -45.8832943,-67.91541483 -45.88231338,-67.9166651 -45.8823159,-67.9169762 -45.8821367,-67.9166543 -45.8815466,-67.913146 -45.8824205,-67.9128242 -45.8814645,-67.91214619 -45.88124859,,-67.91210808 -45.8814063,-67.9107428 -45.880501,-67.9119766 -45.880389,-67.9123414 -45.8806952,-67.9129958 -45.8809193,-67.90891537 -45.88072557,,-67.90902811 -45.88062544,-67.9108071 -45.880613,-67.9116762 -45.8803665,-67.9099488 -45.8795972,-67.9089832 -45.8795748,-67.908479 -45.879291,-67.9081464 -45.8778345,-67.9075241 -45.8768784,-67.9078567 -45.8763107,-67.9075456 -45.8753322,-67.9072452 -45.8752799,-67.9064727 -45.8764004,-67.90493501 -45.87690763,-67.9065692 -45.87642280000001,-67.9066443 -45.8758626,-67.9054427 -45.876363,-67.9050243 -45.8759149,-67.90388535 -45.87594679,-67.9027498 -45.8764153,-67.9023206 -45.8766319,-67.9053462 -45.8764079,-67.9049706 -45.8759672,-67.90200809 -45.87637167,-67.8998315 -45.8761838,-67.9001212 -45.8769457,-67.900883 -45.8771399,-67.9025674 -45.8764527,-67.89805175 -45.8762384,,-67.89781334 -45.87614703,-67.8996062 -45.8756758,-67.8981364 -45.8751081,-67.8992522 -45.8749438,-67.89863672 -45.87485225,-67.8992522 -45.8749438,-67.8973424 -45.8751455,-67.8966451 -45.875362100000004,-67.8955722 -45.8745031,-67.89489679 -45.87455424;-67.89489679 -45.87455424,-67.8954864 -45.8744359,-67.8949392 -45.8739429,-67.895143 -45.8733378,-67.8949499 -45.8727701,-67.89420174 -45.8725767;-67.89420174 -45.8725767,-67.8954864 -45.8744359,-67.8949392 -45.8739429,-67.895143 -45.8733378,-67.8949499 -45.8727701,-67.89489679 -45.87455424,-67.8992522 -45.8749438,-67.8973424 -45.8751455,-67.8966451 -45.875362100000004,-67.8955722 -45.8745031,-67.89863672 -45.87485225,-67.8996062 -45.8756758,-67.8981364 -45.8751081,-67.8992522 -45.8749438,-67.89781334 -45.87614703,,-67.89805175 -45.8762384,-67.8998315 -45.8761838,-67.9001212 -45.8769457,-67.900883 -45.8771399,-67.9025674 -45.8764527,-67.90200809 -45.87637167,-67.9027498 -45.8764153,-67.9023206 -45.8766319,-67.9053462 -45.8764079,-67.9049706 -45.8759672,-67.90388535 -45.87594679,-67.9065692 -45.87642280000001,-67.9066443 -45.8758626,-67.9054427 -45.876363,-67.9050243 -45.8759149,-67.90493501 -45.87690763,-67.9065907 -45.8763481,-67.9067516 -45.8757356,-67.9067945 -45.8747496,-67.90587404 -45.87465377,,-67.90528029 -45.87486338;-67.90528029 -45.87486338,,-67.90587404 -45.87465377,-67.9065907 -45.8763481,-67.9067516 -45.8757356,-67.9067945 -45.8747496,-67.90493501 -45.87690763,-67.9108071 -45.880613,-67.9116762 -45.8803665,-67.9099488 -45.8795972,-67.9089832 -45.8795748,-67.908479 -45.879291,-67.9081464 -45.8778345,-67.9075241 -45.8768784,-67.9078567 -45.8763107,-67.9075456 -45.8753322,-67.9072452 -45.8752799,-67.9064727 -45.8764004,-67.90902811 -45.88062544,,-67.90891537 -45.88072557,-67.9107428 -45.880501,-67.9119766 -45.880389,-67.9123414 -45.8806952,-67.9129958 -45.8809193,-67.91210808 -45.8814063,,-67.91214619 -45.88124859,-67.9166651 -45.8823159,-67.9169762 -45.8821367,-67.9166543 -45.8815466,-67.913146 -45.8824205,-67.9128242 -45.8814645,-67.91541483 -45.88231338,-67.9166651 -45.8823159,-67.9170835 -45.8822711,-67.9178345 -45.8833989,-67.9184783 -45.8832943,-67.91747464 -45.88372353,-67.9183173 -45.8833018,-67.9179525 -45.8832943,-67.9178452 -45.8829358,-67.9186606 -45.8819873,-67.9191113 -45.8815466,-67.9197979 -45.8813898,-67.91930941 -45.88137118,-67.9231775 -45.8798138,-67.9230273 -45.8801051,-67.9220295 -45.8802022,-67.9198301 -45.8807027,-67.9191542 -45.8814645,-67.9198301 -45.8813375,-67.92260289 -45.87981886,-67.9288745 -45.8790371,-67.9299045 -45.8786188,-67.929765 -45.8784918,-67.9247224 -45.8798512,-67.9241753 -45.8796943,-67.92746283 -45.879252,-67.9288745 -45.8790371,-67.9299796 -45.8786337,-67.9304302 -45.8776552,-67.9309022 -45.8766245,-67.9306126 -45.8766543,-67.92916705 -45.87686758,-67.9305589 -45.8765722,-67.9309773 -45.8765423,-67.9323184 -45.875011,-67.9336917 -45.8726132,-67.93292309 -45.87290945,-67.9337347 -45.872531,-67.9350007 -45.8704245,-67.9346895 -45.8701032,-67.933282 -45.87018527,-67.936492 -45.8696625,-67.9362881 -45.8694234,-67.9350436 -45.8703273,-67.9347003 -45.8699986,-67.93551008 -45.87004015,-67.9383588 -45.8674437,-67.9380584 -45.8682655,-67.9363847 -45.8693786,-67.9365671 -45.8696326,-67.9400271 -45.8665472</t>
  </si>
  <si>
    <t>-67.9400271 -45.8665472,-67.9383588 -45.8674437,-67.9380584 -45.8682655,-67.9363847 -45.8693786,-67.9365671 -45.8696326,-67.93551008 -45.87004015,-67.936492 -45.8696625,-67.9362881 -45.8694234,-67.9350436 -45.8703273,-67.9347003 -45.8699986,-67.933282 -45.87018527,-67.9337347 -45.872531,-67.9350007 -45.8704245,-67.9346895 -45.8701032,-67.93292309 -45.87290945,-67.9305589 -45.8765722,-67.9309773 -45.8765423,-67.9323184 -45.875011,-67.9336917 -45.8726132,-67.92916705 -45.87686758,-67.9288745 -45.8790371,-67.9299796 -45.8786337,-67.9304302 -45.8776552,-67.9309022 -45.8766245,-67.9306126 -45.8766543,-67.92746283 -45.879252,-67.9288745 -45.8790371,-67.9299045 -45.8786188,-67.929765 -45.8784918,-67.9247224 -45.8798512,-67.9241753 -45.8796943,-67.92260289 -45.87981886,-67.9231775 -45.8798138,-67.9230273 -45.8801051,-67.9220295 -45.8802022,-67.9198301 -45.8807027,-67.9191542 -45.8814645,-67.9198301 -45.8813375,-67.91930941 -45.88137118,-67.9183173 -45.8833018,-67.9179525 -45.8832943,-67.9178452 -45.8829358,-67.9186606 -45.8819873,-67.9191113 -45.8815466,-67.9197979 -45.8813898,-67.91747464 -45.88372353,-67.9166651 -45.8823159,-67.9170835 -45.8822711,-67.9178345 -45.8833989,-67.9184783 -45.8832943,-67.91541483 -45.88231338,-67.911365 -45.8831076,-67.9142618 -45.8826968,-67.9159892 -45.8825026,-67.90970498 -45.88326091,-67.9076958 -45.8841084,-67.9082644 -45.8839366,-67.9093373 -45.8833167,-67.9103136 -45.8831972,-67.90591516 -45.88446218,,-67.90594775 -45.88423937,-67.9066443 -45.8844071,-67.9062474 -45.8852585,-67.908833 -45.885968,-67.9091012 -45.8864012,-67.90705336 -45.88840606,-67.9052818 -45.8875736,-67.90654780000001 -45.8882084,-67.9074919 -45.8882756,-67.90362098 -45.8874036,-67.9022241 -45.8892913,-67.9030609 -45.889239,-67.9032218 -45.8889477,-67.9028785 -45.8877678,-67.9034686 -45.8869165,-67.9039729 -45.8871629,-67.90098858 -45.88903898,-67.9052174 -45.8898887,-67.9046273 -45.8890523,-67.9033613 -45.8891643,-67.9021382 -45.8893659,-67.90475618 -45.89004619,-67.908082 -45.8906056,-67.9061723 -45.8899111,-67.90753763 -45.89070583;-67.90753763 -45.89070583,-67.908082 -45.8906056,-67.9061723 -45.8899111,-67.90475618 -45.89004619,-67.9052174 -45.8898887,-67.9046273 -45.8890523,-67.9033613 -45.8891643,-67.9021382 -45.8893659,-67.90098858 -45.88903898,-67.9022241 -45.8892913,-67.9030609 -45.889239,-67.9032218 -45.8889477,-67.9028785 -45.8877678,-67.9034686 -45.8869165,-67.9039729 -45.8871629,-67.90362098 -45.8874036,-67.9039729 -45.8871629,-67.9034686 -45.8869165,-67.9041123 -45.886192,-67.9042947 -45.8847656,-67.90316820000001 -45.883637900000004,-67.90293219 -45.8836944,-67.90316820000001 -45.883637900000004,-67.9026854 -45.8831823,-67.9021275 -45.8832794,-67.900722 -45.8842279,-67.9001105 -45.8851465,-67.8995955 -45.8843175,-67.89811074 -45.88424629,-67.896452 -45.8842129,-67.8972995 -45.8841607,-67.8987801 -45.8833839,-67.8993165 -45.8836304,-67.89478887 -45.88442779,-67.895658 -45.88465360000001,-67.8955078 -45.8872675,-67.89402720000001 -45.888186,-67.89313670000001 -45.8879097,-67.8935552 -45.8866999,-67.891624 -45.8850718,-67.88986813 -45.88509226,-67.8916669 -45.8851316,-67.891463 -45.8853332,-67.8890061 -45.8855946,-67.8886521 -45.8849672,-67.88725199 -45.88498287,-67.8877938 -45.885251,-67.8862166 -45.8849523,-67.88477851 -45.88530377,-67.8863347 -45.8849448,-67.8869569 -45.8849672,-67.8874826 -45.883847,-67.8903258 -45.883570600000006,-67.88934482 -45.88367092,-67.8808522 -45.8847432,-67.8831053 -45.8843548,-67.884897 -45.8834586,-67.8876114 -45.88378720000001,-67.8901434 -45.8835856,-67.87931365 -45.88515467,-67.8775477 -45.8859232,-67.87784810000001 -45.8854153,-67.8789425 -45.8862742,-67.879554 -45.8862667,-67.8829443 -45.8844743,-67.8806055 -45.8848253,-67.87597578 -45.88674947,,-67.87630061 -45.88642699,-67.8775907 -45.885744,-67.8778374 -45.8851241,-67.8766251 -45.8844594,-67.8767002 -45.8840561,-67.8758872 -45.88413516,-67.8738034 -45.8829806,-67.8739858 -45.8834512,-67.87655 -45.8844445,-67.8765929 -45.8840262,-67.87263059 -45.88283868,-67.8737283 -45.8829508,-67.8736854 -45.8833242,-67.8730094 -45.8829134,-67.8686643 -45.8830254,-67.86703039 -45.88312685,-67.8726017 -45.880389,-67.8697157 -45.8828462,-67.8706813 -45.8831001,-67.8686643 -45.8830254,-67.8724445 -45.87988188,-67.8772688 -45.8789101,-67.8749835 -45.8790146,-67.87362100000001 -45.8797765,-67.87684672 -45.87887091,-67.8785026 -45.8788802,-67.8798115 -45.8793806,-67.87875862 -45.87975391,-67.8797901 -45.8776627,-67.8792536 -45.87817810000001,-67.8798115 -45.8793806,-67.87897854 -45.87766371,-67.8836739 -45.8759821,-67.8838027 -45.8758402,-67.883234 -45.875631,-67.8816783 -45.8762734,-67.8803587 -45.8772818,-67.88220216 -45.87628794,-67.8856909 -45.8773042,-67.88382410000001 -45.8758999,-67.8835773 -45.8759821,-67.88515558 -45.87764642,-67.8866458 -45.877476,-67.8866458 -45.8780437,-67.8858411 -45.8780212,-67.8857124 -45.8785142,-67.88533919 -45.87880887,-67.886517 -45.8799408,-67.8866994 -45.8794479,-67.8872252 -45.87899970000001,-67.886796 -45.8779465,-67.8865707 -45.878447,-67.88524237 -45.88041708;-67.88524237 -45.88041708,-67.886517 -45.8799408,-67.8866994 -45.8794479,-67.8872252 -45.87899970000001,-67.886796 -45.8779465,-67.8865707 -45.878447,-67.88533919 -45.87880887,-67.8866458 -45.877476,-67.8866458 -45.8780437,-67.8858411 -45.8780212,-67.8857124 -45.8785142,-67.88515558 -45.87764642,-67.8856909 -45.8773042,-67.88382410000001 -45.8758999,-67.8835773 -45.8759821,-67.88220216 -45.87628794,-67.8836739 -45.8759821,-67.8838027 -45.8758402,-67.883234 -45.875631,-67.8816783 -45.8762734,-67.8803587 -45.8772818,-67.87897854 -45.87766371,-67.8797901 -45.8776627,-67.8792536 -45.87817810000001,-67.8798115 -45.8793806,-67.87875862 -45.87975391,-67.8785026 -45.8788802,-67.8798115 -45.8793806,-67.87684672 -45.87887091,-67.8772688 -45.8789101,-67.8749835 -45.8790146,-67.87362100000001 -45.8797765,-67.8724445 -45.87988188,-67.8726017 -45.880389,-67.8697157 -45.8828462,-67.8706813 -45.8831001,-67.8686643 -45.8830254,-67.86703039 -45.88312685,-67.8737283 -45.8829508,-67.8736854 -45.8833242,-67.8730094 -45.8829134,-67.8686643 -45.8830254,-67.87263059 -45.88283868,-67.8738034 -45.8829806,-67.8739858 -45.8834512,-67.87655 -45.8844445,-67.8765929 -45.8840262,-67.8758872 -45.88413516,-67.8775907 -45.885744,-67.8778374 -45.8851241,-67.8766251 -45.8844594,-67.8767002 -45.8840561,-67.87630061 -45.88642699,,-67.87597578 -45.88674947,-67.8775477 -45.8859232,-67.87784810000001 -45.8854153,-67.8789425 -45.8862742,-67.879554 -45.8862667,-67.8829443 -45.8844743,-67.8806055 -45.8848253,-67.87931365 -45.88515467,-67.8808522 -45.8847432,-67.8831053 -45.8843548,-67.884897 -45.8834586,-67.8876114 -45.88378720000001,-67.8901434 -45.8835856,-67.88934482 -45.88367092,-67.8863347 -45.8849448,-67.8869569 -45.8849672,-67.8874826 -45.883847,-67.8903258 -45.883570600000006,-67.88477851 -45.88530377,-67.8877938 -45.885251,-67.8862166 -45.8849523,-67.88725199 -45.88498287,-67.8916669 -45.8851316,-67.891463 -45.8853332,-67.8890061 -45.8855946,-67.8886521 -45.8849672,-67.88986813 -45.88509226,-67.895658 -45.88465360000001,-67.8955078 -45.8872675,-67.89402720000001 -45.888186,-67.89313670000001 -45.8879097,-67.8935552 -45.8866999,-67.891624 -45.8850718,-67.89478887 -45.88442779,-67.896452 -45.8842129,-67.8972995 -45.8841607,-67.8987801 -45.8833839,-67.8993165 -45.8836304,-67.89811074 -45.88424629,-67.90316820000001 -45.883637900000004,-67.9026854 -45.8831823,-67.9021275 -45.8832794,-67.900722 -45.8842279,-67.9001105 -45.8851465,-67.8995955 -45.8843175,-67.90293219 -45.8836944,-67.9039729 -45.8871629,-67.9034686 -45.8869165,-67.9041123 -45.886192,-67.9042947 -45.8847656,-67.90316820000001 -45.883637900000004,-67.90362098 -45.8874036,-67.9052818 -45.8875736,-67.90654780000001 -45.8882084,-67.9074919 -45.8882756,-67.90705336 -45.88840606,-67.9066443 -45.8844071,-67.9062474 -45.8852585,-67.908833 -45.885968,-67.9091012 -45.8864012,-67.90594775 -45.88423937,,-67.90591516 -45.88446218,-67.9076958 -45.8841084,-67.9082644 -45.8839366,-67.9093373 -45.8833167,-67.9103136 -45.8831972,-67.90970498 -45.88326091,-67.911365 -45.8831076,-67.9142618 -45.8826968,-67.9159892 -45.8825026,-67.91541483 -45.88231338,-67.9166651 -45.8823159,-67.9170835 -45.8822711,-67.9178345 -45.8833989,-67.9184783 -45.8832943,-67.91747464 -45.88372353,-67.9183173 -45.8833018,-67.9179525 -45.8832943,-67.9178452 -45.8829358,-67.9186606 -45.8819873,-67.9191113 -45.8815466,-67.9197979 -45.8813898,-67.91930941 -45.88137118,-67.9231775 -45.8798138,-67.9230273 -45.8801051,-67.9220295 -45.8802022,-67.9198301 -45.8807027,-67.9191542 -45.8814645,-67.9198301 -45.8813375,-67.92260289 -45.87981886,-67.9288745 -45.8790371,-67.9299045 -45.8786188,-67.929765 -45.8784918,-67.9247224 -45.8798512,-67.9241753 -45.8796943,-67.92746283 -45.879252,-67.9288745 -45.8790371,-67.9299796 -45.8786337,-67.9304302 -45.8776552,-67.9309022 -45.8766245,-67.9306126 -45.8766543,-67.92916705 -45.87686758,-67.9305589 -45.8765722,-67.9309773 -45.8765423,-67.9323184 -45.875011,-67.9336917 -45.8726132,-67.93292309 -45.87290945,-67.9337347 -45.872531,-67.9350007 -45.8704245,-67.9346895 -45.8701032,-67.933282 -45.87018527,-67.936492 -45.8696625,-67.9362881 -45.8694234,-67.9350436 -45.8703273,-67.9347003 -45.8699986,-67.93551008 -45.87004015,-67.9383588 -45.8674437,-67.9380584 -45.8682655,-67.9363847 -45.8693786,-67.9365671 -45.8696326,-67.9400271 -45.8665472</t>
  </si>
  <si>
    <t>-67.9400271 -45.8665472,-67.9383588 -45.8674437,-67.9380584 -45.8682655,-67.9363847 -45.8693786,-67.9365671 -45.8696326,-67.93551008 -45.87004015,-67.936492 -45.8696625,-67.9362881 -45.8694234,-67.9350436 -45.8703273,-67.9347003 -45.8699986,-67.933282 -45.87018527,-67.9337347 -45.872531,-67.9350007 -45.8704245,-67.9346895 -45.8701032,-67.93292309 -45.87290945,-67.9305589 -45.8765722,-67.9309773 -45.8765423,-67.9323184 -45.875011,-67.9336917 -45.8726132,-67.92916705 -45.87686758,-67.9288745 -45.8790371,-67.9299796 -45.8786337,-67.9304302 -45.8776552,-67.9309022 -45.8766245,-67.9306126 -45.8766543,-67.92746283 -45.879252,-67.9288745 -45.8790371,-67.9299796 -45.8786337,-67.9308271 -45.8793582,-67.9310632 -45.8796271,-67.9308057 -45.8796645,-67.92926139 -45.87980166,-67.9308057 -45.8796645,-67.9309773 -45.8795823,-67.9308271 -45.8793582,-67.9319429 -45.8795524,-67.9332089 -45.8799333,-67.9339921 -45.8795524,-67.9349685 -45.8793358,-67.935698 -45.8793209,-67.93512028 -45.8793768,-67.9364383 -45.8791566,-67.9368889 -45.8790371,-67.9370821 -45.878798,-67.939657 -45.8787906,-67.9398179 -45.8784246,-67.93938002 -45.87863178,-67.9433799 -45.8793582,-67.9425859 -45.8792462,-67.9414809 -45.8788951,-67.9399574 -45.8788802,-67.9395819 -45.8785889,-67.9398179 -45.8784246,-67.94258106 -45.87928487,-67.9468131 -45.8799931,-67.9464698 -45.8794927,-67.9443026 -45.8791491,-67.9459034 -45.88040255,-67.9472744 -45.8827118,-67.9475963 -45.8819051,-67.9476392 -45.8807475,-67.9472208 -45.8805159,-67.94607409 -45.88311995,-67.9472744 -45.8852212,-67.9470921 -45.8844967,-67.9472423 -45.883959,-67.9472315 -45.8831823,-67.94628753 -45.88560005,-67.9487872 -45.8868418,-67.9495382 -45.8874766,-67.9496884 -45.88726,-67.9485726 -45.886095,-67.9476714 -45.8855871,-67.94746568 -45.88694764,-67.948755 -45.886894,-67.9494202 -45.887484,-67.9503751 -45.8875587,-67.9509008 -45.8873571,-67.9508793 -45.8868716,-67.94972726 -45.88693813,-67.951051 -45.8868418,-67.9516089 -45.886207,-67.952832 -45.8866028,-67.95178221 -45.88666191,-67.9531646 -45.88667,-67.9533255 -45.8870733,-67.9523599 -45.8875064,-67.9523385 -45.888074,-67.9529393 -45.8886416,-67.95220821 -45.8890951;-67.95220821 -45.8890951,-67.9531646 -45.88667,-67.9533255 -45.8870733,-67.9523599 -45.8875064,-67.9523385 -45.888074,-67.9529393 -45.8886416,-67.95178221 -45.88666191,-67.957381 -45.8868268,-67.9566729 -45.8866327,-67.953701 -45.8868791,-67.9533148 -45.8869911,-67.9529393 -45.8866103,-67.95650174 -45.8868325,-67.9573059 -45.8868268,-67.956748 -45.8864908,-67.9563725 -45.8857215,-67.9556644 -45.8849971,-67.9546167 -45.88506443,-67.960428 -45.8852436,-67.9597843 -45.8853855,-67.9578102 -45.8852959,-67.9558897 -45.8849448,-67.95958113 -45.88533853,-67.9643977 -45.8867746,-67.9641402 -45.8867895,-67.9629064 -45.8855274,-67.9625845 -45.8842055,-67.9620588 -45.8840412,-67.9608893 -45.8848926,-67.96291589 -45.88644251,-67.9671872 -45.8881412,-67.9659748 -45.8870061,-67.9642153 -45.8869314,-67.9642582 -45.8866849,-67.96633372 -45.88873533,-67.9702985 -45.892002,-67.9693437 -45.8927189,-67.9695046 -45.8920393,-67.9694617 -45.8909565,-67.9689038 -45.8902247,-67.9675949 -45.8891494,-67.9695987 -45.89181892,-67.9699337 -45.8946379,-67.9693973 -45.8950411,-67.9688287 -45.894847,-67.9686248 -45.893936,-67.9694724 -45.8926591,-67.9702985 -45.892002,-67.96939983 -45.89469974,-67.9721761 -45.8962209,-67.9716182 -45.8947873,-67.9710388 -45.8947723,-67.97161551 -45.8965517,-67.9729271 -45.8958177,-67.9726696 -45.8949515,-67.97168684 -45.8946769,-67.9725194 -45.8940704,-67.9735279 -45.8935179,-67.97316911 -45.89352066;-67.97316911 -45.89352066,-67.9725194 -45.8940704,-67.9735279 -45.8935179,-67.97168684 -45.8946769,-67.9729271 -45.8958177,-67.9726696 -45.8949515,-67.97161551 -45.8965517;-67.97161551 -45.8965517,-67.9721761 -45.8962209,-67.9716182 -45.8947873,-67.9710388 -45.8947723,-67.96939983 -45.89469974,-67.9699337 -45.8946379,-67.9693973 -45.8950411,-67.9688287 -45.894847,-67.9686248 -45.893936,-67.9694724 -45.8926591,-67.9702985 -45.892002,-67.9695987 -45.89181892,-67.9702985 -45.892002,-67.9693437 -45.8927189,-67.9695046 -45.8920393,-67.9694617 -45.8909565,-67.9689038 -45.8902247,-67.9675949 -45.8891494,-67.96633372 -45.88873533,-67.9670262 -45.8881263,-67.9660714 -45.8869613,-67.9657602 -45.8876259,-67.9651165 -45.8877678,-67.9650307 -45.887947,-67.964462 -45.8880815,-67.96290254 -45.88863388,-67.9609108 -45.8902845,-67.9623485 -45.8909491,-67.9621017 -45.8899111,-67.962445 -45.8899634,-67.9637861 -45.8886864,-67.95958813 -45.89007642,-67.963196 -45.8927189,-67.9626918 -45.8927114,-67.9624236 -45.8909043,-67.9618871 -45.8908445,-67.9608786 -45.8903442,-67.96212496 -45.89267136,-67.9612112 -45.8971319,-67.9633784 -45.8962807,-67.9639149 -45.8957132,-67.9634535 -45.8934357,-67.9631853 -45.892801,-67.95956637 -45.89743693,-67.9642367 -45.8983564,-67.9643333 -45.8976993,-67.9650199 -45.8970721,-67.9652989 -45.8964076,-67.9613721 -45.8972065,-67.96354703 -45.89869944,-67.9681742 -45.8981175,-67.967155 -45.8982145,-67.966522 -45.8986401,-67.965138 -45.8986401,-67.96764913 -45.89786174;-67.96764913 -45.89786174,-67.9681742 -45.8981175,-67.967155 -45.8982145,-67.966522 -45.8986401,-67.965138 -45.8986401,-67.96354703 -45.89869944,-67.9693437 -45.9027914,-67.9659963 -45.8987297,-67.965138 -45.8986401,-67.96793825 -45.90348141;-67.96793825 -45.90348141,-67.9693437 -45.9027914,-67.9659963 -45.8987297,-67.965138 -45.8986401,-67.96354703 -45.89869944,-67.9642367 -45.8983564,-67.9643333 -45.8976993,-67.9650199 -45.8970721,-67.9652989 -45.8964076,-67.9613721 -45.8972065,-67.95956637 -45.89743693,-67.9602778 -45.8973559,-67.959677 -45.8974604,-67.9590976 -45.897326,-67.9587114 -45.8968257,-67.95928 -45.896094,-67.9591405 -45.8953548,-67.95753705 -45.89518861,-67.958411 -45.8946678,-67.9585934 -45.8938464,-67.9590118 -45.8934581,-67.9594839 -45.8932714,-67.9597199 -45.892913,-67.9595053 -45.8926741,-67.95792371 -45.89252328,-67.958647 -45.8921289,-67.9580784 -45.8917854,-67.958411 -45.8907699,-67.9588509 -45.8902397,-67.9578209 -45.8896422,-67.95602222 -45.88970885,-67.9576063 -45.8896124,-67.9577136 -45.888888,-67.9572308 -45.8876483,-67.9565012 -45.8869986,-67.95495587 -45.8875866,-67.9563618 -45.8869613,-67.9570055 -45.8870583,-67.9568553 -45.8866028,-67.957381 -45.8868268,-67.95650174 -45.8868325,-67.957381 -45.8868268,-67.9566729 -45.8866327,-67.953701 -45.8868791,-67.9533148 -45.8869911,-67.9529393 -45.8866103,-67.95178221 -45.88666191,-67.951051 -45.8868418,-67.9516089 -45.886207,-67.952832 -45.8866028,-67.94972726 -45.88693813,-67.948755 -45.886894,-67.9494202 -45.887484,-67.9503751 -45.8875587,-67.9509008 -45.8873571,-67.9508793 -45.8868716,-67.94746568 -45.88694764,-67.9487872 -45.8868418,-67.9495382 -45.8874766,-67.9496884 -45.88726,-67.9485726 -45.886095,-67.9476714 -45.8855871,-67.94628753 -45.88560005,-67.9472744 -45.8852212,-67.9470921 -45.8844967,-67.9472423 -45.883959,-67.9472315 -45.8831823,-67.94607409 -45.88311995,-67.9472744 -45.8827118,-67.9475963 -45.8819051,-67.9476392 -45.8807475,-67.9472208 -45.8805159,-67.9459034 -45.88040255,-67.9468131 -45.8799931,-67.9464698 -45.8794927,-67.9443026 -45.8791491,-67.94258106 -45.87928487,-67.9433799 -45.8793582,-67.9425859 -45.8792462,-67.9414809 -45.8788951,-67.9399574 -45.8788802,-67.9395819 -45.8785889,-67.9398179 -45.8784246,-67.93938002 -45.87863178,,-67.93921257 -45.87804782,-67.9512119 -45.8788877,-67.952435 -45.8787607,-67.9518127 -45.8800454,-67.9474354 -45.8786785,-67.9441524 -45.8779764,-67.9427791 -45.8776328,-67.940805 -45.8776926,-67.94944114 -45.87896309,-67.9534543 -45.8773565,-67.9526925 -45.87711,-67.9530144 -45.8775731,-67.9524779 -45.878813,-67.9512334 -45.8789325,-67.95259842 -45.87763583,-67.9521346 -45.8759746,-67.9517162 -45.8759074,-67.9513943 -45.8758999,-67.9525959 -45.87702780000001,-67.95337920000001 -45.8774162,-67.95155064 -45.87647635,-67.9521239 -45.8742491,-67.9518771 -45.875885,-67.9521346 -45.8759746,-67.95131727 -45.87411285,-67.9523921 -45.8742192,-67.953068 -45.8750334,-67.9540443 -45.8756908,-67.95347139 -45.87628758,-67.9545808 -45.876206200000006,-67.9548597 -45.8766021,-67.9553211 -45.8767066,-67.95502272 -45.87715106;-67.95502272 -45.87715106,-67.9545808 -45.876206200000006,-67.9548597 -45.8766021,-67.9553211 -45.8767066,-67.95347139 -45.87628758,-67.9523921 -45.8742192,-67.953068 -45.8750334,-67.9540443 -45.8756908,-67.95131727 -45.87411285,-67.9521239 -45.8742491,-67.9518771 -45.875885,-67.9521346 -45.8759746,-67.95155064 -45.87647635,-67.9521346 -45.8759746,-67.951448 -45.8759597,-67.9509008 -45.8738383,-67.94983615 -45.87396079,-67.9508579 -45.8736739,-67.9509115 -45.8721426,-67.94974928 -45.87213834,-67.9510081 -45.87218,-67.9515123 -45.8715599,-67.9518449 -45.870925,-67.95082673 -45.87123588,-67.9518449 -45.870925,-67.9516733 -45.8706037,-67.9509866 -45.870275,-67.95089010000001 -45.8697222,-67.9517484 -45.8700734,-67.9526281 -45.8699912,-67.95188123 -45.87007275,-67.9526013 -45.869965,-67.9517484 -45.8700734,-67.9508901 -45.8697222,-67.9511476 -45.8693039,-67.95011093 -45.86936834,-67.9511476 -45.8693039,-67.95089010000001 -45.8697222,-67.9506433 -45.8681011,-67.9512978 -45.867892,-67.95075242 -45.86791677,-67.9513514 -45.867951700000006,-67.9506004 -45.8681534,-67.9493558 -45.8665622,-67.9490876 -45.8664576,-67.9492164 -45.8668461,-67.94827454 -45.86749255,-67.949152 -45.8670029,-67.9489589 -45.866338,-67.9464805 -45.8656358,-67.946502 -45.8652099,-67.94551194 -45.86495899,,-67.9454304 -45.86503525,-67.9452038 -45.8642219,-67.9464403 -45.8647635,-67.9400271 -45.8665472</t>
  </si>
  <si>
    <t>-67.9400271 -45.8665472,-67.9383588 -45.8674437,-67.9380101 -45.8666929,-67.9392922 -45.8661064,-67.93822649 -45.86645361,,-67.93820898 -45.86621382,-67.939437 -45.8659907,-67.9410034 -45.8642985,-67.9397787 -45.86446671,-67.9413575 -45.8643508,-67.94191 -45.8638801,-67.9413092 -45.8637717,-67.94026881 -45.86394522,-67.9412395 -45.8636896,-67.94085860000001 -45.8628677,-67.94016816 -45.86304785,-67.9407942 -45.8630844,-67.9403758 -45.8621878,-67.9386914 -45.8624792,-67.93749455 -45.86270022,-67.9389811 -45.8623559,-67.9389596 -45.8618329,-67.9381979 -45.8610783,-67.9390669 -45.8607794,-67.93809539 -45.86091501,-67.9388309 -45.8607794,-67.938112 -45.8611007,-67.9377472 -45.860899,-67.9362881 -45.8614743,-67.9374897 -45.8619749,-67.93652197 -45.86222667,-67.9375219 -45.8620421,-67.9357517 -45.861085800000005,-67.9346144 -45.8614519,-67.93332777 -45.86169272,-67.9343569 -45.8614145,-67.9335523 -45.861549,-67.9334021 -45.8611381,-67.9309666 -45.8609214,-67.92973166 -45.86112334,-67.9307091 -45.86097370000001,-67.9287457 -45.8609588,-67.9288423 -45.860757,-67.92827234 -45.86082887,-67.9288423 -45.860757,-67.9286063 -45.8609812,-67.9269433 -45.8608168,-67.9254305 -45.8610559,-67.9256237 -45.8606898,-67.92472033 -45.86078317,-67.9253769 -45.8604208,-67.9236388 -45.8595317,-67.9233384 -45.8597857,-67.92204432 -45.86025045,-67.9235315 -45.8601219,-67.9222655 -45.8604731,-67.92116295 -45.86077528,-67.9219651 -45.8610335,-67.9157424 -45.8609887,-67.91412974 -45.86109479,-67.9153347 -45.8605702,-67.9157317 -45.8599725,-67.9146159 -45.859457,-67.91347499 -45.85938782,-67.9145408 -45.8594047,-67.9124916 -45.858777,-67.9112792 -45.8592776,-67.91058213 -45.85962973,-67.9112792 -45.8592776,-67.9102921 -45.8588293,-67.9105067 -45.8586425,-67.90964669 -45.85881191,-67.9102653 -45.8586986,-67.9081625 -45.8581195,-67.90707943 -45.8582017,-67.90773330000002 -45.8580522,-67.9073417 -45.8579177,-67.9068965 -45.8568567,-67.9053408 -45.8563822,-67.90400196 -45.85653031,-67.904284 -45.8564084,-67.9033184 -45.8552726,-67.9019022 -45.8551232,-67.90067511 -45.8549717,,-67.90022567 -45.85540767,-67.9008508 -45.8548093,-67.8990161 -45.8545403,-67.898823 -45.8538678,-67.8965485 -45.8545553,-67.89483427 -45.85484841,-67.887429 -45.855564,-67.8894138 -45.853808,-67.8932333 -45.8533447,-67.8969455 -45.8545851,-67.8963768 -45.8546599,-67.88581092 -45.85597227,-67.887429 -45.855564,-67.8882551 -45.8548691,-67.8894138 -45.853808,-67.8920853 -45.8535689,-67.8916454 -45.8538678,-67.8897357 -45.85395,-67.88910 -45.85436,-67.8875685 -45.8562589,-67.885799 -45.8571033,-67.88544 -45.8578281,-67.88523 -45.85794,-67.88402968 -45.85834964,-67.8814316 -45.8592926,-67.8808415 -45.8591357,-67.880863 -45.8587322,-67.8817642 -45.858239,-67.8850043 -45.8580522,-67.88077392 -45.85953999,-67.8790283 -45.8588293,-67.880466 -45.8587397,-67.8813028 -45.8593598,-67.87771797 -45.85914466;-67.87771797 -45.85914466,-67.875917 -45.8590236,-67.8765607 -45.8587098,-67.8784597 -45.8588443,-67.87446619 -45.85953534,-67.8758311 -45.8590012,-67.8755307 -45.858777,-67.8718829 -45.8588144,-67.8721619 -45.8576637,-67.8733528 -45.857462,-67.8739536 -45.8579028,-67.87227986 -45.85836679,-67.8721619 -45.8576637,-67.8734279 -45.8573798,-67.8740823 -45.8579103,-67.87029294 -45.85782787,-67.8694689 -45.8577534,-67.8703272 -45.8578879,-67.8705525 -45.8574694,-67.8710139 -45.8575441,-67.86752908 -45.85773082,-67.8666365 -45.8577982,-67.8680527 -45.857716,-67.86509618 -45.85797591,-67.8655958 -45.85783560000001,-67.8642118 -45.8570435,-67.86269634 -45.8576934,-67.8630531 -45.8577608,-67.8618944 -45.8580074,-67.86119926 -45.8582863,-67.8617334 -45.8580597,-67.8595233 -45.8583362,-67.85800456 -45.85865306,-67.8585362 -45.8586425,-67.8567231 -45.8591431,-67.8550386 -45.8605852,-67.85325633 -45.86047853,-67.8547168 -45.8600622,-67.8545237 -45.8589862,-67.8537083 -45.858508,-67.852335 -45.8585529,-67.85051371 -45.8587379,-67.8511226 -45.8587172,-67.8489661 -45.8581942,-67.8504252 -45.8565952,-67.84992667 -45.85649082,-67.851541 -45.8561394,-67.8511119 -45.8555416,-67.8497386 -45.8553249,-67.8490841 -45.8555341,-67.84737753 -45.85568862,-67.8480864 -45.8556163,-67.846477 -45.8561992,-67.8452325 -45.8556537,-67.84359994 -45.85582912,-67.8438914 -45.8557508,-67.8414237 -45.8563262,-67.8377545 -45.8563187,-67.83653581 -45.85644197,-67.8371108 -45.8561767,-67.8326368 -45.8556313,-67.83154193 -45.85548135,-67.8319716 -45.855437,-67.8292787 -45.855108200000004,-67.82760578 -45.8552439,-67.8277767 -45.8550036,-67.8251696 -45.8547271,-67.824676 -45.8544207,-67.82322995 -45.85451391,-67.8244078 -45.8540994,-67.8225088 -45.8518801,-67.82163737 -45.8516816,-67.8223801 -45.8515886,-67.8209639 -45.8504751,-67.8196657 -45.8504079,-67.81800483 -45.85079524,-67.8185713 -45.8505798,-67.816962 -45.851073,-67.8161895 -45.8523658,-67.81497943 -45.85259887,-67.816329 -45.8519921,-67.8167796 -45.8511701,-67.8158462 -45.8513121,-67.8150415 -45.8533148,-67.8138399 -45.8541293,-67.81217316 -45.85421245,-67.809999 -45.85395,-67.81053540000002 -45.8542265,-67.8125417 -45.8543386,-67.80813131 -45.85419968,-67.8064048 -45.853539,-67.8089046 -45.854361,-67.8103852 -45.8542265,-67.8098702 -45.8539126,-67.80441533 -45.8533642,-67.805289 -45.8529487,-67.8034651 -45.8522612,-67.8028214 -45.85306820000001,-67.8021669 -45.8529711,-67.80053473 -45.85338776,-67.8017056 -45.8526423,-67.8015232 -45.8523658,-67.79962420000001 -45.8525451,-67.7978754 -45.8519772,-67.7946138 -45.8521416,-67.79294152 -45.85225742,-67.7932727 -45.8519249,-67.790097 -45.851768,-67.7882087 -45.8523583,-67.7874362 -45.8529785,-67.78639604 -45.85350214,-67.7872217 -45.8538753,-67.7837884 -45.8561618,-67.7830803 -45.8561095,-67.78170238 -45.85610146,-67.7824903 -45.8564233,-67.7802157 -45.8580149,-67.7796257 -45.8571108,-67.7786064 -45.8565802,-67.7779841 -45.85664,-67.7787888 -45.8561394,-67.77831934 -45.85627828,-67.7786493 -45.8561767,-67.7760208 -45.8575666,-67.7736604 -45.8573723,-67.7729845 -45.8565877,-67.7733386 -45.8538528,-67.77191639 -45.85370252,-67.7767611 -45.8515811,-67.7748406 -45.85155120000001,-67.7744758 -45.8503855,-67.7750123 -45.8494887,-67.7702379 -45.8498848,-67.7723086 -45.8511776,-67.7737248 -45.8528216,-67.7731884 -45.8531878,-67.77612134 -45.8514783,-67.7803338 -45.8509385,-67.777555 -45.8505499,-67.7752268 -45.8494812,-67.77437930000002 -45.8504154,-67.7747762 -45.851484,-67.7768147 -45.8515139,-67.77982732 -45.85094494;-67.77982732 -45.85094494,-67.7803338 -45.8509385,-67.777555 -45.8505499,-67.7752268 -45.8494812,-67.77437930000002 -45.8504154,-67.7747762 -45.851484,-67.7768147 -45.8515139,-67.77612134 -45.8514783,-67.7767611 -45.8515811,-67.7748406 -45.85155120000001,-67.7744758 -45.8503855,-67.7750123 -45.8494887,-67.7702379 -45.8498848,-67.7723086 -45.8511776,-67.7737248 -45.8528216,-67.7731884 -45.8531878,-67.77191639 -45.85370252,-67.7786493 -45.8561767,-67.7760208 -45.8575666,-67.7736604 -45.8573723,-67.7729845 -45.8565877,-67.7733386 -45.8538528,-67.77831934 -45.85627828,-67.7824903 -45.8564233,-67.7802157 -45.8580149,-67.7796257 -45.8571108,-67.7786064 -45.8565802,-67.7779841 -45.85664,-67.7787888 -45.8561394,-67.78170238 -45.85610146,-67.7872217 -45.8538753,-67.7837884 -45.8561618,-67.7830803 -45.8561095,-67.78639604 -45.85350214,-67.7932727 -45.8519249,-67.790097 -45.851768,-67.7882087 -45.8523583,-67.7874362 -45.8529785,-67.79294152 -45.85225742,-67.8017056 -45.8526423,-67.8015232 -45.8523658,-67.79962420000001 -45.8525451,-67.7978754 -45.8519772,-67.7946138 -45.8521416,-67.80053473 -45.85338776,-67.805289 -45.8529487,-67.8034651 -45.8522612,-67.8028214 -45.85306820000001,-67.8021669 -45.8529711,-67.80441533 -45.8533642,-67.8067052 -45.8553548,-67.8072202 -45.8551381,-67.8064048 -45.853539,-67.80486959 -45.85565241,-67.807982 -45.8550559,-67.8067052 -45.8553548,-67.8072436 -45.85498762,-67.8098595 -45.8560647,-67.809999 -45.8550036,-67.8090441 -45.8548691,-67.80907829 -45.8565264,-67.8125632 -45.8568492,-67.810396 -45.8571033,-67.8101599 -45.8566923,-67.81224182 -45.85671416,-67.8138077 -45.8564532,-67.814548 -45.8566699,-67.813561 -45.8597484,-67.8137219 -45.8605777,-67.81282229 -45.86107452,-67.8186142 -45.8634617,-67.8183568 -45.8624605,-67.8160179 -45.8615565,-67.8143764 -45.8610559,-67.81720169 -45.86444747,-67.8182173 -45.868004,-67.8160286 -45.8663455,-67.8181314 -45.8648065,-67.8182173 -45.864545,-67.81633269 -45.86814359,-67.819097 -45.8668461,-67.8186357 -45.8670552,-67.8192151 -45.868385,-67.81829240000002 -45.8680713,-67.8187144 -45.86699435,-67.8260922 -45.8716048,-67.8258884 -45.8718886,-67.8219509 -45.871657,-67.8194082 -45.8687287,-67.8185391 -45.8670926,-67.8190756 -45.8667788,-67.82435527 -45.87146335,-67.8326046 -45.8712686,-67.8287637 -45.8718438,-67.8266931 -45.8718811,-67.8259957 -45.8715076,-67.83204724 -45.87132308,-67.8347504 -45.8724041,-67.8345788 -45.8717915,-67.8335381 -45.8712686,-67.8339131 -45.87269245,-67.8368962 -45.8743761,-67.8363168 -45.8740101,-67.8365743 -45.8734723,-67.8358126 -45.8726879,-67.8366923 -45.875026,-67.8369284 -45.8751679,-67.8384304 -45.875317300000006,-67.83709911 -45.87528907,-67.8404582 -45.876744,-67.8387737 -45.8754144,-67.83972408 -45.87683377,-67.8388381 -45.8793059,-67.8380656 -45.8795375,-67.8406405 -45.8772519,-67.8405118 -45.8769083,-67.8383257 -45.87925524,-67.8388596 -45.8793582,-67.8365421 -45.8801649,-67.8342998 -45.88042630000001,-67.8343749 -45.8798736,-67.83402097 -45.87975218,-67.8357589 -45.8794553,-67.8374755 -45.877700100000006,-67.8373468 -45.8775656,-67.83580083 -45.87760123,-67.83642410000002 -45.8773117,-67.8357589 -45.877349,-67.8347933 -45.8779316,-67.83319238 -45.87800268;-67.83319238 -45.87800268,-67.8334415 -45.8779241,-67.8319824 -45.877588,-67.83004564 -45.87782593,-67.8308344 -45.8797018,-67.8306949 -45.8790819,-67.8334415 -45.8781258,-67.8319824 -45.877588,-67.83022822 -45.88021021,-67.8282809 -45.8789624,-67.8289354 -45.8793806,-67.83077000000002 -45.8797541,-67.82657673 -45.87879537,-67.8282809 -45.8789624,-67.8290534 -45.8802919,-67.8286672 -45.88047110000001,-67.82727683 -45.88061818;-67.82727683 -45.88061818,-67.8282809 -45.8789624,-67.8290534 -45.8802919,-67.8286672 -45.88047110000001,-67.82657673 -45.87879537,-67.8282809 -45.8789624,-67.8289354 -45.8793806,-67.83077000000002 -45.8797541,-67.83022822 -45.88021021,-67.8344929 -45.8798512,-67.834214 -45.88047110000001,-67.8320682 -45.880613,-67.8315103 -45.8803068,-67.83402097 -45.87975218,-67.8388596 -45.8793582,-67.8365421 -45.8801649,-67.8342998 -45.88042630000001,-67.8343749 -45.8798736,-67.8383257 -45.87925524,-67.8388381 -45.8793059,-67.8380656 -45.8795375,-67.8406405 -45.8772519,-67.8405118 -45.8769083,-67.83972408 -45.87683377,-67.8404582 -45.876744,-67.8387737 -45.8754144,-67.83709911 -45.87528907;-67.83709911 -45.87528907,-67.8369284 -45.8751679,-67.8384304 -45.875317300000006,-67.8366923 -45.875026,-67.8368962 -45.8743761,-67.8363168 -45.8740101,-67.8365743 -45.8734723,-67.8358126 -45.8726879,-67.8339131 -45.87269245,-67.8347504 -45.8724041,-67.8345788 -45.8717915,-67.8335381 -45.8712686,-67.83204724 -45.87132308,-67.8363276 -45.8710445,-67.8348899 -45.87091,-67.8336024 -45.8710221,-67.83598551 -45.8713908,-67.8404045 -45.871440400000004,-67.8396642 -45.8713657,-67.8393745 -45.8705216,-67.8371751 -45.8699314,-67.8344822 -45.8697969,-67.8345251 -45.8700584,-67.8363597 -45.8707606,-67.83999726 -45.87142467,-67.8403401 -45.8715002,-67.8396213 -45.8713059,-67.8401256 -45.8706859,-67.8424323 -45.8705216,-67.8432369 -45.8702153,-67.84266503 -45.8702826,-67.8433174 -45.8702414,-67.8424054 -45.8705701,-67.8442401 -45.8712014,-67.8457582 -45.8705029,-67.8468794 -45.8714778,-67.8465736 -45.871657000000006,-67.8464073 -45.8713396,-67.84458226 -45.87132178,-67.8464448 -45.8713396,-67.8465736 -45.871657000000006,-67.84484620000002 -45.8726692,-67.84336962 -45.87289033,-67.8489339 -45.8731324,-67.8501302 -45.8733565,-67.8485316 -45.8736739,-67.8459191 -45.8729942,-67.84549 -45.8723406,-67.8449106 -45.8726842,-67.84711722 -45.87310355,-67.84873010000001 -45.87312860000001,-67.8543305 -45.8741595,-67.857635 -45.8744807,-67.857019 -45.87438052,-67.857635 -45.8744807,-67.8541696 -45.874152,-67.8588581 -45.8727103,-67.8593409 -45.8716048,-67.85882935 -45.87179542,-67.8593409 -45.8716048,-67.85971640000001 -45.8705365,-67.8614008 -45.870529,-67.861948 -45.8698268,-67.8630531 -45.8694832,-67.86235431 -45.86962035,-67.8639972 -45.8691171,-67.8657031 -45.8680713,-67.86498939 -45.86808329,-67.8668189 -45.8667639,-67.8664005 -45.866988,-67.8663254 -45.8676305,-67.86635342 -45.86702056,-67.8668725 -45.8688706,-67.8667974 -45.868646500000004,-67.8676665 -45.8677127,-67.867012 -45.86727940000001,-67.86653014 -45.86909111,-67.8665292 -45.8705589,-67.866143 -45.8710594,-67.8657889 -45.8704767,-67.8668725 -45.8688706,-67.86552841 -45.87071955,-67.8665292 -45.8704394,-67.8664756 -45.8701107,-67.8674197 -45.8697073,-67.8698659 -45.8700883,-67.8700376 -45.8699389,-67.8700268 -45.8692964,-67.86891343 -45.86940172,-67.8699839 -45.8693413,-67.8700376 -45.8699389,-67.8703916 -45.8701929,-67.8709173 -45.8699239,-67.8707349 -45.8692815,-67.8712177 -45.8686166,-67.8731596 -45.8681236,-67.8729107 -45.86822856,-67.8735942 -45.8680488,-67.8724301 -45.8682281,-67.8724086 -45.8686689,-67.8764427 -45.8695952,-67.87545792 -45.87007243,-67.8773439 -45.8681385,-67.878288 -45.8679816,-67.8767216 -45.8696102,-67.87529512 -45.86884053,-67.8773224 -45.8682132,-67.8784168 -45.867951700000006,-67.8792751 -45.866988,-67.87841593 -45.86693979,-67.8794253 -45.8652025,-67.8813779 -45.8643508,-67.8805947 -45.8648065,-67.8801227 -45.8652622,-67.8801119 -45.8658151,-67.8798544 -45.8661513,-67.87816911 -45.86559299,-67.8800154 -45.8627071,-67.880863 -45.8635887,-67.8814101 -45.8638502,-67.881496 -45.8643508,-67.8795862 -45.8651352,-67.87889297 -45.8626014,-67.8809917 -45.8619301,-67.8822792 -45.8616611,-67.8835666 -45.8617507,-67.8845859 -45.8612277,-67.8843284 -45.8612427,-67.88286864 -45.86153258,-67.8855836 -45.8605329,-67.8847253 -45.8611754,-67.8843284 -45.8612427,-67.88485253 -45.86038085,-67.8862917 -45.8600846,-67.8869355 -45.8600547,-67.8873861 -45.8596438,-67.8876221 -45.8588667,-67.8886843 -45.8579999,-67.8905296 -45.8572453,-67.8915596 -45.8569165,-67.8910661 -45.8570435,-67.89119881 -45.85678635,-67.8960952 -45.8598436,-67.8959692 -45.8585678,-67.8961945 -45.8583138,-67.8955936 -45.8581419,-67.8949177 -45.8572976,-67.8950787 -45.8562589,-67.894907 -45.8558629,-67.8937376 -45.8558928,-67.8932869 -45.8566101,-67.8928149 -45.8568492,-67.8926003 -45.8566998,-67.89506126 -45.86022417,-67.8961086 -45.8601668,-67.8949714 -45.8618927,-67.89369378 -45.862107,-67.8961945 -45.8632674,-67.8952932 -45.8629985,-67.8948426 -45.8620347,-67.8946526 -45.86372426,-67.8962696 -45.8632899,-67.8974175 -45.8625203,-67.8984583 -45.8622177,-67.89779792 -45.86312838,,-67.8975525 -45.86346654,-67.8993487 -45.8636634,-67.8988981 -45.8636933,-67.89861920000001 -45.8635215,-67.89867893 -45.86374335,-67.9039943 -45.8644255,-67.9028034 -45.8637381,-67.8999174 -45.8635812,-67.90314798 -45.8648888,-67.906419 -45.86626330000001,-67.9050887 -45.8652025,-67.9043591 -45.864814,-67.90565529 -45.8665856,-67.9108179 -45.86391,-67.9094768 -45.8638353,-67.9077816 -45.8657329,-67.9066443 -45.8662484,-67.90869072 -45.86438156,-67.9100454 -45.8663754,-67.9094982 -45.8663306,-67.909627 -45.86429100000001,-67.90947109 -45.86641003,-67.9100668 -45.8647318,-67.9098523 -45.8659197,-67.9103565 -45.8661513,-67.90917641 -45.86476613,-67.9122448 -45.8649709,-67.911129 -45.8644105,-67.9103887 -45.8645226,-67.91093971 -45.86527418,-67.9164934 -45.8652398,-67.9147875 -45.8642536,-67.9133606 -45.865322,-67.9120409 -45.8651352,-67.91575239 -45.86551598,-67.9187572 -45.8661064,-67.9176843 -45.8663679,-67.9172981 -45.8656657,-67.91774956 -45.8661538,-67.9224908 -45.8663306,-67.9191971 -45.8656582,-67.92069068 -45.86664171,-67.9258382 -45.86658460000001,-67.9220402 -45.8663903,-67.92478129 -45.86687146,-67.9266429 -45.8657927,-67.9259992 -45.8665696,-67.92617947 -45.86596757,,-67.92568273 -45.86555172,-67.9284239 -45.8655835,-67.9270077 -45.8655162,-67.92761571 -45.86576064,-67.92887450000002 -45.8655984,-67.929647 -45.8660093,-67.9311919 -45.8652622,-67.93025624 -45.86524613,-67.934196 -45.8650755,-67.9339492 -45.8648887,-67.9318678 -45.8652174,-67.93322311 -45.86539389,-67.9364544 -45.8650082,-67.9343033 -45.8651128,-67.93542287 -45.86514387,-67.9374468 -45.8637643,-67.93648120000002 -45.8648999,-67.93638614 -45.8639203,-67.9407513 -45.863103100000004,-67.9403973 -45.8622551,-67.93757020000001 -45.8636746,-67.94016816 -45.86304785,-67.9412395 -45.8636896,-67.94085860000001 -45.8628677,-67.94026881 -45.86394522,-67.9413575 -45.8643508,-67.94191 -45.8638801,-67.9413092 -45.8637717,-67.9397787 -45.86446671,-67.939437 -45.8659907,-67.9410034 -45.8642985,-67.93820898 -45.86621382,,-67.93822649 -45.86645361,-67.9383588 -45.8674437,-67.9380101 -45.8666929,-67.9392922 -45.8661064,-67.9400271 -45.8665472</t>
  </si>
  <si>
    <t>-67.9400271 -45.8665472,-67.9383588 -45.8674437,-67.9380101 -45.8666929,-67.9392922 -45.8661064,-67.93822649 -45.86645361,,-67.93820898 -45.86621382,-67.939437 -45.8659907,-67.9410034 -45.8642985,-67.9397787 -45.86446671,-67.9413575 -45.8643508,-67.94191 -45.8638801,-67.9413092 -45.8637717,-67.94026881 -45.86394522,-67.9412395 -45.8636896,-67.94085860000001 -45.8628677,-67.94016816 -45.86304785,-67.9407942 -45.8630844,-67.9403758 -45.8621878,-67.9386914 -45.8624792,-67.93749455 -45.86270022,-67.9389811 -45.8623559,-67.9389596 -45.8618329,-67.9381979 -45.8610783,-67.9390669 -45.8607794,-67.93809539 -45.86091501,-67.9388309 -45.8607794,-67.938112 -45.8611007,-67.9377472 -45.860899,-67.9362881 -45.8614743,-67.9374897 -45.8619749,-67.93652197 -45.86222667,-67.9375219 -45.8620421,-67.9357517 -45.861085800000005,-67.9346144 -45.8614519,-67.93332777 -45.86169272,-67.9343569 -45.8614145,-67.9335523 -45.861549,-67.9334021 -45.8611381,-67.9309666 -45.8609214,-67.92973166 -45.86112334,-67.9307091 -45.86097370000001,-67.9287457 -45.8609588,-67.9288423 -45.860757,-67.92827234 -45.86082887,-67.9288423 -45.860757,-67.9286063 -45.8609812,-67.9269433 -45.8608168,-67.9254305 -45.8610559,-67.9256237 -45.8606898,-67.92472033 -45.86078317,-67.9253769 -45.8604208,-67.9236388 -45.8595317,-67.9233384 -45.8597857,-67.92204432 -45.86025045,-67.9235315 -45.8601219,-67.9222655 -45.8604731,-67.92116295 -45.86077528,-67.9219651 -45.8610335,-67.9157424 -45.8609887,-67.91412974 -45.86109479,-67.9153347 -45.8605702,-67.9157317 -45.8599725,-67.9146159 -45.859457,-67.91347499 -45.85938782,-67.9145408 -45.8594047,-67.9124916 -45.858777,-67.9112792 -45.8592776,-67.91058213 -45.85962973,-67.9112792 -45.8592776,-67.9102921 -45.8588293,-67.9105067 -45.8586425,-67.90964669 -45.85881191,-67.9102653 -45.8586986,-67.9081625 -45.8581195,-67.90707943 -45.8582017,-67.90773330000002 -45.8580522,-67.9073417 -45.8579177,-67.9068965 -45.8568567,-67.9053408 -45.8563822,-67.90400196 -45.85653031,-67.904284 -45.8564084,-67.9033184 -45.8552726,-67.9019022 -45.8551232,-67.90067511 -45.8549717,,-67.90022567 -45.85540767,-67.9008508 -45.8548093,-67.8990161 -45.8545403,-67.898823 -45.8538678,-67.8965485 -45.8545553,-67.89483427 -45.85484841,-67.887429 -45.855564,-67.8894138 -45.853808,-67.8932333 -45.8533447,-67.8969455 -45.8545851,-67.8963768 -45.8546599,-67.88581092 -45.85597227,-67.887429 -45.855564,-67.8882551 -45.8548691,-67.8894138 -45.853808,-67.8920853 -45.8535689,-67.8916454 -45.8538678,-67.8897357 -45.85395,-67.88910 -45.85436,-67.8875685 -45.8562589,-67.885799 -45.8571033,-67.88544 -45.8578281,-67.88523 -45.85794,-67.88402968 -45.85834964,-67.8814316 -45.8592926,-67.8808415 -45.8591357,-67.880863 -45.8587322,-67.8817642 -45.858239,-67.8850043 -45.8580522,-67.88077392 -45.85953999,-67.8820431 -45.8588966,-67.8808415 -45.8591357,-67.8813887 -45.8593822,-67.88161815 -45.85881773;-67.88161815 -45.85881773,-67.8820431 -45.8588966,-67.8808415 -45.8591357,-67.8813887 -45.8593822,-67.88077392 -45.85953999,-67.8790283 -45.8588293,-67.880466 -45.8587397,-67.8813028 -45.8593598,-67.87771797 -45.85914466,-67.875917 -45.8590236,-67.8765607 -45.8587098,-67.8784597 -45.8588443,-67.87446619 -45.85953534,-67.8758311 -45.8590012,-67.8755307 -45.858777,-67.8718829 -45.8588144,-67.8721619 -45.8576637,-67.8733528 -45.857462,-67.8739536 -45.8579028,-67.87227986 -45.85836679,-67.8721619 -45.8576637,-67.8734279 -45.8573798,-67.8740823 -45.8579103,-67.87029294 -45.85782787,-67.8694689 -45.8577534,-67.8703272 -45.8578879,-67.8705525 -45.8574694,-67.8710139 -45.8575441,-67.86752908 -45.85773082,-67.8666365 -45.8577982,-67.8680527 -45.857716,-67.86509618 -45.85797591,-67.8655958 -45.85783560000001,-67.8642118 -45.8570435,-67.86269634 -45.8576934,-67.8630531 -45.8577608,-67.8618944 -45.8580074,-67.86119926 -45.8582863,-67.8617334 -45.8580597,-67.8595233 -45.8583362,-67.85800456 -45.85865306,-67.8585362 -45.8586425,-67.8550065 -45.858381,-67.8544593 -45.8579701,-67.85311138 -45.85761476;-67.85311138 -45.85761476,-67.8585362 -45.8586425,-67.8550065 -45.858381,-67.8544593 -45.8579701,-67.85800456 -45.85865306,-67.8602314 -45.85924030000001,-67.8568411 -45.8591506,-67.8585362 -45.8586425,-67.85979998 -45.85959279,-67.8623772 -45.8601145,-67.8619158 -45.8597185,-67.86181930000001 -45.8591954,-67.8608966 -45.8592179,-67.8613425 -45.86055445,-67.8632784 -45.8615042,-67.863096 -45.86128,-67.8622055 -45.8610559,-67.861948 -45.8605105,-67.86252974 -45.86187269,-67.8653276 -45.8635663,-67.8648341 -45.8637904,-67.8645015 -45.8630059,-67.8653491 -45.8606898,-67.8640616 -45.8614295,-67.864423 -45.86337238,-67.8639328 -45.8659271,-67.8645658 -45.8647542,-67.8655207 -45.8635513,-67.86331328 -45.86669187,-67.8659713 -45.8654266,-67.8650701 -45.8654864,-67.864598 -45.8658599,-67.86542164 -45.86561862,-67.8640509 -45.869035,-67.8651345 -45.867384,-67.8649521 -45.8657329,-67.8658748 -45.8655237,-67.86235431 -45.86962035,-67.8593409 -45.8716048,-67.85971640000001 -45.8705365,-67.8614008 -45.870529,-67.861948 -45.8698268,-67.8630531 -45.8694832,-67.85882935 -45.87179542,-67.857635 -45.8744807,-67.8541696 -45.874152,-67.8588581 -45.8727103,-67.8593409 -45.8716048,-67.857019 -45.87438052,-67.84873010000001 -45.87312860000001,-67.8543305 -45.8741595,-67.857635 -45.8744807,-67.84711722 -45.87310355,-67.847904 -45.8759074,-67.8490949 -45.8742491,-67.8510368 -45.8734349,-67.8488266 -45.8731585,-67.84644226 -45.87649326,-67.8503072 -45.877095,-67.8495133 -45.8766394,-67.8481615 -45.87637800000001,-67.84953817 -45.87734102;-67.84953817 -45.87734102,-67.8503072 -45.877095,-67.8495133 -45.8766394,-67.8481615 -45.87637800000001,-67.84644226 -45.87649326,-67.847904 -45.8759074,-67.8480005 -45.8756161,-67.8463054 -45.8747421,-67.84474086 -45.87514762;-67.84474086 -45.87514762,-67.847904 -45.8759074,-67.8480005 -45.8756161,-67.8463054 -45.8747421,-67.84644226 -45.87649326,-67.847904 -45.8759074,-67.8490949 -45.8742491,-67.8510368 -45.8734349,-67.8488266 -45.8731585,-67.84711722 -45.87310355,-67.84873010000001 -45.87312860000001,-67.8543305 -45.8741595,-67.857635 -45.8744807,-67.857019 -45.87438052,-67.857635 -45.8744807,-67.8541696 -45.874152,-67.8588581 -45.8727103,-67.8593409 -45.8716048,-67.85882935 -45.87179542,-67.8593409 -45.8716048,-67.85971640000001 -45.8705365,-67.8614008 -45.870529,-67.861948 -45.8698268,-67.8630531 -45.8694832,-67.86235431 -45.86962035,-67.8639972 -45.8691171,-67.8657031 -45.8680713,-67.86498939 -45.86808329,-67.8668189 -45.8667639,-67.8664005 -45.866988,-67.8663254 -45.8676305,-67.86635342 -45.86702056,-67.8682029 -45.8666817,-67.8692436 -45.8661961,-67.8702307 -45.8647318,-67.8701663 -45.8642088,-67.86895092 -45.86422008,-67.8701234 -45.8635663,-67.8698123 -45.86132490000001,-67.8679776 -45.8603237,-67.8670549 -45.8588966,-67.8654027 -45.859457,-67.8654563 -45.8601518,-67.8656709 -45.8602639,-67.86513556 -45.86046435,-67.8688037 -45.8592029,-67.8687608 -45.8588144,-67.8664434 -45.858963800000005,-67.8654027 -45.859457,-67.8655529 -45.8602116,-67.86821501 -45.85959306,-67.87273050000002 -45.8603909,-67.8713894 -45.86060760000001,-67.8696728 -45.8603312,-67.8687501 -45.8600248,-67.868396 -45.859329900000006,-67.8688145 -45.8588667,-67.8688037 -45.8592029,-67.87238238 -45.86053745,-67.8762281 -45.861026,-67.8764856 -45.8608841,-67.8761208 -45.8599501,-67.8737497 -45.8604133,-67.87444477 -45.86135588,-67.8763461 -45.8610185,-67.8791785 -45.859636300000005,-67.8791463 -45.8601892,-67.87734368 -45.86061501;-67.87734368 -45.86061501,-67.8763461 -45.8610185,-67.8791785 -45.859636300000005,-67.8791463 -45.8601892,-67.87444477 -45.86135588;-67.87444477 -45.86135588,-67.8759491 -45.8590983,-67.8764319 -45.8599501,-67.87655 -45.8609588,-67.8760779 -45.8611231,-67.87446619 -45.85953534,-67.875917 -45.8590236,-67.8765607 -45.8587098,-67.8784597 -45.8588443,-67.87771797 -45.85914466,-67.8790283 -45.8588293,-67.880466 -45.8587397,-67.8813028 -45.8593598,-67.88077392 -45.85953999,-67.8814316 -45.8592926,-67.8808415 -45.8591357,-67.880863 -45.8587322,-67.8817642 -45.858239,-67.8850043 -45.8580522,-67.88402968 -45.85834964,-67.887429 -45.855564,-67.8882551 -45.8548691,-67.8894138 -45.853808,-67.8920853 -45.8535689,-67.8916454 -45.8538678,-67.8897357 -45.85395,-67.88910 -45.85436,-67.8875685 -45.8562589,-67.885799 -45.8571033,-67.88544 -45.8578281,-67.88523 -45.85794,-67.88581092 -45.85597227,-67.887429 -45.855564,-67.8894138 -45.853808,-67.8932333 -45.8533447,-67.8969455 -45.8545851,-67.8963768 -45.8546599,-67.89483427 -45.85484841,-67.9008508 -45.8548093,-67.8990161 -45.8545403,-67.898823 -45.8538678,-67.8965485 -45.8545553,-67.90022567 -45.85540767,,-67.90067511 -45.8549717,-67.904284 -45.8564084,-67.9033184 -45.8552726,-67.9019022 -45.8551232,-67.90400196 -45.85653031,-67.90773330000002 -45.8580522,-67.9073417 -45.8579177,-67.9068965 -45.8568567,-67.9053408 -45.8563822,-67.90707943 -45.8582017,-67.9102653 -45.8586986,-67.9081625 -45.8581195,-67.90964669 -45.85881191,-67.9112792 -45.8592776,-67.9102921 -45.8588293,-67.9105067 -45.8586425,-67.91058213 -45.85962973,-67.9145408 -45.8594047,-67.9124916 -45.858777,-67.9112792 -45.8592776,-67.91347499 -45.85938782,-67.9153347 -45.8605702,-67.9157317 -45.8599725,-67.9146159 -45.859457,-67.91412974 -45.86109479,-67.9219651 -45.8610335,-67.9157424 -45.8609887,-67.92116295 -45.86077528,-67.9235315 -45.8601219,-67.9222655 -45.8604731,-67.92204432 -45.86025045,-67.9253769 -45.8604208,-67.9236388 -45.8595317,-67.9233384 -45.8597857,-67.92472033 -45.86078317,-67.9288423 -45.860757,-67.9286063 -45.8609812,-67.9269433 -45.8608168,-67.9254305 -45.8610559,-67.9256237 -45.8606898,-67.92827234 -45.86082887,-67.9307091 -45.86097370000001,-67.9287457 -45.8609588,-67.9288423 -45.860757,-67.92973166 -45.86112334,-67.9343569 -45.8614145,-67.9335523 -45.861549,-67.9334021 -45.8611381,-67.9309666 -45.8609214,-67.93332777 -45.86169272,-67.9375219 -45.8620421,-67.9357517 -45.861085800000005,-67.9346144 -45.8614519,-67.93652197 -45.86222667,-67.9388309 -45.8607794,-67.938112 -45.8611007,-67.9377472 -45.860899,-67.9362881 -45.8614743,-67.9374897 -45.8619749,-67.93809539 -45.86091501,-67.9389811 -45.8623559,-67.9389596 -45.8618329,-67.9381979 -45.8610783,-67.9390669 -45.8607794,-67.93749455 -45.86270022,-67.9407942 -45.8630844,-67.9403758 -45.8621878,-67.9386914 -45.8624792,-67.94016816 -45.86304785,-67.9412395 -45.8636896,-67.94085860000001 -45.8628677,-67.94026881 -45.86394522,-67.9413575 -45.8643508,-67.94191 -45.8638801,-67.9413092 -45.8637717,-67.9397787 -45.86446671,-67.939437 -45.8659907,-67.9410034 -45.8642985,-67.93820898 -45.86621382,,-67.93822649 -45.86645361,-67.9383588 -45.8674437,-67.9380101 -45.8666929,-67.9392922 -45.8661064,-67.9400271 -45.8665472</t>
  </si>
  <si>
    <t>-67.9400271 -45.8665472,-67.9383588 -45.8674437,-67.9380101 -45.8666929,-67.9392922 -45.8661064,-67.93822649 -45.86645361,,-67.93820898 -45.86621382,-67.939437 -45.8659907,-67.9410034 -45.8642985,-67.9397787 -45.86446671,-67.9413575 -45.8643508,-67.94191 -45.8638801,-67.9413092 -45.8637717,-67.94026881 -45.86394522,-67.9412395 -45.8636896,-67.94085860000001 -45.8628677,-67.94016816 -45.86304785,-67.9407942 -45.8630844,-67.9403758 -45.8621878,-67.9386914 -45.8624792,-67.93749455 -45.86270022,-67.9389811 -45.8623559,-67.9389596 -45.8618329,-67.9381979 -45.8610783,-67.9390669 -45.8607794,-67.93809539 -45.86091501,-67.9388309 -45.8607794,-67.938112 -45.8611007,-67.9377472 -45.860899,-67.9362881 -45.8614743,-67.9374897 -45.8619749,-67.93652197 -45.86222667,-67.9375219 -45.8620421,-67.9357517 -45.861085800000005,-67.9346144 -45.8614519,-67.93332777 -45.86169272,-67.9343569 -45.8614145,-67.9335523 -45.861549,-67.9334021 -45.8611381,-67.9309666 -45.8609214,-67.92973166 -45.86112334,-67.9307091 -45.86097370000001,-67.9287457 -45.8609588,-67.9288423 -45.860757,-67.92827234 -45.86082887,-67.9288423 -45.860757,-67.9286063 -45.8609812,-67.9269433 -45.8608168,-67.9254305 -45.8610559,-67.9256237 -45.8606898,-67.92472033 -45.86078317,-67.9253769 -45.8604208,-67.9236388 -45.8595317,-67.9233384 -45.8597857,-67.92204432 -45.86025045,-67.9235315 -45.8601219,-67.9222655 -45.8604731,-67.92116295 -45.86077528,-67.9219651 -45.8610335,-67.9157424 -45.8609887,-67.91412974 -45.86109479,-67.9153347 -45.8605702,-67.9157317 -45.8599725,-67.9146159 -45.859457,-67.91347499 -45.85938782,-67.9145408 -45.8594047,-67.9124916 -45.858777,-67.9112792 -45.8592776,-67.91058213 -45.85962973,-67.9112792 -45.8592776,-67.9102921 -45.8588293,-67.9105067 -45.8586425,-67.90964669 -45.85881191,-67.9102653 -45.8586986,-67.9081625 -45.8581195,-67.90707943 -45.8582017,-67.9079533 -45.8582615,-67.9074919 -45.8604283,-67.90669842 -45.86068564,,-67.90616229 -45.86044696,,-67.90690597 -45.86062114;-67.90690597 -45.86062114,,-67.90616229 -45.86044696,,-67.90669842 -45.86068564,-67.934314 -45.8614668,-67.9336488 -45.8615341,-67.93349860000001 -45.8611979,-67.9346895 -45.8607645,-67.93353649 -45.86088532,-67.9345179 -45.8607346,-67.9318786 -45.8609662,-67.9327154 -45.86017420000001,-67.9316989 -45.86033267;-67.9316989 -45.86033267,-67.9345179 -45.8607346,-67.9318786 -45.8609662,-67.9327154 -45.86017420000001,-67.93353649 -45.86088532,-67.934314 -45.8614668,-67.9336488 -45.8615341,-67.93349860000001 -45.8611979,-67.9346895 -45.8607645,-67.90669842 -45.86068564,-67.9079533 -45.8582615,-67.9074919 -45.8604283,-67.90707943 -45.8582017,-67.90773330000002 -45.8580522,-67.9073417 -45.8579177,-67.9068965 -45.8568567,-67.9053408 -45.8563822,-67.90400196 -45.85653031,-67.904284 -45.8564084,-67.9033184 -45.8552726,-67.9019022 -45.8551232,-67.90067511 -45.8549717,,-67.90022567 -45.85540767,-67.9008508 -45.8548093,-67.8990161 -45.8545403,-67.898823 -45.8538678,-67.8965485 -45.8545553,-67.89483427 -45.85484841,-67.887429 -45.855564,-67.8894138 -45.853808,-67.8932333 -45.8533447,-67.8969455 -45.8545851,-67.8963768 -45.8546599,-67.88581092 -45.85597227,-67.887429 -45.855564,-67.8882551 -45.8548691,-67.8894138 -45.853808,-67.8920853 -45.8535689,-67.8916454 -45.8538678,-67.8897357 -45.85395,-67.88910 -45.85436,-67.8875685 -45.8562589,-67.885799 -45.8571033,-67.88544 -45.8578281,-67.88523 -45.85794,-67.88402968 -45.85834964,-67.8814316 -45.8592926,-67.8808415 -45.8591357,-67.880863 -45.8587322,-67.8817642 -45.858239,-67.8850043 -45.8580522,-67.88077392 -45.85953999,-67.8790283 -45.8588293,-67.880466 -45.8587397,-67.8813028 -45.8593598,-67.87771797 -45.85914466,-67.875917 -45.8590236,-67.8765607 -45.8587098,-67.8784597 -45.8588443,-67.87446619 -45.85953534,-67.8758311 -45.8590012,-67.8755307 -45.858777,-67.8718829 -45.8588144,-67.8721619 -45.8576637,-67.8733528 -45.857462,-67.8739536 -45.8579028,-67.87227986 -45.85836679,-67.8721619 -45.8576637,-67.8734279 -45.8573798,-67.8740823 -45.8579103,-67.87029294 -45.85782787,-67.8710139 -45.8575441,-67.8706169 -45.8573573,-67.8709602 -45.8560348,-67.86919632 -45.85619455;-67.86919632 -45.85619455,-67.8696942 -45.8557434,-67.86828880000002 -45.8556612,-67.86649364 -45.8559971,-67.8669798 -45.8557135,-67.865231 -45.8550708,-67.8632243 -45.85544803,-67.8622591 -45.8563038,-67.8636539 -45.8551829,-67.86075305 -45.85668169,-67.8618944 -45.8580074,-67.8614438 -45.8568642,-67.86119926 -45.8582863,-67.8617334 -45.8580597,-67.8595233 -45.8583362,-67.85800456 -45.85865306,-67.8585362 -45.8586425,-67.8567231 -45.8591431,-67.8550386 -45.8605852,-67.85325633 -45.86047853,-67.8547168 -45.8600622,-67.8545237 -45.8589862,-67.8537083 -45.858508,-67.852335 -45.8585529,-67.85051371 -45.8587379,-67.8511226 -45.8587172,-67.8489661 -45.8581942,-67.8504252 -45.8565952,-67.84992667 -45.85649082,-67.851541 -45.8561394,-67.8511119 -45.8555416,-67.8497386 -45.8553249,-67.8490841 -45.8555341,-67.84737753 -45.85568862,-67.8480864 -45.8556163,-67.846477 -45.8561992,-67.8452325 -45.8556537,-67.84359994 -45.85582912,-67.8438914 -45.8557508,-67.8414237 -45.8563262,-67.8377545 -45.8563187,-67.83653581 -45.85644197,-67.8371108 -45.8561767,-67.8326368 -45.8556313,-67.83154193 -45.85548135,-67.8319716 -45.855437,-67.8292787 -45.855108200000004,-67.82760578 -45.8552439,-67.8277767 -45.8550036,-67.8251696 -45.8547271,-67.824676 -45.8544207,-67.82322995 -45.85451391,-67.8244078 -45.8540994,-67.8225088 -45.8518801,-67.82163737 -45.8516816,-67.8223801 -45.8515886,-67.8209639 -45.8504751,-67.8196657 -45.8504079,-67.81800483 -45.85079524,-67.8185713 -45.8505798,-67.816962 -45.851073,-67.8161895 -45.8523658,-67.81497943 -45.85259887,-67.816329 -45.8519921,-67.8167796 -45.8511701,-67.8158462 -45.8513121,-67.8150415 -45.8533148,-67.8138399 -45.8541293,-67.81217316 -45.85421245,-67.809999 -45.85395,-67.81053540000002 -45.8542265,-67.8125417 -45.8543386,-67.80813131 -45.85419968,-67.8064048 -45.853539,-67.8089046 -45.854361,-67.8103852 -45.8542265,-67.8098702 -45.8539126,-67.80441533 -45.8533642,-67.805289 -45.8529487,-67.8034651 -45.8522612,-67.8028214 -45.85306820000001,-67.8021669 -45.8529711,-67.80053473 -45.85338776,-67.8040767 -45.8510805,-67.8027248 -45.8530309,-67.8023279 -45.8529561,-67.80300362 -45.85086721;-67.80300362 -45.85086721,-67.8040767 -45.8510805,-67.8027248 -45.8530309,-67.8023279 -45.8529561,-67.80053473 -45.85338776,-67.805289 -45.8529487,-67.8034651 -45.8522612,-67.8028214 -45.85306820000001,-67.8021669 -45.8529711,-67.80441533 -45.8533642,-67.8110075 -45.8532999,-67.8095913 -45.8534045,-67.8081751 -45.8532849,-67.8063512 -45.8536436,-67.81033656 -45.85331184,-67.8119838 -45.8516783,-67.8118229 -45.8524256,-67.8138614 -45.8534792,-67.8134108 -45.8536361,-67.8115761 -45.85313550000001,-67.81172912 -45.8516909;-67.81172912 -45.8516909,-67.8119838 -45.8516783,-67.8118229 -45.8524256,-67.8138614 -45.8534792,-67.8134108 -45.8536361,-67.8115761 -45.85313550000001,-67.81033656 -45.85331184,-67.8110075 -45.8532999,-67.8095913 -45.8534045,-67.8081751 -45.8532849,-67.8063512 -45.8536436,-67.80441533 -45.8533642,-67.8067052 -45.8553548,-67.8072202 -45.8551381,-67.8064048 -45.853539,-67.80486959 -45.85565241,-67.807982 -45.8550559,-67.8067052 -45.8553548,-67.8072436 -45.85498762,-67.8098595 -45.8560647,-67.809999 -45.8550036,-67.8090441 -45.8548691,-67.80907829 -45.8565264,-67.8125632 -45.8568492,-67.810396 -45.8571033,-67.8101599 -45.8566923,-67.81224182 -45.85671416,-67.8138828 -45.856371,-67.8149986 -45.8564981,-67.816329 -45.8556985,-67.81537995 -45.85550384;-67.81537995 -45.85550384,-67.8138828 -45.856371,-67.8149986 -45.8564981,-67.816329 -45.8556985,-67.81224182 -45.85671416,-67.8125632 -45.8568492,-67.810396 -45.8571033,-67.8101599 -45.8566923,-67.80907829 -45.8565264,-67.8098595 -45.8560647,-67.809999 -45.8550036,-67.8090441 -45.8548691,-67.8072436 -45.85498762,-67.8093982 -45.8548467,-67.8103423 -45.8545851,-67.808851 -45.8544506,-67.8103101 -45.854219,-67.8097093 -45.8539126,-67.80813131 -45.85419968,-67.809999 -45.85395,-67.81053540000002 -45.8542265,-67.8125417 -45.8543386,-67.81217316 -45.85421245,-67.816329 -45.8519921,-67.8167796 -45.8511701,-67.8158462 -45.8513121,-67.8150415 -45.8533148,-67.8138399 -45.8541293,-67.81497943 -45.85259887,-67.8185713 -45.8505798,-67.816962 -45.851073,-67.8161895 -45.8523658,-67.81800483 -45.85079524,-67.8223801 -45.8515886,-67.8209639 -45.8504751,-67.8196657 -45.8504079,-67.82163737 -45.8516816,-67.8244078 -45.8540994,-67.8225088 -45.8518801,-67.82322995 -45.85451391,-67.8277767 -45.8550036,-67.8251696 -45.8547271,-67.824676 -45.8544207,-67.82760578 -45.8552439,-67.8319716 -45.855437,-67.8292787 -45.855108200000004,-67.83154193 -45.85548135,-67.8371108 -45.8561767,-67.8326368 -45.8556313,-67.83653581 -45.85644197,-67.8438914 -45.8557508,-67.8414237 -45.8563262,-67.8377545 -45.8563187,-67.84359994 -45.85582912,-67.8480864 -45.8556163,-67.846477 -45.8561992,-67.8452325 -45.8556537,-67.84737753 -45.85568862,-67.851541 -45.8561394,-67.8511119 -45.8555416,-67.8497386 -45.8553249,-67.8490841 -45.8555341,-67.84992667 -45.85649082,-67.8511226 -45.8587172,-67.8489661 -45.8581942,-67.8504252 -45.8565952,-67.85051371 -45.8587379,-67.8547168 -45.8600622,-67.8545237 -45.8589862,-67.8537083 -45.858508,-67.852335 -45.8585529,-67.85325633 -45.86047853,-67.8585362 -45.8586425,-67.8567231 -45.8591431,-67.8550386 -45.8605852,-67.85800456 -45.85865306,-67.8617334 -45.8580597,-67.8595233 -45.8583362,-67.86119926 -45.8582863,-67.8630531 -45.8577608,-67.8618944 -45.8580074,-67.86269634 -45.8576934,-67.8655958 -45.85783560000001,-67.8642118 -45.8570435,-67.86509618 -45.85797591,-67.8666365 -45.8577982,-67.8680527 -45.857716,-67.86752908 -45.85773082,-67.8694689 -45.8577534,-67.8703272 -45.8578879,-67.8705525 -45.8574694,-67.8710139 -45.8575441,-67.87029294 -45.85782787,-67.8721619 -45.8576637,-67.8734279 -45.8573798,-67.8740823 -45.8579103,-67.87227986 -45.85836679,-67.8758311 -45.8590012,-67.8755307 -45.858777,-67.8718829 -45.8588144,-67.8721619 -45.8576637,-67.8733528 -45.857462,-67.8739536 -45.8579028,-67.87446619 -45.85953534,-67.875917 -45.8590236,-67.8765607 -45.8587098,-67.8784597 -45.8588443,-67.87771797 -45.85914466,-67.8790283 -45.8588293,-67.880466 -45.8587397,-67.8813028 -45.8593598,-67.88077392 -45.85953999,-67.8814316 -45.8592926,-67.8808415 -45.8591357,-67.880863 -45.8587322,-67.8817642 -45.858239,-67.8850043 -45.8580522,-67.88402968 -45.85834964,-67.887429 -45.855564,-67.8882551 -45.8548691,-67.8894138 -45.853808,-67.8920853 -45.8535689,-67.8916454 -45.8538678,-67.8897357 -45.85395,-67.88910 -45.85436,-67.8875685 -45.8562589,-67.885799 -45.8571033,-67.88544 -45.8578281,-67.88523 -45.85794,-67.88581092 -45.85597227,-67.887429 -45.855564,-67.8894138 -45.853808,-67.8932333 -45.8533447,-67.8969455 -45.8545851,-67.8963768 -45.8546599,-67.89483427 -45.85484841,-67.9008508 -45.8548093,-67.8990161 -45.8545403,-67.898823 -45.8538678,-67.8965485 -45.8545553,-67.90022567 -45.85540767,,-67.90067511 -45.8549717,-67.904284 -45.8564084,-67.9033184 -45.8552726,-67.9019022 -45.8551232,-67.90400196 -45.85653031,-67.90773330000002 -45.8580522,-67.9073417 -45.8579177,-67.9068965 -45.8568567,-67.9053408 -45.8563822,-67.90707943 -45.8582017,-67.9102653 -45.8586986,-67.9081625 -45.8581195,-67.90964669 -45.85881191,-67.9112792 -45.8592776,-67.9102921 -45.8588293,-67.9105067 -45.8586425,-67.91058213 -45.85962973,-67.9145408 -45.8594047,-67.9124916 -45.858777,-67.9112792 -45.8592776,-67.91347499 -45.85938782,-67.9153347 -45.8605702,-67.9157317 -45.8599725,-67.9146159 -45.859457,-67.91412974 -45.86109479,-67.9219651 -45.8610335,-67.9157424 -45.8609887,-67.92116295 -45.86077528,-67.9235315 -45.8601219,-67.9222655 -45.8604731,-67.92204432 -45.86025045,-67.9253769 -45.8604208,-67.9236388 -45.8595317,-67.9233384 -45.8597857,-67.92472033 -45.86078317,-67.9288423 -45.860757,-67.9286063 -45.8609812,-67.9269433 -45.8608168,-67.9254305 -45.8610559,-67.9256237 -45.8606898,-67.92827234 -45.86082887,-67.9307091 -45.86097370000001,-67.9287457 -45.8609588,-67.9288423 -45.860757,-67.92973166 -45.86112334,-67.9343569 -45.8614145,-67.9335523 -45.861549,-67.9334021 -45.8611381,-67.9309666 -45.8609214,-67.93332777 -45.86169272,-67.9375219 -45.8620421,-67.9357517 -45.861085800000005,-67.9346144 -45.8614519,-67.93652197 -45.86222667,-67.9388309 -45.8607794,-67.938112 -45.8611007,-67.9377472 -45.860899,-67.9362881 -45.8614743,-67.9374897 -45.8619749,-67.93809539 -45.86091501,-67.9389811 -45.8623559,-67.9389596 -45.8618329,-67.9381979 -45.8610783,-67.9390669 -45.8607794,-67.93749455 -45.86270022,-67.9407942 -45.8630844,-67.9403758 -45.8621878,-67.9386914 -45.8624792,-67.94016816 -45.86304785,-67.9412395 -45.8636896,-67.94085860000001 -45.8628677,-67.94026881 -45.86394522,-67.9413575 -45.8643508,-67.94191 -45.8638801,-67.9413092 -45.8637717,-67.9397787 -45.86446671,-67.939437 -45.8659907,-67.9410034 -45.8642985,-67.93820898 -45.86621382,,-67.93822649 -45.86645361,-67.9383588 -45.8674437,-67.9380101 -45.8666929,-67.9392922 -45.8661064,-67.9400271 -45.8665472</t>
  </si>
  <si>
    <t>-67.9400271 -45.8665472,-67.9383588 -45.8674437,-67.9380584 -45.8682655,-67.9363847 -45.8693786,-67.9365671 -45.8696326,-67.93551008 -45.87004015,-67.936492 -45.8696625,-67.9362881 -45.8694234,-67.9350436 -45.8703273,-67.9347003 -45.8699986,-67.933282 -45.87018527,-67.9337347 -45.872531,-67.9350007 -45.8704245,-67.9346895 -45.8701032,-67.93292309 -45.87290945,-67.9305589 -45.8765722,-67.9309773 -45.8765423,-67.9323184 -45.875011,-67.9336917 -45.8726132,-67.92916705 -45.87686758,-67.9288745 -45.8790371,-67.9299796 -45.8786337,-67.9304302 -45.8776552,-67.9309022 -45.8766245,-67.9306126 -45.8766543,-67.92746283 -45.879252,-67.9288745 -45.8790371,-67.9299045 -45.8786188,-67.929765 -45.8784918,-67.9247224 -45.8798512,-67.9241753 -45.8796943,-67.92260289 -45.87981886,-67.9231775 -45.8798138,-67.9230273 -45.8801051,-67.9220295 -45.8802022,-67.9198301 -45.8807027,-67.9191542 -45.8814645,-67.9198301 -45.8813375,-67.91930941 -45.88137118,-67.9183173 -45.8833018,-67.9179525 -45.8832943,-67.9178452 -45.8829358,-67.9186606 -45.8819873,-67.9191113 -45.8815466,-67.9197979 -45.8813898,-67.91747464 -45.88372353,-67.9166651 -45.8823159,-67.9170835 -45.8822711,-67.9178345 -45.8833989,-67.9184783 -45.8832943,-67.91541483 -45.88231338,-67.911365 -45.8831076,-67.9142618 -45.8826968,-67.9159892 -45.8825026,-67.90970498 -45.88326091,-67.9076958 -45.8841084,-67.9082644 -45.8839366,-67.9093373 -45.8833167,-67.9103136 -45.8831972,-67.90591516 -45.88446218,,-67.90594775 -45.88423937,-67.9066443 -45.8844071,-67.9062474 -45.8852585,-67.908833 -45.885968,-67.9091012 -45.8864012,-67.90705336 -45.88840606,-67.9052818 -45.8875736,-67.90654780000001 -45.8882084,-67.9074919 -45.8882756,-67.90362098 -45.8874036,-67.9039729 -45.8871629,-67.9034686 -45.8869165,-67.9041123 -45.886192,-67.9042947 -45.8847656,-67.90316820000001 -45.883637900000004,-67.90293219 -45.8836944,-67.90316820000001 -45.883637900000004,-67.9026854 -45.8831823,-67.9021275 -45.8832794,-67.900722 -45.8842279,-67.9001105 -45.8851465,-67.8995955 -45.8843175,-67.89811074 -45.88424629,-67.896452 -45.8842129,-67.8972995 -45.8841607,-67.8987801 -45.8833839,-67.8993165 -45.8836304,-67.89478887 -45.88442779,-67.895658 -45.88465360000001,-67.8955078 -45.8872675,-67.89402720000001 -45.888186,-67.89313670000001 -45.8879097,-67.8935552 -45.8866999,-67.891624 -45.8850718,-67.88986813 -45.88509226,-67.8916669 -45.8851316,-67.891463 -45.8853332,-67.8890061 -45.8855946,-67.8886521 -45.8849672,-67.88725199 -45.88498287,-67.8877938 -45.885251,-67.8862166 -45.8849523,-67.88477851 -45.88530377,-67.8863347 -45.8849448,-67.8869569 -45.8849672,-67.8874826 -45.883847,-67.8903258 -45.883570600000006,-67.88934482 -45.88367092,-67.8808522 -45.8847432,-67.8831053 -45.8843548,-67.884897 -45.8834586,-67.8876114 -45.88378720000001,-67.8901434 -45.8835856,-67.87931365 -45.88515467,-67.8775477 -45.8859232,-67.87784810000001 -45.8854153,-67.8789425 -45.8862742,-67.879554 -45.8862667,-67.8829443 -45.8844743,-67.8806055 -45.8848253,-67.87597578 -45.88674947,,-67.87630061 -45.88642699,-67.8775907 -45.885744,-67.8778374 -45.8851241,-67.8766251 -45.8844594,-67.8767002 -45.8840561,-67.8758872 -45.88413516,-67.8738034 -45.8829806,-67.8739858 -45.8834512,-67.87655 -45.8844445,-67.8765929 -45.8840262,-67.87263059 -45.88283868,-67.8737283 -45.8829508,-67.8736854 -45.8833242,-67.8730094 -45.8829134,-67.8686643 -45.8830254,-67.86703039 -45.88312685,-67.8685462 -45.8831151,-67.869308 -45.8829582,-67.8708422 -45.883018,-67.8705847 -45.8839366,-67.8693122 -45.8842458,-67.8672695 -45.88491500000001,-67.867409 -45.8861099,-67.8680742 -45.8863339,-67.8686106 -45.8860875,-67.8688896 -45.8849822,-67.870338 -45.8842577,-67.86589689 -45.88477956;-67.86589689 -45.88477956,-67.8672695 -45.88491500000001,-67.867409 -45.8861099,-67.8680742 -45.8863339,-67.8686106 -45.8860875,-67.8688896 -45.8849822,-67.870338 -45.8842577,-67.8693122 -45.8842458,-67.8685462 -45.8831151,-67.869308 -45.8829582,-67.8708422 -45.883018,-67.8705847 -45.8839366,-67.86703039 -45.88312685,-67.8737283 -45.8829508,-67.8736854 -45.8833242,-67.8730094 -45.8829134,-67.8686643 -45.8830254,-67.87263059 -45.88283868,-67.8738034 -45.8829806,-67.8739858 -45.8834512,-67.87655 -45.8844445,-67.8765929 -45.8840262,-67.8758872 -45.88413516,-67.8775907 -45.885744,-67.8778374 -45.8851241,-67.8766251 -45.8844594,-67.8767002 -45.8840561,-67.87630061 -45.88642699,,-67.87597578 -45.88674947,-67.8775477 -45.8859232,-67.87784810000001 -45.8854153,-67.8789425 -45.8862742,-67.879554 -45.8862667,-67.8829443 -45.8844743,-67.8806055 -45.8848253,-67.87931365 -45.88515467,-67.8808522 -45.8847432,-67.8831053 -45.8843548,-67.884897 -45.8834586,-67.8876114 -45.88378720000001,-67.8901434 -45.8835856,-67.88934482 -45.88367092,-67.8863347 -45.8849448,-67.8869569 -45.8849672,-67.8874826 -45.883847,-67.8903258 -45.883570600000006,-67.88477851 -45.88530377,-67.8877938 -45.885251,-67.8862166 -45.8849523,-67.88725199 -45.88498287,-67.8916669 -45.8851316,-67.891463 -45.8853332,-67.8890061 -45.8855946,-67.8886521 -45.8849672,-67.88986813 -45.88509226,-67.895658 -45.88465360000001,-67.8955078 -45.8872675,-67.89402720000001 -45.888186,-67.89313670000001 -45.8879097,-67.8935552 -45.8866999,-67.891624 -45.8850718,-67.89478887 -45.88442779,-67.896452 -45.8842129,-67.8972995 -45.8841607,-67.8987801 -45.8833839,-67.8993165 -45.8836304,-67.89811074 -45.88424629,-67.90316820000001 -45.883637900000004,-67.9026854 -45.8831823,-67.9021275 -45.8832794,-67.900722 -45.8842279,-67.9001105 -45.8851465,-67.8995955 -45.8843175,-67.90293219 -45.8836944,-67.9039729 -45.8871629,-67.9034686 -45.8869165,-67.9041123 -45.886192,-67.9042947 -45.8847656,-67.90316820000001 -45.883637900000004,-67.90362098 -45.8874036,-67.9052818 -45.8875736,-67.90654780000001 -45.8882084,-67.9074919 -45.8882756,-67.90705336 -45.88840606,-67.9066443 -45.8844071,-67.9062474 -45.8852585,-67.908833 -45.885968,-67.9091012 -45.8864012,-67.90594775 -45.88423937,,-67.90591516 -45.88446218,-67.9076958 -45.8841084,-67.9082644 -45.8839366,-67.9093373 -45.8833167,-67.9103136 -45.8831972,-67.90970498 -45.88326091,-67.911365 -45.8831076,-67.9142618 -45.8826968,-67.9159892 -45.8825026,-67.91541483 -45.88231338,-67.9166651 -45.8823159,-67.9170835 -45.8822711,-67.9178345 -45.8833989,-67.9184783 -45.8832943,-67.91747464 -45.88372353,-67.9183924 -45.8832943,-67.9178345 -45.8833989,-67.9181349 -45.883832,-67.9182851 -45.8847656,-67.9179955 -45.8868492,-67.9182959 -45.887021,-67.918725 -45.8867895,-67.9189289 -45.8859232,-67.91833856 -45.88592331,-67.9201949 -45.8901426,-67.920785 -45.8896646,-67.9178774 -45.8882906,-67.9180706 -45.8870061,-67.9186499 -45.8868642,-67.918961 -45.8857962,-67.91840225 -45.89042054,-67.9177594 -45.8928831,-67.9196584 -45.8908744,-67.9194117 -45.8909267,-67.9188323 -45.8915241,-67.9170513 -45.8923754,-67.9181993 -45.8910014,-67.918961 -45.8905234,-67.91657701 -45.89351753,-67.9165363 -45.8956086,-67.9175019 -45.8947275,-67.9165041 -45.893712,-67.9164827 -45.892689,-67.9183388 -45.8916958,-67.9195189 -45.8908296,-67.9196799 -45.8909341,-67.9177058 -45.8929802,-67.91506756 -45.89602857,-67.9198515 -45.8952876,-67.9187465 -45.8950934,-67.9171157 -45.8950187,-67.9165041 -45.8955564,-67.91895387 -45.89557581,-67.9221904 -45.8981548,-67.9233706 -45.8984385,-67.9223728 -45.8974903,-67.9203773 -45.8967212,-67.9203129 -45.8957953,-67.92046749 -45.89809236,-67.9312027 -45.9008128,-67.9299688 -45.9015296,-67.9282737 -45.9003723,-67.9263103 -45.8994316,-67.9232204 -45.8984983,-67.9221046 -45.8981623,-67.93028301 -45.90068278,-67.9292071 -45.8980727,-67.9297006 -45.8983415,-67.9303551 -45.8987073,-67.9325438 -45.8992524,-67.932812 -45.8995137,-67.9300761 -45.8999542,-67.9277909 -45.900111,-67.9299474 -45.9014624,-67.9311705 -45.9009398,-67.92757118 -45.89816726;-67.92757118 -45.89816726,-67.9292071 -45.8980727,-67.9297006 -45.8983415,-67.9303551 -45.8987073,-67.9325438 -45.8992524,-67.932812 -45.8995137,-67.9300761 -45.8999542,-67.9277909 -45.900111,-67.9299474 -45.9014624,-67.9311705 -45.9009398,-67.93028301 -45.90068278,-67.9312027 -45.9008128,-67.9299688 -45.9015296,-67.9282737 -45.9003723,-67.9263103 -45.8994316,-67.9232204 -45.8984983,-67.9221046 -45.8981623,-67.92046749 -45.89809236,-67.9221904 -45.8981548,-67.9232204 -45.8984983,-67.9230487 -45.8980652,-67.9224908 -45.89755,-67.9236388 -45.8964449,-67.92261639 -45.89612501,-67.9235637 -45.895743,-67.9241538 -45.8953249,-67.9267287 -45.8949142,-67.9271579 -45.8944961,-67.9267287 -45.8942048,-67.9257309 -45.8936448,-67.9256558 -45.8930698,-67.9268682 -45.8923604,-67.9289711 -45.8934208,-67.9293036 -45.893361,-67.92819602 -45.89300211,-67.929368 -45.8925994,-67.9296148 -45.8919423,-67.9287994 -45.8913897,-67.9285097 -45.8910014,-67.9286277 -45.8901127,-67.92758265 -45.88993498,-67.9286492 -45.8892166,-67.9288638 -45.8878724,-67.9292393 -45.8876931,-67.92838162 -45.88770662,-67.929883 -45.8876782,-67.9306018 -45.8878724,-67.9317605 -45.8883727,-67.9326189 -45.888201,-67.93184093 -45.88869985,,-67.93195275 -45.88880085,-67.9325545 -45.8880964,-67.9324257 -45.8875363,-67.933048 -45.8868642,-67.9335093 -45.8836304,-67.93297197 -45.88384007,,-67.93288041 -45.88347512,-67.9369962 -45.8822636,-67.9367441 -45.8819686,-67.9343677 -45.8832719,-67.93623372 -45.88237227,-67.9369104 -45.8822487,-67.9367441 -45.8819686,-67.9385787 -45.881274,-67.938568 -45.8809641,-67.9379243 -45.8811844,-67.93588984 -45.88149225,-67.9380155 -45.8812404,-67.938627 -45.880852,-67.9384768 -45.8805682,-67.9371035 -45.8800827,-67.9358482 -45.8797093,-67.9335737 -45.8797616,-67.934432 -45.8794255,-67.9350007 -45.8792835,-67.9357088 -45.8792686,-67.93512028 -45.8793768,-67.9308057 -45.8796645,-67.9309773 -45.8795823,-67.9308271 -45.8793582,-67.9319429 -45.8795524,-67.9332089 -45.8799333,-67.9339921 -45.8795524,-67.9349685 -45.8793358,-67.935698 -45.8793209,-67.92926139 -45.87980166,-67.9288745 -45.8790371,-67.9299796 -45.8786337,-67.9308271 -45.8793582,-67.9310632 -45.8796271,-67.9308057 -45.8796645,-67.92746283 -45.879252,-67.9288745 -45.8790371,-67.9299796 -45.8786337,-67.9304302 -45.8776552,-67.9309022 -45.8766245,-67.9306126 -45.8766543,-67.92916705 -45.87686758,-67.9305589 -45.8765722,-67.9309773 -45.8765423,-67.9323184 -45.875011,-67.9336917 -45.8726132,-67.93292309 -45.87290945,-67.9337347 -45.872531,-67.9350007 -45.8704245,-67.9346895 -45.8701032,-67.933282 -45.87018527,-67.936492 -45.8696625,-67.9362881 -45.8694234,-67.9350436 -45.8703273,-67.9347003 -45.8699986,-67.93551008 -45.87004015,-67.9383588 -45.8674437,-67.9380584 -45.8682655,-67.9363847 -45.8693786,-67.9365671 -45.8696326,-67.9400271 -45.8665472</t>
  </si>
  <si>
    <t>-67.9400271 -45.8665472,-67.9452038 -45.8642219,-67.9464403 -45.8647635,-67.9454304 -45.86503525,,-67.94551194 -45.86495899,-67.949152 -45.8670029,-67.9489589 -45.866338,-67.9464805 -45.8656358,-67.946502 -45.8652099,-67.94827454 -45.86749255,-67.9513514 -45.867951700000006,-67.9506004 -45.8681534,-67.9493558 -45.8665622,-67.9490876 -45.8664576,-67.9492164 -45.8668461,-67.95075242 -45.86791677,-67.9511476 -45.8693039,-67.95089010000001 -45.8697222,-67.9506433 -45.8681011,-67.9512978 -45.867892,-67.95011093 -45.86936834,-67.9526013 -45.869965,-67.9517484 -45.8700734,-67.9508901 -45.8697222,-67.9511476 -45.8693039,-67.95188123 -45.87007275,-67.9518449 -45.870925,-67.9516733 -45.8706037,-67.9509866 -45.870275,-67.95089010000001 -45.8697222,-67.9517484 -45.8700734,-67.9526281 -45.8699912,-67.95082673 -45.87123588,-67.9510081 -45.87218,-67.9515123 -45.8715599,-67.9518449 -45.870925,-67.94974928 -45.87213834,-67.9508579 -45.8736739,-67.9509115 -45.8721426,-67.94983615 -45.87396079,-67.9521346 -45.8759746,-67.951448 -45.8759597,-67.9509008 -45.8738383,-67.95155064 -45.87647635,-67.9521346 -45.8759746,-67.9517162 -45.8759074,-67.9513943 -45.8758999,-67.9525959 -45.87702780000001,-67.95337920000001 -45.8774162,-67.95259842 -45.87763583,-67.9538298 -45.8776104,-67.9575419 -45.8788205,-67.9596341 -45.8789624,-67.9602242 -45.8794852,-67.95937836 -45.87978501,-67.967391 -45.8796271,-67.9660606 -45.879657,-67.9619408 -45.879179,-67.959795 -45.8789997,-67.9602242 -45.8794852,-67.96661757 -45.87943084,-67.9708028 -45.8792686,-67.9686999 -45.8795524,-67.9682064 -45.8792238,-67.96993071 -45.87922522,-67.9739785 -45.8781632,-67.9745579 -45.8782677,-67.9740644 -45.8788802,-67.9710174 -45.8792537,-67.97210325 -45.8786421,-67.9764569 -45.8790072,-67.9757595 -45.8787084,-67.9755771 -45.8785142,-67.9742253 -45.8787756,-67.974236 -45.878222900000004,-67.9757414 -45.87911165;-67.9757414 -45.87911165,-67.9789352 -45.8795823,-67.9791069 -45.8776627,-67.9756737 -45.8784769,-67.9758239 -45.8787234,-67.9765105 -45.8789474,-67.97764389 -45.88001208,-67.9789352 -45.8795823,-67.9789889 -45.8790669,-67.9799759 -45.8791491,-67.97934342 -45.87920812,-67.9797721 -45.879179,-67.9789889 -45.8790669,-67.9792571 -45.8776403,-67.9831409 -45.876744,-67.9844499 -45.8766842,-67.9838705 -45.8772892,-67.98257485 -45.87765379,-67.9838705 -45.8772892,-67.9842675 -45.8766469,-67.9854584 -45.876617,-67.9846001 -45.8763854,-67.98281428 -45.87644776,-67.9865313 -45.8763033,-67.9853833 -45.8764975,-67.98469660000002 -45.8764303,-67.98563419 -45.87640922,-67.9896748 -45.8771548,-67.9892349 -45.8767216,-67.985158 -45.8765946,-67.9863167 -45.8762734,-67.98904006 -45.87741924,-67.9909623 -45.8768411,-67.9909086 -45.8766394,-67.9893529 -45.876729,-67.9896641 -45.8770726,-67.98995293 -45.87688436,-67.9932904 -45.8760792,-67.9926252 -45.8763556,-67.9912949 -45.8766319,-67.99230343 -45.87612978,-68.0007684 -45.8741147,-67.9944921 -45.8759223,-67.9942346 -45.8757953,-68.00013115 -45.87419939;-68.00013115 -45.87419939,-68.0007684 -45.8741147,-67.9944921 -45.8759223,-67.9942346 -45.8757953,-67.99230343 -45.87612978,-67.9932904 -45.8760792,-67.9926252 -45.8763556,-67.9912949 -45.8766319,-67.98995293 -45.87688436,-67.9909623 -45.8768411,-67.9909086 -45.8766394,-67.9893529 -45.876729,-67.9896641 -45.8770726,-67.98904006 -45.87741924,-67.9896748 -45.8771548,-67.9892349 -45.8767216,-67.985158 -45.8765946,-67.9863167 -45.8762734,-67.98563419 -45.87640922,-67.9865313 -45.8763033,-67.9853833 -45.8764975,-67.98469660000002 -45.8764303,-67.98281428 -45.87644776,-67.9838705 -45.8772892,-67.9842675 -45.8766469,-67.9854584 -45.876617,-67.9846001 -45.8763854,-67.98257485 -45.87765379,-67.9797721 -45.879179,-67.9789889 -45.8790669,-67.9792571 -45.8776403,-67.9831409 -45.876744,-67.9844499 -45.8766842,-67.9838705 -45.8772892,-67.97934342 -45.87920812,-67.9789352 -45.8795823,-67.9789889 -45.8790669,-67.9799759 -45.8791491,-67.97764389 -45.88001208,-67.9789352 -45.8795823,-67.9791069 -45.8776627,-67.9756737 -45.8784769,-67.9758239 -45.8787234,-67.9765105 -45.8789474,-67.9757414 -45.87911165,-67.9764569 -45.8790072,-67.9757595 -45.8787084,-67.9755771 -45.8785142,-67.9742253 -45.8787756,-67.974236 -45.878222900000004,-67.97210325 -45.8786421,-67.9739785 -45.8781632,-67.9745579 -45.8782677,-67.9740644 -45.8788802,-67.9710174 -45.8792537,-67.96993071 -45.87922522,-67.9708028 -45.8792686,-67.9686999 -45.8795524,-67.9682064 -45.8792238,-67.96661757 -45.87943084,-67.967391 -45.8796271,-67.9660606 -45.879657,-67.9619408 -45.879179,-67.959795 -45.8789997,-67.9602242 -45.8794852,-67.95937836 -45.87978501,-67.9538298 -45.8776104,-67.9575419 -45.8788205,-67.9596341 -45.8789624,-67.9602242 -45.8794852,-67.95259842 -45.87763583,-67.9534543 -45.8773565,-67.9526925 -45.87711,-67.9530144 -45.8775731,-67.9524779 -45.878813,-67.9512334 -45.8789325,-67.94944114 -45.87896309,-67.9512119 -45.8788877,-67.952435 -45.8787607,-67.9518127 -45.8800454,-67.9474354 -45.8786785,-67.9441524 -45.8779764,-67.9427791 -45.8776328,-67.940805 -45.8776926,-67.93921257 -45.87804782,,-67.93938002 -45.87863178,-67.9433799 -45.8793582,-67.9425859 -45.8792462,-67.9414809 -45.8788951,-67.9399574 -45.8788802,-67.9395819 -45.8785889,-67.9398179 -45.8784246,-67.94258106 -45.87928487,-67.9468131 -45.8799931,-67.9464698 -45.8794927,-67.9443026 -45.8791491,-67.9459034 -45.88040255,-67.9472744 -45.8827118,-67.9475963 -45.8819051,-67.9476392 -45.8807475,-67.9472208 -45.8805159,-67.94607409 -45.88311995,-67.9472744 -45.8852212,-67.9470921 -45.8844967,-67.9472423 -45.883959,-67.9472315 -45.8831823,-67.94628753 -45.88560005,-67.9471672 -45.8852884,-67.9470921 -45.8848627,-67.9461265 -45.8845565,-67.94483649 -45.8845247,-67.9459763 -45.8845415,-67.9446459 -45.8841607,-67.9436696 -45.8842353,-67.94255555 -45.88454697,-67.9423177 -45.8861323,-67.9425859 -45.8852137,-67.9431438 -45.8846088,-67.9432619 -45.8842802,-67.94198922 -45.88653728,-67.9414594 -45.88785,-67.9417813 -45.8871554,-67.9419315 -45.8865879,-67.9423285 -45.8863414,-67.93992923 -45.88854577,-67.9410625 -45.888776,-67.9401827 -45.8890747,-67.9375863 -45.8886341,-67.93581454 -45.88863383,-67.9351616 -45.890628,-67.9353011 -45.8903069,-67.9351509 -45.889702,-67.9356337 -45.8888283,-67.9361594 -45.8882682,-67.9367387 -45.8882607,-67.93404442 -45.8909633,-67.9365563 -45.8934955,-67.9363203 -45.8936,-67.935344 -45.8928831,-67.935226 -45.8911432,-67.9360062 -45.89335158,-67.9386914 -45.8911283,-67.9384661 -45.8920468,-67.9380691 -45.8922111,-67.9374146 -45.8931968,-67.93808121 -45.89103139,-67.9435515 -45.8903965,-67.9442811 -45.8907549,-67.9443991 -45.8913449,-67.9417706 -45.8920468,-67.9407835 -45.8922185,-67.938906 -45.8918302,-67.9386592 -45.8912328,-67.9388738 -45.8911059,-67.94165257 -45.89056773;-67.94165257 -45.89056773,-67.9435515 -45.8903965,-67.9442811 -45.8907549,-67.9443991 -45.8913449,-67.9417706 -45.8920468,-67.9407835 -45.8922185,-67.938906 -45.8918302,-67.9386592 -45.8912328,-67.9388738 -45.8911059,-67.93808121 -45.89103139,-67.9386914 -45.8911283,-67.9384661 -45.8920468,-67.9380691 -45.8922111,-67.9374146 -45.8931968,-67.9360062 -45.89335158,-67.9365563 -45.8934955,-67.9363203 -45.8936,-67.935344 -45.8928831,-67.935226 -45.8911432,-67.93404442 -45.8909633,-67.9351616 -45.890628,-67.9353011 -45.8903069,-67.9351509 -45.889702,-67.9356337 -45.8888283,-67.9361594 -45.8882682,-67.9367387 -45.8882607,-67.93581454 -45.88863383,-67.9410625 -45.888776,-67.9401827 -45.8890747,-67.9375863 -45.8886341,-67.93992923 -45.88854577,-67.9414594 -45.88785,-67.9417813 -45.8871554,-67.9419315 -45.8865879,-67.9423285 -45.8863414,-67.94198922 -45.88653728,-67.9423177 -45.8861323,-67.9425859 -45.8852137,-67.9431438 -45.8846088,-67.9432619 -45.8842802,-67.94255555 -45.88454697,-67.9459763 -45.8845415,-67.9446459 -45.8841607,-67.9436696 -45.8842353,-67.94483649 -45.8845247,-67.9471672 -45.8852884,-67.9470921 -45.8848627,-67.9461265 -45.8845565,-67.94628753 -45.88560005,-67.9472744 -45.8852212,-67.9470921 -45.8844967,-67.9472423 -45.883959,-67.9472315 -45.8831823,-67.94607409 -45.88311995,-67.9472744 -45.8827118,-67.9475963 -45.8819051,-67.9476392 -45.8807475,-67.9472208 -45.8805159,-67.9459034 -45.88040255,-67.9468131 -45.8799931,-67.9464698 -45.8794927,-67.9443026 -45.8791491,-67.94258106 -45.87928487,-67.9433799 -45.8793582,-67.9425859 -45.8792462,-67.9414809 -45.8788951,-67.9399574 -45.8788802,-67.9395819 -45.8785889,-67.9398179 -45.8784246,-67.93938002 -45.87863178,,-67.93921257 -45.87804782,-67.9512119 -45.8788877,-67.952435 -45.8787607,-67.9518127 -45.8800454,-67.9474354 -45.8786785,-67.9441524 -45.8779764,-67.9427791 -45.8776328,-67.940805 -45.8776926,-67.94944114 -45.87896309,-67.9534543 -45.8773565,-67.9526925 -45.87711,-67.9530144 -45.8775731,-67.9524779 -45.878813,-67.9512334 -45.8789325,-67.95259842 -45.87763583,-67.9521346 -45.8759746,-67.9517162 -45.8759074,-67.9513943 -45.8758999,-67.9525959 -45.87702780000001,-67.95337920000001 -45.8774162,-67.95155064 -45.87647635,-67.9521239 -45.8742491,-67.9518771 -45.875885,-67.9521346 -45.8759746,-67.95131727 -45.87411285,-67.9531217 -45.8736665,-67.9552889 -45.8727253,-67.95436473 -45.87255367;-67.95436473 -45.87255367,-67.9531217 -45.8736665,-67.9552889 -45.8727253,-67.95131727 -45.87411285,-67.9521239 -45.8742491,-67.9518771 -45.875885,-67.9521346 -45.8759746,-67.95155064 -45.87647635,-67.9521346 -45.8759746,-67.9517162 -45.8759074,-67.9513943 -45.8758999,-67.9525959 -45.87702780000001,-67.95337920000001 -45.8774162,-67.95259842 -45.87763583,-67.9534543 -45.8773565,-67.9526925 -45.87711,-67.9530144 -45.8775731,-67.9524779 -45.878813,-67.9512334 -45.8789325,-67.94944114 -45.87896309,-67.9512119 -45.8788877,-67.952435 -45.8787607,-67.9518127 -45.8800454,-67.9474354 -45.8786785,-67.9441524 -45.8779764,-67.9427791 -45.8776328,-67.940805 -45.8776926,-67.93921257 -45.87804782,,-67.93938002 -45.87863178,-67.9433799 -45.8793582,-67.9425859 -45.8792462,-67.9414809 -45.8788951,-67.9399574 -45.8788802,-67.9395819 -45.8785889,-67.9398179 -45.8784246,-67.94258106 -45.87928487,-67.9468131 -45.8799931,-67.9464698 -45.8794927,-67.9443026 -45.8791491,-67.9459034 -45.88040255,-67.9472744 -45.8827118,-67.9475963 -45.8819051,-67.9476392 -45.8807475,-67.9472208 -45.8805159,-67.94607409 -45.88311995,-67.9472744 -45.8852212,-67.9470921 -45.8844967,-67.9472423 -45.883959,-67.9472315 -45.8831823,-67.94628753 -45.88560005,-67.9471672 -45.8852884,-67.9470921 -45.8848627,-67.9461265 -45.8845565,-67.94483649 -45.8845247,-67.9459763 -45.8845415,-67.9446459 -45.8841607,-67.9436696 -45.8842353,-67.94255555 -45.88454697,-67.9423177 -45.8861323,-67.9425859 -45.8852137,-67.9431438 -45.8846088,-67.9432619 -45.8842802,-67.94198922 -45.88653728,-67.9414594 -45.88785,-67.9417813 -45.8871554,-67.9419315 -45.8865879,-67.9423285 -45.8863414,-67.93992923 -45.88854577,-67.9410625 -45.888776,-67.9401827 -45.8890747,-67.9375863 -45.8886341,-67.93581454 -45.88863383,-67.9351616 -45.890628,-67.9353011 -45.8903069,-67.9351509 -45.889702,-67.9356337 -45.8888283,-67.9361594 -45.8882682,-67.9367387 -45.8882607,-67.93404442 -45.8909633,-67.9365563 -45.8934955,-67.9363203 -45.8936,-67.935344 -45.8928831,-67.935226 -45.8911432,-67.9360062 -45.89335158,-67.9386914 -45.8911283,-67.9384661 -45.8920468,-67.9380691 -45.8922111,-67.9374146 -45.8931968,-67.93808121 -45.89103139,-67.9441845 -45.8944512,-67.9437339 -45.8940256,-67.9429615 -45.8935179,-67.9420388 -45.8926442,-67.9392278 -45.8921737,-67.9386055 -45.8919721,-67.9388738 -45.8911059,-67.94342733 -45.89494583,-67.9441738 -45.8946081,-67.9435945 -45.8938464,-67.9422426 -45.892801,-67.9410195 -45.8932192,-67.94030264 -45.89356218;-67.94030264 -45.89356218,-67.9441738 -45.8946081,-67.9435945 -45.8938464,-67.9422426 -45.892801,-67.9410195 -45.8932192,-67.94342733 -45.89494583,-67.9441845 -45.8944512,-67.9437339 -45.8940256,-67.9429615 -45.8935179,-67.9420388 -45.8926442,-67.9392278 -45.8921737,-67.9386055 -45.8919721,-67.9388738 -45.8911059,-67.93808121 -45.89103139,-67.9386914 -45.8911283,-67.9384661 -45.8920468,-67.9380691 -45.8922111,-67.9374146 -45.8931968,-67.9360062 -45.89335158,-67.9365563 -45.8934955,-67.9363203 -45.8936,-67.935344 -45.8928831,-67.935226 -45.8911432,-67.93404442 -45.8909633,-67.9351616 -45.890628,-67.9353011 -45.8903069,-67.9351509 -45.889702,-67.9356337 -45.8888283,-67.9361594 -45.8882682,-67.9367387 -45.8882607,-67.93581454 -45.88863383,-67.9410625 -45.888776,-67.9401827 -45.8890747,-67.9375863 -45.8886341,-67.93992923 -45.88854577,-67.9414594 -45.88785,-67.9417813 -45.8871554,-67.9419315 -45.8865879,-67.9423285 -45.8863414,-67.94198922 -45.88653728,-67.9423177 -45.8861323,-67.9425859 -45.8852137,-67.9431438 -45.8846088,-67.9432619 -45.8842802,-67.94255555 -45.88454697,-67.9459763 -45.8845415,-67.9446459 -45.8841607,-67.9436696 -45.8842353,-67.94483649 -45.8845247,-67.9471672 -45.8852884,-67.9470921 -45.8848627,-67.9461265 -45.8845565,-67.94628753 -45.88560005,-67.9472744 -45.8852212,-67.9470921 -45.8844967,-67.9472423 -45.883959,-67.9472315 -45.8831823,-67.94607409 -45.88311995,-67.9472744 -45.8827118,-67.9475963 -45.8819051,-67.9476392 -45.8807475,-67.9472208 -45.8805159,-67.9459034 -45.88040255,-67.9468131 -45.8799931,-67.9464698 -45.8794927,-67.9443026 -45.8791491,-67.94258106 -45.87928487,-67.9433799 -45.8793582,-67.9425859 -45.8792462,-67.9414809 -45.8788951,-67.9399574 -45.8788802,-67.9395819 -45.8785889,-67.9398179 -45.8784246,-67.93938002 -45.87863178,-67.9364383 -45.8791566,-67.9368889 -45.8790371,-67.9370821 -45.878798,-67.939657 -45.8787906,-67.9398179 -45.8784246,-67.93512028 -45.8793768,-67.9308057 -45.8796645,-67.9309773 -45.8795823,-67.9308271 -45.8793582,-67.9319429 -45.8795524,-67.9332089 -45.8799333,-67.9339921 -45.8795524,-67.9349685 -45.8793358,-67.935698 -45.8793209,-67.92926139 -45.87980166,-67.9288745 -45.8790371,-67.9299796 -45.8786337,-67.9308271 -45.8793582,-67.9310632 -45.8796271,-67.9308057 -45.8796645,-67.92746283 -45.879252,-67.9288745 -45.8790371,-67.9299796 -45.8786337,-67.9304302 -45.8776552,-67.9309022 -45.8766245,-67.9306126 -45.8766543,-67.92916705 -45.87686758,-67.9305589 -45.8765722,-67.9309773 -45.8765423,-67.9323184 -45.875011,-67.9336917 -45.8726132,-67.93292309 -45.87290945,-67.9337347 -45.872531,-67.9350007 -45.8704245,-67.9346895 -45.8701032,-67.933282 -45.87018527,-67.936492 -45.8696625,-67.9362881 -45.8694234,-67.9350436 -45.8703273,-67.9347003 -45.8699986,-67.93551008 -45.87004015,-67.9383588 -45.8674437,-67.9380584 -45.8682655,-67.9363847 -45.8693786,-67.9365671 -45.8696326,-67.9400271 -45.8665472</t>
  </si>
  <si>
    <t>-67.9400271 -45.8665472,-67.9383588 -45.8674437,-67.9380584 -45.8682655,-67.9363847 -45.8693786,-67.9365671 -45.8696326,-67.93551008 -45.87004015,-67.936492 -45.8696625,-67.9362881 -45.8694234,-67.9350436 -45.8703273,-67.9347003 -45.8699986,-67.933282 -45.87018527,-67.9337347 -45.872531,-67.9350007 -45.8704245,-67.9346895 -45.8701032,-67.93292309 -45.87290945,-67.9305589 -45.8765722,-67.9309773 -45.8765423,-67.9323184 -45.875011,-67.9336917 -45.8726132,-67.92916705 -45.87686758,-67.9288745 -45.8790371,-67.9299796 -45.8786337,-67.9304302 -45.8776552,-67.9309022 -45.8766245,-67.9306126 -45.8766543,-67.92746283 -45.879252,-67.9288745 -45.8790371,-67.9299796 -45.8786337,-67.9308271 -45.8793582,-67.9310632 -45.8796271,-67.9308057 -45.8796645,-67.92926139 -45.87980166,-67.9308057 -45.8796645,-67.9309773 -45.8795823,-67.9308271 -45.8793582,-67.9319429 -45.8795524,-67.9332089 -45.8799333,-67.9339921 -45.8795524,-67.9349685 -45.8793358,-67.935698 -45.8793209,-67.93512028 -45.8793768,-67.9364383 -45.8791566,-67.9368889 -45.8790371,-67.9370821 -45.878798,-67.939657 -45.8787906,-67.9398179 -45.8784246,-67.93938002 -45.87863178,-67.9433799 -45.8793582,-67.9425859 -45.8792462,-67.9414809 -45.8788951,-67.9399574 -45.8788802,-67.9395819 -45.8785889,-67.9398179 -45.8784246,-67.94258106 -45.87928487,-67.9468131 -45.8799931,-67.9464698 -45.8794927,-67.9443026 -45.8791491,-67.9459034 -45.88040255,-67.9472744 -45.8827118,-67.9475963 -45.8819051,-67.9476392 -45.8807475,-67.9472208 -45.8805159,-67.94607409 -45.88311995,-67.9472744 -45.8852212,-67.9470921 -45.8844967,-67.9472423 -45.883959,-67.9472315 -45.8831823,-67.94628753 -45.88560005,-67.9487872 -45.8868418,-67.9495382 -45.8874766,-67.9496884 -45.88726,-67.9485726 -45.886095,-67.9476714 -45.8855871,-67.94746568 -45.88694764,-67.948755 -45.886894,-67.9494202 -45.887484,-67.9503751 -45.8875587,-67.9509008 -45.8873571,-67.9508793 -45.8868716,-67.94972726 -45.88693813,-67.951051 -45.8868418,-67.9516089 -45.886207,-67.952832 -45.8866028,-67.95178221 -45.88666191,-67.957381 -45.8868268,-67.9566729 -45.8866327,-67.953701 -45.8868791,-67.9533148 -45.8869911,-67.9529393 -45.8866103,-67.95650174 -45.8868325,-67.9563618 -45.8869613,-67.9570055 -45.8870583,-67.9568553 -45.8866028,-67.957381 -45.8868268,-67.95495587 -45.8875866,-67.9576063 -45.8896124,-67.9577136 -45.888888,-67.9572308 -45.8876483,-67.9565012 -45.8869986,-67.95602222 -45.88970885;-67.95602222 -45.88970885,-67.958647 -45.8921289,-67.9580784 -45.8917854,-67.958411 -45.8907699,-67.9588509 -45.8902397,-67.9578209 -45.8896422,-67.95792371 -45.89252328,-67.958411 -45.8946678,-67.9585934 -45.8938464,-67.9590118 -45.8934581,-67.9594839 -45.8932714,-67.9597199 -45.892913,-67.9595053 -45.8926741,-67.95753705 -45.89518861,-67.9602778 -45.8973559,-67.959677 -45.8974604,-67.9590976 -45.897326,-67.9587114 -45.8968257,-67.95928 -45.896094,-67.9591405 -45.8953548,-67.95956637 -45.89743693,-67.9642367 -45.8983564,-67.9643333 -45.8976993,-67.9650199 -45.8970721,-67.9652989 -45.8964076,-67.9613721 -45.8972065,-67.96354703 -45.89869944,-67.9693437 -45.9027914,-67.9659963 -45.8987297,-67.965138 -45.8986401,-67.96793825 -45.90348141,-67.9685926 -45.9034484,-67.9653096 -45.9044488,-67.9600525 -45.9049564,-67.9584861 -45.9041651,-67.9576707 -45.9040606,-67.95594313 -45.90408308,-67.9576063 -45.9040904, -67.9586792 -45.9041949, -67.9598594 -45.9049266, -67.9530573 -45.9053894, -67.948916 -45.9068676,-67.9477358 -45.9069124,-67.9420066 -45.9072707, -67.9449141 -45.9072931, -67.9463518 -45.9076291,-67.94070253 -45.90708056,-67.9419637 -45.9061061,-67.9426718 -45.9047623,-67.9415345 -45.9048967,-67.938745 -45.9059568,-67.9340029 -45.9072707,-67.9353547 -45.9073006,-67.93482704 -45.9074612,-67.922008 -45.9097193,-67.9201412 -45.9109884,-67.9196906 -45.9109585,-67.9200125 -45.9097492,-67.9210854 -45.909585,-67.9227591 -45.90851,-67.9267287 -45.9077933,-67.9317927 -45.9075544,-67.9344964 -45.9080023,-67.9353762 -45.9076142,-67.92132124 -45.90950332,-67.9221797 -45.9097492,-67.9201412 -45.9109884,-67.91924 -45.911063,-67.9191971 -45.9115109,-67.91938339 -45.91141146,-67.9150558 -45.9126903,-67.9162359 -45.9122126,-67.9164505 -45.9115408,-67.9181457 -45.910645,-67.9202914 -45.9111078,-67.91361731 -45.91301639,-67.9095197 -45.9178556,-67.9090691 -45.9168107,-67.9049706 -45.9149894,-67.9050565 -45.9146311,-67.908597 -45.9143027,-67.9105282 -45.9135114,-67.9126954 -45.9130636,-67.9141974 -45.9123171,-67.90949828 -45.91775832,-67.9105067 -45.9207068,-67.9081678 -45.9205276,-67.9078245 -45.9200798,-67.9065156 -45.9195574,-67.9081035 -45.9191991,-67.9097772 -45.9180049,-67.91006087 -45.92075561,-67.9186392 -45.925737,-67.9181242 -45.9258713,-67.9160213 -45.924319,-67.9144335 -45.9239011,-67.9125881 -45.9236324,-67.911365 -45.9232891,-67.908361 -45.9205575,-67.9107213 -45.9206172,-67.91781996 -45.92567691,-67.9183388 -45.9258713,-67.9167509 -45.9248116,-67.9175448 -45.9264683,-67.9174805 -45.9272444,-67.9163647 -45.9281549,-67.9153562 -45.9282295,-67.9142404 -45.9287071,-67.9133177 -45.9295131,-67.9126954 -45.9289758,-67.912631 -45.9280206,-67.9141116 -45.9273489,-67.9158497 -45.9268415,-67.9161072 -45.9264235,-67.9158711 -45.9259907,-67.91406535 -45.92603076,-67.9160428 -45.9260952,-67.9158497 -45.9268415,-67.9124379 -45.928125,-67.9126954 -45.9289758,-67.9133177 -45.9295131,-67.9122019 -45.9304384,-67.9106355 -45.9306175,-67.9069018 -45.9297071,-67.9082537 -45.9278265,-67.90777463 -45.92772469,-67.9082537 -45.9278265,-67.9069018 -45.9297071,-67.9044557 -45.9301399,-67.9031253 -45.9268564,-67.9025245 -45.9264086,-67.90071017 -45.92674612;-67.90071017 -45.92674612,-67.9082537 -45.9278265,-67.9069018 -45.9297071,-67.9044557 -45.9301399,-67.9031253 -45.9268564,-67.9025245 -45.9264086,-67.90777463 -45.92772469,-67.9160428 -45.9260952,-67.9158497 -45.9268415,-67.9124379 -45.928125,-67.9126954 -45.9289758,-67.9133177 -45.9295131,-67.9122019 -45.9304384,-67.9106355 -45.9306175,-67.9069018 -45.9297071,-67.9082537 -45.9278265,-67.91406535 -45.92603076,-67.9183388 -45.9258713,-67.9167509 -45.9248116,-67.9175448 -45.9264683,-67.9174805 -45.9272444,-67.9163647 -45.9281549,-67.9153562 -45.9282295,-67.9142404 -45.9287071,-67.9133177 -45.9295131,-67.9126954 -45.9289758,-67.912631 -45.9280206,-67.9141116 -45.9273489,-67.9158497 -45.9268415,-67.9161072 -45.9264235,-67.9158711 -45.9259907,-67.91781996 -45.92567691,-67.9287672 -45.9270653,-67.927587 -45.9266922,-67.9265141 -45.9266325,-67.9261708 -45.9260206,-67.926321 -45.9254982,-67.9253769 -45.9248713,-67.9232097 -45.9249011,-67.922008 -45.9242593,-67.9200339 -45.9239458,-67.9162788 -45.9243787,-67.9181242 -45.9258713,-67.9186392 -45.925737,-67.92882882 -45.92622679,-67.9366422 -45.9271698,-67.9355264 -45.9268564,-67.9335093 -45.9267071,-67.9319644 -45.9271698,-67.9287672 -45.9270653,-67.93584321 -45.92709528,-67.9435515 -45.9227219,-67.9384983 -45.9223039,-67.9381764 -45.9219979,-67.9378438 -45.9222592,-67.9378438 -45.9241399,-67.9368353 -45.9265728,-67.9433277 -45.92278492,-67.9437661 -45.9226174,-67.9421139 -45.9226995,-67.9384983 -45.9223039,-67.9381764 -45.9219979,-67.9380584 -45.9212964,-67.9374897 -45.9206471,-67.9373181 -45.9201097,-67.9376721 -45.9193932,-67.9375219 -45.920244,-67.9378974 -45.9205575,-67.93749101 -45.92107433,-67.9473066 -45.9191991,-67.9491735 -45.9182736,-67.9488516 -45.9169151,-67.9491198 -45.9161986,-67.9481864 -45.9168405,-67.9482937 -45.9178556,-67.947135 -45.9184079,-67.94559 -45.9178407,-67.9453111 -45.9174227,-67.9465771 -45.9168554,-67.9420924 -45.9173033,-67.9408264 -45.9169002,-67.9406118 -45.9177959,-67.9378867 -45.9191842,-67.9375434 -45.9200649,-67.9378974 -45.9205575,-67.94586231 -45.91962676,-67.9510295 -45.9188259,-67.949667 -45.9168704,-67.9491198 -45.9161986,-67.9486799 -45.916833,-67.9491198 -45.9181243,-67.9471564 -45.9191543,-67.95055552 -45.91916669,-67.9587436 -45.920871,-67.9575205 -45.9200947,-67.9542375 -45.9190946,-67.9514909 -45.9187513,-67.95749776 -45.92122866,-67.9682279 -45.9133771,-67.9674554 -45.9145266,-67.9676914 -45.9155268,-67.9655671 -45.9164972,-67.9633999 -45.9171241,-67.9619193 -45.9176317,-67.9586577 -45.9198261,-67.9587865 -45.9209754,-67.96815064 -45.91289687,,NA;NA,,-67.96815064 -45.91289687,-67.9682279 -45.9133771,-67.9674554 -45.9145266,-67.9676914 -45.9155268,-67.9655671 -45.9164972,-67.9633999 -45.9171241,-67.9619193 -45.9176317,-67.9586577 -45.9198261,-67.9587865 -45.9209754,-67.95749776 -45.92122866;-67.95749776 -45.92122866,-67.9587436 -45.920871,-67.9575205 -45.9200947,-67.9542375 -45.9190946,-67.9514909 -45.9187513,-67.95055552 -45.91916669,-67.9510295 -45.9188259,-67.949667 -45.9168704,-67.9491198 -45.9161986,-67.9486799 -45.916833,-67.9491198 -45.9181243,-67.9471564 -45.9191543,-67.94586231 -45.91962676,-67.9473066 -45.9191991,-67.9491735 -45.9182736,-67.9488516 -45.9169151,-67.9491198 -45.9161986,-67.9481864 -45.9168405,-67.9482937 -45.9178556,-67.947135 -45.9184079,-67.94559 -45.9178407,-67.9453111 -45.9174227,-67.9465771 -45.9168554,-67.9420924 -45.9173033,-67.9408264 -45.9169002,-67.9406118 -45.9177959,-67.9378867 -45.9191842,-67.9375434 -45.9200649,-67.9378974 -45.9205575,-67.93749101 -45.92107433,-67.9378974 -45.9205575,-67.9375219 -45.920244,-67.9376721 -45.9193932,-67.9373181 -45.9201097,-67.9375005 -45.9207814,-67.9381657 -45.9214382,-67.9378438 -45.9222592,-67.9378653 -45.9235428,-67.9352689 -45.9230204,-67.9323292 -45.9215277,-67.9315567 -45.9216173,-67.92974857 -45.92193359,-67.9315567 -45.9216173,-67.9323292 -45.9215277,-67.9268146 -45.9178258,-67.9294968 -45.9176466,-67.9304409 -45.9174227,-67.9300117 -45.9168704,-67.9294324 -45.9165121,-67.92776392 -45.91634643,-67.9294324 -45.9165121,-67.930162 -45.916945,-67.9304409 -45.9174227,-67.9261708 -45.9179004,-67.9190469 -45.9157209,-67.9196262 -45.9152282,-67.91936766 -45.91518342,,-67.9198102 -45.91487479,-67.9231882 -45.9122723,-67.9249692 -45.9120036,-67.9255915 -45.9130038,-67.9226518 -45.9145117,-67.9209566 -45.9155119,-67.9190469 -45.9157209,-67.9196262 -45.9152282,-67.92178415 -45.91276334,-67.9250765 -45.911063,-67.9249692 -45.9120036,-67.9233384 -45.9123171,-67.92339949 -45.91107871,-67.9191971 -45.9115109,-67.9193473 -45.9122574,-67.9206347 -45.9121827,-67.9237676 -45.911287,-67.91938339 -45.91141146,-67.9221797 -45.9097492,-67.9201412 -45.9109884,-67.91924 -45.911063,-67.9191971 -45.9115109,-67.92132124 -45.90950332,-67.922008 -45.9097193,-67.9201412 -45.9109884,-67.9196906 -45.9109585,-67.9200125 -45.9097492,-67.9210854 -45.909585,-67.9227591 -45.90851,-67.9267287 -45.9077933,-67.9317927 -45.9075544,-67.9344964 -45.9080023,-67.9353762 -45.9076142,-67.93482704 -45.9074612,-67.9419637 -45.9061061,-67.9426718 -45.9047623,-67.9415345 -45.9048967,-67.938745 -45.9059568,-67.9340029 -45.9072707,-67.9353547 -45.9073006,-67.94070253 -45.90708056,-67.9417276 -45.9060912,-67.9426718 -45.9047623,-67.9416203 -45.9047773,-67.9445601 -45.9035379,-67.942543 -45.9026271,-67.94048121 -45.90255833,-67.9313636 -45.9007755,-67.9299688 -45.9015296,-67.9309559 -45.9024778,-67.931664 -45.9022687,-67.9323721 -45.9010144,-67.9335737 -45.900447,-67.9371786 -45.9012832,-67.9379082 -45.9021045,-67.9396677 -45.9026719,-67.941041 -45.9025674,-67.93028301 -45.90068278,-67.9312027 -45.9008128,-67.9299688 -45.9015296,-67.9282737 -45.9003723,-67.9263103 -45.8994316,-67.9232204 -45.8984983,-67.9221046 -45.8981623,-67.92046749 -45.89809236,-67.9221904 -45.8981548,-67.9232204 -45.8984983,-67.9230487 -45.8980652,-67.9224908 -45.89755,-67.9236388 -45.8964449,-67.92261639 -45.89612501,-67.9235637 -45.895743,-67.9241538 -45.8953249,-67.9267287 -45.8949142,-67.9271579 -45.8944961,-67.9267287 -45.8942048,-67.9257309 -45.8936448,-67.9256558 -45.8930698,-67.9268682 -45.8923604,-67.9289711 -45.8934208,-67.9293036 -45.893361,-67.92819602 -45.89300211,-67.929368 -45.8925994,-67.9296148 -45.8919423,-67.9287994 -45.8913897,-67.9285097 -45.8910014,-67.9286277 -45.8901127,-67.92758265 -45.88993498,-67.9286492 -45.8892166,-67.9288638 -45.8878724,-67.9292393 -45.8876931,-67.92838162 -45.88770662,-67.929883 -45.8876782,-67.9306018 -45.8878724,-67.9317605 -45.8883727,-67.9326189 -45.888201,-67.93184093 -45.88869985,,-67.93195275 -45.88880085,-67.9325545 -45.8880964,-67.9324257 -45.8875363,-67.933048 -45.8868642,-67.9335093 -45.8836304,-67.93297197 -45.88384007,,-67.93288041 -45.88347512,-67.9369962 -45.8822636,-67.9367441 -45.8819686,-67.9343677 -45.8832719,-67.93623372 -45.88237227,-67.9369104 -45.8822487,-67.9367441 -45.8819686,-67.9385787 -45.881274,-67.938568 -45.8809641,-67.9379243 -45.8811844,-67.93588984 -45.88149225,-67.9380155 -45.8812404,-67.938627 -45.880852,-67.9384768 -45.8805682,-67.9371035 -45.8800827,-67.9358482 -45.8797093,-67.9335737 -45.8797616,-67.934432 -45.8794255,-67.9350007 -45.8792835,-67.9357088 -45.8792686,-67.93512028 -45.8793768,-67.9308057 -45.8796645,-67.9309773 -45.8795823,-67.9308271 -45.8793582,-67.9319429 -45.8795524,-67.9332089 -45.8799333,-67.9339921 -45.8795524,-67.9349685 -45.8793358,-67.935698 -45.8793209,-67.92926139 -45.87980166,-67.9288745 -45.8790371,-67.9299796 -45.8786337,-67.9308271 -45.8793582,-67.9310632 -45.8796271,-67.9308057 -45.8796645,-67.92746283 -45.879252,-67.9288745 -45.8790371,-67.9299796 -45.8786337,-67.9304302 -45.8776552,-67.9309022 -45.8766245,-67.9306126 -45.8766543,-67.92916705 -45.87686758,-67.9305589 -45.8765722,-67.9309773 -45.8765423,-67.9323184 -45.875011,-67.9336917 -45.8726132,-67.93292309 -45.87290945,-67.9337347 -45.872531,-67.9350007 -45.8704245,-67.9346895 -45.8701032,-67.933282 -45.87018527,-67.936492 -45.8696625,-67.9362881 -45.8694234,-67.9350436 -45.8703273,-67.9347003 -45.8699986,-67.93551008 -45.87004015,-67.9383588 -45.8674437,-67.9380584 -45.8682655,-67.9363847 -45.8693786,-67.9365671 -45.8696326,-67.9400271 -45.8665472</t>
  </si>
  <si>
    <t>-67.9400271 -45.8665472,-67.9383588 -45.8674437,-67.9380584 -45.8682655,-67.9363847 -45.8693786,-67.9365671 -45.8696326,-67.93551008 -45.87004015,-67.936492 -45.8696625,-67.9362881 -45.8694234,-67.9350436 -45.8703273,-67.9347003 -45.8699986,-67.933282 -45.87018527,-67.9337347 -45.872531,-67.9350007 -45.8704245,-67.9346895 -45.8701032,-67.93292309 -45.87290945,-67.9305589 -45.8765722,-67.9309773 -45.8765423,-67.9323184 -45.875011,-67.9336917 -45.8726132,-67.92916705 -45.87686758,-67.9288745 -45.8790371,-67.9299796 -45.8786337,-67.9304302 -45.8776552,-67.9309022 -45.8766245,-67.9306126 -45.8766543,-67.92746283 -45.879252,-67.9288745 -45.8790371,-67.9299045 -45.8786188,-67.929765 -45.8784918,-67.9247224 -45.8798512,-67.9241753 -45.8796943,-67.92260289 -45.87981886,-67.9231775 -45.8798138,-67.9230273 -45.8801051,-67.9220295 -45.8802022,-67.9198301 -45.8807027,-67.9191542 -45.8814645,-67.9198301 -45.8813375,-67.91930941 -45.88137118,-67.9183173 -45.8833018,-67.9179525 -45.8832943,-67.9178452 -45.8829358,-67.9186606 -45.8819873,-67.9191113 -45.8815466,-67.9197979 -45.8813898,-67.91747464 -45.88372353,-67.9166651 -45.8823159,-67.9170835 -45.8822711,-67.9178345 -45.8833989,-67.9184783 -45.8832943,-67.91541483 -45.88231338,-67.911365 -45.8831076,-67.9142618 -45.8826968,-67.9159892 -45.8825026,-67.90970498 -45.88326091,-67.9076958 -45.8841084,-67.9082644 -45.8839366,-67.9093373 -45.8833167,-67.9103136 -45.8831972,-67.90591516 -45.88446218,,-67.90594775 -45.88423937,-67.9066443 -45.8844071,-67.9062474 -45.8852585,-67.908833 -45.885968,-67.9091012 -45.8864012,-67.90705336 -45.88840606,-67.9052818 -45.8875736,-67.90654780000001 -45.8882084,-67.9074919 -45.8882756,-67.90362098 -45.8874036,-67.9039729 -45.8871629,-67.9034686 -45.8869165,-67.9041123 -45.886192,-67.9042947 -45.8847656,-67.90316820000001 -45.883637900000004,-67.90293219 -45.8836944,-67.90316820000001 -45.883637900000004,-67.9026854 -45.8831823,-67.9021275 -45.8832794,-67.900722 -45.8842279,-67.9001105 -45.8851465,-67.8995955 -45.8843175,-67.89811074 -45.88424629,-67.896452 -45.8842129,-67.8972995 -45.8841607,-67.8987801 -45.8833839,-67.8993165 -45.8836304,-67.89478887 -45.88442779,-67.895658 -45.88465360000001,-67.8955078 -45.8872675,-67.89402720000001 -45.888186,-67.89313670000001 -45.8879097,-67.8935552 -45.8866999,-67.891624 -45.8850718,-67.88986813 -45.88509226,-67.8916669 -45.8851316,-67.891463 -45.8853332,-67.8890061 -45.8855946,-67.8886521 -45.8849672,-67.88725199 -45.88498287,-67.8877938 -45.885251,-67.8862166 -45.8849523,-67.88477851 -45.88530377,-67.8847039 -45.885542300000004,-67.8854334 -45.8851465,-67.88304639 -45.88588109,-67.8838027 -45.88608,-67.882483 -45.8868716,-67.88085052 -45.88709026,-67.8783846 -45.8885519,-67.8803802 -45.8880143,-67.8826654 -45.8868044,-67.8823113 -45.8868119,-67.87661058 -45.88889945,-67.8765285 -45.89045620000001,-67.877773 -45.8901799,-67.8803802 -45.8880143,-67.8783846 -45.8885519,-67.87484305 -45.89067788,-67.8792322 -45.8901127,-67.877934 -45.8900903,-67.8765285 -45.89045620000001,-67.87813787 -45.88993585,-67.8789854 -45.8901127,-67.8777838 -45.8901052,-67.8751981 -45.8927935,-67.8739536 -45.8942571,-67.87230402 -45.89457162,-67.8727734 -45.8946678,-67.8694153 -45.8954742,-67.8682566 -45.89504860000001,-67.86797017 -45.89505687,-67.8685999 -45.895295,-67.8667116 -45.8956833,-67.8646088 -45.8956833,-67.86301998 -45.89560501,-67.8636646 -45.8957132,-67.8630209 -45.8961014,-67.8661537 -45.8966391,-67.86618307 -45.89684928;-67.86618307 -45.89684928,-67.8636646 -45.8957132,-67.8630209 -45.8961014,-67.8661537 -45.8966391,-67.86301998 -45.89560501,-67.8685999 -45.895295,-67.8667116 -45.8956833,-67.8646088 -45.8956833,-67.86797017 -45.89505687,-67.8727734 -45.8946678,-67.8694153 -45.8954742,-67.8682566 -45.89504860000001,-67.87230402 -45.89457162,-67.8789854 -45.8901127,-67.8777838 -45.8901052,-67.8751981 -45.8927935,-67.8739536 -45.8942571,-67.87813787 -45.88993585,-67.8792322 -45.8901127,-67.877934 -45.8900903,-67.8765285 -45.89045620000001,-67.87484305 -45.89067788,-67.8765285 -45.89045620000001,-67.877773 -45.8901799,-67.8803802 -45.8880143,-67.8783846 -45.8885519,-67.87661058 -45.88889945,-67.8783846 -45.8885519,-67.8803802 -45.8880143,-67.8826654 -45.8868044,-67.8823113 -45.8868119,-67.88085052 -45.88709026,-67.8838027 -45.88608,-67.882483 -45.8868716,-67.88304639 -45.88588109,-67.8847039 -45.885542300000004,-67.8854334 -45.8851465,-67.88477851 -45.88530377,-67.8863347 -45.8849448,-67.8869569 -45.8849672,-67.8874826 -45.883847,-67.8903258 -45.883570600000006,-67.88934482 -45.88367092,-67.8808522 -45.8847432,-67.8831053 -45.8843548,-67.884897 -45.8834586,-67.8876114 -45.88378720000001,-67.8901434 -45.8835856,-67.87931365 -45.88515467,-67.8775477 -45.8859232,-67.87784810000001 -45.8854153,-67.8789425 -45.8862742,-67.879554 -45.8862667,-67.8829443 -45.8844743,-67.8806055 -45.8848253,-67.87597578 -45.88674947,,-67.87630061 -45.88642699,-67.8775907 -45.885744,-67.8778374 -45.8851241,-67.8766251 -45.8844594,-67.8767002 -45.8840561,-67.8758872 -45.88413516,-67.8738034 -45.8829806,-67.8739858 -45.8834512,-67.87655 -45.8844445,-67.8765929 -45.8840262,-67.87263059 -45.88283868,-67.8737283 -45.8829508,-67.8736854 -45.8833242,-67.8730094 -45.8829134,-67.8686643 -45.8830254,-67.86703039 -45.88312685,-67.8685462 -45.8831151,-67.8700483 -45.8829059,-67.8648233 -45.8818603,-67.8628063 -45.8810537,-67.8621304 -45.8814645,-67.86071597 -45.88116865,-67.8614116 -45.8855274,-67.862978 -45.884788,-67.8635466 -45.8831599,-67.8632355 -45.8817483,-67.86391140000002 -45.8815093,-67.8628063 -45.8810537,-67.8623772 -45.8814346,-67.85908094 -45.88593849,-67.8609717 -45.8856767,-67.862817 -45.8848403,-67.8617656 -45.8854826,-67.8616369 -45.886192,-67.8618944 -45.8867671,-67.86045923 -45.88724171,-67.8618944 -45.8867671,-67.8616261 -45.8862443,-67.8603601 -45.88681940000001,-67.8594589 -45.8868119,-67.8584075 -45.8873347,-67.856369 -45.8871629,-67.8557789 -45.8865655,-67.85399644 -45.88640005,-67.8548133 -45.885968,-67.8544056 -45.8857215,-67.8542554 -45.8852884,-67.85284989 -45.88522411,-67.8535903 -45.8848851,-67.8530109 -45.8845938,-67.8524315 -45.8844893,-67.85093028 -45.88433862,-67.8516591 -45.8844445,-67.8505969 -45.8845789,-67.84921346 -45.88477072,-67.84983520000002 -45.8848851,-67.8485048 -45.8854826,-67.849406 -45.8856842,-67.84894709 -45.88576073,-67.848537 -45.8862742,-67.8485477 -45.8854079,-67.8494489 -45.8856319,-67.84708796 -45.88650563,-67.8469384 -45.8864833,-67.8456509 -45.8865206,-67.8438485 -45.8877379,-67.8427005 -45.8909267,-67.84140349 -45.89173196;-67.84140349 -45.89173196,-67.8469384 -45.8864833,-67.8456509 -45.8865206,-67.8438485 -45.8877379,-67.8427005 -45.8909267,-67.84708796 -45.88650563,-67.848537 -45.8862742,-67.8485477 -45.8854079,-67.8494489 -45.8856319,-67.84894709 -45.88576073,-67.84983520000002 -45.8848851,-67.8485048 -45.8854826,-67.849406 -45.8856842,-67.84921346 -45.88477072,-67.8516591 -45.8844445,-67.8505969 -45.8845789,-67.85093028 -45.88433862,-67.8535903 -45.8848851,-67.8530109 -45.8845938,-67.8524315 -45.8844893,-67.85284989 -45.88522411,-67.8548133 -45.885968,-67.8544056 -45.8857215,-67.8542554 -45.8852884,-67.85399644 -45.88640005,-67.8618944 -45.8867671,-67.8616261 -45.8862443,-67.8603601 -45.88681940000001,-67.8594589 -45.8868119,-67.8584075 -45.8873347,-67.856369 -45.8871629,-67.8557789 -45.8865655,-67.86045923 -45.88724171,-67.8609717 -45.8856767,-67.862817 -45.8848403,-67.8617656 -45.8854826,-67.8616369 -45.886192,-67.8618944 -45.8867671,-67.85908094 -45.88593849,-67.8614116 -45.8855274,-67.862978 -45.884788,-67.8635466 -45.8831599,-67.8632355 -45.8817483,-67.86391140000002 -45.8815093,-67.8628063 -45.8810537,-67.8623772 -45.8814346,-67.86071597 -45.88116865,-67.8685462 -45.8831151,-67.8700483 -45.8829059,-67.8648233 -45.8818603,-67.8628063 -45.8810537,-67.8621304 -45.8814645,-67.86703039 -45.88312685,-67.8737283 -45.8829508,-67.8736854 -45.8833242,-67.8730094 -45.8829134,-67.8686643 -45.8830254,-67.87263059 -45.88283868,-67.8738034 -45.8829806,-67.8739858 -45.8834512,-67.87655 -45.8844445,-67.8765929 -45.8840262,-67.8758872 -45.88413516,-67.8775907 -45.885744,-67.8778374 -45.8851241,-67.8766251 -45.8844594,-67.8767002 -45.8840561,-67.87630061 -45.88642699,,-67.87597578 -45.88674947,-67.8775477 -45.8859232,-67.87784810000001 -45.8854153,-67.8789425 -45.8862742,-67.879554 -45.8862667,-67.8829443 -45.8844743,-67.8806055 -45.8848253,-67.87931365 -45.88515467,-67.8808522 -45.8847432,-67.8831053 -45.8843548,-67.884897 -45.8834586,-67.8876114 -45.88378720000001,-67.8901434 -45.8835856,-67.88934482 -45.88367092,-67.8863347 -45.8849448,-67.8869569 -45.8849672,-67.8874826 -45.883847,-67.8903258 -45.883570600000006,-67.88477851 -45.88530377,-67.8847039 -45.885542300000004,-67.8854334 -45.8851465,-67.88304639 -45.88588109,-67.8838027 -45.88608,-67.882483 -45.8868716,-67.88085052 -45.88709026,-67.8783846 -45.8885519,-67.8803802 -45.8880143,-67.8826654 -45.8868044,-67.8823113 -45.8868119,-67.87661058 -45.88889945,-67.8765285 -45.89045620000001,-67.877773 -45.8901799,-67.8803802 -45.8880143,-67.8783846 -45.8885519,-67.87484305 -45.89067788,-67.8756487 -45.8907699,-67.8751016 -45.891875,-67.87350417 -45.89236821;-67.87350417 -45.89236821,-67.8756487 -45.8907699,-67.8751016 -45.891875,-67.87484305 -45.89067788,-67.8765285 -45.89045620000001,-67.877773 -45.8901799,-67.8803802 -45.8880143,-67.8783846 -45.8885519,-67.87661058 -45.88889945,-67.8783846 -45.8885519,-67.8803802 -45.8880143,-67.8826654 -45.8868044,-67.8823113 -45.8868119,-67.88085052 -45.88709026,-67.8838027 -45.88608,-67.882483 -45.8868716,-67.88304639 -45.88588109,-67.8847039 -45.885542300000004,-67.8854334 -45.8851465,-67.88477851 -45.88530377,-67.8877938 -45.885251,-67.8862166 -45.8849523,-67.88725199 -45.88498287,-67.8916669 -45.8851316,-67.891463 -45.8853332,-67.8890061 -45.8855946,-67.8886521 -45.8849672,-67.88986813 -45.88509226,-67.895658 -45.88465360000001,-67.8955078 -45.8872675,-67.89402720000001 -45.888186,-67.89313670000001 -45.8879097,-67.8935552 -45.8866999,-67.891624 -45.8850718,-67.89478887 -45.88442779,-67.896452 -45.8842129,-67.8972995 -45.8841607,-67.8987801 -45.8833839,-67.8993165 -45.8836304,-67.89811074 -45.88424629,-67.90316820000001 -45.883637900000004,-67.9026854 -45.8831823,-67.9021275 -45.8832794,-67.900722 -45.8842279,-67.9001105 -45.8851465,-67.8995955 -45.8843175,-67.90293219 -45.8836944,-67.9039729 -45.8871629,-67.9034686 -45.8869165,-67.9041123 -45.886192,-67.9042947 -45.8847656,-67.90316820000001 -45.883637900000004,-67.90362098 -45.8874036,-67.9052818 -45.8875736,-67.90654780000001 -45.8882084,-67.9074919 -45.8882756,-67.90705336 -45.88840606,-67.9066443 -45.8844071,-67.9062474 -45.8852585,-67.908833 -45.885968,-67.9091012 -45.8864012,-67.90594775 -45.88423937,,-67.90591516 -45.88446218,-67.9076958 -45.8841084,-67.9082644 -45.8839366,-67.9093373 -45.8833167,-67.9103136 -45.8831972,-67.90970498 -45.88326091,-67.911365 -45.8831076,-67.9142618 -45.8826968,-67.9159892 -45.8825026,-67.91541483 -45.88231338,-67.9166651 -45.8823159,-67.9170835 -45.8822711,-67.9178345 -45.8833989,-67.9184783 -45.8832943,-67.91747464 -45.88372353,-67.9183173 -45.8833018,-67.9179525 -45.8832943,-67.9178452 -45.8829358,-67.9186606 -45.8819873,-67.9191113 -45.8815466,-67.9197979 -45.8813898,-67.91930941 -45.88137118,-67.9231775 -45.8798138,-67.9230273 -45.8801051,-67.9220295 -45.8802022,-67.9198301 -45.8807027,-67.9191542 -45.8814645,-67.9198301 -45.8813375,-67.92260289 -45.87981886,-67.9288745 -45.8790371,-67.9299045 -45.8786188,-67.929765 -45.8784918,-67.9247224 -45.8798512,-67.9241753 -45.8796943,-67.92746283 -45.879252,-67.9288745 -45.8790371,-67.9299796 -45.8786337,-67.9304302 -45.8776552,-67.9309022 -45.8766245,-67.9306126 -45.8766543,-67.92916705 -45.87686758,-67.9305589 -45.8765722,-67.9309773 -45.8765423,-67.9323184 -45.875011,-67.9336917 -45.8726132,-67.93292309 -45.87290945,-67.9337347 -45.872531,-67.9350007 -45.8704245,-67.9346895 -45.8701032,-67.933282 -45.87018527,-67.936492 -45.8696625,-67.9362881 -45.8694234,-67.9350436 -45.8703273,-67.9347003 -45.8699986,-67.93551008 -45.87004015,-67.9383588 -45.8674437,-67.9380584 -45.8682655,-67.9363847 -45.8693786,-67.9365671 -45.8696326,-67.9400271 -45.8665472</t>
  </si>
  <si>
    <t>-67.9400271 -45.8665472,-67.9427254 -45.8635364,-67.9464859 -45.8623447,-67.9469097 -45.862016,-67.94569946 -45.86221924,-67.9469097 -45.8620944,-67.9481596 -45.8620048,-67.94727301 -45.86217176,-67.9483044 -45.861911400000004,-67.9473495 -45.8614183,-67.94655091 -45.86160389,-67.9479718 -45.8615453,-67.9493934 -45.8606973,-67.9489589 -45.8606599,-67.94780419 -45.86081977,-67.9549134 -45.858239,-67.9527032 -45.8590684,-67.9493666 -45.8607794,-67.9491198 -45.8606898,-67.9539623 -45.85805836,-67.9549778 -45.85820170000001,-67.9571986 -45.85672970000001,-67.9579175 -45.8564981,-67.9585719 -45.8567521,-67.95773843 -45.85672753,-67.9637325 -45.8577459,-67.9643655 -45.8579476,-67.9642689 -45.8583885,-67.9623485 -45.8582017,-67.9617047 -45.8578879,-67.960825 -45.8571257,-67.9587221 -45.8568418,-67.96207279 -45.85789473,-67.9669297 -45.8569464,-67.9656959 -45.8570435,-67.9637325 -45.8577459,NA,-67.9675949 -45.8587247,-67.9686892 -45.858239,-67.9689896 -45.8576114,-67.9686141 -45.8569912,-67.9681528 -45.856841800000005,-67.9661051 -45.85896591,-67.9667151 -45.8589862,-67.9657924 -45.8593374,-67.9640114 -45.8591431,-67.96225639 -45.85951472;-67.96225639 -45.85951472,-67.9667151 -45.8589862,-67.9657924 -45.8593374,-67.9640114 -45.8591431,-67.9661051 -45.85896591,-67.9675949 -45.8587247,-67.9686892 -45.858239,-67.9689896 -45.8576114,-67.9686141 -45.8569912,-67.9681528 -45.856841800000005,NA,-67.9669297 -45.8569464,-67.9656959 -45.8570435,-67.9637325 -45.8577459,-67.96207279 -45.85789473,-67.9637325 -45.8577459,-67.9643655 -45.8579476,-67.9642689 -45.8583885,-67.9623485 -45.8582017,-67.9617047 -45.8578879,-67.960825 -45.8571257,-67.9587221 -45.8568418,-67.95773843 -45.85672753,-67.9549778 -45.85820170000001,-67.9571986 -45.85672970000001,-67.9579175 -45.8564981,-67.9585719 -45.8567521,-67.9539623 -45.85805836,-67.9549134 -45.858239,-67.9527032 -45.8590684,-67.9493666 -45.8607794,-67.9491198 -45.8606898,-67.94780419 -45.86081977,-67.9479718 -45.8615453,-67.9493934 -45.8606973,-67.9489589 -45.8606599,-67.94655091 -45.86160389,-67.9483044 -45.861911400000004,-67.9473495 -45.8614183,-67.94727301 -45.86217176,-67.9469097 -45.8620944,-67.9481596 -45.8620048,-67.94569946 -45.86221924,-67.9427254 -45.8635364,-67.9464859 -45.8623447,-67.9469097 -45.862016,-67.9400271 -45.8665472,-67.9383588 -45.8674437,-67.9380101 -45.8666929,-67.9392922 -45.8661064,-67.93822649 -45.86645361,,-67.93820898 -45.86621382,-67.939437 -45.8659907,-67.9410034 -45.8642985,-67.9397787 -45.86446671,-67.9413575 -45.8643508,-67.94191 -45.8638801,-67.9413092 -45.8637717,-67.94026881 -45.86394522,-67.9412395 -45.8636896,-67.94085860000001 -45.8628677,-67.94016816 -45.86304785,-67.9407513 -45.863103100000004,-67.9403973 -45.8622551,-67.93757020000001 -45.8636746,-67.93638614 -45.8639203,-67.9374468 -45.8637643,-67.93648120000002 -45.8648999,-67.93542287 -45.86514387,-67.9364544 -45.8650082,-67.9343033 -45.8651128,-67.93322311 -45.86539389,-67.934196 -45.8650755,-67.9339492 -45.8648887,-67.9318678 -45.8652174,-67.93025624 -45.86524613,-67.92887450000002 -45.8655984,-67.929647 -45.8660093,-67.9311919 -45.8652622,-67.92761571 -45.86576064,-67.9284239 -45.8655835,-67.9270077 -45.8655162,-67.92568273 -45.86555172,,-67.92617947 -45.86596757,-67.9266429 -45.8657927,-67.9259992 -45.8665696,-67.92478129 -45.86687146,-67.9258382 -45.86658460000001,-67.9220402 -45.8663903,-67.92069068 -45.86664171,-67.9224908 -45.8663306,-67.9191971 -45.8656582,-67.91774956 -45.8661538,-67.9187572 -45.8661064,-67.9176843 -45.8663679,-67.9172981 -45.8656657,-67.91575239 -45.86551598,-67.9164934 -45.8652398,-67.9147875 -45.8642536,-67.9133606 -45.865322,-67.9120409 -45.8651352,-67.91093971 -45.86527418,-67.9122448 -45.8649709,-67.911129 -45.8644105,-67.9103887 -45.8645226,-67.90917641 -45.86476613,-67.9100668 -45.8647318,-67.9098523 -45.8659197,-67.9103565 -45.8661513,-67.90947109 -45.86641003,-67.911644 -45.8674213,-67.9121912 -45.8666145,-67.9106033 -45.8662932,-67.91006247 -45.86780539;-67.91006247 -45.86780539,-67.911644 -45.8674213,-67.9121912 -45.8666145,-67.9106033 -45.8662932,-67.90947109 -45.86641003,-67.9100668 -45.8647318,-67.9098523 -45.8659197,-67.9103565 -45.8661513,-67.90917641 -45.86476613,-67.9122448 -45.8649709,-67.911129 -45.8644105,-67.9103887 -45.8645226,-67.91093971 -45.86527418,-67.9164934 -45.8652398,-67.9147875 -45.8642536,-67.9133606 -45.865322,-67.9120409 -45.8651352,-67.91575239 -45.86551598,-67.9187572 -45.8661064,-67.9176843 -45.8663679,-67.9172981 -45.8656657,-67.91774956 -45.8661538,-67.9224908 -45.8663306,-67.9191971 -45.8656582,-67.92069068 -45.86664171,-67.9258382 -45.86658460000001,-67.9220402 -45.8663903,-67.92478129 -45.86687146,-67.9266429 -45.8657927,-67.9259992 -45.8665696,-67.92617947 -45.86596757,,-67.92568273 -45.86555172,-67.9284239 -45.8655835,-67.9270077 -45.8655162,-67.92761571 -45.86576064,-67.92887450000002 -45.8655984,-67.929647 -45.8660093,-67.9311919 -45.8652622,-67.93025624 -45.86524613,-67.934196 -45.8650755,-67.9339492 -45.8648887,-67.9318678 -45.8652174,-67.93322311 -45.86539389,-67.9364544 -45.8650082,-67.9343033 -45.8651128,-67.93542287 -45.86514387,-67.9374468 -45.8637643,-67.93648120000002 -45.8648999,-67.93638614 -45.8639203,-67.9407513 -45.863103100000004,-67.9403973 -45.8622551,-67.93757020000001 -45.8636746,-67.94016816 -45.86304785,-67.9412395 -45.8636896,-67.94085860000001 -45.8628677,-67.94026881 -45.86394522,-67.9413575 -45.8643508,-67.94191 -45.8638801,-67.9413092 -45.8637717,-67.9397787 -45.86446671,-67.939437 -45.8659907,-67.9410034 -45.8642985,-67.93820898 -45.86621382,,-67.93822649 -45.86645361,-67.9383588 -45.8674437,-67.9380101 -45.8666929,-67.9392922 -45.8661064,-67.9400271 -45.8665472</t>
  </si>
  <si>
    <t>-67.9400271 -45.8665472,-67.9383588 -45.8674437,-67.9380101 -45.8666929,-67.9392922 -45.8661064,-67.93822649 -45.86645361,,-67.93820898 -45.86621382,-67.939437 -45.8659907,-67.9410034 -45.8642985,-67.9397787 -45.86446671,-67.9413575 -45.8643508,-67.94191 -45.8638801,-67.9413092 -45.8637717,-67.94026881 -45.86394522,-67.9412395 -45.8636896,-67.94085860000001 -45.8628677,-67.94016816 -45.86304785,-67.9407513 -45.863103100000004,-67.9403973 -45.8622551,-67.93757020000001 -45.8636746,-67.93638614 -45.8639203,-67.9374468 -45.8637643,-67.93648120000002 -45.8648999,-67.93542287 -45.86514387,-67.9364544 -45.8650082,-67.9343033 -45.8651128,-67.93322311 -45.86539389,-67.934196 -45.8650755,-67.9339492 -45.8648887,-67.9318678 -45.8652174,-67.93025624 -45.86524613,-67.9317927 -45.8665099,-67.9313958 -45.8663156,-67.9318678 -45.8652174,-67.93029002 -45.86668754,-67.9312563 -45.8666892,-67.9306877 -45.8669805,-67.9292071 -45.866338,-67.9283273 -45.867257,-67.92759808 -45.86788307,-67.9271686 -45.8677052,-67.926718 -45.8677948,-67.925849 -45.8687063,-67.92477777 -45.86902425,-67.9239607 -45.87091,-67.9254735 -45.8690648,-67.92270363 -45.87121385;-67.92270363 -45.87121385,-67.9239607 -45.87091,-67.9254735 -45.8690648,-67.92477777 -45.86902425,-67.9271686 -45.8677052,-67.926718 -45.8677948,-67.925849 -45.8687063,-67.92759808 -45.86788307,-67.925849 -45.8668984,-67.9255056 -45.867257,-67.9271686 -45.8676305,-67.92478129 -45.86687146,-67.9266429 -45.8657927,-67.9259992 -45.8665696,-67.92617947 -45.86596757,,-67.92568273 -45.86555172,-67.9284239 -45.8655835,-67.9270077 -45.8655162,-67.92761571 -45.86576064,-67.9267931 -45.86391,-67.9258704 -45.8645525,-67.9281235 -45.8654938,-67.92562891 -45.86384385,-67.9267287 -45.8641042,-67.9260421 -45.8645525,-67.9272652 -45.8648663,-67.9282737 -45.8628789,-67.9276514 -45.8618479,-67.9260095 -45.86162722,-67.9257202 -45.8606599,-67.9255271 -45.861085800000005,-67.9269326 -45.8609513,-67.9270506 -45.8613025,-67.92472033 -45.86078317,-67.9253769 -45.8604208,-67.9236388 -45.8595317,-67.9233384 -45.8597857,-67.92204432 -45.86025045,-67.9235315 -45.8601219,-67.9222655 -45.8604731,-67.92116295 -45.86077528,-67.9219651 -45.8610335,-67.9157424 -45.8609887,-67.91412974 -45.86109479,-67.9153347 -45.8605702,-67.9157317 -45.8599725,-67.9146159 -45.859457,-67.91347499 -45.85938782,-67.9145408 -45.8594047,-67.9124916 -45.858777,-67.9112792 -45.8592776,-67.91058213 -45.85962973,-67.9112792 -45.8592776,-67.9102921 -45.8588293,-67.9105067 -45.8586425,-67.90964669 -45.85881191,-67.9102653 -45.8586986,-67.9081625 -45.8581195,-67.90707943 -45.8582017,-67.90773330000002 -45.8580522,-67.9073417 -45.8579177,-67.9068965 -45.8568567,-67.9053408 -45.8563822,-67.90400196 -45.85653031,-67.904284 -45.8564084,-67.9033184 -45.8552726,-67.9019022 -45.8551232,-67.90067511 -45.8549717,,-67.90022567 -45.85540767,-67.9008508 -45.8548093,-67.8990161 -45.8545403,-67.898823 -45.8538678,-67.8965485 -45.8545553,-67.89483427 -45.85484841,-67.887429 -45.855564,-67.8894138 -45.853808,-67.8932333 -45.8533447,-67.8969455 -45.8545851,-67.8963768 -45.8546599,-67.88581092 -45.85597227,-67.887429 -45.855564,-67.8882551 -45.8548691,-67.8894138 -45.853808,-67.8920853 -45.8535689,-67.8916454 -45.8538678,-67.8897357 -45.85395,-67.88910 -45.85436,-67.8875685 -45.8562589,-67.885799 -45.8571033,-67.88544 -45.8578281,-67.88523 -45.85794,-67.88402968 -45.85834964,-67.8814316 -45.8592926,-67.8808415 -45.8591357,-67.880863 -45.8587322,-67.8817642 -45.858239,-67.8850043 -45.8580522,-67.88077392 -45.85953999,-67.8790283 -45.8588293,-67.880466 -45.8587397,-67.8813028 -45.8593598,-67.87771797 -45.85914466,-67.875917 -45.8590236,-67.8765607 -45.8587098,-67.8784597 -45.8588443,-67.87446619 -45.85953534,-67.8758311 -45.8590012,-67.8755307 -45.858777,-67.8718829 -45.8588144,-67.8721619 -45.8576637,-67.8733528 -45.857462,-67.8739536 -45.8579028,-67.87227986 -45.85836679,-67.8721619 -45.8576637,-67.8734279 -45.8573798,-67.8740823 -45.8579103,-67.87029294 -45.85782787,-67.8694689 -45.8577534,-67.8703272 -45.8578879,-67.8705525 -45.8574694,-67.8710139 -45.8575441,-67.86752908 -45.85773082,-67.8666365 -45.8577982,-67.8680527 -45.857716,-67.86509618 -45.85797591,-67.8655958 -45.85783560000001,-67.8642118 -45.8570435,-67.86269634 -45.8576934,-67.8630531 -45.8577608,-67.8618944 -45.8580074,-67.86119926 -45.8582863,-67.8617334 -45.8580597,-67.8595233 -45.8583362,-67.85800456 -45.85865306,-67.8585362 -45.8586425,-67.8567231 -45.8591431,-67.8550386 -45.8605852,-67.85325633 -45.86047853,-67.8547168 -45.8600622,-67.8545237 -45.8589862,-67.8537083 -45.858508,-67.852335 -45.8585529,-67.85051371 -45.8587379,-67.8511226 -45.8587172,-67.8489661 -45.8581942,-67.8504252 -45.8565952,-67.84992667 -45.85649082,-67.851541 -45.8561394,-67.8511119 -45.8555416,-67.8497386 -45.8553249,-67.8490841 -45.8555341,-67.84737753 -45.85568862,-67.8480864 -45.8556163,-67.846477 -45.8561992,-67.8452325 -45.8556537,-67.84359994 -45.85582912,-67.8438914 -45.8557508,-67.8414237 -45.8563262,-67.8377545 -45.8563187,-67.83653581 -45.85644197,-67.8371108 -45.8561767,-67.8326368 -45.8556313,-67.83154193 -45.85548135,-67.8319716 -45.855437,-67.8292787 -45.855108200000004,-67.82760578 -45.8552439,-67.8277767 -45.8550036,-67.8251696 -45.8547271,-67.824676 -45.8544207,-67.82322995 -45.85451391,-67.8244078 -45.8540994,-67.8225088 -45.8518801,-67.82163737 -45.8516816,-67.8223801 -45.8515886,-67.8209639 -45.8504751,-67.8196657 -45.8504079,-67.81800483 -45.85079524,-67.8185713 -45.8505798,-67.816962 -45.851073,-67.8161895 -45.8523658,-67.81497943 -45.85259887,-67.816329 -45.8519921,-67.8167796 -45.8511701,-67.8158462 -45.8513121,-67.8150415 -45.8533148,-67.8138399 -45.8541293,-67.81217316 -45.85421245,-67.809999 -45.85395,-67.81053540000002 -45.8542265,-67.8125417 -45.8543386,-67.80813131 -45.85419968,-67.8064048 -45.853539,-67.8089046 -45.854361,-67.8103852 -45.8542265,-67.8098702 -45.8539126,-67.80441533 -45.8533642,-67.8110075 -45.8532999,-67.8095913 -45.8534045,-67.8081751 -45.8532849,-67.8063512 -45.8536436,-67.81033656 -45.85331184,-67.8119838 -45.8516783,-67.8118229 -45.8524256,-67.8138614 -45.8534792,-67.8134108 -45.8536361,-67.8115761 -45.85313550000001,-67.81172912 -45.8516909,-67.8122091 -45.8515064,-67.8108895 -45.8507965,-67.8091085 -45.8510879,-67.80727764 -45.85143246;-67.80727764 -45.85143246,-67.8122091 -45.8515064,-67.8108895 -45.8507965,-67.8091085 -45.8510879,-67.81172912 -45.8516909,-67.8119838 -45.8516783,-67.8118229 -45.8524256,-67.8138614 -45.8534792,-67.8134108 -45.8536361,-67.8115761 -45.85313550000001,-67.81033656 -45.85331184,-67.8110075 -45.8532999,-67.8095913 -45.8534045,-67.8081751 -45.8532849,-67.8063512 -45.8536436,-67.80441533 -45.8533642,-67.8064048 -45.853539,-67.8089046 -45.854361,-67.8103852 -45.8542265,-67.8098702 -45.8539126,-67.80813131 -45.85419968,-67.809999 -45.85395,-67.81053540000002 -45.8542265,-67.8125417 -45.8543386,-67.81217316 -45.85421245,-67.816329 -45.8519921,-67.8167796 -45.8511701,-67.8158462 -45.8513121,-67.8150415 -45.8533148,-67.8138399 -45.8541293,-67.81497943 -45.85259887,-67.8185713 -45.8505798,-67.816962 -45.851073,-67.8161895 -45.8523658,-67.81800483 -45.85079524,-67.8223801 -45.8515886,-67.8209639 -45.8504751,-67.8196657 -45.8504079,-67.82163737 -45.8516816,-67.8244078 -45.8540994,-67.8225088 -45.8518801,-67.82322995 -45.85451391,-67.8277767 -45.8550036,-67.8251696 -45.8547271,-67.824676 -45.8544207,-67.82760578 -45.8552439,-67.8319716 -45.855437,-67.8292787 -45.855108200000004,-67.83154193 -45.85548135,-67.8371108 -45.8561767,-67.8326368 -45.8556313,-67.83653581 -45.85644197,-67.8438914 -45.8557508,-67.8414237 -45.8563262,-67.8377545 -45.8563187,-67.84359994 -45.85582912,-67.8480864 -45.8556163,-67.846477 -45.8561992,-67.8452325 -45.8556537,-67.84737753 -45.85568862,-67.851541 -45.8561394,-67.8511119 -45.8555416,-67.8497386 -45.8553249,-67.8490841 -45.8555341,-67.84992667 -45.85649082,-67.8511226 -45.8587172,-67.8489661 -45.8581942,-67.8504252 -45.8565952,-67.85051371 -45.8587379,-67.8547168 -45.8600622,-67.8545237 -45.8589862,-67.8537083 -45.858508,-67.852335 -45.8585529,-67.85325633 -45.86047853,-67.8585362 -45.8586425,-67.8567231 -45.8591431,-67.8550386 -45.8605852,-67.85800456 -45.85865306,-67.8617334 -45.8580597,-67.8595233 -45.8583362,-67.86119926 -45.8582863,-67.8630531 -45.8577608,-67.8618944 -45.8580074,-67.86269634 -45.8576934,-67.8655958 -45.85783560000001,-67.8642118 -45.8570435,-67.86509618 -45.85797591,-67.8666365 -45.8577982,-67.8680527 -45.857716,-67.86752908 -45.85773082,-67.8694689 -45.8577534,-67.8703272 -45.8578879,-67.8705525 -45.8574694,-67.8710139 -45.8575441,-67.87029294 -45.85782787,-67.8721619 -45.8576637,-67.8734279 -45.8573798,-67.8740823 -45.8579103,-67.87227986 -45.85836679,-67.8758311 -45.8590012,-67.8755307 -45.858777,-67.8718829 -45.8588144,-67.8721619 -45.8576637,-67.8733528 -45.857462,-67.8739536 -45.8579028,-67.87446619 -45.85953534,-67.875917 -45.8590236,-67.8765607 -45.8587098,-67.8784597 -45.8588443,-67.87771797 -45.85914466,-67.8790283 -45.8588293,-67.880466 -45.8587397,-67.8813028 -45.8593598,-67.88077392 -45.85953999,-67.8814316 -45.8592926,-67.8808415 -45.8591357,-67.880863 -45.8587322,-67.8817642 -45.858239,-67.8850043 -45.8580522,-67.88402968 -45.85834964,-67.887429 -45.855564,-67.8882551 -45.8548691,-67.8894138 -45.853808,-67.8920853 -45.8535689,-67.8916454 -45.8538678,-67.8897357 -45.85395,-67.88910 -45.85436,-67.8875685 -45.8562589,-67.885799 -45.8571033,-67.88544 -45.8578281,-67.88523 -45.85794,-67.88581092 -45.85597227,-67.887429 -45.855564,-67.8894138 -45.853808,-67.8932333 -45.8533447,-67.8969455 -45.8545851,-67.8963768 -45.8546599,-67.89483427 -45.85484841,-67.9008508 -45.8548093,-67.8990161 -45.8545403,-67.898823 -45.8538678,-67.8965485 -45.8545553,-67.90022567 -45.85540767,,-67.90067511 -45.8549717,-67.904284 -45.8564084,-67.9033184 -45.8552726,-67.9019022 -45.8551232,-67.90400196 -45.85653031,-67.90773330000002 -45.8580522,-67.9073417 -45.8579177,-67.9068965 -45.8568567,-67.9053408 -45.8563822,-67.90707943 -45.8582017,-67.9102653 -45.8586986,-67.9081625 -45.8581195,-67.90964669 -45.85881191,-67.9112792 -45.8592776,-67.9102921 -45.8588293,-67.9105067 -45.8586425,-67.91058213 -45.85962973,-67.9145408 -45.8594047,-67.9124916 -45.858777,-67.9112792 -45.8592776,-67.91347499 -45.85938782,-67.9153347 -45.8605702,-67.9157317 -45.8599725,-67.9146159 -45.859457,-67.91412974 -45.86109479,-67.9219651 -45.8610335,-67.9157424 -45.8609887,-67.92116295 -45.86077528,-67.9235315 -45.8601219,-67.9222655 -45.8604731,-67.92204432 -45.86025045,-67.9253769 -45.8604208,-67.9236388 -45.8595317,-67.9233384 -45.8597857,-67.92472033 -45.86078317,-67.9288423 -45.860757,-67.9286063 -45.8609812,-67.9269433 -45.8608168,-67.9254305 -45.8610559,-67.9256237 -45.8606898,-67.92827234 -45.86082887,-67.9307091 -45.86097370000001,-67.9287457 -45.8609588,-67.9288423 -45.860757,-67.92973166 -45.86112334,-67.9343569 -45.8614145,-67.9335523 -45.861549,-67.9334021 -45.8611381,-67.9309666 -45.8609214,-67.93332777 -45.86169272,-67.9375219 -45.8620421,-67.9357517 -45.861085800000005,-67.9346144 -45.8614519,-67.93652197 -45.86222667,-67.9388309 -45.8607794,-67.938112 -45.8611007,-67.9377472 -45.860899,-67.9362881 -45.8614743,-67.9374897 -45.8619749,-67.93809539 -45.86091501,-67.9389811 -45.8623559,-67.9389596 -45.8618329,-67.9381979 -45.8610783,-67.9390669 -45.8607794,-67.93749455 -45.86270022,-67.9407942 -45.8630844,-67.9403758 -45.8621878,-67.9386914 -45.8624792,-67.94016816 -45.86304785,-67.9412395 -45.8636896,-67.94085860000001 -45.8628677,-67.94026881 -45.86394522,-67.9413575 -45.8643508,-67.94191 -45.8638801,-67.9413092 -45.8637717,-67.9397787 -45.86446671,-67.939437 -45.8659907,-67.9410034 -45.8642985,-67.93820898 -45.86621382,,-67.93822649 -45.86645361,-67.9383588 -45.8674437,-67.9380101 -45.8666929,-67.9392922 -45.8661064,-67.9400271 -45.8665472</t>
  </si>
  <si>
    <t>-67.9400271 -45.8665472,-67.9452038 -45.8642219,-67.9464403 -45.8647635,-67.9454304 -45.86503525,,-67.94551194 -45.86495899,-67.949152 -45.8670029,-67.9489589 -45.866338,-67.9464805 -45.8656358,-67.946502 -45.8652099,-67.94827454 -45.86749255,-67.9581213 -45.8673466,-67.9581428 -45.8669731,-67.9568553 -45.866226,-67.9523492 -45.8659869,-67.9491305 -45.866226,-67.9489803 -45.8668834,-67.95709848 -45.86769228,-67.9570484 -45.8711267,-67.9574454 -45.8693637,-67.9580891 -45.8675707,-67.95610675 -45.87170205;-67.95610675 -45.87170205,-67.9571235 -45.8715898,-67.9572952 -45.8723443,-67.9570484 -45.87342,-67.95743470000001 -45.8736217,-67.95650202 -45.87386891,-67.9575098 -45.8735619,-67.9580784 -45.8727253,-67.95720623 -45.87256309,-67.9630244 -45.8733005,-67.9618549 -45.87156740000001,-67.9611683 -45.8714553,-67.9596126 -45.871724300000004,-67.95881870000001 -45.8720007,-67.96214261 -45.87344787,-67.9666829 -45.8734274,-67.9651701 -45.87286720000001,-67.9644513 -45.8730315,-67.9638612 -45.8733752,-67.9632068 -45.8733901,-67.96572509 -45.87368099,-67.96696190000002 -45.8736067,-67.9677129 -45.8742267,-67.9679918 -45.8746077,-67.9672039 -45.87497495,-67.9705024 -45.8745479,-67.9698265 -45.8742641,-67.9688072 -45.8745629,-67.96981728 -45.87481078;-67.96981728 -45.87481078,-67.9705024 -45.8745479,-67.9698265 -45.8742641,-67.9688072 -45.8745629,-67.9672039 -45.87497495;-67.9672039 -45.87497495,-67.9711676 -45.8706262,-67.9712427 -45.8723667,-67.9717791 -45.8732033,-67.9711139 -45.8738906,-67.9693866 -45.8740474,-67.9686463 -45.874533,-67.96992116 -45.87035971,-67.9710925 -45.8705739,-67.9709744 -45.8714329,-67.9711354 -45.8722173,-67.9706633 -45.8714479,-67.9697943 -45.8691545,-67.9688479 -45.86924263,-67.96972990000002 -45.8689453,-67.96923640000001 -45.8687586,-67.9681098 -45.8689901,-67.9667795 -45.868863100000006,-67.9656208 -45.8688333,-67.96419792 -45.86877502;-67.96419792 -45.86877502,-67.96972990000002 -45.8689453,-67.96923640000001 -45.8687586,-67.9681098 -45.8689901,-67.9667795 -45.868863100000006,-67.9656208 -45.8688333,-67.9688479 -45.86924263,-67.9710925 -45.8705739,-67.9709744 -45.8714329,-67.9711354 -45.8722173,-67.9706633 -45.8714479,-67.9697943 -45.8691545,-67.96992116 -45.87035971,-67.9711676 -45.8706262,-67.9712427 -45.8723667,-67.9717791 -45.8732033,-67.9711139 -45.8738906,-67.9693866 -45.8740474,-67.9686463 -45.874533,-67.9672039 -45.87497495,-67.96696190000002 -45.8736067,-67.9677129 -45.8742267,-67.9679918 -45.8746077,-67.96572509 -45.87368099,-67.9666829 -45.8734274,-67.9651701 -45.87286720000001,-67.9644513 -45.8730315,-67.9638612 -45.8733752,-67.9632068 -45.8733901,-67.96214261 -45.87344787,-67.9630244 -45.8733005,-67.9618549 -45.87156740000001,-67.9611683 -45.8714553,-67.9596126 -45.871724300000004,-67.95881870000001 -45.8720007,-67.95720623 -45.87256309,-67.9575098 -45.8735619,-67.9580784 -45.8727253,-67.95650202 -45.87386891,-67.9571235 -45.8715898,-67.9572952 -45.8723443,-67.9570484 -45.87342,-67.95743470000001 -45.8736217,-67.95610675 -45.87170205,-67.9570484 -45.8711267,-67.9574454 -45.8693637,-67.9580891 -45.8675707,-67.95709848 -45.86769228,-67.9581213 -45.8673466,-67.9581428 -45.8669731,-67.9568553 -45.866226,-67.9523492 -45.8659869,-67.9491305 -45.866226,-67.9489803 -45.8668834,-67.94827454 -45.86749255,-67.949152 -45.8670029,-67.9489589 -45.866338,-67.9464805 -45.8656358,-67.946502 -45.8652099,-67.94551194 -45.86495899,,-67.9454304 -45.86503525,-67.9452038 -45.8642219,-67.9464403 -45.8647635,-67.9400271 -45.8665472</t>
  </si>
  <si>
    <t>-67.9400271 -45.8665472,-67.9383588 -45.8674437,-67.9380584 -45.8682655,-67.9363847 -45.8693786,-67.9365671 -45.8696326,-67.93551008 -45.87004015,-67.936492 -45.8696625,-67.9362881 -45.8694234,-67.9350436 -45.8703273,-67.9347003 -45.8699986,-67.933282 -45.87018527,-67.9337347 -45.872531,-67.9350007 -45.8704245,-67.9346895 -45.8701032,-67.93292309 -45.87290945,-67.9305589 -45.8765722,-67.9309773 -45.8765423,-67.9323184 -45.875011,-67.9336917 -45.8726132,-67.92916705 -45.87686758,-67.9288745 -45.8790371,-67.9299796 -45.8786337,-67.9304302 -45.8776552,-67.9309022 -45.8766245,-67.9306126 -45.8766543,-67.92746283 -45.879252,-67.9288745 -45.8790371,-67.9299796 -45.8786337,-67.9308271 -45.8793582,-67.9310632 -45.8796271,-67.9308057 -45.8796645,-67.92926139 -45.87980166,-67.9308057 -45.8796645,-67.9309773 -45.8795823,-67.9308271 -45.8793582,-67.9319429 -45.8795524,-67.9332089 -45.8799333,-67.9339921 -45.8795524,-67.9349685 -45.8793358,-67.935698 -45.8793209,-67.93512028 -45.8793768,-67.9364383 -45.8791566,-67.9368889 -45.8790371,-67.9370821 -45.878798,-67.939657 -45.8787906,-67.9398179 -45.8784246,-67.93938002 -45.87863178,-67.9433799 -45.8793582,-67.9425859 -45.8792462,-67.9414809 -45.8788951,-67.9399574 -45.8788802,-67.9395819 -45.8785889,-67.9398179 -45.8784246,-67.94258106 -45.87928487,-67.9468131 -45.8799931,-67.9464698 -45.8794927,-67.9443026 -45.8791491,-67.9459034 -45.88040255,-67.9472744 -45.8827118,-67.9475963 -45.8819051,-67.9476392 -45.8807475,-67.9472208 -45.8805159,-67.94607409 -45.88311995,-67.9472744 -45.8852212,-67.9470921 -45.8844967,-67.9472423 -45.883959,-67.9472315 -45.8831823,-67.94628753 -45.88560005,-67.9487872 -45.8868418,-67.9495382 -45.8874766,-67.9496884 -45.88726,-67.9485726 -45.886095,-67.9476714 -45.8855871,-67.94746568 -45.88694764,-67.948755 -45.886894,-67.9494202 -45.887484,-67.9503751 -45.8875587,-67.9509008 -45.8873571,-67.9508793 -45.8868716,-67.94972726 -45.88693813,-67.951051 -45.8868418,-67.9516089 -45.886207,-67.952832 -45.8866028,-67.95178221 -45.88666191,-67.957381 -45.8868268,-67.9566729 -45.8866327,-67.953701 -45.8868791,-67.9533148 -45.8869911,-67.9529393 -45.8866103,-67.95650174 -45.8868325,-67.9573059 -45.8868268,-67.956748 -45.8864908,-67.9563725 -45.8857215,-67.9556644 -45.8849971,-67.9546167 -45.88506443,-67.960428 -45.8852436,-67.9597843 -45.8853855,-67.9578102 -45.8852959,-67.9558897 -45.8849448,-67.95958113 -45.88533853,-67.9643977 -45.8867746,-67.9641402 -45.8867895,-67.9629064 -45.8855274,-67.9625845 -45.8842055,-67.9620588 -45.8840412,-67.9608893 -45.8848926,-67.96291589 -45.88644251,-67.9671872 -45.8881412,-67.9659748 -45.8870061,-67.9642153 -45.8869314,-67.9642582 -45.8866849,-67.96633372 -45.88873533,-67.9702985 -45.892002,-67.9693437 -45.8927189,-67.9695046 -45.8920393,-67.9694617 -45.8909565,-67.9689038 -45.8902247,-67.9675949 -45.8891494,-67.9695987 -45.89181892,-67.9699337 -45.8946379,-67.9693973 -45.8950411,-67.9688287 -45.894847,-67.9686248 -45.893936,-67.9694724 -45.8926591,-67.9702985 -45.892002,-67.96939983 -45.89469974,-67.9698801 -45.8941675,-67.9696119 -45.8937568,-67.9699659 -45.8935029,-67.96948958 -45.89363794;-67.96948958 -45.89363794,-67.9698801 -45.8941675,-67.9696119 -45.8937568,-67.9699659 -45.8935029,-67.96939983 -45.89469974,-67.9721761 -45.8962209,-67.9716182 -45.8947873,-67.9710388 -45.8947723,-67.97161551 -45.8965517,-67.9729271 -45.8958177,-67.9726696 -45.8949515,-67.97168684 -45.8946769;-67.97168684 -45.8946769,-67.9725194 -45.8940704,-67.9735279 -45.8935179,-67.97316911 -45.89352066,-67.9749441 -45.8933834,-67.9761243 -45.8929055,-67.9766607 -45.892353,-67.97648439 -45.89266109,-67.9748368 -45.8912328,-67.9752231 -45.891427,-67.9759526 -45.8921289,-67.9767251 -45.8924575,-67.97300504 -45.89135,-67.9741609 -45.8913075,-67.9732168 -45.8912627,-67.9721975 -45.8896198,-67.9726803 -45.8893958,-67.97210028 -45.88946166;-67.97210028 -45.88946166,-67.9741609 -45.8913075,-67.9732168 -45.8912627,-67.9721975 -45.8896198,-67.9726803 -45.8893958,-67.97300504 -45.89135,-67.9748368 -45.8912328,-67.9752231 -45.891427,-67.9759526 -45.8921289,-67.9767251 -45.8924575,-67.97648439 -45.89266109,-67.9793 -45.8940107,-67.9789138 -45.8935925,-67.9785919 -45.8927711,-67.9782271 -45.8926517,-67.97886335 -45.8939859;-67.97886335 -45.8939859,-67.9793 -45.8940107,-67.9789138 -45.8935925,-67.9785919 -45.8927711,-67.9782271 -45.8926517,-67.97648439 -45.89266109,-67.9749441 -45.8933834,-67.9761243 -45.8929055,-67.9766607 -45.892353,-67.97316911 -45.89352066,-67.9725194 -45.8940704,-67.9735279 -45.8935179,-67.97168684 -45.8946769,-67.9729271 -45.8958177,-67.9726696 -45.8949515,-67.97161551 -45.8965517,-67.9721761 -45.8962209,-67.9716182 -45.8947873,-67.9710388 -45.8947723,-67.96939983 -45.89469974,-67.9699337 -45.8946379,-67.9693973 -45.8950411,-67.9688287 -45.894847,-67.9686248 -45.893936,-67.9694724 -45.8926591,-67.9702985 -45.892002,-67.9695987 -45.89181892,-67.9702985 -45.892002,-67.9693437 -45.8927189,-67.9695046 -45.8920393,-67.9694617 -45.8909565,-67.9689038 -45.8902247,-67.9675949 -45.8891494,-67.96633372 -45.88873533,-67.9671872 -45.8881412,-67.9659748 -45.8870061,-67.9642153 -45.8869314,-67.9642582 -45.8866849,-67.96291589 -45.88644251,-67.9643977 -45.8867746,-67.9641402 -45.8867895,-67.9629064 -45.8855274,-67.9625845 -45.8842055,-67.9620588 -45.8840412,-67.9608893 -45.8848926,-67.95958113 -45.88533853,-67.960428 -45.8852436,-67.9597843 -45.8853855,-67.9578102 -45.8852959,-67.9558897 -45.8849448,-67.9546167 -45.88506443,-67.9573059 -45.8868268,-67.956748 -45.8864908,-67.9563725 -45.8857215,-67.9556644 -45.8849971,-67.95650174 -45.8868325,-67.957381 -45.8868268,-67.9566729 -45.8866327,-67.953701 -45.8868791,-67.9533148 -45.8869911,-67.9529393 -45.8866103,-67.95178221 -45.88666191,-67.951051 -45.8868418,-67.9516089 -45.886207,-67.952832 -45.8866028,-67.94972726 -45.88693813,-67.948755 -45.886894,-67.9494202 -45.887484,-67.9503751 -45.8875587,-67.9509008 -45.8873571,-67.9508793 -45.8868716,-67.94746568 -45.88694764,-67.9487872 -45.8868418,-67.9495382 -45.8874766,-67.9496884 -45.88726,-67.9485726 -45.886095,-67.9476714 -45.8855871,-67.94628753 -45.88560005,-67.9472744 -45.8852212,-67.9470921 -45.8844967,-67.9472423 -45.883959,-67.9472315 -45.8831823,-67.94607409 -45.88311995,-67.9472744 -45.8827118,-67.9475963 -45.8819051,-67.9476392 -45.8807475,-67.9472208 -45.8805159,-67.9459034 -45.88040255,-67.9468131 -45.8799931,-67.9464698 -45.8794927,-67.9443026 -45.8791491,-67.94258106 -45.87928487,-67.9433799 -45.8793582,-67.9425859 -45.8792462,-67.9414809 -45.8788951,-67.9399574 -45.8788802,-67.9395819 -45.8785889,-67.9398179 -45.8784246,-67.93938002 -45.87863178,,-67.93921257 -45.87804782,-67.9512119 -45.8788877,-67.952435 -45.8787607,-67.9518127 -45.8800454,-67.9474354 -45.8786785,-67.9441524 -45.8779764,-67.9427791 -45.8776328,-67.940805 -45.8776926,-67.94944114 -45.87896309,-67.9534543 -45.8773565,-67.9526925 -45.87711,-67.9530144 -45.8775731,-67.9524779 -45.878813,-67.9512334 -45.8789325,-67.95259842 -45.87763583,-67.95394780000001 -45.8775432,-67.9556751 -45.8774162,-67.9568982 -45.8769083,-67.9582715 -45.8767813,-67.95749384 -45.8768117,-67.9582286 -45.8768411,-67.9568982 -45.8769083,-67.9591405 -45.8758775,-67.95866674 -45.87595626,-67.9605675 -45.8757281,-67.9607499 -45.8763556,-67.960943 -45.8763182,-67.96020228 -45.87662649,-67.9618549 -45.8754667,-67.9605675 -45.8757281,-67.9612454 -45.87560985;-67.9612454 -45.87560985,-67.9618549 -45.8754667,-67.9605675 -45.8757281,-67.96020228 -45.87662649,-67.9605675 -45.8757281,-67.9607499 -45.8763556,-67.960943 -45.8763182,-67.95866674 -45.87595626,-67.9582286 -45.8768411,-67.9568982 -45.8769083,-67.9591405 -45.8758775,-67.95749384 -45.8768117,-67.95394780000001 -45.8775432,-67.9556751 -45.8774162,-67.9568982 -45.8769083,-67.9582715 -45.8767813,-67.95259842 -45.87763583,-67.9521346 -45.8759746,-67.9517162 -45.8759074,-67.9513943 -45.8758999,-67.9525959 -45.87702780000001,-67.95337920000001 -45.8774162,-67.95155064 -45.87647635,-67.9521346 -45.8759746,-67.951448 -45.8759597,-67.9509008 -45.8738383,-67.94983615 -45.87396079,-67.9508579 -45.8736739,-67.9509115 -45.8721426,-67.94974928 -45.87213834,-67.9510081 -45.87218,-67.9515123 -45.8715599,-67.9518449 -45.870925,-67.95082673 -45.87123588,-67.9518449 -45.870925,-67.9516733 -45.8706037,-67.9509866 -45.870275,-67.95089010000001 -45.8697222,-67.9517484 -45.8700734,-67.9526281 -45.8699912,-67.95188123 -45.87007275,-67.9526013 -45.869965,-67.9517484 -45.8700734,-67.9508901 -45.8697222,-67.9511476 -45.8693039,-67.95011093 -45.86936834,-67.9511476 -45.8693039,-67.95089010000001 -45.8697222,-67.9506433 -45.8681011,-67.9512978 -45.867892,-67.95075242 -45.86791677,-67.9513514 -45.867951700000006,-67.9506004 -45.8681534,-67.9493558 -45.8665622,-67.9490876 -45.8664576,-67.9492164 -45.8668461,-67.94827454 -45.86749255,-67.949152 -45.8670029,-67.9489589 -45.866338,-67.9464805 -45.8656358,-67.946502 -45.8652099,-67.94551194 -45.86495899,,-67.9454304 -45.86503525,-67.9452038 -45.8642219,-67.9464403 -45.8647635,-67.9400271 -45.8665472</t>
  </si>
  <si>
    <t>-67.9400271 -45.8665472,-67.9383588 -45.8674437,-67.9380101 -45.8666929,-67.9392922 -45.8661064,-67.93822649 -45.86645361,,-67.93820898 -45.86621382,-67.939437 -45.8659907,-67.9410034 -45.8642985,-67.9397787 -45.86446671,-67.9413575 -45.8643508,-67.94191 -45.8638801,-67.9413092 -45.8637717,-67.94026881 -45.86394522,-67.9412395 -45.8636896,-67.94085860000001 -45.8628677,-67.94016816 -45.86304785,-67.9407942 -45.8630844,-67.9403758 -45.8621878,-67.9386914 -45.8624792,-67.93749455 -45.86270022,-67.9389811 -45.8623559,-67.9389596 -45.8618329,-67.9381979 -45.8610783,-67.9390669 -45.8607794,-67.93809539 -45.86091501,-67.9388309 -45.8607794,-67.938112 -45.8611007,-67.9377472 -45.860899,-67.9362881 -45.8614743,-67.9374897 -45.8619749,-67.93652197 -45.86222667,-67.9375219 -45.8620421,-67.9357517 -45.861085800000005,-67.9346144 -45.8614519,-67.93332777 -45.86169272,-67.9343569 -45.8614145,-67.9335523 -45.861549,-67.9334021 -45.8611381,-67.9309666 -45.8609214,-67.92973166 -45.86112334,-67.9307091 -45.86097370000001,-67.9287457 -45.8609588,-67.9288423 -45.860757,-67.92827234 -45.86082887,-67.9288423 -45.860757,-67.9286063 -45.8609812,-67.9269433 -45.8608168,-67.9254305 -45.8610559,-67.9256237 -45.8606898,-67.92472033 -45.86078317,-67.9253769 -45.8604208,-67.9236388 -45.8595317,-67.9233384 -45.8597857,-67.92204432 -45.86025045,-67.9235315 -45.8601219,-67.9222655 -45.8604731,-67.92116295 -45.86077528,-67.9219651 -45.8610335,-67.9157424 -45.8609887,-67.91412974 -45.86109479,-67.9153347 -45.8605702,-67.9157317 -45.8599725,-67.9146159 -45.859457,-67.91347499 -45.85938782,-67.9145408 -45.8594047,-67.9124916 -45.858777,-67.9112792 -45.8592776,-67.91058213 -45.85962973,-67.9112792 -45.8592776,-67.9102921 -45.8588293,-67.9105067 -45.8586425,-67.90964669 -45.85881191,-67.9102653 -45.8586986,-67.9081625 -45.8581195,-67.90707943 -45.8582017,-67.90773330000002 -45.8580522,-67.9073417 -45.8579177,-67.9068965 -45.8568567,-67.9053408 -45.8563822,-67.90400196 -45.85653031,-67.9045093 -45.8564233,-67.9023314 -45.8567073,-67.90107375 -45.85681401;-67.90107375 -45.85681401,-67.9045093 -45.8564233,-67.9023314 -45.8567073,-67.90400196 -45.85653031,-67.904284 -45.8564084,-67.9033184 -45.8552726,-67.9019022 -45.8551232,-67.90067511 -45.8549717,,-67.90022567 -45.85540767,-67.9008508 -45.8548093,-67.8990161 -45.8545403,-67.898823 -45.8538678,-67.8965485 -45.8545553,-67.89483427 -45.85484841,-67.887429 -45.855564,-67.8894138 -45.853808,-67.8932333 -45.8533447,-67.8969455 -45.8545851,-67.8963768 -45.8546599,-67.88581092 -45.85597227,-67.887429 -45.855564,-67.8882551 -45.8548691,-67.8894138 -45.853808,-67.8920853 -45.8535689,-67.8916454 -45.8538678,-67.8897357 -45.85395,-67.88910 -45.85436,-67.8875685 -45.8562589,-67.885799 -45.8571033,-67.88544 -45.8578281,-67.88523 -45.85794,-67.88402968 -45.85834964,-67.8814316 -45.8592926,-67.8808415 -45.8591357,-67.880863 -45.8587322,-67.8817642 -45.858239,-67.8850043 -45.8580522,-67.88077392 -45.85953999,-67.8790283 -45.8588293,-67.880466 -45.8587397,-67.8813028 -45.8593598,-67.87771797 -45.85914466,-67.875917 -45.8590236,-67.8765607 -45.8587098,-67.8784597 -45.8588443,-67.87446619 -45.85953534,-67.8758311 -45.8590012,-67.8755307 -45.858777,-67.8718829 -45.8588144,-67.8721619 -45.8576637,-67.8733528 -45.857462,-67.8739536 -45.8579028,-67.87227986 -45.85836679,-67.8721619 -45.8576637,-67.8734279 -45.8573798,-67.8740823 -45.8579103,-67.87029294 -45.85782787,-67.8694689 -45.8577534,-67.8703272 -45.8578879,-67.8705525 -45.8574694,-67.8710139 -45.8575441,-67.86752908 -45.85773082,-67.8666365 -45.8577982,-67.8680527 -45.857716,-67.86509618 -45.85797591,-67.8655958 -45.85783560000001,-67.8642118 -45.8570435,-67.86269634 -45.8576934;-67.86269634 -45.8576934,-67.8630531 -45.8577608,-67.8618944 -45.8580074,-67.86119926 -45.8582863,-67.8617334 -45.8580597,-67.8595233 -45.8583362,-67.85800456 -45.85865306,-67.8585362 -45.8586425,-67.8567231 -45.8591431,-67.8550386 -45.8605852,-67.85325633 -45.86047853,-67.8547168 -45.8600622,-67.8545237 -45.8589862,-67.8537083 -45.858508,-67.852335 -45.8585529,-67.85051371 -45.8587379,-67.8511226 -45.8587172,-67.8489661 -45.8581942,-67.8504252 -45.8565952,-67.84992667 -45.85649082,-67.851541 -45.8561394,-67.8511119 -45.8555416,-67.8497386 -45.8553249,-67.8490841 -45.8555341,-67.84737753 -45.85568862,-67.8480864 -45.8556163,-67.846477 -45.8561992,-67.8452325 -45.8556537,-67.84359994 -45.85582912,-67.8438914 -45.8557508,-67.8414237 -45.8563262,-67.8377545 -45.8563187,-67.83653581 -45.85644197,-67.8371108 -45.8561767,-67.8326368 -45.8556313,-67.83154193 -45.85548135,-67.8319716 -45.855437,-67.8292787 -45.855108200000004,-67.82760578 -45.8552439,-67.8277767 -45.8550036,-67.8251696 -45.8547271,-67.824676 -45.8544207,-67.82322995 -45.85451391,-67.8244078 -45.8540994,-67.8225088 -45.8518801,-67.82163737 -45.8516816,-67.8223801 -45.8515886,-67.8209639 -45.8504751,-67.8196657 -45.8504079,-67.81800483 -45.85079524,-67.8185713 -45.8505798,-67.816962 -45.851073,-67.8161895 -45.8523658,-67.81497943 -45.85259887;-67.81497943 -45.85259887,-67.816329 -45.8519921,-67.8167796 -45.8511701,-67.8158462 -45.8513121,-67.8150415 -45.8533148,-67.8138399 -45.8541293,-67.81217316 -45.85421245,-67.809999 -45.85395,-67.81053540000002 -45.8542265,-67.8125417 -45.8543386,-67.80813131 -45.85419968,-67.8093982 -45.8548467,-67.8103423 -45.8545851,-67.808851 -45.8544506,-67.8103101 -45.854219,-67.8097093 -45.8539126,-67.8072436 -45.85498762,-67.8098595 -45.8560647,-67.809999 -45.8550036,-67.8090441 -45.8548691,-67.80907829 -45.8565264,-67.8125632 -45.8568492,-67.810396 -45.8571033,-67.8101599 -45.8566923,-67.81224182 -45.85671416,-67.8138077 -45.8564532,-67.814548 -45.8566699,-67.813561 -45.8597484,-67.8137219 -45.8605777,-67.81282229 -45.86107452,-67.8186142 -45.8634617,-67.8183568 -45.8624605,-67.8160179 -45.8615565,-67.8143764 -45.8610559,-67.81720169 -45.86444747,-67.8182173 -45.868004,-67.8160286 -45.8663455,-67.8181314 -45.8648065,-67.8182173 -45.864545,-67.81633269 -45.86814359,-67.819097 -45.8668461,-67.8186357 -45.8670552,-67.8192151 -45.868385,-67.81829240000002 -45.8680713,-67.8187144 -45.86699435,-67.8260922 -45.8716048,-67.8258884 -45.8718886,-67.8219509 -45.871657,-67.8194082 -45.8687287,-67.8185391 -45.8670926,-67.8190756 -45.8667788,-67.82435527 -45.87146335,-67.8233564 -45.8708503,-67.8244293 -45.8708652,-67.8251266 -45.8711117,-67.82148856 -45.87077309;-67.82148856 -45.87077309,-67.8233564 -45.8708503,-67.8244293 -45.8708652,-67.8251266 -45.8711117,-67.82435527 -45.87146335,-67.8326046 -45.8712686,-67.8287637 -45.8718438,-67.8266931 -45.8718811,-67.8259957 -45.8715076,-67.83204724 -45.87132308,-67.8363276 -45.8710445,-67.8348899 -45.87091,-67.8336024 -45.8710221,-67.83598551 -45.8713908,-67.8404045 -45.871440400000004,-67.8396642 -45.8713657,-67.8393745 -45.8705216,-67.8371751 -45.8699314,-67.8344822 -45.8697969,-67.8345251 -45.8700584,-67.8363597 -45.8707606,-67.83999726 -45.87142467,-67.8403401 -45.8715002,-67.8396213 -45.8713059,-67.8401256 -45.8706859,-67.8424323 -45.8705216,-67.8432369 -45.8702153,-67.84266503 -45.8702826,-67.8433174 -45.8702414,-67.8424054 -45.8705701,-67.8442401 -45.8712014,-67.8457582 -45.8705029,-67.8468794 -45.8714778,-67.8465736 -45.871657000000006,-67.8464073 -45.8713396,-67.84458226 -45.87132178,-67.8464448 -45.8713396,-67.8465736 -45.871657000000006,-67.84484620000002 -45.8726692,-67.84336962 -45.87289033,-67.8489339 -45.8731324,-67.8501302 -45.8733565,-67.8485316 -45.8736739,-67.8459191 -45.8729942,-67.84549 -45.8723406,-67.8449106 -45.8726842,-67.84711722 -45.87310355,-67.84873010000001 -45.87312860000001,-67.8543305 -45.8741595,-67.857635 -45.8744807,-67.857019 -45.87438052,-67.857635 -45.8744807,-67.8541696 -45.874152,-67.8588581 -45.8727103,-67.8593409 -45.8716048,-67.85882935 -45.87179542,-67.8593409 -45.8716048,-67.85971640000001 -45.8705365,-67.8614008 -45.870529,-67.861948 -45.8698268,-67.8630531 -45.8694832,-67.86235431 -45.86962035,-67.8639972 -45.8691171,-67.8657031 -45.8680713,-67.86498939 -45.86808329,-67.8668189 -45.8667639,-67.8664005 -45.866988,-67.8663254 -45.8676305,-67.86635342 -45.86702056,-67.8668725 -45.8688706,-67.8667974 -45.868646500000004,-67.8676665 -45.8677127,-67.867012 -45.86727940000001,-67.86653014 -45.86909111,-67.8665292 -45.8705589,-67.866143 -45.8710594,-67.8657889 -45.8704767,-67.8668725 -45.8688706,-67.86552841 -45.87071955,-67.8665292 -45.8704394,-67.8664756 -45.8701107,-67.8674197 -45.8697073,-67.8698659 -45.8700883,-67.8700376 -45.8699389,-67.8700268 -45.8692964,-67.86891343 -45.86940172,-67.8699839 -45.8693413,-67.8700376 -45.8699389,-67.8703916 -45.8701929,-67.8709173 -45.8699239,-67.8707349 -45.8692815,-67.8712177 -45.8686166,-67.8731596 -45.8681236,-67.8729107 -45.86822856,-67.8735942 -45.8680488,-67.8724301 -45.8682281,-67.8724086 -45.8686689,-67.8764427 -45.8695952,-67.87545792 -45.87007243,-67.8773439 -45.8681385,-67.878288 -45.8679816,-67.8767216 -45.8696102,-67.87529512 -45.86884053,-67.8773224 -45.8682132,-67.8784168 -45.867951700000006,-67.8792751 -45.866988,-67.87841593 -45.86693979,-67.8794253 -45.8652025,-67.8813779 -45.8643508,-67.8805947 -45.8648065,-67.8801227 -45.8652622,-67.8801119 -45.8658151,-67.8798544 -45.8661513,-67.87816911 -45.86559299,-67.8800154 -45.8627071,-67.880863 -45.8635887,-67.8814101 -45.8638502,-67.881496 -45.8643508,-67.8795862 -45.8651352,-67.87889297 -45.8626014,-67.8809917 -45.8619301,-67.8822792 -45.8616611,-67.8835666 -45.8617507,-67.8845859 -45.8612277,-67.8843284 -45.8612427,-67.88286864 -45.86153258,-67.8855836 -45.8605329,-67.8847253 -45.8611754,-67.8843284 -45.8612427,-67.88485253 -45.86038085,-67.8862917 -45.8600846,-67.8869355 -45.8600547,-67.8873861 -45.8596438,-67.8876221 -45.8588667,-67.8886843 -45.8579999,-67.8905296 -45.8572453,-67.8915596 -45.8569165,-67.8910661 -45.8570435,-67.89119881 -45.85678635,-67.8960952 -45.8598436,-67.8959692 -45.8585678,-67.8961945 -45.8583138,-67.8955936 -45.8581419,-67.8949177 -45.8572976,-67.8950787 -45.8562589,-67.894907 -45.8558629,-67.8937376 -45.8558928,-67.8932869 -45.8566101,-67.8928149 -45.8568492,-67.8926003 -45.8566998,-67.89506126 -45.86022417,-67.8961086 -45.8601668,-67.8949714 -45.8618927,-67.89369378 -45.862107,-67.8961945 -45.8632674,-67.8952932 -45.8629985,-67.8948426 -45.8620347,-67.8946526 -45.86372426,-67.8962696 -45.8632899,-67.8974175 -45.8625203,-67.8984583 -45.8622177,-67.89779792 -45.86312838,,-67.8975525 -45.86346654,-67.8993487 -45.8636634,-67.8988981 -45.8636933,-67.89861920000001 -45.8635215,-67.89867893 -45.86374335,-67.9039943 -45.8644255,-67.9028034 -45.8637381,-67.8999174 -45.8635812,-67.90314798 -45.8648888,-67.906419 -45.86626330000001,-67.9050887 -45.8652025,-67.9043591 -45.864814,-67.90565529 -45.8665856,-67.9108179 -45.86391,-67.9094768 -45.8638353,-67.9077816 -45.8657329,-67.9066443 -45.8662484,-67.90869072 -45.86438156,-67.9100454 -45.8663754,-67.9094982 -45.8663306,-67.909627 -45.86429100000001,-67.90947109 -45.86641003,-67.9100668 -45.8647318,-67.9098523 -45.8659197,-67.9103565 -45.8661513,-67.90917641 -45.86476613,-67.9122448 -45.8649709,-67.911129 -45.8644105,-67.9103887 -45.8645226,-67.91093971 -45.86527418,-67.9164934 -45.8652398,-67.9147875 -45.8642536,-67.9133606 -45.865322,-67.9120409 -45.8651352,-67.91575239 -45.86551598,-67.9187572 -45.8661064,-67.9176843 -45.8663679,-67.9172981 -45.8656657,-67.91774956 -45.8661538,-67.9224908 -45.8663306,-67.9191971 -45.8656582,-67.92069068 -45.86664171,-67.9258382 -45.86658460000001,-67.9220402 -45.8663903,-67.92478129 -45.86687146,-67.9266429 -45.8657927,-67.9259992 -45.8665696,-67.92617947 -45.86596757,,-67.92568273 -45.86555172,-67.9284239 -45.8655835,-67.9270077 -45.8655162,-67.92761571 -45.86576064,-67.92887450000002 -45.8655984,-67.929647 -45.8660093,-67.9311919 -45.8652622,-67.93025624 -45.86524613,-67.934196 -45.8650755,-67.9339492 -45.8648887,-67.9318678 -45.8652174,-67.93322311 -45.86539389,-67.9364544 -45.8650082,-67.9343033 -45.8651128,-67.93542287 -45.86514387,-67.9374468 -45.8637643,-67.93648120000002 -45.8648999,-67.93638614 -45.8639203,-67.9407513 -45.863103100000004,-67.9403973 -45.8622551,-67.93757020000001 -45.8636746,-67.94016816 -45.86304785,-67.9412395 -45.8636896,-67.94085860000001 -45.8628677,-67.94026881 -45.86394522,-67.9413575 -45.8643508,-67.94191 -45.8638801,-67.9413092 -45.8637717,-67.9397787 -45.86446671,-67.939437 -45.8659907,-67.9410034 -45.8642985,-67.93820898 -45.86621382,,-67.93822649 -45.86645361,-67.9383588 -45.8674437,-67.9380101 -45.8666929,-67.9392922 -45.8661064,-67.9400271 -45.8665472,-67.9383588 -45.8674437,-67.9380584 -45.8682655,-67.9363847 -45.8693786,-67.9365671 -45.8696326,-67.93551008 -45.87004015;-67.93551008 -45.87004015,-67.9383588 -45.8674437,-67.9380584 -45.8682655,-67.9363847 -45.8693786,-67.9365671 -45.8696326,-67.9400271 -45.8665472</t>
  </si>
  <si>
    <t>-67.9400271 -45.8665472,-67.9383588 -45.8674437,-67.9380101 -45.8666929,-67.9392922 -45.8661064,-67.93822649 -45.86645361,,-67.93820898 -45.86621382,-67.939437 -45.8659907,-67.9410034 -45.8642985,-67.9397787 -45.86446671,-67.9413575 -45.8643508,-67.94191 -45.8638801,-67.9413092 -45.8637717,-67.94026881 -45.86394522,-67.9412395 -45.8636896,-67.94085860000001 -45.8628677,-67.94016816 -45.86304785,-67.9407513 -45.863103100000004,-67.9403973 -45.8622551,-67.93757020000001 -45.8636746,-67.93638614 -45.8639203,-67.9374468 -45.8637643,-67.93648120000002 -45.8648999,-67.93542287 -45.86514387,-67.9364544 -45.8650082,-67.9343033 -45.8651128,-67.93322311 -45.86539389,-67.934196 -45.8650755,-67.9339492 -45.8648887,-67.9318678 -45.8652174,-67.93025624 -45.86524613,-67.92887450000002 -45.8655984,-67.929647 -45.8660093,-67.9311919 -45.8652622,-67.92761571 -45.86576064,-67.9284239 -45.8655835,-67.9270077 -45.8655162,-67.92568273 -45.86555172,,-67.92617947 -45.86596757,-67.9266429 -45.8657927,-67.9259992 -45.8665696,-67.92478129 -45.86687146,-67.9258382 -45.86658460000001,-67.9220402 -45.8663903,-67.92069068 -45.86664171,-67.9224908 -45.8663306,-67.9191971 -45.8656582,-67.91774956 -45.8661538,-67.9187572 -45.8661064,-67.9176843 -45.8663679,-67.9172981 -45.8656657,-67.91575239 -45.86551598,-67.9164934 -45.8652398,-67.9147875 -45.8642536,-67.9133606 -45.865322,-67.9120409 -45.8651352,-67.91093971 -45.86527418,-67.9122448 -45.8649709,-67.911129 -45.8644105,-67.9103887 -45.8645226,-67.90917641 -45.86476613,-67.9100668 -45.8647318,-67.9098523 -45.8659197,-67.9103565 -45.8661513,-67.90947109 -45.86641003,-67.9100454 -45.8663754,-67.9094982 -45.8663306,-67.909627 -45.86429100000001,-67.90869072 -45.86438156,-67.9108179 -45.86391,-67.9094768 -45.8638353,-67.9077816 -45.8657329,-67.9066443 -45.8662484,-67.90565529 -45.8665856,-67.906419 -45.86626330000001,-67.9050887 -45.8652025,-67.9043591 -45.864814,-67.90314798 -45.8648888,-67.9039943 -45.8644255,-67.9028034 -45.8637381,-67.8999174 -45.8635812,-67.89867893 -45.86374335,-67.8993487 -45.8636634,-67.8988981 -45.8636933,-67.89861920000001 -45.8635215,-67.8975525 -45.86346654,,-67.89779792 -45.86312838,-67.8962696 -45.8632899,-67.8974175 -45.8625203,-67.8984583 -45.8622177,-67.8946526 -45.86372426,-67.8961945 -45.8632674,-67.8952932 -45.8629985,-67.8948426 -45.8620347,-67.89369378 -45.862107,-67.8961086 -45.8601668,-67.8949714 -45.8618927,-67.89506126 -45.86022417,-67.8960952 -45.8598436,-67.8959692 -45.8585678,-67.8961945 -45.8583138,-67.8955936 -45.8581419,-67.8949177 -45.8572976,-67.8950787 -45.8562589,-67.894907 -45.8558629,-67.8937376 -45.8558928,-67.8932869 -45.8566101,-67.8928149 -45.8568492,-67.8926003 -45.8566998,-67.89119881 -45.85678635,-67.8915596 -45.8569165,-67.8910661 -45.8570435,-67.8905296 -45.8572453,-67.8874397 -45.861564, -67.8883946 -45.8611157, -67.8893924 -45.859711, -67.8905833 -45.8597558, -67.8910017 -45.8595167, -67.8910661 -45.8584856,-67.8858912 -45.86209946,-67.8864205 -45.8626398,-67.8868496 -45.8621841,-67.88514566 -45.86306402;-67.88514566 -45.86306402,-67.8864205 -45.8626398,-67.8868496 -45.8621841,-67.8858912 -45.86209946,-67.8874397 -45.861564, -67.8883946 -45.8611157, -67.8893924 -45.859711, -67.8905833 -45.8597558, -67.8910017 -45.8595167, -67.8910661 -45.8584856,-67.8905296 -45.8572453,-67.892493 -45.8607271, -67.8927398 -45.8607346, -67.8935337 -45.859584, -67.8939092 -45.8579925, -67.8936625 -45.8569015, -67.8923857 -45.8572154,-67.89112374 -45.86105529,-67.8922999 -45.8618479,-67.8926861 -45.8618553,-67.8926969 -45.8608019,-67.892493 -45.8607271,-67.89062946 -45.86210121,-67.8931367 -45.8638427,-67.892611 -45.8618778,-67.8922999 -45.8618479,-67.89177843 -45.86436433,,-67.89192781 -45.86428661,-67.8894031 -45.8649634,-67.8913772 -45.8647617,-67.89289 -45.8643732,-67.88841067 -45.86540133,-67.8926325 -45.866988,-67.8906047 -45.8664053,-67.8895426 -45.86593460000001,-67.8895962 -45.86530710000001,-67.89194102 -45.86726393,-67.8929329 -45.86721210000001,-67.894392 -45.8695056,-67.89334262 -45.86982277,-67.8955185 -45.8706112,-67.895025 -45.8705813,-67.8944993 -45.8697073,-67.89468537 -45.87097799,-67.8951538 -45.8720604,-67.8954649 -45.8713209,-67.8950679 -45.870671,-67.8955185 -45.8706112,-67.89420174 -45.8725767,-67.8954864 -45.8744359,-67.8949392 -45.8739429,-67.895143 -45.8733378,-67.8949499 -45.8727701,-67.89489679 -45.87455424,-67.8992522 -45.8749438,-67.8973424 -45.8751455,-67.8966451 -45.875362100000004,-67.8955722 -45.8745031,-67.89863672 -45.87485225,-67.8996062 -45.8756758,-67.8981364 -45.8751081,-67.8992522 -45.8749438,-67.89781334 -45.87614703,,-67.89805175 -45.8762384,-67.8998315 -45.8761838,-67.9001212 -45.8769457,-67.900883 -45.8771399,-67.9025674 -45.8764527,-67.90200809 -45.87637167,-67.9027498 -45.8764153,-67.9023206 -45.8766319,-67.9053462 -45.8764079,-67.9049706 -45.8759672,-67.90388535 -45.87594679,-67.9065692 -45.87642280000001,-67.9066443 -45.8758626,-67.9054427 -45.876363,-67.9050243 -45.8759149,-67.90493501 -45.87690763,-67.9108071 -45.880613,-67.9116762 -45.8803665,-67.9099488 -45.8795972,-67.9089832 -45.8795748,-67.908479 -45.879291,-67.9081464 -45.8778345,-67.9075241 -45.8768784,-67.9078567 -45.8763107,-67.9075456 -45.8753322,-67.9072452 -45.8752799,-67.9064727 -45.8764004,-67.90902811 -45.88062544,,-67.90891537 -45.88072557,-67.9107428 -45.880501,-67.9119766 -45.880389,-67.9123414 -45.8806952,-67.9129958 -45.8809193,-67.91210808 -45.8814063,,-67.91214619 -45.88124859,-67.9166651 -45.8823159,-67.9169762 -45.8821367,-67.9166543 -45.8815466,-67.913146 -45.8824205,-67.9128242 -45.8814645,-67.91541483 -45.88231338,-67.9166651 -45.8823159,-67.9170835 -45.8822711,-67.9178345 -45.8833989,-67.9184783 -45.8832943,-67.91747464 -45.88372353,-67.9183173 -45.8833018,-67.9179525 -45.8832943,-67.9178452 -45.8829358,-67.9186606 -45.8819873,-67.9191113 -45.8815466,-67.9197979 -45.8813898,-67.91930941 -45.88137118,-67.9231775 -45.8798138,-67.9230273 -45.8801051,-67.9220295 -45.8802022,-67.9198301 -45.8807027,-67.9191542 -45.8814645,-67.9198301 -45.8813375,-67.92260289 -45.87981886,-67.9288745 -45.8790371,-67.9299045 -45.8786188,-67.929765 -45.8784918,-67.9247224 -45.8798512,-67.9241753 -45.8796943,-67.92746283 -45.879252,-67.9288745 -45.8790371,-67.9299796 -45.8786337,-67.9308271 -45.8793582,-67.9310632 -45.8796271,-67.9308057 -45.8796645,-67.92926139 -45.87980166,-67.9308057 -45.8796645,-67.9309773 -45.8795823,-67.9308271 -45.8793582,-67.9319429 -45.8795524,-67.9332089 -45.8799333,-67.9339921 -45.8795524,-67.9349685 -45.8793358,-67.935698 -45.8793209,-67.93512028 -45.8793768,-67.9364383 -45.8791566,-67.9368889 -45.8790371,-67.9370821 -45.878798,-67.939657 -45.8787906,-67.9398179 -45.8784246,-67.93938002 -45.87863178,-67.9433799 -45.8793582,-67.9425859 -45.8792462,-67.9414809 -45.8788951,-67.9399574 -45.8788802,-67.9395819 -45.8785889,-67.9398179 -45.8784246,-67.94258106 -45.87928487,-67.9468131 -45.8799931,-67.9464698 -45.8794927,-67.9443026 -45.8791491,-67.9459034 -45.88040255,-67.9472744 -45.8827118,-67.9475963 -45.8819051,-67.9476392 -45.8807475,-67.9472208 -45.8805159,-67.94607409 -45.88311995,-67.9472744 -45.8852212,-67.9470921 -45.8844967,-67.9472423 -45.883959,-67.9472315 -45.8831823,-67.94628753 -45.88560005,-67.9487872 -45.8868418,-67.9495382 -45.8874766,-67.9496884 -45.88726,-67.9485726 -45.886095,-67.9476714 -45.8855871,-67.94746568 -45.88694764,-67.948755 -45.886894,-67.9494202 -45.887484,-67.9503751 -45.8875587,-67.9509008 -45.8873571,-67.9508793 -45.8868716,-67.94972726 -45.88693813,-67.951051 -45.8868418,-67.9516089 -45.886207,-67.952832 -45.8866028,-67.95178221 -45.88666191,-67.957381 -45.8868268,-67.9566729 -45.8866327,-67.953701 -45.8868791,-67.9533148 -45.8869911,-67.9529393 -45.8866103,-67.95650174 -45.8868325,-67.9572201 -45.886797,-67.9568553 -45.8863339,-67.9577565 -45.8853929,-67.9572201 -45.8847357,-67.9574776 -45.8842727,-67.95630644 -45.88424642,-67.9573381 -45.8842279,-67.9571986 -45.8848253,-67.9566514 -45.8846162,-67.9557717 -45.8837574,-67.9548705 -45.8829881,-67.9542482 -45.8827267,-67.95285891 -45.88298809,-67.9536474 -45.8826894,-67.9525745 -45.8824205,-67.95095172 -45.88235468;-67.95095172 -45.88235468,-67.9536474 -45.8826894,-67.9525745 -45.8824205,-67.95285891 -45.88298809,-67.9573381 -45.8842279,-67.9571986 -45.8848253,-67.9566514 -45.8846162,-67.9557717 -45.8837574,-67.9548705 -45.8829881,-67.9542482 -45.8827267,-67.95630644 -45.88424642,-67.9572201 -45.886797,-67.9568553 -45.8863339,-67.9577565 -45.8853929,-67.9572201 -45.8847357,-67.9574776 -45.8842727,-67.95650174 -45.8868325,-67.957381 -45.8868268,-67.9566729 -45.8866327,-67.953701 -45.8868791,-67.9533148 -45.8869911,-67.9529393 -45.8866103,-67.95178221 -45.88666191,-67.951051 -45.8868418,-67.9516089 -45.886207,-67.952832 -45.8866028,-67.94972726 -45.88693813,-67.948755 -45.886894,-67.9494202 -45.887484,-67.9503751 -45.8875587,-67.9509008 -45.8873571,-67.9508793 -45.8868716,-67.94746568 -45.88694764,-67.9487872 -45.8868418,-67.9495382 -45.8874766,-67.9496884 -45.88726,-67.9485726 -45.886095,-67.9476714 -45.8855871,-67.94628753 -45.88560005,-67.9472744 -45.8852212,-67.9470921 -45.8844967,-67.9472423 -45.883959,-67.9472315 -45.8831823,-67.94607409 -45.88311995,-67.9472744 -45.8827118,-67.9475963 -45.8819051,-67.9476392 -45.8807475,-67.9472208 -45.8805159,-67.9459034 -45.88040255,-67.9468131 -45.8799931,-67.9464698 -45.8794927,-67.9443026 -45.8791491,-67.94258106 -45.87928487,-67.9433799 -45.8793582,-67.9425859 -45.8792462,-67.9414809 -45.8788951,-67.9399574 -45.8788802,-67.9395819 -45.8785889,-67.9398179 -45.8784246,-67.93938002 -45.87863178,-67.9364383 -45.8791566,-67.9368889 -45.8790371,-67.9370821 -45.878798,-67.939657 -45.8787906,-67.9398179 -45.8784246,-67.93512028 -45.8793768,-67.9308057 -45.8796645,-67.9309773 -45.8795823,-67.9308271 -45.8793582,-67.9319429 -45.8795524,-67.9332089 -45.8799333,-67.9339921 -45.8795524,-67.9349685 -45.8793358,-67.935698 -45.8793209,-67.92926139 -45.87980166,-67.9288745 -45.8790371,-67.9299796 -45.8786337,-67.9308271 -45.8793582,-67.9310632 -45.8796271,-67.9308057 -45.8796645,-67.92746283 -45.879252,-67.9288745 -45.8790371,-67.9299796 -45.8786337,-67.9304302 -45.8776552,-67.9309022 -45.8766245,-67.9306126 -45.8766543,-67.92916705 -45.87686758,-67.9305589 -45.8765722,-67.9309773 -45.8765423,-67.9323184 -45.875011,-67.9336917 -45.8726132,-67.93292309 -45.87290945,-67.9337347 -45.872531,-67.9350007 -45.8704245,-67.9346895 -45.8701032,-67.933282 -45.87018527,-67.936492 -45.8696625,-67.9362881 -45.8694234,-67.9350436 -45.8703273,-67.9347003 -45.8699986,-67.93551008 -45.87004015,-67.9383588 -45.8674437,-67.9380584 -45.8682655,-67.9363847 -45.8693786,-67.9365671 -45.8696326,-67.9400271 -45.8665472</t>
  </si>
  <si>
    <t>-67.9400271 -45.8665472,-67.9383588 -45.8674437,-67.9380584 -45.8682655,-67.9363847 -45.8693786,-67.9365671 -45.8696326,-67.93551008 -45.87004015,-67.936492 -45.8696625,-67.9362881 -45.8694234,-67.9350436 -45.8703273,-67.9347003 -45.8699986,-67.933282 -45.87018527,-67.9337347 -45.872531,-67.9350007 -45.8704245,-67.9346895 -45.8701032,-67.93292309 -45.87290945,-67.9305589 -45.8765722,-67.9309773 -45.8765423,-67.9323184 -45.875011,-67.9336917 -45.8726132,-67.92916705 -45.87686758,-67.9288745 -45.8790371,-67.9299796 -45.8786337,-67.9304302 -45.8776552,-67.9309022 -45.8766245,-67.9306126 -45.8766543,-67.92746283 -45.879252,-67.9288745 -45.8790371,-67.9299796 -45.8786337,-67.9308271 -45.8793582,-67.9310632 -45.8796271,-67.9308057 -45.8796645,-67.92926139 -45.87980166,-67.9308057 -45.8796645,-67.9309773 -45.8795823,-67.9308271 -45.8793582,-67.9319429 -45.8795524,-67.9332089 -45.8799333,-67.9339921 -45.8795524,-67.9349685 -45.8793358,-67.935698 -45.8793209,-67.93512028 -45.8793768,-67.9380155 -45.8812404,-67.938627 -45.880852,-67.9384768 -45.8805682,-67.9371035 -45.8800827,-67.9358482 -45.8797093,-67.9335737 -45.8797616,-67.934432 -45.8794255,-67.9350007 -45.8792835,-67.9357088 -45.8792686,-67.93588984 -45.88149225,-67.9369104 -45.8822487,-67.9367441 -45.8819686,-67.9385787 -45.881274,-67.938568 -45.8809641,-67.9379243 -45.8811844,-67.93623372 -45.88237227,-67.9369962 -45.8822636,-67.9367441 -45.8819686,-67.9343677 -45.8832719,-67.93288041 -45.88347512,,-67.93297197 -45.88384007,-67.9325545 -45.8880964,-67.9324257 -45.8875363,-67.933048 -45.8868642,-67.9335093 -45.8836304,-67.93195275 -45.88880085,,-67.93184093 -45.88869985,-67.929883 -45.8876782,-67.9306018 -45.8878724,-67.9317605 -45.8883727,-67.9326189 -45.888201,-67.92838162 -45.88770662,-67.9286492 -45.8892166,-67.9288638 -45.8878724,-67.9292393 -45.8876931,-67.92758265 -45.88993498,-67.929368 -45.8925994,-67.9296148 -45.8919423,-67.9287994 -45.8913897,-67.9285097 -45.8910014,-67.9286277 -45.8901127,-67.92819602 -45.89300211,-67.9292285 -45.8926143,-67.9297435 -45.8916137,-67.930634 -45.8913523,-67.9310846 -45.8915241,-67.9320288 -45.8924127,-67.9322755 -45.8923231,-67.9316425 -45.8910014,-67.93002857 -45.89099999;-67.93002857 -45.89099999,-67.9326725 -45.8927039,-67.9321253 -45.8924276,-67.9320502 -45.8919796,-67.9315674 -45.8910163,-67.93203261 -45.89325144,-67.9325116 -45.8927189,-67.9321575 -45.8923754,-67.9320073 -45.8911582,-67.9324365 -45.8909939,-67.9336274 -45.8912403,-67.9348075 -45.8908669,-67.93404442 -45.8909633,-67.9351616 -45.890628,-67.9353011 -45.8903069,-67.9351509 -45.889702,-67.9356337 -45.8888283,-67.9361594 -45.8882682,-67.9367387 -45.8882607,-67.93581454 -45.88863383,-67.9410625 -45.888776,-67.9401827 -45.8890747,-67.9375863 -45.8886341,-67.93992923 -45.88854577,-67.9414594 -45.88785,-67.9417813 -45.8871554,-67.9419315 -45.8865879,-67.9423285 -45.8863414,-67.94198922 -45.88653728,-67.9423177 -45.8861323,-67.9425859 -45.8852137,-67.9431438 -45.8846088,-67.9432619 -45.8842802,-67.94255555 -45.88454697,-67.9459763 -45.8845415,-67.9446459 -45.8841607,-67.9436696 -45.8842353,-67.94483649 -45.8845247,-67.9471672 -45.8852884,-67.9470921 -45.8848627,-67.9461265 -45.8845565,-67.94628753 -45.88560005,-67.9472744 -45.8852212,-67.9470921 -45.8844967,-67.9472423 -45.883959,-67.9472315 -45.8831823,-67.94607409 -45.88311995,-67.9472744 -45.8827118,-67.9475963 -45.8819051,-67.9476392 -45.8807475,-67.9472208 -45.8805159,-67.9459034 -45.88040255,-67.9468131 -45.8799931,-67.9464698 -45.8794927,-67.9443026 -45.8791491,-67.94258106 -45.87928487,-67.9433799 -45.8793582,-67.9425859 -45.8792462,-67.9414809 -45.8788951,-67.9399574 -45.8788802,-67.9395819 -45.8785889,-67.9398179 -45.8784246,-67.93938002 -45.87863178,,-67.93921257 -45.87804782,-67.9512119 -45.8788877,-67.952435 -45.8787607,-67.9518127 -45.8800454,-67.9474354 -45.8786785,-67.9441524 -45.8779764,-67.9427791 -45.8776328,-67.940805 -45.8776926,-67.94944114 -45.87896309,-67.9534543 -45.8773565,-67.9526925 -45.87711,-67.9530144 -45.8775731,-67.9524779 -45.878813,-67.9512334 -45.8789325,-67.95259842 -45.87763583,-67.9538298 -45.8776104,-67.9575419 -45.8788205,-67.9596341 -45.8789624,-67.9602242 -45.8794852,-67.95937836 -45.87978501,-67.967391 -45.8796271,-67.9660606 -45.879657,-67.9619408 -45.879179,-67.959795 -45.8789997,-67.9602242 -45.8794852,-67.96661757 -45.87943084,-67.9708028 -45.8792686,-67.9686999 -45.8795524,-67.9682064 -45.8792238,-67.96993071 -45.87922522,-67.9739785 -45.8781632,-67.9745579 -45.8782677,-67.9740644 -45.8788802,-67.9710174 -45.8792537,-67.97210325 -45.8786421,-67.9764569 -45.8790072,-67.9757595 -45.8787084,-67.9755771 -45.8785142,-67.9742253 -45.8787756,-67.974236 -45.878222900000004,-67.9757414 -45.87911165,-67.9764569 -45.8790072,-67.9757595 -45.8787084,-67.9756951 -45.8784321,-67.9790318 -45.877588,-67.9792678 -45.8765199,-67.9792786 -45.8747272,-67.9798257 -45.8760045,-67.9801154 -45.8760643,-67.97932522 -45.87631183,-67.9801047 -45.8737412,-67.9795146 -45.8726879,-67.9791605 -45.8735694,-67.9792249 -45.8748467,-67.9793966 -45.8748467,-67.9797721 -45.8758476,-67.9800725 -45.876012,-67.97905112 -45.87422359,-67.9832268 -45.8749662,-67.9826152 -45.8755115,-67.9815102 -45.8758476,-67.9808342 -45.875578700000005,-67.9800081 -45.8743388,-67.98216983 -45.87482855;-67.98216983 -45.87482855,-67.9832268 -45.8749662,-67.9826152 -45.8755115,-67.9815102 -45.8758476,-67.9808342 -45.875578700000005,-67.9800081 -45.8743388,-67.97905112 -45.87422359,-67.9801047 -45.8737412,-67.9795146 -45.8726879,-67.9791605 -45.8735694,-67.9792249 -45.8748467,-67.9793966 -45.8748467,-67.9797721 -45.8758476,-67.9800725 -45.876012,-67.97932522 -45.87631183,-67.9764569 -45.8790072,-67.9757595 -45.8787084,-67.9756951 -45.8784321,-67.9790318 -45.877588,-67.9792678 -45.8765199,-67.9792786 -45.8747272,-67.9798257 -45.8760045,-67.9801154 -45.8760643,-67.9757414 -45.87911165,-67.9764569 -45.8790072,-67.9757595 -45.8787084,-67.9755771 -45.8785142,-67.9742253 -45.8787756,-67.974236 -45.878222900000004,-67.97210325 -45.8786421,-67.9739785 -45.8781632,-67.9745579 -45.8782677,-67.9740644 -45.8788802,-67.9710174 -45.8792537,-67.96993071 -45.87922522,-67.9708028 -45.8792686,-67.9686999 -45.8795524,-67.9682064 -45.8792238,-67.96661757 -45.87943084,-67.967391 -45.8796271,-67.9660606 -45.879657,-67.9619408 -45.879179,-67.959795 -45.8789997,-67.9602242 -45.8794852,-67.95937836 -45.87978501,-67.9538298 -45.8776104,-67.9575419 -45.8788205,-67.9596341 -45.8789624,-67.9602242 -45.8794852,-67.95259842 -45.87763583,-67.9521346 -45.8759746,-67.9517162 -45.8759074,-67.9513943 -45.8758999,-67.9525959 -45.87702780000001,-67.95337920000001 -45.8774162,-67.95155064 -45.87647635,-67.9521346 -45.8759746,-67.951448 -45.8759597,-67.9509008 -45.8738383,-67.94983615 -45.87396079,-67.9508579 -45.8736739,-67.9509115 -45.8721426,-67.94974928 -45.87213834,-67.9510081 -45.87218,-67.9515123 -45.8715599,-67.9518449 -45.870925,-67.95082673 -45.87123588,-67.9518449 -45.870925,-67.9516733 -45.8706037,-67.9509866 -45.870275,-67.95089010000001 -45.8697222,-67.9517484 -45.8700734,-67.9526281 -45.8699912,-67.95188123 -45.87007275,-67.9526013 -45.869965,-67.9517484 -45.8700734,-67.9508901 -45.8697222,-67.9511476 -45.8693039,-67.95011093 -45.86936834,-67.9511476 -45.8693039,-67.95089010000001 -45.8697222,-67.9506433 -45.8681011,-67.9512978 -45.867892,-67.95075242 -45.86791677,-67.9513514 -45.867951700000006,-67.9506004 -45.8681534,-67.9493558 -45.8665622,-67.9490876 -45.8664576,-67.9492164 -45.8668461,-67.94827454 -45.86749255,-67.949152 -45.8670029,-67.9489589 -45.866338,-67.9464805 -45.8656358,-67.946502 -45.8652099,-67.94551194 -45.86495899,,-67.9454304 -45.86503525,-67.9452038 -45.8642219,-67.9464403 -45.8647635,-67.9400271 -45.8665472</t>
  </si>
  <si>
    <t>-67.9400271 -45.8665472,-67.9383588 -45.8674437,-67.9380584 -45.8682655,-67.9363847 -45.8693786,-67.9365671 -45.8696326,-67.93551008 -45.87004015,-67.936492 -45.8696625,-67.9362881 -45.8694234,-67.9350436 -45.8703273,-67.9347003 -45.8699986,-67.933282 -45.87018527,-67.9337347 -45.872531,-67.9350007 -45.8704245,-67.9346895 -45.8701032,-67.93292309 -45.87290945,-67.9305589 -45.8765722,-67.9309773 -45.8765423,-67.9323184 -45.875011,-67.9336917 -45.8726132,-67.92916705 -45.87686758,-67.9288745 -45.8790371,-67.9299796 -45.8786337,-67.9304302 -45.8776552,-67.9309022 -45.8766245,-67.9306126 -45.8766543,-67.92746283 -45.879252,-67.9288745 -45.8790371,-67.9299045 -45.8786188,-67.929765 -45.8784918,-67.9247224 -45.8798512,-67.9241753 -45.8796943,-67.92260289 -45.87981886,-67.9231775 -45.8798138,-67.9230273 -45.8801051,-67.9220295 -45.8802022,-67.9198301 -45.8807027,-67.9191542 -45.8814645,-67.9198301 -45.8813375,-67.91930941 -45.88137118,-67.9183173 -45.8833018,-67.9179525 -45.8832943,-67.9178452 -45.8829358,-67.9186606 -45.8819873,-67.9191113 -45.8815466,-67.9197979 -45.8813898,-67.91747464 -45.88372353,-67.9166651 -45.8823159,-67.9170835 -45.8822711,-67.9178345 -45.8833989,-67.9184783 -45.8832943,-67.91541483 -45.88231338,-67.911365 -45.8831076,-67.9142618 -45.8826968,-67.9159892 -45.8825026,-67.90970498 -45.88326091,-67.9076958 -45.8841084,-67.9082644 -45.8839366,-67.9093373 -45.8833167,-67.9103136 -45.8831972,-67.90591516 -45.88446218,,-67.90594775 -45.88423937,-67.9066443 -45.8844071,-67.9062474 -45.8852585,-67.908833 -45.885968,-67.9091012 -45.8864012,-67.90705336 -45.88840606,-67.9052818 -45.8875736,-67.90654780000001 -45.8882084,-67.9074919 -45.8882756,-67.90362098 -45.8874036,-67.9039729 -45.8871629,-67.9034686 -45.8869165,-67.9041123 -45.886192,-67.9042947 -45.8847656,-67.90316820000001 -45.883637900000004,-67.90293219 -45.8836944,-67.90316820000001 -45.883637900000004,-67.9026854 -45.8831823,-67.9021275 -45.8832794,-67.900722 -45.8842279,-67.9001105 -45.8851465,-67.8995955 -45.8843175,-67.89811074 -45.88424629,-67.896452 -45.8842129,-67.8972995 -45.8841607,-67.8987801 -45.8833839,-67.8993165 -45.8836304,-67.89478887 -45.88442779,-67.895658 -45.88465360000001,-67.8955078 -45.8872675,-67.89402720000001 -45.888186,-67.89313670000001 -45.8879097,-67.8935552 -45.8866999,-67.891624 -45.8850718,-67.88986813 -45.88509226,-67.8916669 -45.8851316,-67.891463 -45.8853332,-67.8890061 -45.8855946,-67.8886521 -45.8849672,-67.88725199 -45.88498287,-67.8877938 -45.885251,-67.8862166 -45.8849523,-67.88477851 -45.88530377,-67.8847039 -45.885542300000004,-67.8854334 -45.8851465,-67.88304639 -45.88588109,-67.8838027 -45.88608,-67.882483 -45.8868716,-67.88085052 -45.88709026,-67.8783846 -45.8885519,-67.8803802 -45.8880143,-67.8826654 -45.8868044,-67.8823113 -45.8868119,-67.87661058 -45.88889945,-67.8765285 -45.89045620000001,-67.877773 -45.8901799,-67.8803802 -45.8880143,-67.8783846 -45.8885519,-67.87484305 -45.89067788,-67.8792322 -45.8901127,-67.877934 -45.8900903,-67.8765285 -45.89045620000001,-67.87813787 -45.88993585,-67.8788996 -45.8901426,-67.877934 -45.8900903,-67.8774834 -45.8904786,-67.8777945 -45.8925098,-67.8783524 -45.8919348,-67.87768072 -45.89180609,-67.8782558 -45.8919497,-67.8778267 -45.8923828,-67.8780413 -45.8938315,-67.8791893 -45.8953398,-67.87842608 -45.89585515,-67.8799939 -45.8961761,-67.8810668 -45.8968855,-67.881496 -45.8974007,-67.88049412 -45.89765426,-67.8816462 -45.8976545,-67.8819466 -45.8992972,-67.8823757 -45.8992374,-67.88283131 -45.8994995,-67.8778481 -45.8999691,-67.8795862 -45.8996556,-67.8816676 -45.8998198,-67.8823113 -45.899342,-67.87600509 -45.90013168,,-67.87638486 -45.90010492;-67.87638486 -45.90010492,,-67.87600509 -45.90013168,-67.875402 -45.9018954,-67.8762174 -45.9018506,-67.8767323 -45.9016117,-67.8774405 -45.9009995,-67.8778481 -45.8999691,-67.87401 -45.90242679,-67.8778911 -45.9022389,-67.8772688 -45.9023733,-67.8762174 -45.9020895,-67.8762174 -45.9018506,-67.875402 -45.9018954,-67.87749311 -45.90223614,-67.8877831 -45.9058523,-67.8869033 -45.9059867,-67.8840923 -45.9048668,-67.8834271 -45.9042397,-67.8832769 -45.9030601,-67.8820109 -45.9031497,-67.8811312 -45.903299,-67.8780627 -45.9027018,-67.8772688 -45.9023733,-67.8778911 -45.9022389,-67.88690397 -45.90593083,-67.8887486 -45.9139369,-67.8892422 -45.9133771,-67.889092 -45.9088982,-67.8895211 -45.9081964,-67.8884697 -45.9068527,-67.8891134 -45.9060464,-67.8899932 -45.905494,-67.890079 -45.9049863,-67.8895855 -45.9049415,-67.8884912 -45.9054641,-67.88780562 -45.91450171,-67.892257 -45.917781,-67.8922355 -45.9171241,-67.8925788 -45.9166017,-67.8926325 -45.9163553,-67.8917956 -45.9155044,-67.8909266 -45.914855,-67.8902507 -45.9144445,-67.8900683 -45.9137279,-67.8889096 -45.913601,-67.888813 -45.9138473,-67.89164408 -45.91850265,-67.895422 -45.9189901,-67.8929543 -45.9186468,-67.8948966 -45.91911867,-67.8951859 -45.9189752,-67.8956151 -45.9181094,-67.8975034 -45.9169749,-67.8979325 -45.9163329,-67.8972459 -45.916945,-67.8964305 -45.9169151,-67.8960013 -45.9166017,-67.89415644 -45.91643339,-67.9095197 -45.9178556,-67.9090691 -45.9168107,-67.90527 -45.9149745,-67.9052067 -45.9146162,-67.9025245 -45.9141235,-67.90171 -45.9145565,-67.89907 -45.9147953,-67.8979325 -45.9163329,-67.8972459 -45.916945,-67.8961945 -45.916945,-67.896 -45.9166,-67.90949828 -45.91775832,-67.9105067 -45.9207068,-67.9081678 -45.9205276,-67.9078245 -45.9200798,-67.9065156 -45.9195574,-67.9081035 -45.9191991,-67.9097772 -45.9180049,-67.91006087 -45.92075561,-67.9186392 -45.925737,-67.9181242 -45.9258713,-67.9160213 -45.924319,-67.9144335 -45.9239011,-67.9125881 -45.9236324,-67.911365 -45.9232891,-67.908361 -45.9205575,-67.9107213 -45.9206172,-67.91781996 -45.92567691,-67.9183388 -45.9258713,-67.9167509 -45.9248116,-67.9175448 -45.9264683,-67.9174805 -45.9272444,-67.9163647 -45.9281549,-67.9153562 -45.9282295,-67.9142404 -45.9287071,-67.9133177 -45.9295131,-67.9126954 -45.9289758,-67.912631 -45.9280206,-67.9141116 -45.9273489,-67.9158497 -45.9268415,-67.9161072 -45.9264235,-67.9158711 -45.9259907,-67.91406535 -45.92603076,-67.9160428 -45.9260952,-67.9158497 -45.9268415,-67.9124379 -45.928125,-67.9126954 -45.9289758,-67.9133177 -45.9295131,-67.9122019 -45.9304384,-67.9106355 -45.9306175,-67.9069018 -45.9297071,-67.9082537 -45.9278265,-67.90777463 -45.92772469;-67.90777463 -45.92772469,-67.9082537 -45.9278265,-67.9069018 -45.9297071,-67.9044557 -45.9301399,-67.9031253 -45.9268564,-67.9025245 -45.9264086,-67.90071017 -45.92674612,-67.9025245 -45.9264086,-67.9055715 -45.9264683,-67.90418073 -45.92703668;-67.90418073 -45.92703668,-67.9025245 -45.9264086,-67.9055715 -45.9264683,-67.90071017 -45.92674612,-67.9082537 -45.9278265,-67.9069018 -45.9297071,-67.9044557 -45.9301399,-67.9031253 -45.9268564,-67.9025245 -45.9264086,-67.90777463 -45.92772469,-67.9160428 -45.9260952,-67.9158497 -45.9268415,-67.9124379 -45.928125,-67.9126954 -45.9289758,-67.9133177 -45.9295131,-67.9122019 -45.9304384,-67.9106355 -45.9306175,-67.9069018 -45.9297071,-67.9082537 -45.9278265,-67.91406535 -45.92603076,-67.9183388 -45.9258713,-67.9167509 -45.9248116,-67.9175448 -45.9264683,-67.9174805 -45.9272444,-67.9163647 -45.9281549,-67.9153562 -45.9282295,-67.9142404 -45.9287071,-67.9133177 -45.9295131,-67.9126954 -45.9289758,-67.912631 -45.9280206,-67.9141116 -45.9273489,-67.9158497 -45.9268415,-67.9161072 -45.9264235,-67.9158711 -45.9259907,-67.91781996 -45.92567691,-67.9186392 -45.925737,-67.9181242 -45.9258713,-67.9160213 -45.924319,-67.9144335 -45.9239011,-67.9125881 -45.9236324,-67.911365 -45.9232891,-67.908361 -45.9205575,-67.9107213 -45.9206172,-67.91006087 -45.92075561,-67.9105067 -45.9207068,-67.9081678 -45.9205276,-67.9078245 -45.9200798,-67.9065156 -45.9195574,-67.9081035 -45.9191991,-67.9097772 -45.9180049,-67.90949828 -45.91775832,-67.9095197 -45.9178556,-67.9090691 -45.9168107,-67.90527 -45.9149745,-67.9052067 -45.9146162,-67.9025245 -45.9141235,-67.90171 -45.9145565,-67.89907 -45.9147953,-67.8979325 -45.9163329,-67.8972459 -45.916945,-67.8961945 -45.916945,-67.896 -45.9166,-67.89415644 -45.91643339,-67.8951859 -45.9189752,-67.8956151 -45.9181094,-67.8975034 -45.9169749,-67.8979325 -45.9163329,-67.8972459 -45.916945,-67.8964305 -45.9169151,-67.8960013 -45.9166017,-67.8948966 -45.91911867,-67.895422 -45.9189901,-67.8929543 -45.9186468,-67.89164408 -45.91850265,-67.892257 -45.917781,-67.8922355 -45.9171241,-67.8925788 -45.9166017,-67.8926325 -45.9163553,-67.8917956 -45.9155044,-67.8909266 -45.914855,-67.8902507 -45.9144445,-67.8900683 -45.9137279,-67.8889096 -45.913601,-67.888813 -45.9138473,-67.88780562 -45.91450171,-67.8887486 -45.9139369,-67.8892422 -45.9133771,-67.889092 -45.9088982,-67.8895211 -45.9081964,-67.8884697 -45.9068527,-67.8891134 -45.9060464,-67.8899932 -45.905494,-67.890079 -45.9049863,-67.8895855 -45.9049415,-67.8884912 -45.9054641,-67.88690397 -45.90593083,-67.8877831 -45.9058523,-67.8869033 -45.9059867,-67.8840923 -45.9048668,-67.8834271 -45.9042397,-67.8832769 -45.9030601,-67.8820109 -45.9031497,-67.8811312 -45.903299,-67.8780627 -45.9027018,-67.8772688 -45.9023733,-67.8778911 -45.9022389,-67.87749311 -45.90223614,-67.8778911 -45.9022389,-67.8772688 -45.9023733,-67.8762174 -45.9020895,-67.8762174 -45.9018506,-67.875402 -45.9018954,-67.87401 -45.90242679,-67.875402 -45.9018954,-67.8762174 -45.9018506,-67.8767323 -45.9016117,-67.8774405 -45.9009995,-67.8778481 -45.8999691,-67.87600509 -45.90013168,-67.8778481 -45.8999691,-67.8795862 -45.8996556,-67.8816676 -45.8998198,-67.8823113 -45.899342,-67.88283131 -45.8994995,-67.8816462 -45.8976545,-67.8819466 -45.8992972,-67.8823757 -45.8992374,-67.88049412 -45.89765426,-67.8799939 -45.8961761,-67.8810668 -45.8968855,-67.881496 -45.8974007,-67.87842608 -45.89585515,-67.8782558 -45.8919497,-67.8778267 -45.8923828,-67.8780413 -45.8938315,-67.8791893 -45.8953398,-67.87768072 -45.89180609,-67.8788996 -45.8901426,-67.877934 -45.8900903,-67.8774834 -45.8904786,-67.8777945 -45.8925098,-67.8783524 -45.8919348,-67.87813787 -45.88993585,-67.8789854 -45.8901127,-67.8777838 -45.8901052,-67.8751981 -45.8927935,-67.8739536 -45.8942571,-67.87230402 -45.89457162,-67.8727734 -45.8946678,-67.8694153 -45.8954742,-67.8682566 -45.89504860000001,-67.86797017 -45.89505687,-67.8685999 -45.895295,-67.8667116 -45.8956833,-67.8646088 -45.8956833,-67.86301998 -45.89560501,-67.8636646 -45.8957132,-67.8630209 -45.8961014,-67.8661537 -45.8966391,-67.86618307 -45.89684928,-67.8667545 -45.8970572,-67.8640938 -45.8981025,-67.8651237 -45.89867,-67.86456115 -45.89914262,-67.8703165 -45.8982817,-67.8659606 -45.8989089,-67.8694366 -45.89824775;-67.8694366 -45.89824775,-67.8703165 -45.8982817,-67.8659606 -45.8989089,-67.86456115 -45.89914262;-67.86456115 -45.89914262,-67.8667545 -45.8970572,-67.8640938 -45.8981025,-67.8651237 -45.89867,-67.86618307 -45.89684928,-67.8636646 -45.8957132,-67.8630209 -45.8961014,-67.8661537 -45.8966391,-67.86301998 -45.89560501,-67.8685999 -45.895295,-67.8667116 -45.8956833,-67.8646088 -45.8956833,-67.86797017 -45.89505687,-67.8727734 -45.8946678,-67.8694153 -45.8954742,-67.8682566 -45.89504860000001,-67.87230402 -45.89457162,-67.8789854 -45.8901127,-67.8777838 -45.8901052,-67.8751981 -45.8927935,-67.8739536 -45.8942571,-67.87813787 -45.88993585,-67.8792322 -45.8901127,-67.877934 -45.8900903,-67.8765285 -45.89045620000001,-67.87484305 -45.89067788,-67.8765285 -45.89045620000001,-67.877773 -45.8901799,-67.8803802 -45.8880143,-67.8783846 -45.8885519,-67.87661058 -45.88889945,-67.8783846 -45.8885519,-67.8803802 -45.8880143,-67.8826654 -45.8868044,-67.8823113 -45.8868119,-67.88085052 -45.88709026,-67.8838027 -45.88608,-67.882483 -45.8868716,-67.88304639 -45.88588109,-67.8847039 -45.885542300000004,-67.8854334 -45.8851465,-67.88477851 -45.88530377,-67.8877938 -45.885251,-67.8862166 -45.8849523,-67.88725199 -45.88498287,-67.8916669 -45.8851316,-67.891463 -45.8853332,-67.8890061 -45.8855946,-67.8886521 -45.8849672,-67.88986813 -45.88509226,-67.895658 -45.88465360000001,-67.8955078 -45.8872675,-67.89402720000001 -45.888186,-67.89313670000001 -45.8879097,-67.8935552 -45.8866999,-67.891624 -45.8850718,-67.89478887 -45.88442779,-67.896452 -45.8842129,-67.8972995 -45.8841607,-67.8987801 -45.8833839,-67.8993165 -45.8836304,-67.89811074 -45.88424629,-67.90316820000001 -45.883637900000004,-67.9026854 -45.8831823,-67.9021275 -45.8832794,-67.900722 -45.8842279,-67.9001105 -45.8851465,-67.8995955 -45.8843175,-67.90293219 -45.8836944,-67.9039729 -45.8871629,-67.9034686 -45.8869165,-67.9041123 -45.886192,-67.9042947 -45.8847656,-67.90316820000001 -45.883637900000004,-67.90362098 -45.8874036,-67.9052818 -45.8875736,-67.90654780000001 -45.8882084,-67.9074919 -45.8882756,-67.90705336 -45.88840606,-67.9066443 -45.8844071,-67.9062474 -45.8852585,-67.908833 -45.885968,-67.9091012 -45.8864012,-67.90594775 -45.88423937,,-67.90591516 -45.88446218,-67.9076958 -45.8841084,-67.9082644 -45.8839366,-67.9093373 -45.8833167,-67.9103136 -45.8831972,-67.90970498 -45.88326091,-67.911365 -45.8831076,-67.9142618 -45.8826968,-67.9159892 -45.8825026,-67.91541483 -45.88231338,-67.9166651 -45.8823159,-67.9170835 -45.8822711,-67.9178345 -45.8833989,-67.9184783 -45.8832943,-67.91747464 -45.88372353,-67.9183173 -45.8833018,-67.9179525 -45.8832943,-67.9178452 -45.8829358,-67.9186606 -45.8819873,-67.9191113 -45.8815466,-67.9197979 -45.8813898,-67.91930941 -45.88137118,-67.9231775 -45.8798138,-67.9230273 -45.8801051,-67.9220295 -45.8802022,-67.9198301 -45.8807027,-67.9191542 -45.8814645,-67.9198301 -45.8813375,-67.92260289 -45.87981886,-67.9288745 -45.8790371,-67.9299045 -45.8786188,-67.929765 -45.8784918,-67.9247224 -45.8798512,-67.9241753 -45.8796943,-67.92746283 -45.879252,-67.9288745 -45.8790371,-67.9299796 -45.8786337,-67.9304302 -45.8776552,-67.9309022 -45.8766245,-67.9306126 -45.8766543,-67.92916705 -45.87686758,-67.9305589 -45.8765722,-67.9309773 -45.8765423,-67.9323184 -45.875011,-67.9336917 -45.8726132,-67.93292309 -45.87290945,-67.9337347 -45.872531,-67.9350007 -45.8704245,-67.9346895 -45.8701032,-67.933282 -45.87018527,-67.936492 -45.8696625,-67.9362881 -45.8694234,-67.9350436 -45.8703273,-67.9347003 -45.8699986,-67.93551008 -45.87004015,-67.9383588 -45.8674437,-67.9380584 -45.8682655,-67.9363847 -45.8693786,-67.9365671 -45.8696326,-67.9400271 -45.8665472</t>
  </si>
  <si>
    <t>-67.9400271 -45.8665472,-67.9383588 -45.8674437,-67.9380584 -45.8682655,-67.9363847 -45.8693786,-67.9365671 -45.8696326,-67.93551008 -45.87004015,-67.936492 -45.8696625,-67.9362881 -45.8694234,-67.9350436 -45.8703273,-67.9347003 -45.8699986,-67.933282 -45.87018527,-67.9337347 -45.872531,-67.9350007 -45.8704245,-67.9346895 -45.8701032,-67.93292309 -45.87290945,-67.9305589 -45.8765722,-67.9309773 -45.8765423,-67.9323184 -45.875011,-67.9336917 -45.8726132,-67.92916705 -45.87686758,-67.9288745 -45.8790371,-67.9299796 -45.8786337,-67.9304302 -45.8776552,-67.9309022 -45.8766245,-67.9306126 -45.8766543,-67.92746283 -45.879252,-67.9288745 -45.8790371,-67.9299796 -45.8786337,-67.9308271 -45.8793582,-67.9310632 -45.8796271,-67.9308057 -45.8796645,-67.92926139 -45.87980166,-67.9308057 -45.8796645,-67.9309773 -45.8795823,-67.9308271 -45.8793582,-67.9319429 -45.8795524,-67.9332089 -45.8799333,-67.9339921 -45.8795524,-67.9349685 -45.8793358,-67.935698 -45.8793209,-67.93512028 -45.8793768,-67.9364383 -45.8791566,-67.9368889 -45.8790371,-67.9370821 -45.878798,-67.939657 -45.8787906,-67.9398179 -45.8784246,-67.93938002 -45.87863178,-67.9433799 -45.8793582,-67.9425859 -45.8792462,-67.9414809 -45.8788951,-67.9399574 -45.8788802,-67.9395819 -45.8785889,-67.9398179 -45.8784246,-67.94258106 -45.87928487,-67.9468131 -45.8799931,-67.9464698 -45.8794927,-67.9443026 -45.8791491,-67.9459034 -45.88040255,-67.9472744 -45.8827118,-67.9475963 -45.8819051,-67.9476392 -45.8807475,-67.9472208 -45.8805159,-67.94607409 -45.88311995,-67.9472744 -45.8852212,-67.9470921 -45.8844967,-67.9472423 -45.883959,-67.9472315 -45.8831823,-67.94628753 -45.88560005,-67.9487872 -45.8868418,-67.9495382 -45.8874766,-67.9496884 -45.88726,-67.9485726 -45.886095,-67.9476714 -45.8855871,-67.94746568 -45.88694764,-67.948755 -45.886894,-67.9494202 -45.887484,-67.9503751 -45.8875587,-67.9509008 -45.8873571,-67.9508793 -45.8868716,-67.94972726 -45.88693813,-67.951051 -45.8868418,-67.9516089 -45.886207,-67.952832 -45.8866028,-67.95178221 -45.88666191,-67.957381 -45.8868268,-67.9566729 -45.8866327,-67.953701 -45.8868791,-67.9533148 -45.8869911,-67.9529393 -45.8866103,-67.95650174 -45.8868325,-67.9563618 -45.8869613,-67.9570055 -45.8870583,-67.9568553 -45.8866028,-67.957381 -45.8868268,-67.95495587 -45.8875866,-67.9576063 -45.8896124,-67.9577136 -45.888888,-67.9572308 -45.8876483,-67.9565012 -45.8869986,-67.95602222 -45.88970885,-67.958647 -45.8921289,-67.9580784 -45.8917854,-67.958411 -45.8907699,-67.9588509 -45.8902397,-67.9578209 -45.8896422,-67.95792371 -45.89252328;-67.95792371 -45.89252328,-67.958411 -45.8946678,-67.9585934 -45.8938464,-67.9590118 -45.8934581,-67.9594839 -45.8932714,-67.9597199 -45.892913,-67.9595053 -45.8926741,-67.95753705 -45.89518861,-67.9602778 -45.8973559,-67.959677 -45.8974604,-67.9590976 -45.897326,-67.9587114 -45.8968257,-67.95928 -45.896094,-67.9591405 -45.8953548,-67.95956637 -45.89743693,-67.9642367 -45.8983564,-67.9643333 -45.8976993,-67.9650199 -45.8970721,-67.9652989 -45.8964076,-67.9613721 -45.8972065,-67.96354703 -45.89869944,-67.9693437 -45.9027914,-67.9659963 -45.8987297,-67.965138 -45.8986401,-67.96793825 -45.90348141,-67.9685926 -45.9034484,-67.9653096 -45.9044488,-67.9600525 -45.9049564,-67.9584861 -45.9041651,-67.9576707 -45.9040606,-67.95594313 -45.90408308;-67.95594313 -45.90408308,-67.9577565 -45.9038664,-67.9585826 -45.9036126,-67.9585826 -45.9031348,-67.9576492 -45.90253,-67.9561365 -45.9021343,-67.9558575 -45.9012832,-67.95417314 -45.90131869;-67.95417314 -45.90131869,-67.9577565 -45.9038664,-67.9585826 -45.9036126,-67.9585826 -45.9031348,-67.9576492 -45.90253,-67.9561365 -45.9021343,-67.9558575 -45.9012832,-67.95594313 -45.90408308,-67.9576063 -45.9040904, -67.9586792 -45.9041949, -67.9598594 -45.9049266, -67.9530573 -45.9053894, -67.948916 -45.9068676,-67.9477358 -45.9069124,-67.9420066 -45.9072707, -67.9449141 -45.9072931, -67.9463518 -45.9076291,-67.94070253 -45.90708056,-67.9419637 -45.9061061,-67.9426718 -45.9047623,-67.9415345 -45.9048967,-67.938745 -45.9059568,-67.9340029 -45.9072707,-67.9353547 -45.9073006,-67.93482704 -45.9074612,-67.922008 -45.9097193,-67.9201412 -45.9109884,-67.9196906 -45.9109585,-67.9200125 -45.9097492,-67.9210854 -45.909585,-67.9227591 -45.90851,-67.9267287 -45.9077933,-67.9317927 -45.9075544,-67.9344964 -45.9080023,-67.9353762 -45.9076142,-67.92132124 -45.90950332,-67.9221797 -45.9097492,-67.9201412 -45.9109884,-67.91924 -45.911063,-67.9191971 -45.9115109,-67.91938339 -45.91141146,-67.9150558 -45.9126903,-67.9162359 -45.9122126,-67.9164505 -45.9115408,-67.9181457 -45.910645,-67.9202914 -45.9111078,-67.91361731 -45.91301639,-67.9095197 -45.9178556,-67.9090691 -45.9168107,-67.9049706 -45.9149894,-67.9050565 -45.9146311,-67.908597 -45.9143027,-67.9105282 -45.9135114,-67.9126954 -45.9130636,-67.9141974 -45.9123171,-67.90949828 -45.91775832,-67.9095197 -45.9178556,-67.9090691 -45.9168107,-67.90527 -45.9149745,-67.9052067 -45.9146162,-67.9025245 -45.9141235,-67.90171 -45.9145565,-67.89907 -45.9147953,-67.8979325 -45.9163329,-67.8972459 -45.916945,-67.8961945 -45.916945,-67.896 -45.9166,-67.89415644 -45.91643339;-67.89415644 -45.91643339,-67.8951859 -45.9189752,-67.8956151 -45.9181094,-67.8975034 -45.9169749,-67.8979325 -45.9163329,-67.8972459 -45.916945,-67.8964305 -45.9169151,-67.8960013 -45.9166017,-67.8948966 -45.91911867,-67.895422 -45.9189901,-67.8929543 -45.9186468,-67.89164408 -45.91850265,-67.892257 -45.917781,-67.8922355 -45.9171241,-67.8925788 -45.9166017,-67.8926325 -45.9163553,-67.8917956 -45.9155044,-67.8909266 -45.914855,-67.8902507 -45.9144445,-67.8900683 -45.9137279,-67.8889096 -45.913601,-67.888813 -45.9138473,-67.88780562 -45.91450171;-67.88780562 -45.91450171,-67.8887486 -45.9139369,-67.8892422 -45.9133771,-67.889092 -45.9088982,-67.8895211 -45.9081964,-67.8884697 -45.9068527,-67.8891134 -45.9060464,-67.8899932 -45.905494,-67.890079 -45.9049863,-67.8895855 -45.9049415,-67.8884912 -45.9054641,-67.88690397 -45.90593083,-67.8877831 -45.9058523,-67.8869033 -45.9059867,-67.8840923 -45.9048668,-67.8834271 -45.9042397,-67.8832769 -45.9030601,-67.8820109 -45.9031497,-67.8811312 -45.903299,-67.8780627 -45.9027018,-67.8772688 -45.9023733,-67.8778911 -45.9022389,-67.87749311 -45.90223614,-67.8778911 -45.9022389,-67.8772688 -45.9023733,-67.8762174 -45.9020895,-67.8762174 -45.9018506,-67.875402 -45.9018954,-67.87401 -45.90242679,-67.875402 -45.9018954,-67.8762174 -45.9018506,-67.8767323 -45.9016117,-67.8774405 -45.9009995,-67.8778481 -45.8999691,-67.87600509 -45.90013168,-67.8778481 -45.8999691,-67.8795862 -45.8996556,-67.8816676 -45.8998198,-67.8823113 -45.899342,-67.88283131 -45.8994995,-67.8816462 -45.8976545,-67.8819466 -45.8992972,-67.8823757 -45.8992374,-67.88049412 -45.89765426,-67.8799939 -45.8961761,-67.8810668 -45.8968855,-67.881496 -45.8974007,-67.87842608 -45.89585515,-67.8782558 -45.8919497,-67.8778267 -45.8923828,-67.8780413 -45.8938315,-67.8791893 -45.8953398,-67.87768072 -45.89180609,-67.8788996 -45.8901426,-67.877934 -45.8900903,-67.8774834 -45.8904786,-67.8777945 -45.8925098,-67.8783524 -45.8919348,-67.87813787 -45.88993585,-67.8792322 -45.8901127,-67.877934 -45.8900903,-67.8765285 -45.89045620000001,-67.87484305 -45.89067788,-67.8765285 -45.89045620000001,-67.877773 -45.8901799,-67.8803802 -45.8880143,-67.8783846 -45.8885519,-67.87661058 -45.88889945,-67.8783846 -45.8885519,-67.8803802 -45.8880143,-67.8826654 -45.8868044,-67.8823113 -45.8868119,-67.88085052 -45.88709026,-67.8838027 -45.88608,-67.882483 -45.8868716,-67.88304639 -45.88588109,-67.8847039 -45.885542300000004,-67.8854334 -45.8851465,-67.88477851 -45.88530377,-67.8877938 -45.885251,-67.8862166 -45.8849523,-67.88725199 -45.88498287,-67.8916669 -45.8851316,-67.891463 -45.8853332,-67.8890061 -45.8855946,-67.8886521 -45.8849672,-67.88986813 -45.88509226,-67.895658 -45.88465360000001,-67.8955078 -45.8872675,-67.89402720000001 -45.888186,-67.89313670000001 -45.8879097,-67.8935552 -45.8866999,-67.891624 -45.8850718,-67.89478887 -45.88442779,-67.896452 -45.8842129,-67.8972995 -45.8841607,-67.8987801 -45.8833839,-67.8993165 -45.8836304,-67.89811074 -45.88424629,-67.90316820000001 -45.883637900000004,-67.9026854 -45.8831823,-67.9021275 -45.8832794,-67.900722 -45.8842279,-67.9001105 -45.8851465,-67.8995955 -45.8843175,-67.90293219 -45.8836944,-67.9039729 -45.8871629,-67.9034686 -45.8869165,-67.9041123 -45.886192,-67.9042947 -45.8847656,-67.90316820000001 -45.883637900000004,-67.90362098 -45.8874036,-67.9052818 -45.8875736,-67.90654780000001 -45.8882084,-67.9074919 -45.8882756,-67.90705336 -45.88840606,-67.9066443 -45.8844071,-67.9062474 -45.8852585,-67.908833 -45.885968,-67.9091012 -45.8864012,-67.90594775 -45.88423937,,-67.90591516 -45.88446218,-67.9076958 -45.8841084,-67.9082644 -45.8839366,-67.9093373 -45.8833167,-67.9103136 -45.8831972,-67.90970498 -45.88326091,-67.911365 -45.8831076,-67.9142618 -45.8826968,-67.9159892 -45.8825026,-67.91541483 -45.88231338,-67.9166651 -45.8823159,-67.9170835 -45.8822711,-67.9178345 -45.8833989,-67.9184783 -45.8832943,-67.91747464 -45.88372353,-67.9183173 -45.8833018,-67.9179525 -45.8832943,-67.9178452 -45.8829358,-67.9186606 -45.8819873,-67.9191113 -45.8815466,-67.9197979 -45.8813898,-67.91930941 -45.88137118,-67.9231775 -45.8798138,-67.9230273 -45.8801051,-67.9220295 -45.8802022,-67.9198301 -45.8807027,-67.9191542 -45.8814645,-67.9198301 -45.8813375,-67.92260289 -45.87981886,-67.9288745 -45.8790371,-67.9299045 -45.8786188,-67.929765 -45.8784918,-67.9247224 -45.8798512,-67.9241753 -45.8796943,-67.92746283 -45.879252,-67.9288745 -45.8790371,-67.9299796 -45.8786337,-67.9304302 -45.8776552,-67.9309022 -45.8766245,-67.9306126 -45.8766543,-67.92916705 -45.87686758,-67.9305589 -45.8765722,-67.9309773 -45.8765423,-67.9323184 -45.875011,-67.9336917 -45.8726132,-67.93292309 -45.87290945,-67.9337347 -45.872531,-67.9350007 -45.8704245,-67.9346895 -45.8701032,-67.933282 -45.87018527,-67.936492 -45.8696625,-67.9362881 -45.8694234,-67.9350436 -45.8703273,-67.9347003 -45.8699986,-67.93551008 -45.87004015,-67.9383588 -45.8674437,-67.9380584 -45.8682655,-67.9363847 -45.8693786,-67.9365671 -45.8696326,-67.9400271 -45.8665472</t>
  </si>
  <si>
    <t>-67.9400271 -45.8665472,-67.9427254 -45.8635364,-67.9464859 -45.8623447,-67.9469097 -45.862016,-67.94569946 -45.86221924,-67.9469097 -45.8620944,-67.9481596 -45.8620048,-67.94727301 -45.86217176,-67.9483044 -45.861911400000004,-67.9473495 -45.8614183,-67.94655091 -45.86160389,-67.9479718 -45.8615453,-67.9493934 -45.8606973,-67.9489589 -45.8606599,-67.94780419 -45.86081977,-67.9549134 -45.858239,-67.9527032 -45.8590684,-67.9493666 -45.8607794,-67.9491198 -45.8606898,-67.9539623 -45.85805836,-67.9549778 -45.85820170000001,-67.9571986 -45.85672970000001,-67.9579175 -45.8564981,-67.9585719 -45.8567521,-67.95773843 -45.85672753,-67.9586148 -45.8568044,-67.9579926 -45.8564383,-67.9605138 -45.8553847,-67.9615545 -45.8546374,-67.963078 -45.8525451,-67.9633892 -45.8522836,-67.9675841 -45.8512224,-67.9699767 -45.8512598,-67.9700732 -45.8515064,-67.9697835 -45.8517381,-67.96836168 -45.85192469,-67.9697835 -45.8517381,-67.9700947 -45.8517082,-67.9702342 -45.8514018,-67.9710817 -45.8516335,-67.97135 -45.8516633,-67.97067338 -45.85178783,-67.9748797 -45.8534568,-67.9738176 -45.8522612,-67.9730666 -45.8517007,-67.9728305 -45.8516858,-67.9720902 -45.8515438,-67.97404757 -45.85313584,-67.9750836 -45.8543983,-67.9752016 -45.8534194,-67.97353981 -45.85482131,-67.9721439 -45.8564532,-67.9723585 -45.855833,-67.9728305 -45.8549363,-67.9739249 -45.8544805,-67.9741395 -45.8540023,-67.9740536 -45.853539,-67.9744184 -45.8538977,-67.9746437 -45.8541517,-67.9750943 -45.8540247,-67.9749548 -45.854488,-67.97079424 -45.85669528,-67.9761672 -45.8586351,-67.9759634 -45.858508,-67.9757595 -45.8578206,-67.9751909 -45.8575143,-67.9723477 -45.8568567,-67.9721653 -45.8565802,-67.97543611 -45.85876585,-67.9762101 -45.8587172,-67.9768431 -45.8590385,-67.9774976 -45.8593075,-67.9783773 -45.8600024,-67.9787743 -45.859569,-67.97805617 -45.85962835,-67.9819286 -45.8586874,-67.981596 -45.8589638,-67.981596 -45.859584,-67.9814029 -45.8601593,-67.9798687 -45.8604656,-67.9786563 -45.8601967,-67.9783773 -45.8600024,-67.9787743 -45.859569,-67.98136482 -45.85869227,-67.9865742 -45.8579626,-67.9858339 -45.8582764,-67.9838169 -45.8583661,-67.9827332 -45.8584258,-67.98563539 -45.85778804;-67.98563539 -45.85778804,-67.9865742 -45.8579626,-67.9858339 -45.8582764,-67.9838169 -45.8583661,-67.9827332 -45.8584258,-67.98136482 -45.85869227,-67.9819286 -45.8586874,-67.981596 -45.8589638,-67.981596 -45.859584,-67.9814029 -45.8601593,-67.9798687 -45.8604656,-67.9786563 -45.8601967,-67.9783773 -45.8600024,-67.9787743 -45.859569,-67.97805617 -45.85962835,-67.9762101 -45.8587172,-67.9768431 -45.8590385,-67.9774976 -45.8593075,-67.9783773 -45.8600024,-67.9787743 -45.859569,-67.97543611 -45.85876585,-67.9761672 -45.8586351,-67.9759634 -45.858508,-67.9757595 -45.8578206,-67.9751909 -45.8575143,-67.9723477 -45.8568567,-67.9721653 -45.8565802,-67.97079424 -45.85669528,-67.9721439 -45.8564532,-67.9723585 -45.855833,-67.9728305 -45.8549363,-67.9739249 -45.8544805,-67.9741395 -45.8540023,-67.9740536 -45.853539,-67.9744184 -45.8538977,-67.9746437 -45.8541517,-67.9750943 -45.8540247,-67.9749548 -45.854488,-67.97353981 -45.85482131,-67.9750836 -45.8543983,-67.9752016 -45.8534194,-67.97404757 -45.85313584,-67.9748797 -45.8534568,-67.9738176 -45.8522612,-67.9730666 -45.8517007,-67.9728305 -45.8516858,-67.9720902 -45.8515438,-67.97067338 -45.85178783,-67.9697835 -45.8517381,-67.9700947 -45.8517082,-67.9702342 -45.8514018,-67.9710817 -45.8516335,-67.97135 -45.8516633,-67.96836168 -45.85192469,-67.9586148 -45.8568044,-67.9579926 -45.8564383,-67.9605138 -45.8553847,-67.9615545 -45.8546374,-67.963078 -45.8525451,-67.9633892 -45.8522836,-67.9675841 -45.8512224,-67.9699767 -45.8512598,-67.9700732 -45.8515064,-67.9697835 -45.8517381,-67.95773843 -45.85672753,-67.9549778 -45.85820170000001,-67.9571986 -45.85672970000001,-67.9579175 -45.8564981,-67.9585719 -45.8567521,-67.9539623 -45.85805836,-67.9549134 -45.858239,-67.9527032 -45.8590684,-67.9493666 -45.8607794,-67.9491198 -45.8606898,-67.94780419 -45.86081977,-67.9479718 -45.8615453,-67.9493934 -45.8606973,-67.9489589 -45.8606599,-67.94655091 -45.86160389,-67.9483044 -45.861911400000004,-67.9473495 -45.8614183,-67.94727301 -45.86217176,-67.9469097 -45.8620944,-67.9481596 -45.8620048,-67.94569946 -45.86221924,-67.9427254 -45.8635364,-67.9464859 -45.8623447,-67.9469097 -45.862016,-67.9400271 -45.8665472,-67.9452038 -45.8642219,-67.9464403 -45.8647635,-67.9454304 -45.86503525,,-67.94551194 -45.86495899,-67.949152 -45.8670029,-67.9489589 -45.866338,-67.9464805 -45.8656358,-67.946502 -45.8652099,-67.94827454 -45.86749255,-67.9513514 -45.867951700000006,-67.9506004 -45.8681534,-67.9493558 -45.8665622,-67.9490876 -45.8664576,-67.9492164 -45.8668461,-67.95075242 -45.86791677,-67.9511476 -45.8693039,-67.95089010000001 -45.8697222,-67.9506433 -45.8681011,-67.9512978 -45.867892,-67.95011093 -45.86936834,-67.9526013 -45.869965,-67.9517484 -45.8700734,-67.9508901 -45.8697222,-67.9511476 -45.8693039,-67.95188123 -45.87007275,-67.9518449 -45.870925,-67.9516733 -45.8706037,-67.9509866 -45.870275,-67.95089010000001 -45.8697222,-67.9517484 -45.8700734,-67.9526281 -45.8699912,-67.95082673 -45.87123588,-67.9510081 -45.87218,-67.9515123 -45.8715599,-67.9518449 -45.870925,-67.94974928 -45.87213834,-67.9508579 -45.8736739,-67.9509115 -45.8721426,-67.94983615 -45.87396079,-67.9521346 -45.8759746,-67.951448 -45.8759597,-67.9509008 -45.8738383,-67.95155064 -45.87647635,-67.9521346 -45.8759746,-67.9517162 -45.8759074,-67.9513943 -45.8758999,-67.9525959 -45.87702780000001,-67.95337920000001 -45.8774162,-67.95259842 -45.87763583,-67.9538298 -45.8776104,-67.9575419 -45.8788205,-67.9596341 -45.8789624,-67.9602242 -45.8794852,-67.95937836 -45.87978501,-67.967391 -45.8796271,-67.9660606 -45.879657,-67.9619408 -45.879179,-67.959795 -45.8789997,-67.9602242 -45.8794852,-67.96661757 -45.87943084,-67.9708028 -45.8792686,-67.9686999 -45.8795524,-67.9682064 -45.8792238,-67.96993071 -45.87922522,-67.9739785 -45.8781632,-67.9745579 -45.8782677,-67.9740644 -45.8788802,-67.9710174 -45.8792537,-67.97210325 -45.8786421,-67.9764569 -45.8790072,-67.9757595 -45.8787084,-67.9755771 -45.8785142,-67.9742253 -45.8787756,-67.974236 -45.878222900000004,-67.9757414 -45.87911165,-67.9764569 -45.8790072,-67.9757595 -45.8787084,-67.9756951 -45.8784321,-67.9790318 -45.877588,-67.9792678 -45.8765199,-67.9792786 -45.8747272,-67.9798257 -45.8760045,-67.9801154 -45.8760643,-67.97932522 -45.87631183,-67.9801047 -45.8737412,-67.9795146 -45.8726879,-67.9791605 -45.8735694,-67.9792249 -45.8748467,-67.9793966 -45.8748467,-67.9797721 -45.8758476,-67.9800725 -45.876012,-67.97905112 -45.87422359,-67.9800725 -45.873800900000006,-67.9795146 -45.8726879,-67.9796112 -45.8723816,-67.9792464 -45.872165,-67.9787529 -45.8722173,-67.9783773 -45.8729942,-67.9778409 -45.873195900000006,-67.9771113 -45.8730315,-67.97564136 -45.8729339,-67.977519 -45.8745479,-67.9775083 -45.8737262,-67.9769719 -45.8730166,-67.97664473 -45.87540708,-67.9752553 -45.8766842,-67.977401 -45.8762211,-67.9776049 -45.8757953,-67.9775298 -45.8753995,-67.97335438 -45.87681514,-67.9752016 -45.8765946,-67.9770792 -45.8757132,-67.974987 -45.875578700000005,-67.9743862 -45.87520520000001,-67.97291164 -45.87520301,-67.9725409 -45.8757132,-67.9730666 -45.8750185,-67.9739141 -45.8748392,-67.97095233 -45.87590105;-67.97095233 -45.87590105,-67.9725409 -45.8757132,-67.9730666 -45.8750185,-67.9739141 -45.8748392,-67.97291164 -45.87520301,-67.9752016 -45.8765946,-67.9770792 -45.8757132,-67.974987 -45.875578700000005,-67.9743862 -45.87520520000001,-67.97335438 -45.87681514,-67.9752553 -45.8766842,-67.977401 -45.8762211,-67.9776049 -45.8757953,-67.9775298 -45.8753995,-67.97664473 -45.87540708,-67.977519 -45.8745479,-67.9775083 -45.8737262,-67.9769719 -45.8730166,-67.97564136 -45.8729339,-67.9761887 -45.8726132,-67.9763067 -45.8720604,-67.9778838 -45.8710893,-67.9773795 -45.87092197,-67.9788065 -45.8706037,-67.9790211 -45.8702228,-67.978828 -45.868893,-67.97752558 -45.86902372,-67.9785383 -45.8689528,-67.9771435 -45.870671,-67.9765534 -45.8706934,-67.9753625 -45.8703498,-67.9735183 -45.87030526,-67.9754591 -45.8702153,-67.9761243 -45.8702377,-67.97676800000002 -45.8696774,-67.97574817 -45.86928588;-67.97574817 -45.86928588,-67.9754591 -45.8702153,-67.9761243 -45.8702377,-67.97676800000002 -45.8696774,-67.9735183 -45.87030526,-67.9785383 -45.8689528,-67.9771435 -45.870671,-67.9765534 -45.8706934,-67.9753625 -45.8703498,-67.97752558 -45.86902372,-67.9788065 -45.8706037,-67.9790211 -45.8702228,-67.978828 -45.868893,-67.9773795 -45.87092197,-67.9761887 -45.8726132,-67.9763067 -45.8720604,-67.9778838 -45.8710893,-67.97564136 -45.8729339,-67.9800725 -45.873800900000006,-67.9795146 -45.8726879,-67.9796112 -45.8723816,-67.9792464 -45.872165,-67.9787529 -45.8722173,-67.9783773 -45.8729942,-67.9778409 -45.873195900000006,-67.9771113 -45.8730315,-67.97905112 -45.87422359,-67.9799759 -45.8737337,-67.9795146 -45.8726879,-67.9809093 -45.8709474,-67.980845 -45.8716421,-67.97987219 -45.87199291,-67.9807377 -45.8716645,-67.9809952 -45.8709175,-67.9819071 -45.8698567,-67.9830122 -45.8690947,-67.9832804 -45.8686614,-67.9840744 -45.8683402,-67.98364252 -45.86827111,-67.9875398 -45.8692665,-67.988205 -45.8691993,-67.9883659 -45.8686465,-67.9866493 -45.8686017,-67.9853296 -45.8685195,-67.9839349 -45.868766,-67.9830122 -45.8690947,-67.9832804 -45.8686614,-67.9841065 -45.8682057,-67.98595749 -45.86942688,,-67.98621539 -45.86906201,-67.9865098 -45.8688407,-67.9868531 -45.868893,-67.98529724 -45.86913902;-67.98529724 -45.86913902,-67.9865098 -45.8688407,-67.9868531 -45.868893,-67.98621539 -45.86906201,-67.9901361 -45.8674661,-67.9900289 -45.8678098,-67.9882801 -45.8686838,-67.9882801 -45.8691246,-67.9875398 -45.8692665,-67.98895281 -45.86742251,-67.9929042 -45.8670777,-67.9928398 -45.8661064,-67.9924321 -45.8655835,-67.9918849 -45.8652398,-67.9909408 -45.867115,-67.9902434 -45.8675334,-67.99174523 -45.8677107;-67.99174523 -45.8677107,-67.9929042 -45.8670777,-67.9928398 -45.8661064,-67.9924321 -45.8655835,-67.9918849 -45.8652398,-67.9909408 -45.867115,-67.9902434 -45.8675334,-67.98895281 -45.86742251,-67.9901361 -45.8674661,-67.9900289 -45.8678098,-67.9882801 -45.8686838,-67.9882801 -45.8691246,-67.9875398 -45.8692665,-67.98621539 -45.86906201,,-67.98595749 -45.86942688,-67.9875398 -45.8692665,-67.988205 -45.8691993,-67.9883659 -45.8686465,-67.9866493 -45.8686017,-67.9853296 -45.8685195,-67.9839349 -45.868766,-67.9830122 -45.8690947,-67.9832804 -45.8686614,-67.9841065 -45.8682057,-67.98364252 -45.86827111,-67.9807377 -45.8716645,-67.9809952 -45.8709175,-67.9819071 -45.8698567,-67.9830122 -45.8690947,-67.9832804 -45.8686614,-67.9840744 -45.8683402,-67.97987219 -45.87199291,-67.9799759 -45.8737337,-67.9795146 -45.8726879,-67.9809093 -45.8709474,-67.980845 -45.8716421,-67.97905112 -45.87422359,-67.9801047 -45.8737412,-67.9795146 -45.8726879,-67.9791605 -45.8735694,-67.9792249 -45.8748467,-67.9793966 -45.8748467,-67.9797721 -45.8758476,-67.9800725 -45.876012,-67.97932522 -45.87631183,-67.9764569 -45.8790072,-67.9757595 -45.8787084,-67.9756951 -45.8784321,-67.9790318 -45.877588,-67.9792678 -45.8765199,-67.9792786 -45.8747272,-67.9798257 -45.8760045,-67.9801154 -45.8760643,-67.9757414 -45.87911165,-67.9764569 -45.8790072,-67.9757595 -45.8787084,-67.9755771 -45.8785142,-67.9742253 -45.8787756,-67.974236 -45.878222900000004,-67.97210325 -45.8786421,-67.9739785 -45.8781632,-67.9745579 -45.8782677,-67.9740644 -45.8788802,-67.9710174 -45.8792537,-67.96993071 -45.87922522,-67.9708028 -45.8792686,-67.9686999 -45.8795524,-67.9682064 -45.8792238,-67.96661757 -45.87943084,-67.967391 -45.8796271,-67.9660606 -45.879657,-67.9619408 -45.879179,-67.959795 -45.8789997,-67.9602242 -45.8794852,-67.95937836 -45.87978501,-67.9538298 -45.8776104,-67.9575419 -45.8788205,-67.9596341 -45.8789624,-67.9602242 -45.8794852,-67.95259842 -45.87763583,-67.9521346 -45.8759746,-67.9517162 -45.8759074,-67.9513943 -45.8758999,-67.9525959 -45.87702780000001,-67.95337920000001 -45.8774162,-67.95155064 -45.87647635,-67.9521346 -45.8759746,-67.951448 -45.8759597,-67.9509008 -45.8738383,-67.94983615 -45.87396079,-67.9508579 -45.8736739,-67.9509115 -45.8721426,-67.94974928 -45.87213834,-67.9510081 -45.87218,-67.9515123 -45.8715599,-67.9518449 -45.870925,-67.95082673 -45.87123588,-67.9518449 -45.870925,-67.9516733 -45.8706037,-67.9509866 -45.870275,-67.95089010000001 -45.8697222,-67.9517484 -45.8700734,-67.9526281 -45.8699912,-67.95188123 -45.87007275,-67.9526013 -45.869965,-67.9517484 -45.8700734,-67.9508901 -45.8697222,-67.9511476 -45.8693039,-67.95011093 -45.86936834,-67.9511476 -45.8693039,-67.95089010000001 -45.8697222,-67.9506433 -45.8681011,-67.9512978 -45.867892,-67.95075242 -45.86791677,-67.9513514 -45.867951700000006,-67.9506004 -45.8681534,-67.9493558 -45.8665622,-67.9490876 -45.8664576,-67.9492164 -45.8668461,-67.94827454 -45.86749255,-67.949152 -45.8670029,-67.9489589 -45.866338,-67.9464805 -45.8656358,-67.946502 -45.8652099,-67.94551194 -45.86495899,,-67.9454304 -45.86503525,-67.9452038 -45.8642219,-67.9464403 -45.8647635,-67.9400271 -45.8665472</t>
  </si>
  <si>
    <t>-67.9400271 -45.8665472,-67.9427254 -45.8635364,-67.9464859 -45.8623447,-67.9469097 -45.862016,-67.94569946 -45.86221924,-67.9469097 -45.8620944,-67.9481596 -45.8620048,-67.94727301 -45.86217176,-67.9483044 -45.861911400000004,-67.9473495 -45.8614183,-67.94655091 -45.86160389,-67.9479718 -45.8615453,-67.9493934 -45.8606973,-67.9489589 -45.8606599,-67.94780419 -45.86081977,-67.9549134 -45.858239,-67.9527032 -45.8590684,-67.9493666 -45.8607794,-67.9491198 -45.8606898,-67.9539623 -45.85805836,-67.9549778 -45.85820170000001,-67.9571986 -45.85672970000001,-67.9579175 -45.8564981,-67.9585719 -45.8567521,-67.95773843 -45.85672753,-67.9586148 -45.8568044,-67.9579926 -45.8564383,-67.9605138 -45.8553847,-67.9615545 -45.8546374,-67.963078 -45.8525451,-67.9633892 -45.8522836,-67.9675841 -45.8512224,-67.9699767 -45.8512598,-67.9700732 -45.8515064,-67.9697835 -45.8517381,-67.96836168 -45.85192469,-67.9697835 -45.8517381,-67.9700947 -45.8517082,-67.9702342 -45.8514018,-67.9710817 -45.8516335,-67.97135 -45.8516633,-67.97067338 -45.85178783,-67.9748797 -45.8534568,-67.9738176 -45.8522612,-67.9730666 -45.8517007,-67.9728305 -45.8516858,-67.9720902 -45.8515438,-67.97404757 -45.85313584,-67.9750836 -45.8543983,-67.9752016 -45.8534194,-67.97353981 -45.85482131,-67.9721439 -45.8564532,-67.9723585 -45.855833,-67.9728305 -45.8549363,-67.9739249 -45.8544805,-67.9741395 -45.8540023,-67.9740536 -45.853539,-67.9744184 -45.8538977,-67.9746437 -45.8541517,-67.9750943 -45.8540247,-67.9749548 -45.854488,-67.97079424 -45.85669528,-67.9761672 -45.8586351,-67.9759634 -45.858508,-67.9757595 -45.8578206,-67.9751909 -45.8575143,-67.9723477 -45.8568567,-67.9721653 -45.8565802,-67.97543611 -45.85876585,-67.9762101 -45.8587172,-67.9768431 -45.8590385,-67.9774976 -45.8593075,-67.9783773 -45.8600024,-67.9787743 -45.859569,-67.97805617 -45.85962835,-67.9787743 -45.859569,-67.9784095 -45.8600622,-67.9786134 -45.860249,-67.9797721 -45.8603909,-67.9814243 -45.8607346,-67.98085648 -45.8609192,-67.9814565 -45.8608243,-67.9794395 -45.8610634,-67.97806312 -45.86131529,-67.9787314 -45.8612128,-67.9781628 -45.8612053,-67.9774868 -45.8607794,-67.9767251 -45.8597259,-67.9755342 -45.8596288,-67.9744506 -45.8598903,-67.9743111 -45.8601967,-67.9733455 -45.8602788,-67.9734099 -45.8608317,-67.9735816 -45.8606898,-67.97275807 -45.86073448,-67.9727018 -45.8616387,-67.973367 -45.8612352,-67.9735816 -45.8606898,-67.97103212 -45.86191282,-67.9705346 -45.8620944,-67.97189710000002 -45.861818,-67.96929873 -45.86235432,-67.9688179 -45.8673466,-67.9708242 -45.8668236,-67.9720795 -45.8663978,-67.9723263 -45.865576,-67.9716289 -45.8644778,-67.9715002 -45.8637307,-67.9703414 -45.8627146,-67.9702663 -45.8623036,-67.96760714 -45.86770099,-67.9684639 -45.8677052,-67.9677773 -45.8678994,-67.9665112 -45.8679218,-67.9654062 -45.8674885,-67.9641616 -45.8664725,-67.96276308 -45.86655556,-67.9634213 -45.8661513,-67.9616404 -45.8655387,-67.96031 -45.8656881,-67.960031 -45.8653594,-67.95937016 -45.86539571;-67.95937016 -45.86539571,-67.9634213 -45.8661513,-67.9616404 -45.8655387,-67.96031 -45.8656881,-67.960031 -45.8653594,-67.96276308 -45.86655556,-67.9684639 -45.8677052,-67.9677773 -45.8678994,-67.9665112 -45.8679218,-67.9654062 -45.8674885,-67.9641616 -45.8664725,-67.96760714 -45.86770099,-67.9688179 -45.8673466,-67.9708242 -45.8668236,-67.9720795 -45.8663978,-67.9723263 -45.865576,-67.9716289 -45.8644778,-67.9715002 -45.8637307,-67.9703414 -45.8627146,-67.9702663 -45.8623036,-67.96929873 -45.86235432,-67.9705346 -45.8620944,-67.97189710000002 -45.861818,-67.97103212 -45.86191282,-67.9727018 -45.8616387,-67.973367 -45.8612352,-67.9735816 -45.8606898,-67.97275807 -45.86073448,-67.9787314 -45.8612128,-67.9781628 -45.8612053,-67.9774868 -45.8607794,-67.9767251 -45.8597259,-67.9755342 -45.8596288,-67.9744506 -45.8598903,-67.9743111 -45.8601967,-67.9733455 -45.8602788,-67.9734099 -45.8608317,-67.9735816 -45.8606898,-67.97806312 -45.86131529,-67.9814565 -45.8608243,-67.9794395 -45.8610634,-67.98085648 -45.8609192,-67.9787743 -45.859569,-67.9784095 -45.8600622,-67.9786134 -45.860249,-67.9797721 -45.8603909,-67.9814243 -45.8607346,-67.97805617 -45.85962835,-67.9762101 -45.8587172,-67.9768431 -45.8590385,-67.9774976 -45.8593075,-67.9783773 -45.8600024,-67.9787743 -45.859569,-67.97543611 -45.85876585,-67.9761672 -45.8586351,-67.9759634 -45.858508,-67.9757595 -45.8578206,-67.9751909 -45.8575143,-67.9723477 -45.8568567,-67.9721653 -45.8565802,-67.97079424 -45.85669528,-67.9721439 -45.8564532,-67.9723585 -45.855833,-67.9728305 -45.8549363,-67.9739249 -45.8544805,-67.9741395 -45.8540023,-67.9740536 -45.853539,-67.9744184 -45.8538977,-67.9746437 -45.8541517,-67.9750943 -45.8540247,-67.9749548 -45.854488,-67.97353981 -45.85482131,-67.9750836 -45.8543983,-67.9752016 -45.8534194,-67.97404757 -45.85313584,-67.9748797 -45.8534568,-67.9738176 -45.8522612,-67.9730666 -45.8517007,-67.9728305 -45.8516858,-67.9720902 -45.8515438,-67.97067338 -45.85178783,-67.9697835 -45.8517381,-67.9700947 -45.8517082,-67.9702342 -45.8514018,-67.9710817 -45.8516335,-67.97135 -45.8516633,-67.96836168 -45.85192469,-67.9586148 -45.8568044,-67.9579926 -45.8564383,-67.9605138 -45.8553847,-67.9615545 -45.8546374,-67.963078 -45.8525451,-67.9633892 -45.8522836,-67.9675841 -45.8512224,-67.9699767 -45.8512598,-67.9700732 -45.8515064,-67.9697835 -45.8517381,-67.95773843 -45.85672753,-67.9549778 -45.85820170000001,-67.9571986 -45.85672970000001,-67.9579175 -45.8564981,-67.9585719 -45.8567521,-67.9539623 -45.85805836,-67.9549134 -45.858239,-67.9527032 -45.8590684,-67.9493666 -45.8607794,-67.9491198 -45.8606898,-67.94780419 -45.86081977,-67.9479718 -45.8615453,-67.9493934 -45.8606973,-67.9489589 -45.8606599,-67.94655091 -45.86160389,-67.9483044 -45.861911400000004,-67.9473495 -45.8614183,-67.94727301 -45.86217176,-67.9469097 -45.8620944,-67.9481596 -45.8620048,-67.94569946 -45.86221924,-67.9427254 -45.8635364,-67.9464859 -45.8623447,-67.9469097 -45.862016,-67.9400271 -45.8665472,-67.9452038 -45.8642219,-67.9464403 -45.8647635,-67.9454304 -45.86503525,,-67.94551194 -45.86495899,-67.949152 -45.8670029,-67.9489589 -45.866338,-67.9464805 -45.8656358,-67.946502 -45.8652099,-67.94827454 -45.86749255,-67.9513514 -45.867951700000006,-67.9506004 -45.8681534,-67.9493558 -45.8665622,-67.9490876 -45.8664576,-67.9492164 -45.8668461,-67.95075242 -45.86791677,-67.9511476 -45.8693039,-67.95089010000001 -45.8697222,-67.9506433 -45.8681011,-67.9512978 -45.867892,-67.95011093 -45.86936834,-67.9526013 -45.869965,-67.9517484 -45.8700734,-67.9508901 -45.8697222,-67.9511476 -45.8693039,-67.95188123 -45.87007275,-67.9518449 -45.870925,-67.9516733 -45.8706037,-67.9509866 -45.870275,-67.95089010000001 -45.8697222,-67.9517484 -45.8700734,-67.9526281 -45.8699912,-67.95082673 -45.87123588,-67.9510081 -45.87218,-67.9515123 -45.8715599,-67.9518449 -45.870925,-67.94974928 -45.87213834,-67.9508579 -45.8736739,-67.9509115 -45.8721426,-67.94983615 -45.87396079,-67.9521346 -45.8759746,-67.951448 -45.8759597,-67.9509008 -45.8738383,-67.95155064 -45.87647635,-67.9521346 -45.8759746,-67.9517162 -45.8759074,-67.9513943 -45.8758999,-67.9525959 -45.87702780000001,-67.95337920000001 -45.8774162,-67.95259842 -45.87763583,-67.9538298 -45.8776104,-67.9575419 -45.8788205,-67.9596341 -45.8789624,-67.9602242 -45.8794852,-67.95937836 -45.87978501,-67.967391 -45.8796271,-67.9660606 -45.879657,-67.9619408 -45.879179,-67.959795 -45.8789997,-67.9602242 -45.8794852,-67.96661757 -45.87943084,-67.9708028 -45.8792686,-67.9686999 -45.8795524,-67.9682064 -45.8792238,-67.96993071 -45.87922522,-67.9739785 -45.8781632,-67.9745579 -45.8782677,-67.9740644 -45.8788802,-67.9710174 -45.8792537,-67.97210325 -45.8786421,-67.9764569 -45.8790072,-67.9757595 -45.8787084,-67.9755771 -45.8785142,-67.9742253 -45.8787756,-67.974236 -45.878222900000004,-67.9757414 -45.87911165,-67.9764569 -45.8790072,-67.9757595 -45.8787084,-67.9756951 -45.8784321,-67.9790318 -45.877588,-67.9792678 -45.8765199,-67.9792786 -45.8747272,-67.9798257 -45.8760045,-67.9801154 -45.8760643,-67.97932522 -45.87631183,-67.9801047 -45.8737412,-67.9795146 -45.8726879,-67.9791605 -45.8735694,-67.9792249 -45.8748467,-67.9793966 -45.8748467,-67.9797721 -45.8758476,-67.9800725 -45.876012,-67.97905112 -45.87422359,-67.9799759 -45.8737337,-67.9795146 -45.8726879,-67.9809093 -45.8709474,-67.980845 -45.8716421,-67.97987219 -45.87199291,-67.9807377 -45.8716645,-67.9809952 -45.8709175,-67.9819071 -45.8698567,-67.9830122 -45.8690947,-67.9832804 -45.8686614,-67.9840744 -45.8683402,-67.98364252 -45.86827111,-67.9875398 -45.8692665,-67.988205 -45.8691993,-67.9883659 -45.8686465,-67.9866493 -45.8686017,-67.9853296 -45.8685195,-67.9839349 -45.868766,-67.9830122 -45.8690947,-67.9832804 -45.8686614,-67.9841065 -45.8682057,-67.98595749 -45.86942688,,-67.98621539 -45.86906201,-67.9901361 -45.8674661,-67.9900289 -45.8678098,-67.9882801 -45.8686838,-67.9882801 -45.8691246,-67.9875398 -45.8692665,-67.98895281 -45.86742251,-67.9929042 -45.8670777,-67.9928398 -45.8661064,-67.9924321 -45.8655835,-67.9918849 -45.8652398,-67.9909408 -45.867115,-67.9902434 -45.8675334,-67.99174523 -45.8677107,-67.99270030000001 -45.8680115,-67.9920244 -45.869162,-67.9932475 -45.8700435,-67.99256365 -45.87036853,,-67.99253557 -45.87053256,-67.9939556 -45.8721949,-67.9937088 -45.8706486,-67.99347074 -45.87229992;-67.99347074 -45.87229992,-67.9939556 -45.8721949,-67.9937088 -45.8706486,-67.99253557 -45.87053256,,-67.99256365 -45.87036853,-67.99270030000001 -45.8680115,-67.9920244 -45.869162,-67.9932475 -45.8700435,-67.99174523 -45.8677107,-67.9929042 -45.8670777,-67.9928398 -45.8661064,-67.9924321 -45.8655835,-67.9918849 -45.8652398,-67.9909408 -45.867115,-67.9902434 -45.8675334,-67.98895281 -45.86742251,-67.9901361 -45.8674661,-67.9900289 -45.8678098,-67.9882801 -45.8686838,-67.9882801 -45.8691246,-67.9875398 -45.8692665,-67.98621539 -45.86906201,,-67.98595749 -45.86942688,-67.9875398 -45.8692665,-67.988205 -45.8691993,-67.9883659 -45.8686465,-67.9866493 -45.8686017,-67.9853296 -45.8685195,-67.9839349 -45.868766,-67.9830122 -45.8690947,-67.9832804 -45.8686614,-67.9841065 -45.8682057,-67.98364252 -45.86827111,-67.9807377 -45.8716645,-67.9809952 -45.8709175,-67.9819071 -45.8698567,-67.9830122 -45.8690947,-67.9832804 -45.8686614,-67.9840744 -45.8683402,-67.97987219 -45.87199291,-67.9799759 -45.8737337,-67.9795146 -45.8726879,-67.9809093 -45.8709474,-67.980845 -45.8716421,-67.97905112 -45.87422359,-67.9801047 -45.8737412,-67.9795146 -45.8726879,-67.9791605 -45.8735694,-67.9792249 -45.8748467,-67.9793966 -45.8748467,-67.9797721 -45.8758476,-67.9800725 -45.876012,-67.97932522 -45.87631183,-67.9764569 -45.8790072,-67.9757595 -45.8787084,-67.9756951 -45.8784321,-67.9790318 -45.877588,-67.9792678 -45.8765199,-67.9792786 -45.8747272,-67.9798257 -45.8760045,-67.9801154 -45.8760643,-67.9757414 -45.87911165,-67.9764569 -45.8790072,-67.9757595 -45.8787084,-67.9755771 -45.8785142,-67.9742253 -45.8787756,-67.974236 -45.878222900000004,-67.97210325 -45.8786421,-67.9739785 -45.8781632,-67.9745579 -45.8782677,-67.9740644 -45.8788802,-67.9710174 -45.8792537,-67.96993071 -45.87922522,-67.9708028 -45.8792686,-67.9686999 -45.8795524,-67.9682064 -45.8792238,-67.96661757 -45.87943084,-67.967391 -45.8796271,-67.9660606 -45.879657,-67.9619408 -45.879179,-67.959795 -45.8789997,-67.9602242 -45.8794852,-67.95937836 -45.87978501,-67.9538298 -45.8776104,-67.9575419 -45.8788205,-67.9596341 -45.8789624,-67.9602242 -45.8794852,-67.95259842 -45.87763583,-67.9521346 -45.8759746,-67.9517162 -45.8759074,-67.9513943 -45.8758999,-67.9525959 -45.87702780000001,-67.95337920000001 -45.8774162,-67.95155064 -45.87647635,-67.9521346 -45.8759746,-67.951448 -45.8759597,-67.9509008 -45.8738383,-67.94983615 -45.87396079,-67.9508579 -45.8736739,-67.9509115 -45.8721426,-67.94974928 -45.87213834,-67.9510081 -45.87218,-67.9515123 -45.8715599,-67.9518449 -45.870925,-67.95082673 -45.87123588,-67.9518449 -45.870925,-67.9516733 -45.8706037,-67.9509866 -45.870275,-67.95089010000001 -45.8697222,-67.9517484 -45.8700734,-67.9526281 -45.8699912,-67.95188123 -45.87007275,-67.9526013 -45.869965,-67.9517484 -45.8700734,-67.9508901 -45.8697222,-67.9511476 -45.8693039,-67.95011093 -45.86936834,-67.9511476 -45.8693039,-67.95089010000001 -45.8697222,-67.9506433 -45.8681011,-67.9512978 -45.867892,-67.95075242 -45.86791677,-67.9513514 -45.867951700000006,-67.9506004 -45.8681534,-67.9493558 -45.8665622,-67.9490876 -45.8664576,-67.9492164 -45.8668461,-67.94827454 -45.86749255,-67.949152 -45.8670029,-67.9489589 -45.866338,-67.9464805 -45.8656358,-67.946502 -45.8652099,-67.94551194 -45.86495899,,-67.9454304 -45.86503525,-67.9452038 -45.8642219,-67.9464403 -45.8647635,-67.9400271 -45.8665472</t>
  </si>
  <si>
    <t>-67.9400271 -45.8665472,-67.9452038 -45.8642219,-67.9464403 -45.8647635,-67.9454304 -45.86503525,,-67.94551194 -45.86495899,-67.949152 -45.8670029,-67.9489589 -45.866338,-67.9464805 -45.8656358,-67.946502 -45.8652099,-67.94827454 -45.86749255,-67.9581213 -45.8673466,-67.9581428 -45.8669731,-67.9568553 -45.866226,-67.9523492 -45.8659869,-67.9491305 -45.866226,-67.9489803 -45.8668834,-67.95709848 -45.86769228,-67.9570484 -45.8711267,-67.9574454 -45.8693637,-67.9580891 -45.8675707,-67.95610675 -45.87170205,-67.9571235 -45.8715898,-67.9572952 -45.8723443,-67.9570484 -45.87342,-67.95743470000001 -45.8736217,-67.95650202 -45.87386891,-67.9575098 -45.8735619,-67.9580784 -45.8727253,-67.95720623 -45.87256309,-67.9630244 -45.8733005,-67.9618549 -45.87156740000001,-67.9611683 -45.8714553,-67.9596126 -45.871724300000004,-67.95881870000001 -45.8720007,-67.96214261 -45.87344787,-67.9666829 -45.8734274,-67.9651701 -45.87286720000001,-67.9644513 -45.8730315,-67.9638612 -45.8733752,-67.9632068 -45.8733901,-67.96572509 -45.87368099,-67.96696190000002 -45.8736067,-67.9677129 -45.8742267,-67.9679918 -45.8746077,-67.9672039 -45.87497495,-67.9711676 -45.8706262,-67.9712427 -45.8723667,-67.9717791 -45.8732033,-67.9711139 -45.8738906,-67.9693866 -45.8740474,-67.9686463 -45.874533,-67.96992116 -45.87035971;-67.96992116 -45.87035971,-67.9711676 -45.8706262,-67.9712427 -45.8723667,-67.9717791 -45.8732033,-67.9711139 -45.8738906,-67.9693866 -45.8740474,-67.9686463 -45.874533,-67.9672039 -45.87497495,-67.96696190000002 -45.8736067,-67.9677129 -45.8742267,-67.9679918 -45.8746077,-67.96572509 -45.87368099,-67.9666829 -45.8734274,-67.9651701 -45.87286720000001,-67.9644513 -45.8730315,-67.9638612 -45.8733752,-67.9632068 -45.8733901,-67.96214261 -45.87344787,-67.9630244 -45.8733005,-67.9618549 -45.87156740000001,-67.9611683 -45.8714553,-67.9596126 -45.871724300000004,-67.95881870000001 -45.8720007,-67.95720623 -45.87256309,-67.9575098 -45.8735619,-67.9580784 -45.8727253,-67.95650202 -45.87386891,-67.9571235 -45.8715898,-67.9572952 -45.8723443,-67.9570484 -45.87342,-67.95743470000001 -45.8736217,-67.95610675 -45.87170205,-67.9570484 -45.8711267,-67.9574454 -45.8693637,-67.9580891 -45.8675707,-67.95709848 -45.86769228,-67.9581213 -45.8673466,-67.9581428 -45.8669731,-67.9568553 -45.866226,-67.9523492 -45.8659869,-67.9491305 -45.866226,-67.9489803 -45.8668834,-67.94827454 -45.86749255,-67.949152 -45.8670029,-67.9489589 -45.866338,-67.9464805 -45.8656358,-67.946502 -45.8652099,-67.94551194 -45.86495899,,-67.9454304 -45.86503525,-67.9452038 -45.8642219,-67.9464403 -45.8647635,-67.9400271 -45.8665472,-67.9383588 -45.8674437,-67.9380101 -45.8666929,-67.9392922 -45.8661064,-67.93822649 -45.86645361,,-67.93820898 -45.86621382,-67.939437 -45.8659907,-67.9410034 -45.8642985,-67.9397787 -45.86446671,-67.9413575 -45.8643508,-67.94191 -45.8638801,-67.9413092 -45.8637717,-67.94026881 -45.86394522,-67.9412395 -45.8636896,-67.94085860000001 -45.8628677,-67.94016816 -45.86304785,-67.9407513 -45.863103100000004,-67.9403973 -45.8622551,-67.93757020000001 -45.8636746,-67.93638614 -45.8639203,-67.9374468 -45.8637643,-67.93648120000002 -45.8648999,-67.93542287 -45.86514387,-67.9364544 -45.8650082,-67.9343033 -45.8651128,-67.93322311 -45.86539389,-67.934196 -45.8650755,-67.9339492 -45.8648887,-67.9318678 -45.8652174,-67.93025624 -45.86524613,-67.92887450000002 -45.8655984,-67.929647 -45.8660093,-67.9311919 -45.8652622,-67.92761571 -45.86576064,-67.9284239 -45.8655835,-67.9270077 -45.8655162,-67.92568273 -45.86555172,,-67.92617947 -45.86596757,-67.9266429 -45.8657927,-67.9259992 -45.8665696,-67.92478129 -45.86687146,-67.9258382 -45.86658460000001,-67.9220402 -45.8663903,-67.92069068 -45.86664171,-67.9224908 -45.8663306,-67.9191971 -45.8656582,-67.91774956 -45.8661538,-67.9187572 -45.8661064,-67.9176843 -45.8663679,-67.9172981 -45.8656657,-67.91575239 -45.86551598,-67.9164934 -45.8652398,-67.9147875 -45.8642536,-67.9133606 -45.865322,-67.9120409 -45.8651352,-67.91093971 -45.86527418,-67.9122448 -45.8649709,-67.911129 -45.8644105,-67.9103887 -45.8645226,-67.90917641 -45.86476613,-67.9100668 -45.8647318,-67.9098523 -45.8659197,-67.9103565 -45.8661513,-67.90947109 -45.86641003,-67.9100454 -45.8663754,-67.9094982 -45.8663306,-67.909627 -45.86429100000001,-67.90869072 -45.86438156,-67.9108179 -45.86391,-67.9094768 -45.8638353,-67.9077816 -45.8657329,-67.9066443 -45.8662484,-67.90565529 -45.8665856,-67.906419 -45.86626330000001,-67.9050887 -45.8652025,-67.9043591 -45.864814,-67.90314798 -45.8648888,-67.9039943 -45.8644255,-67.9028034 -45.8637381,-67.8999174 -45.8635812,-67.89867893 -45.86374335,-67.8993487 -45.8636634,-67.8988981 -45.8636933,-67.89861920000001 -45.8635215,-67.8975525 -45.86346654,,-67.89779792 -45.86312838,-67.8962696 -45.8632899,-67.8974175 -45.8625203,-67.8984583 -45.8622177,-67.8946526 -45.86372426,-67.8961945 -45.8632674,-67.8952932 -45.8629985,-67.8948426 -45.8620347,-67.89369378 -45.862107,-67.8961086 -45.8601668,-67.8949714 -45.8618927,-67.89506126 -45.86022417,-67.8960952 -45.8598436,-67.8959692 -45.8585678,-67.8961945 -45.8583138,-67.8955936 -45.8581419,-67.8949177 -45.8572976,-67.8950787 -45.8562589,-67.894907 -45.8558629,-67.8937376 -45.8558928,-67.8932869 -45.8566101,-67.8928149 -45.8568492,-67.8926003 -45.8566998,-67.89119881 -45.85678635,-67.8915596 -45.8569165,-67.8910661 -45.8570435,-67.8905296 -45.8572453,-67.8862917 -45.8600846,-67.8869355 -45.8600547,-67.8873861 -45.8596438,-67.8876221 -45.8588667,-67.8886843 -45.8579999,-67.88485253 -45.86038085,-67.8855836 -45.8605329,-67.8847253 -45.8611754,-67.8843284 -45.8612427,-67.88286864 -45.86153258,-67.8809917 -45.8619301,-67.8822792 -45.8616611,-67.8835666 -45.8617507,-67.8845859 -45.8612277,-67.8843284 -45.8612427,-67.87889297 -45.8626014,-67.8800154 -45.8627071,-67.880863 -45.8635887,-67.8814101 -45.8638502,-67.881496 -45.8643508,-67.8795862 -45.8651352,-67.87816911 -45.86559299,-67.8794253 -45.8652025,-67.8813779 -45.8643508,-67.8805947 -45.8648065,-67.8801227 -45.8652622,-67.8801119 -45.8658151,-67.8798544 -45.8661513,-67.87841593 -45.86693979,-67.8773224 -45.8682132,-67.8784168 -45.867951700000006,-67.8792751 -45.866988,-67.87529512 -45.86884053,-67.8755951 -45.8690125,-67.8751016 -45.8692815,-67.8764427 -45.8695952,-67.87545792 -45.87007243,-67.8735942 -45.8680488,-67.8724301 -45.8682281,-67.8724086 -45.8686689,-67.8764427 -45.8695952,-67.8729107 -45.86822856,-67.8699839 -45.8693413,-67.8700376 -45.8699389,-67.8703916 -45.8701929,-67.8709173 -45.8699239,-67.8707349 -45.8692815,-67.8712177 -45.8686166,-67.8731596 -45.8681236,-67.86891343 -45.86940172,-67.8665292 -45.8704394,-67.8664756 -45.8701107,-67.8674197 -45.8697073,-67.8698659 -45.8700883,-67.8700376 -45.8699389,-67.8700268 -45.8692964,-67.86552841 -45.87071955,-67.8687286 -45.87223970000001,-67.8671408 -45.8717542,-67.8661752 -45.8712611,-67.8662395 -45.8705888,-67.86803091 -45.87230485,-67.8686213 -45.87223970000001,-67.8679776 -45.8725012,-67.867173 -45.87342,-67.86601994 -45.87390747,-67.8666043 -45.8740773,-67.8655958 -45.8758999,-67.8658319 -45.8761464,-67.86520975 -45.8764158,-67.8690398 -45.8759074,-67.8681815 -45.8748691,-67.8664434 -45.8762585,-67.86877282 -45.87598303,-67.8721726 -45.8748019,-67.868793 -45.8753024,-67.8683639 -45.8750633,-67.8691471 -45.8759522,-67.87226293 -45.87472228,,-67.87167835 -45.87465065,,-67.87193558 -45.87471338;-67.87193558 -45.87471338,,-67.87167835 -45.87465065,,-67.87226293 -45.87472228,-67.8772473 -45.875646,-67.87714 -45.874899,-67.8760457 -45.8739578,-67.8750265 -45.8733005,-67.8741574 -45.8732108,-67.8737283 -45.8741819,-67.87580898 -45.87623664,-67.8836632 -45.8741296,-67.884264 -45.8734723,-67.8839421 -45.8733229,-67.8833306 -45.8736515,-67.8822899 -45.87404,-67.8816032 -45.8749737,-67.8808522 -45.875153,-67.8791678 -45.8762809,-67.8782129 -45.8766021,-67.8774083 -45.8765572,-67.88196942 -45.87464989,-67.8803158 -45.8771847,-67.8813779 -45.8760792,-67.8823113 -45.875519,-67.8828478 -45.87486160000001,-67.87897854 -45.87766371,-67.8797901 -45.8776627,-67.8792536 -45.87817810000001,-67.8798115 -45.8793806,-67.87875862 -45.87975391,-67.8785026 -45.8788802,-67.8798115 -45.8793806,-67.87684672 -45.87887091,-67.8772688 -45.8789101,-67.8749835 -45.8790146,-67.87362100000001 -45.8797765,-67.8724445 -45.87988188,-67.8726017 -45.880389,-67.8697157 -45.8828462,-67.8706813 -45.8831001,-67.8686643 -45.8830254,-67.86703039 -45.88312685,-67.8737283 -45.8829508,-67.8736854 -45.8833242,-67.8730094 -45.8829134,-67.8686643 -45.8830254,-67.87263059 -45.88283868,-67.8738034 -45.8829806,-67.8739858 -45.8834512,-67.87655 -45.8844445,-67.8765929 -45.8840262,-67.8758872 -45.88413516,-67.8775907 -45.885744,-67.8778374 -45.8851241,-67.8766251 -45.8844594,-67.8767002 -45.8840561,-67.87630061 -45.88642699,,-67.87597578 -45.88674947,-67.8775477 -45.8859232,-67.87784810000001 -45.8854153,-67.8789425 -45.8862742,-67.879554 -45.8862667,-67.8829443 -45.8844743,-67.8806055 -45.8848253,-67.87931365 -45.88515467,-67.8808522 -45.8847432,-67.8831053 -45.8843548,-67.884897 -45.8834586,-67.8876114 -45.88378720000001,-67.8901434 -45.8835856,-67.88934482 -45.88367092,-67.8863347 -45.8849448,-67.8869569 -45.8849672,-67.8874826 -45.883847,-67.8903258 -45.883570600000006,-67.88477851 -45.88530377,-67.8877938 -45.885251,-67.8862166 -45.8849523,-67.88725199 -45.88498287,-67.8916669 -45.8851316,-67.891463 -45.8853332,-67.8890061 -45.8855946,-67.8886521 -45.8849672,-67.88986813 -45.88509226,-67.895658 -45.88465360000001,-67.8955078 -45.8872675,-67.89402720000001 -45.888186,-67.89313670000001 -45.8879097,-67.8935552 -45.8866999,-67.891624 -45.8850718,-67.89478887 -45.88442779,-67.896452 -45.8842129,-67.8972995 -45.8841607,-67.8987801 -45.8833839,-67.8993165 -45.8836304,-67.89811074 -45.88424629,-67.90316820000001 -45.883637900000004,-67.9026854 -45.8831823,-67.9021275 -45.8832794,-67.900722 -45.8842279,-67.9001105 -45.8851465,-67.8995955 -45.8843175,-67.90293219 -45.8836944,-67.9039729 -45.8871629,-67.9034686 -45.8869165,-67.9041123 -45.886192,-67.9042947 -45.8847656,-67.90316820000001 -45.883637900000004,-67.90362098 -45.8874036,-67.9052818 -45.8875736,-67.90654780000001 -45.8882084,-67.9074919 -45.8882756,-67.90705336 -45.88840606,-67.9066443 -45.8844071,-67.9062474 -45.8852585,-67.908833 -45.885968,-67.9091012 -45.8864012,-67.90594775 -45.88423937,,-67.90591516 -45.88446218,-67.9076958 -45.8841084,-67.9082644 -45.8839366,-67.9093373 -45.8833167,-67.9103136 -45.8831972,-67.90970498 -45.88326091,-67.911365 -45.8831076,-67.9142618 -45.8826968,-67.9159892 -45.8825026,-67.91541483 -45.88231338,-67.9166651 -45.8823159,-67.9170835 -45.8822711,-67.9178345 -45.8833989,-67.9184783 -45.8832943,-67.91747464 -45.88372353,-67.9183924 -45.8832943,-67.9178345 -45.8833989,-67.9181349 -45.883832,-67.9182851 -45.8847656,-67.9179955 -45.8868492,-67.9182959 -45.887021,-67.918725 -45.8867895,-67.9189289 -45.8859232,-67.91833856 -45.88592331,-67.9201949 -45.8901426,-67.920785 -45.8896646,-67.9178774 -45.8882906,-67.9180706 -45.8870061,-67.9186499 -45.8868642,-67.918961 -45.8857962,-67.91840225 -45.89042054,-67.9177594 -45.8928831,-67.9196584 -45.8908744,-67.9194117 -45.8909267,-67.9188323 -45.8915241,-67.9170513 -45.8923754,-67.9181993 -45.8910014,-67.918961 -45.8905234,-67.91657701 -45.89351753,-67.9165363 -45.8956086,-67.9175019 -45.8947275,-67.9165041 -45.893712,-67.9164827 -45.892689,-67.9183388 -45.8916958,-67.9195189 -45.8908296,-67.9196799 -45.8909341,-67.9177058 -45.8929802,-67.91506756 -45.89602857,-67.9198515 -45.8952876,-67.9187465 -45.8950934,-67.9171157 -45.8950187,-67.9165041 -45.8955564,-67.91895387 -45.89557581,-67.9221904 -45.8981548,-67.9233706 -45.8984385,-67.9223728 -45.8974903,-67.9203773 -45.8967212,-67.9203129 -45.8957953,-67.92046749 -45.89809236,-67.9221904 -45.8981548,-67.9232204 -45.8984983,-67.9230487 -45.8980652,-67.9224908 -45.89755,-67.9236388 -45.8964449,-67.92261639 -45.89612501,-67.9247761 -45.8977964,-67.9243469 -45.8973633,-67.9243791 -45.8961313,-67.9234135 -45.8969676,-67.9229736 -45.897214,-67.9236066 -45.8963628,-67.92440714 -45.89809857;-67.92440714 -45.89809857,-67.9247761 -45.8977964,-67.9243469 -45.8973633,-67.9243791 -45.8961313,-67.9234135 -45.8969676,-67.9229736 -45.897214,-67.9236066 -45.8963628,-67.92261639 -45.89612501,-67.9221904 -45.8981548,-67.9232204 -45.8984983,-67.9230487 -45.8980652,-67.9224908 -45.89755,-67.9236388 -45.8964449,-67.92046749 -45.89809236,-67.9312027 -45.9008128,-67.9299688 -45.9015296,-67.9282737 -45.9003723,-67.9263103 -45.8994316,-67.9232204 -45.8984983,-67.9221046 -45.8981623,-67.93028301 -45.90068278,-67.9313636 -45.9007755,-67.9299688 -45.9015296,-67.9309559 -45.9024778,-67.931664 -45.9022687,-67.9323721 -45.9010144,-67.9335737 -45.900447,-67.9371786 -45.9012832,-67.9379082 -45.9021045,-67.9396677 -45.9026719,-67.941041 -45.9025674,-67.94048121 -45.90255833,-67.9417276 -45.9060912,-67.9426718 -45.9047623,-67.9416203 -45.9047773,-67.9445601 -45.9035379,-67.942543 -45.9026271,-67.94070253 -45.90708056,-67.9419637 -45.9061061,-67.9426718 -45.9047623,-67.9415345 -45.9048967,-67.938745 -45.9059568,-67.9340029 -45.9072707,-67.9353547 -45.9073006,-67.93482704 -45.9074612,-67.922008 -45.9097193,-67.9201412 -45.9109884,-67.9196906 -45.9109585,-67.9200125 -45.9097492,-67.9210854 -45.909585,-67.9227591 -45.90851,-67.9267287 -45.9077933,-67.9317927 -45.9075544,-67.9344964 -45.9080023,-67.9353762 -45.9076142,-67.92132124 -45.90950332,-67.9221797 -45.9097492,-67.9201412 -45.9109884,-67.91924 -45.911063,-67.9191971 -45.9115109,-67.91938339 -45.91141146,-67.9150558 -45.9126903,-67.9162359 -45.9122126,-67.9164505 -45.9115408,-67.9181457 -45.910645,-67.9202914 -45.9111078,-67.91361731 -45.91301639,-67.9095197 -45.9178556,-67.9090691 -45.9168107,-67.9049706 -45.9149894,-67.9050565 -45.9146311,-67.908597 -45.9143027,-67.9105282 -45.9135114,-67.9126954 -45.9130636,-67.9141974 -45.9123171,-67.90949828 -45.91775832,-67.9105067 -45.9207068,-67.9081678 -45.9205276,-67.9078245 -45.9200798,-67.9065156 -45.9195574,-67.9081035 -45.9191991,-67.9097772 -45.9180049,-67.91006087 -45.92075561,-67.9102921 -45.920662,-67.908361 -45.9205575,-67.9075885 -45.9200201,-67.9060221 -45.9194977,-67.9027176 -45.9217367,-67.90106153 -45.92208325;-67.90106153 -45.92208325,-67.9102921 -45.920662,-67.908361 -45.9205575,-67.9075885 -45.9200201,-67.9060221 -45.9194977,-67.9027176 -45.9217367,-67.91006087 -45.92075561,-67.9105067 -45.9207068,-67.9081678 -45.9205276,-67.9078245 -45.9200798,-67.9065156 -45.9195574,-67.9081035 -45.9191991,-67.9097772 -45.9180049,-67.90949828 -45.91775832,-67.9095197 -45.9178556,-67.9090691 -45.9168107,-67.9049706 -45.9149894,-67.9050565 -45.9146311,-67.908597 -45.9143027,-67.9105282 -45.9135114,-67.9126954 -45.9130636,-67.9141974 -45.9123171,-67.91361731 -45.91301639,-67.9150558 -45.9126903,-67.9162359 -45.9122126,-67.9164505 -45.9115408,-67.9181457 -45.910645,-67.9202914 -45.9111078,-67.91938339 -45.91141146,-67.9221797 -45.9097492,-67.9201412 -45.9109884,-67.91924 -45.911063,-67.9191971 -45.9115109,-67.92132124 -45.90950332,-67.922008 -45.9097193,-67.9201412 -45.9109884,-67.9196906 -45.9109585,-67.9200125 -45.9097492,-67.9210854 -45.909585,-67.9227591 -45.90851,-67.9267287 -45.9077933,-67.9317927 -45.9075544,-67.9344964 -45.9080023,-67.9353762 -45.9076142,-67.93482704 -45.9074612,-67.9419637 -45.9061061,-67.9426718 -45.9047623,-67.9415345 -45.9048967,-67.938745 -45.9059568,-67.9340029 -45.9072707,-67.9353547 -45.9073006,-67.94070253 -45.90708056,-67.9417276 -45.9060912,-67.9426718 -45.9047623,-67.9416203 -45.9047773,-67.9445601 -45.9035379,-67.942543 -45.9026271,-67.94048121 -45.90255833,-67.9313636 -45.9007755,-67.9299688 -45.9015296,-67.9309559 -45.9024778,-67.931664 -45.9022687,-67.9323721 -45.9010144,-67.9335737 -45.900447,-67.9371786 -45.9012832,-67.9379082 -45.9021045,-67.9396677 -45.9026719,-67.941041 -45.9025674,-67.93028301 -45.90068278,-67.9312027 -45.9008128,-67.9299688 -45.9015296,-67.9282737 -45.9003723,-67.9263103 -45.8994316,-67.9232204 -45.8984983,-67.9221046 -45.8981623,-67.92046749 -45.89809236,-67.9221904 -45.8981548,-67.9232204 -45.8984983,-67.9230487 -45.8980652,-67.9224908 -45.89755,-67.9236388 -45.8964449,-67.92261639 -45.89612501,-67.9235637 -45.895743,-67.9241538 -45.8953249,-67.9267287 -45.8949142,-67.9271579 -45.8944961,-67.9267287 -45.8942048,-67.9257309 -45.8936448,-67.9256558 -45.8930698,-67.9268682 -45.8923604,-67.9289711 -45.8934208,-67.9293036 -45.893361,-67.92819602 -45.89300211,-67.929368 -45.8925994,-67.9296148 -45.8919423,-67.9287994 -45.8913897,-67.9285097 -45.8910014,-67.9286277 -45.8901127,-67.92758265 -45.88993498,-67.9286492 -45.8892166,-67.9288638 -45.8878724,-67.9292393 -45.8876931,-67.92838162 -45.88770662,-67.929883 -45.8876782,-67.9306018 -45.8878724,-67.9317605 -45.8883727,-67.9326189 -45.888201,-67.93184093 -45.88869985,,-67.93195275 -45.88880085,-67.9325545 -45.8880964,-67.9324257 -45.8875363,-67.933048 -45.8868642,-67.9335093 -45.8836304,-67.93297197 -45.88384007,,-67.93288041 -45.88347512,-67.9369962 -45.8822636,-67.9367441 -45.8819686,-67.9343677 -45.8832719,-67.93623372 -45.88237227,-67.9369104 -45.8822487,-67.9367441 -45.8819686,-67.9385787 -45.881274,-67.938568 -45.8809641,-67.9379243 -45.8811844,-67.93588984 -45.88149225,-67.9380155 -45.8812404,-67.938627 -45.880852,-67.9384768 -45.8805682,-67.9371035 -45.8800827,-67.9358482 -45.8797093,-67.9335737 -45.8797616,-67.934432 -45.8794255,-67.9350007 -45.8792835,-67.9357088 -45.8792686,-67.93512028 -45.8793768,-67.9308057 -45.8796645,-67.9309773 -45.8795823,-67.9308271 -45.8793582,-67.9319429 -45.8795524,-67.9332089 -45.8799333,-67.9339921 -45.8795524,-67.9349685 -45.8793358,-67.935698 -45.8793209,-67.92926139 -45.87980166,-67.9288745 -45.8790371,-67.9299796 -45.8786337,-67.9308271 -45.8793582,-67.9310632 -45.8796271,-67.9308057 -45.8796645,-67.92746283 -45.879252,-67.9288745 -45.8790371,-67.9299796 -45.8786337,-67.9304302 -45.8776552,-67.9309022 -45.8766245,-67.9306126 -45.8766543,-67.92916705 -45.87686758,-67.9305589 -45.8765722,-67.9309773 -45.8765423,-67.9323184 -45.875011,-67.9336917 -45.8726132,-67.93292309 -45.87290945,-67.9337347 -45.872531,-67.9350007 -45.8704245,-67.9346895 -45.8701032,-67.933282 -45.87018527,-67.936492 -45.8696625,-67.9362881 -45.8694234,-67.9350436 -45.8703273,-67.9347003 -45.8699986,-67.93551008 -45.87004015,-67.9383588 -45.8674437,-67.9380584 -45.8682655,-67.9363847 -45.8693786,-67.9365671 -45.8696326,-67.9400271 -45.8665472</t>
  </si>
  <si>
    <t>-67.9400271 -45.8665472,-67.9383588 -45.8674437,-67.9380584 -45.8682655,-67.9363847 -45.8693786,-67.9365671 -45.8696326,-67.93551008 -45.87004015,-67.936492 -45.8696625,-67.9362881 -45.8694234,-67.9350436 -45.8703273,-67.9347003 -45.8699986,-67.933282 -45.87018527,-67.9337347 -45.872531,-67.9350007 -45.8704245,-67.9346895 -45.8701032,-67.93292309 -45.87290945,-67.9305589 -45.8765722,-67.9309773 -45.8765423,-67.9323184 -45.875011,-67.9336917 -45.8726132,-67.92916705 -45.87686758,-67.9288745 -45.8790371,-67.9299796 -45.8786337,-67.9304302 -45.8776552,-67.9309022 -45.8766245,-67.9306126 -45.8766543,-67.92746283 -45.879252,-67.9288745 -45.8790371,-67.9299045 -45.8786188,-67.929765 -45.8784918,-67.9247224 -45.8798512,-67.9241753 -45.8796943,-67.92260289 -45.87981886,-67.9231775 -45.8798138,-67.9230273 -45.8801051,-67.9220295 -45.8802022,-67.9198301 -45.8807027,-67.9191542 -45.8814645,-67.9198301 -45.8813375,-67.91930941 -45.88137118,-67.9183173 -45.8833018,-67.9179525 -45.8832943,-67.9178452 -45.8829358,-67.9186606 -45.8819873,-67.9191113 -45.8815466,-67.9197979 -45.8813898,-67.91747464 -45.88372353,-67.9166651 -45.8823159,-67.9170835 -45.8822711,-67.9178345 -45.8833989,-67.9184783 -45.8832943,-67.91541483 -45.88231338,-67.911365 -45.8831076,-67.9142618 -45.8826968,-67.9159892 -45.8825026,-67.90970498 -45.88326091,-67.9076958 -45.8841084,-67.9082644 -45.8839366,-67.9093373 -45.8833167,-67.9103136 -45.8831972,-67.90591516 -45.88446218,,-67.90594775 -45.88423937,-67.9066443 -45.8844071,-67.9062474 -45.8852585,-67.908833 -45.885968,-67.9091012 -45.8864012,-67.90705336 -45.88840606,-67.9052818 -45.8875736,-67.90654780000001 -45.8882084,-67.9074919 -45.8882756,-67.90362098 -45.8874036,-67.9039729 -45.8871629,-67.9034686 -45.8869165,-67.9041123 -45.886192,-67.9042947 -45.8847656,-67.90316820000001 -45.883637900000004,-67.90293219 -45.8836944,-67.90316820000001 -45.883637900000004,-67.9026854 -45.8831823,-67.9021275 -45.8832794,-67.900722 -45.8842279,-67.9001105 -45.8851465,-67.8995955 -45.8843175,-67.89811074 -45.88424629,-67.896452 -45.8842129,-67.8972995 -45.8841607,-67.8987801 -45.8833839,-67.8993165 -45.8836304,-67.89478887 -45.88442779,-67.895658 -45.88465360000001,-67.8955078 -45.8872675,-67.89402720000001 -45.888186,-67.89313670000001 -45.8879097,-67.8935552 -45.8866999,-67.891624 -45.8850718,-67.88986813 -45.88509226,-67.8916669 -45.8851316,-67.891463 -45.8853332,-67.8890061 -45.8855946,-67.8886521 -45.8849672,-67.88725199 -45.88498287,-67.8877938 -45.885251,-67.8862166 -45.8849523,-67.88477851 -45.88530377,-67.8847039 -45.885542300000004,-67.8854334 -45.8851465,-67.88304639 -45.88588109,-67.8838027 -45.88608,-67.882483 -45.8868716,-67.88085052 -45.88709026,-67.8783846 -45.8885519,-67.8803802 -45.8880143,-67.8826654 -45.8868044,-67.8823113 -45.8868119,-67.87661058 -45.88889945,-67.8765285 -45.89045620000001,-67.877773 -45.8901799,-67.8803802 -45.8880143,-67.8783846 -45.8885519,-67.87484305 -45.89067788,-67.8792322 -45.8901127,-67.877934 -45.8900903,-67.8765285 -45.89045620000001,-67.87813787 -45.88993585,-67.8788996 -45.8901426,-67.877934 -45.8900903,-67.8774834 -45.8904786,-67.8777945 -45.8925098,-67.8783524 -45.8919348,-67.87768072 -45.89180609,-67.877419 -45.893361,-67.8777194 -45.8924724,-67.8782558 -45.8919497,-67.87597121 -45.89385401,-67.8765607 -45.8939958,-67.8749728 -45.8950561,-67.8745329 -45.895832600000006,-67.8753376 -45.896079,-67.87484942 -45.89595746;-67.87484942 -45.89595746,-67.8758526 -45.8962209,-67.8745222 -45.8968183,-67.87714 -45.8974753,-67.87660436 -45.89789111;-67.87660436 -45.89789111,-67.8758526 -45.8962209,-67.8745222 -45.8968183,-67.87714 -45.8974753,-67.87484942 -45.89595746,-67.8765607 -45.8939958,-67.8749728 -45.8950561,-67.8745329 -45.895832600000006,-67.8753376 -45.896079,-67.87597121 -45.89385401,-67.877419 -45.893361,-67.8777194 -45.8924724,-67.8782558 -45.8919497,-67.87768072 -45.89180609,-67.8782558 -45.8919497,-67.8778267 -45.8923828,-67.8780413 -45.8938315,-67.8791893 -45.8953398,-67.87842608 -45.89585515,-67.8799939 -45.8961761,-67.8810668 -45.8968855,-67.881496 -45.8974007,-67.88049412 -45.89765426,-67.8816462 -45.8976545,-67.8819466 -45.8992972,-67.8823757 -45.8992374,-67.88283131 -45.8994995;-67.88283131 -45.8994995,-67.8816462 -45.8976545,-67.8819466 -45.8992972,-67.8823757 -45.8992374,-67.88049412 -45.89765426;-67.88049412 -45.89765426,-67.8816462 -45.8976545,-67.8819466 -45.8992972,-67.8823757 -45.8992374,-67.88283131 -45.8994995,-67.8778481 -45.8999691,-67.8795862 -45.8996556,-67.8816676 -45.8998198,-67.8823113 -45.899342,-67.87600509 -45.90013168,-67.875402 -45.9018954,-67.8762174 -45.9018506,-67.8767323 -45.9016117,-67.8774405 -45.9009995,-67.8778481 -45.8999691,-67.87401 -45.90242679,-67.8778911 -45.9022389,-67.8772688 -45.9023733,-67.8762174 -45.9020895,-67.8762174 -45.9018506,-67.875402 -45.9018954,-67.87749311 -45.90223614,-67.8877831 -45.9058523,-67.8869033 -45.9059867,-67.8840923 -45.9048668,-67.8834271 -45.9042397,-67.8832769 -45.9030601,-67.8820109 -45.9031497,-67.8811312 -45.903299,-67.8780627 -45.9027018,-67.8772688 -45.9023733,-67.8778911 -45.9022389,-67.88690397 -45.90593083;-67.88690397 -45.90593083,-67.8877831 -45.9058523,-67.8869033 -45.9059867,-67.8840923 -45.9048668,-67.8834271 -45.9042397,-67.8832769 -45.9030601,-67.8820109 -45.9031497,-67.8811312 -45.903299,-67.8780627 -45.9027018,-67.8772688 -45.9023733,-67.8778911 -45.9022389,-67.87749311 -45.90223614,-67.8778911 -45.9022389,-67.8772688 -45.9023733,-67.8762174 -45.9020895,-67.8762174 -45.9018506,-67.875402 -45.9018954,-67.87401 -45.90242679,-67.875402 -45.9018954,-67.8762174 -45.9018506,-67.8767323 -45.9016117,-67.8774405 -45.9009995,-67.8778481 -45.8999691,-67.87600509 -45.90013168,-67.8778481 -45.8999691,-67.8795862 -45.8996556,-67.8816676 -45.8998198,-67.8823113 -45.899342,-67.88283131 -45.8994995,-67.8816462 -45.8976545,-67.8819466 -45.8992972,-67.8823757 -45.8992374,-67.88049412 -45.89765426,-67.8799939 -45.8961761,-67.8810668 -45.8968855,-67.881496 -45.8974007,-67.87842608 -45.89585515,-67.8782558 -45.8919497,-67.8778267 -45.8923828,-67.8780413 -45.8938315,-67.8791893 -45.8953398,-67.87768072 -45.89180609,-67.8788996 -45.8901426,-67.877934 -45.8900903,-67.8774834 -45.8904786,-67.8777945 -45.8925098,-67.8783524 -45.8919348,-67.87813787 -45.88993585,-67.8792322 -45.8901127,-67.877934 -45.8900903,-67.8765285 -45.89045620000001,-67.87484305 -45.89067788,-67.8765285 -45.89045620000001,-67.877773 -45.8901799,-67.8803802 -45.8880143,-67.8783846 -45.8885519,-67.87661058 -45.88889945,-67.8783846 -45.8885519,-67.8803802 -45.8880143,-67.8826654 -45.8868044,-67.8823113 -45.8868119,-67.88085052 -45.88709026,-67.8838027 -45.88608,-67.882483 -45.8868716,-67.88304639 -45.88588109,-67.8847039 -45.885542300000004,-67.8854334 -45.8851465,-67.88477851 -45.88530377,-67.8877938 -45.885251,-67.8862166 -45.8849523,-67.88725199 -45.88498287,-67.8916669 -45.8851316,-67.891463 -45.8853332,-67.8890061 -45.8855946,-67.8886521 -45.8849672,-67.88986813 -45.88509226,-67.895658 -45.88465360000001,-67.8955078 -45.8872675,-67.89402720000001 -45.888186,-67.89313670000001 -45.8879097,-67.8935552 -45.8866999,-67.891624 -45.8850718,-67.89478887 -45.88442779,-67.896452 -45.8842129,-67.8972995 -45.8841607,-67.8987801 -45.8833839,-67.8993165 -45.8836304,-67.89811074 -45.88424629,-67.90316820000001 -45.883637900000004,-67.9026854 -45.8831823,-67.9021275 -45.8832794,-67.900722 -45.8842279,-67.9001105 -45.8851465,-67.8995955 -45.8843175,-67.90293219 -45.8836944,-67.9039729 -45.8871629,-67.9034686 -45.8869165,-67.9041123 -45.886192,-67.9042947 -45.8847656,-67.90316820000001 -45.883637900000004,-67.90362098 -45.8874036,-67.9052818 -45.8875736,-67.90654780000001 -45.8882084,-67.9074919 -45.8882756,-67.90705336 -45.88840606,-67.9066443 -45.8844071,-67.9062474 -45.8852585,-67.908833 -45.885968,-67.9091012 -45.8864012,-67.90594775 -45.88423937,,-67.90591516 -45.88446218,-67.9076958 -45.8841084,-67.9082644 -45.8839366,-67.9093373 -45.8833167,-67.9103136 -45.8831972,-67.90970498 -45.88326091,-67.911365 -45.8831076,-67.9142618 -45.8826968,-67.9159892 -45.8825026,-67.91541483 -45.88231338,-67.9166651 -45.8823159,-67.9170835 -45.8822711,-67.9178345 -45.8833989,-67.9184783 -45.8832943,-67.91747464 -45.88372353,-67.9183173 -45.8833018,-67.9179525 -45.8832943,-67.9178452 -45.8829358,-67.9186606 -45.8819873,-67.9191113 -45.8815466,-67.9197979 -45.8813898,-67.91930941 -45.88137118,-67.9231775 -45.8798138,-67.9230273 -45.8801051,-67.9220295 -45.8802022,-67.9198301 -45.8807027,-67.9191542 -45.8814645,-67.9198301 -45.8813375,-67.92260289 -45.87981886,-67.9288745 -45.8790371,-67.9299045 -45.8786188,-67.929765 -45.8784918,-67.9247224 -45.8798512,-67.9241753 -45.8796943,-67.92746283 -45.879252,-67.9288745 -45.8790371,-67.9299796 -45.8786337,-67.9304302 -45.8776552,-67.9309022 -45.8766245,-67.9306126 -45.8766543,-67.92916705 -45.87686758,-67.9305589 -45.8765722,-67.9309773 -45.8765423,-67.9323184 -45.875011,-67.9336917 -45.8726132,-67.93292309 -45.87290945,-67.9337347 -45.872531,-67.9350007 -45.8704245,-67.9346895 -45.8701032,-67.933282 -45.87018527,-67.936492 -45.8696625,-67.9362881 -45.8694234,-67.9350436 -45.8703273,-67.9347003 -45.8699986,-67.93551008 -45.87004015,-67.9383588 -45.8674437,-67.9380584 -45.8682655,-67.9363847 -45.8693786,-67.9365671 -45.8696326,-67.9400271 -45.8665472</t>
  </si>
  <si>
    <t>-67.9400271 -45.8665472,-67.9383588 -45.8674437,-67.9380584 -45.8682655,-67.9363847 -45.8693786,-67.9365671 -45.8696326,-67.93551008 -45.87004015,-67.936492 -45.8696625,-67.9362881 -45.8694234,-67.9350436 -45.8703273,-67.9347003 -45.8699986,-67.933282 -45.87018527,-67.9337347 -45.872531,-67.9350007 -45.8704245,-67.9346895 -45.8701032,-67.93292309 -45.87290945,-67.9305589 -45.8765722,-67.9309773 -45.8765423,-67.9323184 -45.875011,-67.9336917 -45.8726132,-67.92916705 -45.87686758,-67.9288745 -45.8790371,-67.9299796 -45.8786337,-67.9304302 -45.8776552,-67.9309022 -45.8766245,-67.9306126 -45.8766543,-67.92746283 -45.879252,-67.9288745 -45.8790371,-67.9299045 -45.8786188,-67.929765 -45.8784918,-67.9247224 -45.8798512,-67.9241753 -45.8796943,-67.92260289 -45.87981886,-67.9231775 -45.8798138,-67.9230273 -45.8801051,-67.9220295 -45.8802022,-67.9198301 -45.8807027,-67.9191542 -45.8814645,-67.9198301 -45.8813375,-67.91930941 -45.88137118,-67.9183173 -45.8833018,-67.9179525 -45.8832943,-67.9178452 -45.8829358,-67.9186606 -45.8819873,-67.9191113 -45.8815466,-67.9197979 -45.8813898,-67.91747464 -45.88372353,-67.9166651 -45.8823159,-67.9170835 -45.8822711,-67.9178345 -45.8833989,-67.9184783 -45.8832943,-67.91541483 -45.88231338,-67.911365 -45.8831076,-67.9142618 -45.8826968,-67.9159892 -45.8825026,-67.90970498 -45.88326091,-67.9076958 -45.8841084,-67.9082644 -45.8839366,-67.9093373 -45.8833167,-67.9103136 -45.8831972,-67.90591516 -45.88446218,,-67.90594775 -45.88423937,-67.9066443 -45.8844071,-67.9062474 -45.8852585,-67.908833 -45.885968,-67.9091012 -45.8864012,-67.90705336 -45.88840606,-67.9052818 -45.8875736,-67.90654780000001 -45.8882084,-67.9074919 -45.8882756,-67.90362098 -45.8874036,-67.9039729 -45.8871629,-67.9034686 -45.8869165,-67.9041123 -45.886192,-67.9042947 -45.8847656,-67.90316820000001 -45.883637900000004,-67.90293219 -45.8836944,-67.90316820000001 -45.883637900000004,-67.9026854 -45.8831823,-67.9021275 -45.8832794,-67.900722 -45.8842279,-67.9001105 -45.8851465,-67.8995955 -45.8843175,-67.89811074 -45.88424629,-67.896452 -45.8842129,-67.8972995 -45.8841607,-67.8987801 -45.8833839,-67.8993165 -45.8836304,-67.89478887 -45.88442779,-67.895658 -45.88465360000001,-67.8955078 -45.8872675,-67.89402720000001 -45.888186,-67.89313670000001 -45.8879097,-67.8935552 -45.8866999,-67.891624 -45.8850718,-67.88986813 -45.88509226,-67.8916669 -45.8851316,-67.891463 -45.8853332,-67.8890061 -45.8855946,-67.8886521 -45.8849672,-67.88725199 -45.88498287,-67.8877938 -45.885251,-67.8862166 -45.8849523,-67.88477851 -45.88530377,-67.8847039 -45.885542300000004,-67.8854334 -45.8851465,-67.88304639 -45.88588109,-67.8838027 -45.88608,-67.882483 -45.8868716,-67.88085052 -45.88709026,-67.8783846 -45.8885519,-67.8803802 -45.8880143,-67.8826654 -45.8868044,-67.8823113 -45.8868119,-67.87661058 -45.88889945,-67.8765285 -45.89045620000001,-67.877773 -45.8901799,-67.8803802 -45.8880143,-67.8783846 -45.8885519,-67.87484305 -45.89067788,-67.8792322 -45.8901127,-67.877934 -45.8900903,-67.8765285 -45.89045620000001,-67.87813787 -45.88993585,-67.8788996 -45.8901426,-67.877934 -45.8900903,-67.8774834 -45.8904786,-67.8777945 -45.8925098,-67.8783524 -45.8919348,-67.87768072 -45.89180609,-67.8782558 -45.8919497,-67.8778267 -45.8923828,-67.8780413 -45.8938315,-67.8791893 -45.8953398,-67.87842608 -45.89585515,-67.8799939 -45.8961761,-67.8810668 -45.8968855,-67.881496 -45.8974007,-67.88049412 -45.89765426,-67.8816462 -45.8976545,-67.8819466 -45.8992972,-67.8823757 -45.8992374,-67.88283131 -45.8994995,-67.8778481 -45.8999691,-67.8795862 -45.8996556,-67.8816676 -45.8998198,-67.8823113 -45.899342,-67.87600509 -45.90013168,-67.875402 -45.9018954,-67.8762174 -45.9018506,-67.8767323 -45.9016117,-67.8774405 -45.9009995,-67.8778481 -45.8999691,-67.87401 -45.90242679,-67.8778911 -45.9022389,-67.8772688 -45.9023733,-67.8762174 -45.9020895,-67.8762174 -45.9018506,-67.875402 -45.9018954,-67.87749311 -45.90223614,-67.8811741 -45.9021194,-67.8801656 -45.9024927,-67.8792 -45.9030004,-67.8772688 -45.9023733,-67.8778696 -45.9023733,-67.88126058 -45.90229604;-67.88126058 -45.90229604,-67.8811741 -45.9021194,-67.8801656 -45.9024927,-67.8792 -45.9030004,-67.8772688 -45.9023733,-67.8778696 -45.9023733,-67.87749311 -45.90223614,-67.8778911 -45.9022389,-67.8772688 -45.9023733,-67.8762174 -45.9020895,-67.8762174 -45.9018506,-67.875402 -45.9018954,-67.87401 -45.90242679,-67.875402 -45.9018954,-67.8762174 -45.9018506,-67.8767323 -45.9016117,-67.8774405 -45.9009995,-67.8778481 -45.8999691,-67.87600509 -45.90013168,-67.8778481 -45.8999691,-67.8795862 -45.8996556,-67.8816676 -45.8998198,-67.8823113 -45.899342,-67.88283131 -45.8994995,-67.8816462 -45.8976545,-67.8819466 -45.8992972,-67.8823757 -45.8992374,-67.88049412 -45.89765426,-67.8799939 -45.8961761,-67.8810668 -45.8968855,-67.881496 -45.8974007,-67.87842608 -45.89585515,-67.8782558 -45.8919497,-67.8778267 -45.8923828,-67.8780413 -45.8938315,-67.8791893 -45.8953398,-67.87768072 -45.89180609,-67.8788996 -45.8901426,-67.877934 -45.8900903,-67.8774834 -45.8904786,-67.8777945 -45.8925098,-67.8783524 -45.8919348,-67.87813787 -45.88993585,-67.8792322 -45.8901127,-67.877934 -45.8900903,-67.8765285 -45.89045620000001,-67.87484305 -45.89067788,-67.8765285 -45.89045620000001,-67.877773 -45.8901799,-67.8803802 -45.8880143,-67.8783846 -45.8885519,-67.87661058 -45.88889945,-67.8783846 -45.8885519,-67.8803802 -45.8880143,-67.8826654 -45.8868044,-67.8823113 -45.8868119,-67.88085052 -45.88709026,-67.8838027 -45.88608,-67.882483 -45.8868716,-67.88304639 -45.88588109,-67.8847039 -45.885542300000004,-67.8854334 -45.8851465,-67.88477851 -45.88530377,-67.8877938 -45.885251,-67.8862166 -45.8849523,-67.88725199 -45.88498287,-67.8916669 -45.8851316,-67.891463 -45.8853332,-67.8890061 -45.8855946,-67.8886521 -45.8849672,-67.88986813 -45.88509226,-67.895658 -45.88465360000001,-67.8955078 -45.8872675,-67.89402720000001 -45.888186,-67.89313670000001 -45.8879097,-67.8935552 -45.8866999,-67.891624 -45.8850718,-67.89478887 -45.88442779;-67.89478887 -45.88442779,-67.896452 -45.8842129,-67.8972995 -45.8841607,-67.8987801 -45.8833839,-67.8993165 -45.8836304,-67.89811074 -45.88424629,-67.90316820000001 -45.883637900000004,-67.9026854 -45.8831823,-67.9021275 -45.8832794,-67.900722 -45.8842279,-67.9001105 -45.8851465,-67.8995955 -45.8843175,-67.90293219 -45.8836944,-67.9039729 -45.8871629,-67.9034686 -45.8869165,-67.9041123 -45.886192,-67.9042947 -45.8847656,-67.90316820000001 -45.883637900000004,-67.90362098 -45.8874036,-67.9052818 -45.8875736,-67.90654780000001 -45.8882084,-67.9074919 -45.8882756,-67.90705336 -45.88840606,-67.9066443 -45.8844071,-67.9062474 -45.8852585,-67.908833 -45.885968,-67.9091012 -45.8864012,-67.90594775 -45.88423937,,-67.90591516 -45.88446218,-67.9076958 -45.8841084,-67.9082644 -45.8839366,-67.9093373 -45.8833167,-67.9103136 -45.8831972,-67.90970498 -45.88326091,-67.911365 -45.8831076,-67.9142618 -45.8826968,-67.9159892 -45.8825026,-67.91541483 -45.88231338,-67.9166651 -45.8823159,-67.9170835 -45.8822711,-67.9178345 -45.8833989,-67.9184783 -45.8832943,-67.91747464 -45.88372353,-67.9183173 -45.8833018,-67.9179525 -45.8832943,-67.9178452 -45.8829358,-67.9186606 -45.8819873,-67.9191113 -45.8815466,-67.9197979 -45.8813898,-67.91930941 -45.88137118,-67.9231775 -45.8798138,-67.9230273 -45.8801051,-67.9220295 -45.8802022,-67.9198301 -45.8807027,-67.9191542 -45.8814645,-67.9198301 -45.8813375,-67.92260289 -45.87981886,-67.9288745 -45.8790371,-67.9299045 -45.8786188,-67.929765 -45.8784918,-67.9247224 -45.8798512,-67.9241753 -45.8796943,-67.92746283 -45.879252,-67.9288745 -45.8790371,-67.9299796 -45.8786337,-67.9308271 -45.8793582,-67.9310632 -45.8796271,-67.9308057 -45.8796645,-67.92926139 -45.87980166,-67.9308057 -45.8796645,-67.9309773 -45.8795823,-67.9308271 -45.8793582,-67.9319429 -45.8795524,-67.9332089 -45.8799333,-67.9339921 -45.8795524,-67.9349685 -45.8793358,-67.935698 -45.8793209,-67.93512028 -45.8793768,-67.9364383 -45.8791566,-67.9368889 -45.8790371,-67.9370821 -45.878798,-67.939657 -45.8787906,-67.9398179 -45.8784246,-67.93938002 -45.87863178,-67.9433799 -45.8793582,-67.9425859 -45.8792462,-67.9414809 -45.8788951,-67.9399574 -45.8788802,-67.9395819 -45.8785889,-67.9398179 -45.8784246,-67.94258106 -45.87928487,-67.9468131 -45.8799931,-67.9464698 -45.8794927,-67.9443026 -45.8791491,-67.9459034 -45.88040255,-67.9472744 -45.8827118,-67.9475963 -45.8819051,-67.9476392 -45.8807475,-67.9472208 -45.8805159,-67.94607409 -45.88311995,-67.9472744 -45.8852212,-67.9470921 -45.8844967,-67.9472423 -45.883959,-67.9472315 -45.8831823,-67.94628753 -45.88560005,-67.9487872 -45.8868418,-67.9495382 -45.8874766,-67.9496884 -45.88726,-67.9485726 -45.886095,-67.9476714 -45.8855871,-67.94746568 -45.88694764,-67.948696 -45.886909,-67.9494202 -45.887484,-67.9491949 -45.8880889,-67.9491842 -45.8890224,-67.94851142 -45.88940859,-67.9492593 -45.8893958,-67.9482508 -45.8911806,-67.94741116 -45.89163645;-67.94741116 -45.89163645,-67.9492593 -45.8893958,-67.9482508 -45.8911806,-67.94851142 -45.88940859,-67.948696 -45.886909,-67.9494202 -45.887484,-67.9491949 -45.8880889,-67.9491842 -45.8890224,-67.94746568 -45.88694764,-67.9487872 -45.8868418,-67.9495382 -45.8874766,-67.9496884 -45.88726,-67.9485726 -45.886095,-67.9476714 -45.8855871,-67.94628753 -45.88560005,-67.9472744 -45.8852212,-67.9470921 -45.8844967,-67.9472423 -45.883959,-67.9472315 -45.8831823,-67.94607409 -45.88311995,-67.9472744 -45.8827118,-67.9475963 -45.8819051,-67.9476392 -45.8807475,-67.9472208 -45.8805159,-67.9459034 -45.88040255,-67.9468131 -45.8799931,-67.9464698 -45.8794927,-67.9443026 -45.8791491,-67.94258106 -45.87928487,-67.9433799 -45.8793582,-67.9425859 -45.8792462,-67.9414809 -45.8788951,-67.9399574 -45.8788802,-67.9395819 -45.8785889,-67.9398179 -45.8784246,-67.93938002 -45.87863178,-67.9364383 -45.8791566,-67.9368889 -45.8790371,-67.9370821 -45.878798,-67.939657 -45.8787906,-67.9398179 -45.8784246,-67.93512028 -45.8793768,-67.9308057 -45.8796645,-67.9309773 -45.8795823,-67.9308271 -45.8793582,-67.9319429 -45.8795524,-67.9332089 -45.8799333,-67.9339921 -45.8795524,-67.9349685 -45.8793358,-67.935698 -45.8793209,-67.92926139 -45.87980166,-67.9288745 -45.8790371,-67.9299796 -45.8786337,-67.9308271 -45.8793582,-67.9310632 -45.8796271,-67.9308057 -45.8796645,-67.92746283 -45.879252,-67.9288745 -45.8790371,-67.9299796 -45.8786337,-67.9304302 -45.8776552,-67.9309022 -45.8766245,-67.9306126 -45.8766543,-67.92916705 -45.87686758,-67.9305589 -45.8765722,-67.9309773 -45.8765423,-67.9323184 -45.875011,-67.9336917 -45.8726132,-67.93292309 -45.87290945,-67.9337347 -45.872531,-67.9350007 -45.8704245,-67.9346895 -45.8701032,-67.933282 -45.87018527,-67.936492 -45.8696625,-67.9362881 -45.8694234,-67.9350436 -45.8703273,-67.9347003 -45.8699986,-67.93551008 -45.87004015,-67.9383588 -45.8674437,-67.9380584 -45.8682655,-67.9363847 -45.8693786,-67.9365671 -45.8696326,-67.9400271 -45.8665472</t>
  </si>
  <si>
    <t>-67.9400271 -45.8665472,-67.9383588 -45.8674437,-67.9380101 -45.8666929,-67.9392922 -45.8661064,-67.93822649 -45.86645361,,-67.93820898 -45.86621382,-67.939437 -45.8659907,-67.9410034 -45.8642985,-67.9397787 -45.86446671,-67.9413575 -45.8643508,-67.94191 -45.8638801,-67.9413092 -45.8637717,-67.94026881 -45.86394522,-67.9412395 -45.8636896,-67.94085860000001 -45.8628677,-67.94016816 -45.86304785,-67.9407942 -45.8630844,-67.9403758 -45.8621878,-67.9386914 -45.8624792,-67.93749455 -45.86270022,-67.9389811 -45.8623559,-67.9389596 -45.8618329,-67.9381979 -45.8610783,-67.9390669 -45.8607794,-67.93809539 -45.86091501,-67.9388309 -45.8607794,-67.938112 -45.8611007,-67.9377472 -45.860899,-67.9362881 -45.8614743,-67.9374897 -45.8619749,-67.93652197 -45.86222667,-67.9375219 -45.8620421,-67.9357517 -45.861085800000005,-67.9346144 -45.8614519,-67.93332777 -45.86169272,-67.9343569 -45.8614145,-67.9335523 -45.861549,-67.9334021 -45.8611381,-67.9309666 -45.8609214,-67.92973166 -45.86112334,,-67.93120681 -45.86225885,,-67.93031205 -45.86224229,-67.9316425 -45.8618479,-67.9312563 -45.8616237,-67.929883 -45.8623559,-67.928102 -45.8629985,-67.9275656 -45.8619674,-67.9260095 -45.86162722;-67.9260095 -45.86162722,-67.9257202 -45.8606599,-67.9255271 -45.861085800000005,-67.9269326 -45.8609513,-67.9270506 -45.8613025,-67.92472033 -45.86078317,-67.9253769 -45.8604208,-67.9236388 -45.8595317,-67.9233384 -45.8597857,-67.92204432 -45.86025045,-67.9235315 -45.8601219,-67.9222655 -45.8604731,-67.92116295 -45.86077528,-67.9219651 -45.8610335,-67.9157424 -45.8609887,-67.91412974 -45.86109479,-67.9153347 -45.8605702,-67.9157317 -45.8599725,-67.9146159 -45.859457,-67.91347499 -45.85938782,-67.9145408 -45.8594047,-67.9124916 -45.858777,-67.9112792 -45.8592776,-67.91058213 -45.85962973,-67.9112792 -45.8592776,-67.9102921 -45.8588293,-67.9105067 -45.8586425,-67.90964669 -45.85881191,-67.9102653 -45.8586986,-67.9081625 -45.8581195,-67.90707943 -45.8582017,-67.90773330000002 -45.8580522,-67.9073417 -45.8579177,-67.9068965 -45.8568567,-67.9053408 -45.8563822,-67.90400196 -45.85653031,,-67.90333441 -45.85910192;-67.90333441 -45.85910192,-67.9030502 -45.8613174,-67.9044557 -45.8590236,-67.90205676 -45.86168943,-67.9020095 -45.8600547,-67.9041553 -45.8591282,-67.9030502 -45.8613174,-67.90079758 -45.860041,-67.9025352 -45.8597782,-67.9034257 -45.8594794,-67.9021811 -45.8617657,-67.90063766 -45.86227487,-67.9014838 -45.8622364,-67.9013121 -45.862722,-67.9019237 -45.8627594,-67.90094134 -45.86284774,-67.902385 -45.8628117,-67.9039085 -45.86340190000001,-67.9065263 -45.8638427,-67.90551413 -45.86397475;-67.90551413 -45.86397475,-67.902385 -45.8628117,-67.9039085 -45.86340190000001,-67.9065263 -45.8638427,-67.90094134 -45.86284774,-67.9014838 -45.8622364,-67.9013121 -45.862722,-67.9019237 -45.8627594,-67.90063766 -45.86227487,-67.9025352 -45.8597782,-67.9034257 -45.8594794,-67.9021811 -45.8617657,-67.90079758 -45.860041,-67.9020095 -45.8600547,-67.9041553 -45.8591282,-67.9030502 -45.8613174,-67.90205676 -45.86168943,-67.9030716 -45.8617209,-67.9028249 -45.8625427,-67.9043055 -45.8629013,-67.90319984 -45.86293935,-67.9044235 -45.8629088,-67.9052603 -45.8632077,-67.9067302 -45.8626996,-67.90593482 -45.8627285;-67.90593482 -45.8627285,-67.9044235 -45.8629088,-67.9052603 -45.8632077,-67.9067302 -45.8626996,-67.90319984 -45.86293935,-67.9030716 -45.8617209,-67.9028249 -45.8625427,-67.9043055 -45.8629013,-67.90205676 -45.86168943;-67.90205676 -45.86168943,-67.9030502 -45.8613174,-67.9044557 -45.8590236,-67.90333441 -45.85910192,,-67.90400196 -45.85653031,-67.90773330000002 -45.8580522,-67.9073417 -45.8579177,-67.9068965 -45.8568567,-67.9053408 -45.8563822,-67.90707943 -45.8582017,-67.9102653 -45.8586986,-67.9081625 -45.8581195,-67.90964669 -45.85881191,-67.9112792 -45.8592776,-67.9102921 -45.8588293,-67.9105067 -45.8586425,-67.91058213 -45.85962973,-67.9145408 -45.8594047,-67.9124916 -45.858777,-67.9112792 -45.8592776,-67.91347499 -45.85938782,-67.9153347 -45.8605702,-67.9157317 -45.8599725,-67.9146159 -45.859457,-67.91412974 -45.86109479,-67.9219651 -45.8610335,-67.9157424 -45.8609887,-67.92116295 -45.86077528,-67.9235315 -45.8601219,-67.9222655 -45.8604731,-67.92204432 -45.86025045,-67.9253769 -45.8604208,-67.9236388 -45.8595317,-67.9233384 -45.8597857,-67.92472033 -45.86078317,-67.9288423 -45.860757,-67.9286063 -45.8609812,-67.9269433 -45.8608168,-67.9254305 -45.8610559,-67.9256237 -45.8606898,-67.92827234 -45.86082887,-67.9307091 -45.86097370000001,-67.9287457 -45.8609588,-67.9288423 -45.860757,-67.92973166 -45.86112334,-67.9343569 -45.8614145,-67.9335523 -45.861549,-67.9334021 -45.8611381,-67.9309666 -45.8609214,-67.93332777 -45.86169272,-67.9375219 -45.8620421,-67.9357517 -45.861085800000005,-67.9346144 -45.8614519,-67.93652197 -45.86222667,-67.9388309 -45.8607794,-67.938112 -45.8611007,-67.9377472 -45.860899,-67.9362881 -45.8614743,-67.9374897 -45.8619749,-67.93809539 -45.86091501,-67.9389811 -45.8623559,-67.9389596 -45.8618329,-67.9381979 -45.8610783,-67.9390669 -45.8607794,-67.93749455 -45.86270022,-67.9407942 -45.8630844,-67.9403758 -45.8621878,-67.9386914 -45.8624792,-67.94016816 -45.86304785,-67.9412395 -45.8636896,-67.94085860000001 -45.8628677,-67.94026881 -45.86394522,-67.9413575 -45.8643508,-67.94191 -45.8638801,-67.9413092 -45.8637717,-67.9397787 -45.86446671,-67.939437 -45.8659907,-67.9410034 -45.8642985,-67.93820898 -45.86621382,,-67.93822649 -45.86645361,-67.9383588 -45.8674437,-67.9380101 -45.8666929,-67.9392922 -45.8661064,-67.9400271 -45.8665472</t>
  </si>
  <si>
    <t>-67.9400271 -45.8665472,-67.9383588 -45.8674437,-67.9380101 -45.8666929,-67.9392922 -45.8661064,-67.93822649 -45.86645361,,-67.93820898 -45.86621382,-67.939437 -45.8659907,-67.9410034 -45.8642985,-67.9397787 -45.86446671,-67.9413575 -45.8643508,-67.94191 -45.8638801,-67.9413092 -45.8637717,-67.94026881 -45.86394522,-67.9412395 -45.8636896,-67.94085860000001 -45.8628677,-67.94016816 -45.86304785,-67.9407942 -45.8630844,-67.9403758 -45.8621878,-67.9386914 -45.8624792,-67.93749455 -45.86270022,-67.9389811 -45.8623559,-67.9389596 -45.8618329,-67.9381979 -45.8610783,-67.9390669 -45.8607794,-67.93809539 -45.86091501,-67.9388309 -45.8607794,-67.938112 -45.8611007,-67.9377472 -45.860899,-67.9362881 -45.8614743,-67.9374897 -45.8619749,-67.93652197 -45.86222667,-67.9375219 -45.8620421,-67.9357517 -45.861085800000005,-67.9346144 -45.8614519,-67.93332777 -45.86169272,-67.9343569 -45.8614145,-67.9335523 -45.861549,-67.9334021 -45.8611381,-67.9309666 -45.8609214,-67.92973166 -45.86112334,-67.9307091 -45.86097370000001,-67.9287457 -45.8609588,-67.9288423 -45.860757,-67.92827234 -45.86082887,-67.9288423 -45.860757,-67.9286063 -45.8609812,-67.9269433 -45.8608168,-67.9254305 -45.8610559,-67.9256237 -45.8606898,-67.92472033 -45.86078317,-67.9253769 -45.8604208,-67.9236388 -45.8595317,-67.9233384 -45.8597857,-67.92204432 -45.86025045,-67.9235315 -45.8601219,-67.9222655 -45.8604731,-67.92116295 -45.86077528,-67.9219651 -45.8610335,-67.9157424 -45.8609887,-67.91412974 -45.86109479,-67.9153347 -45.8605702,-67.9157317 -45.8599725,-67.9146159 -45.859457,-67.91347499 -45.85938782,-67.9145408 -45.8594047,-67.9124916 -45.858777,-67.9112792 -45.8592776,-67.91058213 -45.85962973,-67.9112792 -45.8592776,-67.9102921 -45.8588293,-67.9105067 -45.8586425,-67.90964669 -45.85881191,-67.9102653 -45.8586986,-67.9081625 -45.8581195,-67.90707943 -45.8582017,-67.90773330000002 -45.8580522,-67.9073417 -45.8579177,-67.9068965 -45.8568567,-67.9053408 -45.8563822,-67.90400196 -45.85653031,-67.904284 -45.8564084,-67.9033184 -45.8552726,-67.9019022 -45.8551232,-67.90067511 -45.8549717,,-67.90022567 -45.85540767,-67.9008508 -45.8548093,-67.8990161 -45.8545403,-67.898823 -45.8538678,-67.8965485 -45.8545553,-67.89483427 -45.85484841,-67.887429 -45.855564,-67.8894138 -45.853808,-67.8932333 -45.8533447,-67.8969455 -45.8545851,-67.8963768 -45.8546599,-67.88581092 -45.85597227,-67.887429 -45.855564,-67.8882551 -45.8548691,-67.8894138 -45.853808,-67.8920853 -45.8535689,-67.8916454 -45.8538678,-67.8897357 -45.85395,-67.88910 -45.85436,-67.8875685 -45.8562589,-67.885799 -45.8571033,-67.88544 -45.8578281,-67.88523 -45.85794,-67.88402968 -45.85834964,-67.8814316 -45.8592926,-67.8808415 -45.8591357,-67.880863 -45.8587322,-67.8817642 -45.858239,-67.8850043 -45.8580522,-67.88077392 -45.85953999,-67.8790283 -45.8588293,-67.880466 -45.8587397,-67.8813028 -45.8593598,-67.87771797 -45.85914466,-67.875917 -45.8590236,-67.8765607 -45.8587098,-67.8784597 -45.8588443,-67.87446619 -45.85953534,-67.8758311 -45.8590012,-67.8755307 -45.858777,-67.8718829 -45.8588144,-67.8721619 -45.8576637,-67.8733528 -45.857462,-67.8739536 -45.8579028,-67.87227986 -45.85836679,-67.8721619 -45.8576637,-67.8734279 -45.8573798,-67.8740823 -45.8579103,-67.87029294 -45.85782787,-67.8694689 -45.8577534,-67.8703272 -45.8578879,-67.8705525 -45.8574694,-67.8710139 -45.8575441,-67.86752908 -45.85773082,-67.8666365 -45.8577982,-67.8680527 -45.857716,-67.86509618 -45.85797591,-67.8655958 -45.85783560000001,-67.8642118 -45.8570435,-67.86269634 -45.8576934,-67.8630531 -45.8577608,-67.8618944 -45.8580074,-67.86119926 -45.8582863,-67.8617334 -45.8580597,-67.8595233 -45.8583362,-67.85800456 -45.85865306,-67.8585362 -45.8586425,-67.8567231 -45.8591431,-67.8550386 -45.8605852,-67.85325633 -45.86047853,-67.8547168 -45.8600622,-67.8545237 -45.8589862,-67.8537083 -45.858508,-67.852335 -45.8585529,-67.85051371 -45.8587379,-67.8511226 -45.8587172,-67.8489661 -45.8581942,-67.8504252 -45.8565952,-67.84992667 -45.85649082,-67.851541 -45.8561394,-67.8511119 -45.8555416,-67.8497386 -45.8553249,-67.8490841 -45.8555341,-67.84737753 -45.85568862,-67.8480864 -45.8556163,-67.846477 -45.8561992,-67.8452325 -45.8556537,-67.84359994 -45.85582912,-67.8438914 -45.8557508,-67.8414237 -45.8563262,-67.8377545 -45.8563187,-67.83653581 -45.85644197,-67.8371108 -45.8561767,-67.8326368 -45.8556313,-67.83154193 -45.85548135,-67.8319716 -45.855437,-67.8292787 -45.855108200000004,-67.82760578 -45.8552439,-67.8277767 -45.8550036,-67.8251696 -45.8547271,-67.824676 -45.8544207,-67.82322995 -45.85451391,-67.8244078 -45.8540994,-67.8225088 -45.8518801,-67.82163737 -45.8516816,-67.8223801 -45.8515886,-67.8209639 -45.8504751,-67.8196657 -45.8504079,-67.81800483 -45.85079524,-67.8185713 -45.8505798,-67.816962 -45.851073,-67.8161895 -45.8523658,-67.81497943 -45.85259887,-67.816329 -45.8519921,-67.8167796 -45.8511701,-67.8158462 -45.8513121,-67.8150415 -45.8533148,-67.8138399 -45.8541293,-67.81217316 -45.85421245,-67.809999 -45.85395,-67.81053540000002 -45.8542265,-67.8125417 -45.8543386,-67.80813131 -45.85419968,-67.8093982 -45.8548467,-67.8103423 -45.8545851,-67.808851 -45.8544506,-67.8103101 -45.854219,-67.8097093 -45.8539126,-67.8072436 -45.85498762,-67.8098595 -45.8560647,-67.809999 -45.8550036,-67.8090441 -45.8548691,-67.80907829 -45.8565264,-67.8125632 -45.8568492,-67.810396 -45.8571033,-67.8101599 -45.8566923,-67.81224182 -45.85671416,-67.8138077 -45.8564532,-67.814548 -45.8566699,-67.813561 -45.8597484,-67.8137219 -45.8605777,-67.81282229 -45.86107452,-67.8186142 -45.8634617,-67.8183568 -45.8624605,-67.8160179 -45.8615565,-67.8143764 -45.8610559,-67.81720169 -45.86444747,-67.8219616 -45.8641789,-67.8248692 -45.8628565,-67.8246653 -45.8626025,-67.8189468 -45.8634916,-67.8188503 -45.8644778,-67.8182173 -45.8647617,-67.8182173 -45.864545,-67.82044095 -45.86465432;-67.82044095 -45.86465432,-67.8219616 -45.8641789,-67.8248692 -45.8628565,-67.8246653 -45.8626025,-67.8189468 -45.8634916,-67.8188503 -45.8644778,-67.8182173 -45.8647617,-67.8182173 -45.864545,-67.81720169 -45.86444747,-67.8182173 -45.868004,-67.8160286 -45.8663455,-67.8181314 -45.8648065,-67.8182173 -45.864545,-67.81633269 -45.86814359,-67.8222084 -45.867638,-67.8207171 -45.86819080000001,-67.8187966 -45.8682506,-67.81829240000002 -45.8680713,-67.82151826 -45.86746063,-67.8236783 -45.8675633,-67.8205454 -45.8682207,-67.8219295 -45.8676529,-67.82310921 -45.86764419,-67.8240538 -45.8675707,-67.8247404 -45.8675782,-67.82420567 -45.8676006,-67.8260171 -45.8673092,-67.8273904 -45.8671897,-67.8286672 -45.8675334,-67.82802493 -45.86737435,-67.8295791 -45.8671673,-67.8291285 -45.8657628,-67.8280771 -45.86528460000001,-67.82626659 -45.86542128,-67.8280449 -45.8651352,-67.8276157 -45.8646197,-67.8262317 -45.8647766,-67.8248799 -45.8653145,-67.82303608 -45.86543176;-67.82303608 -45.86543176,-67.8280449 -45.8651352,-67.8276157 -45.8646197,-67.8262317 -45.8647766,-67.8248799 -45.8653145,-67.82626659 -45.86542128;-67.82626659 -45.86542128,-67.8295791 -45.8671673,-67.8291285 -45.8657628,-67.8280771 -45.86528460000001,-67.82802493 -45.86737435,-67.8260171 -45.8673092,-67.8273904 -45.8671897,-67.8286672 -45.8675334,-67.82420567 -45.8676006,-67.8240538 -45.8675707,-67.8247404 -45.8675782,-67.82310921 -45.86764419,-67.8236783 -45.8675633,-67.8205454 -45.8682207,-67.8219295 -45.8676529,-67.82151826 -45.86746063;-67.82151826 -45.86746063,-67.8222084 -45.867638,-67.8207171 -45.86819080000001,-67.8187966 -45.8682506,-67.81829240000002 -45.8680713,-67.81633269 -45.86814359,-67.819097 -45.8668461,-67.8186357 -45.8670552,-67.8192151 -45.868385,-67.81829240000002 -45.8680713,-67.8187144 -45.86699435,-67.8260922 -45.8716048,-67.8258884 -45.8718886,-67.8219509 -45.871657,-67.8194082 -45.8687287,-67.8185391 -45.8670926,-67.8190756 -45.8667788,-67.82435527 -45.87146335,-67.8326046 -45.8712686,-67.8287637 -45.8718438,-67.8266931 -45.8718811,-67.8259957 -45.8715076,-67.83204724 -45.87132308,-67.8347504 -45.8724041,-67.8345788 -45.8717915,-67.8335381 -45.8712686,-67.8339131 -45.87269245,-67.8368962 -45.8743761,-67.8363168 -45.8740101,-67.8365743 -45.8734723,-67.8358126 -45.8726879,-67.8366923 -45.875026,-67.8369284 -45.8751679,-67.8384304 -45.875317300000006,-67.83709911 -45.87528907,-67.8404582 -45.876744,-67.8387737 -45.8754144,-67.83972408 -45.87683377,-67.8388381 -45.8793059,-67.8380656 -45.8795375,-67.8406405 -45.8772519,-67.8405118 -45.8769083,-67.8383257 -45.87925524,-67.8388596 -45.8793582,-67.8365421 -45.8801649,-67.8342998 -45.88042630000001,-67.8343749 -45.8798736,-67.83402097 -45.87975218,-67.8344929 -45.8798512,-67.834214 -45.88047110000001,-67.8320682 -45.880613,-67.8315103 -45.8803068,-67.83022822 -45.88021021,-67.8307486 -45.8796794,-67.8301477 -45.8783872,-67.8277981 -45.8770353,-67.8279376 -45.8756833,-67.8294718 -45.8754816,-67.8314137 -45.8757431,-67.83082337 -45.87570095;-67.83082337 -45.87570095,-67.8307486 -45.8796794,-67.8301477 -45.8783872,-67.8277981 -45.8770353,-67.8279376 -45.8756833,-67.8294718 -45.8754816,-67.8314137 -45.8757431,-67.83022822 -45.88021021,-67.8344929 -45.8798512,-67.834214 -45.88047110000001,-67.8320682 -45.880613,-67.8315103 -45.8803068,-67.83402097 -45.87975218,-67.8388596 -45.8793582,-67.8365421 -45.8801649,-67.8342998 -45.88042630000001,-67.8343749 -45.8798736,-67.8383257 -45.87925524,-67.8388381 -45.8793059,-67.8380656 -45.8795375,-67.8406405 -45.8772519,-67.8405118 -45.8769083,-67.83972408 -45.87683377,-67.8404582 -45.876744,-67.8387737 -45.8754144,-67.83709911 -45.87528907,-67.8369284 -45.8751679,-67.8384304 -45.875317300000006,-67.8366923 -45.875026,-67.8368962 -45.8743761,-67.8363168 -45.8740101,-67.8365743 -45.8734723,-67.8358126 -45.8726879,-67.8339131 -45.87269245,-67.8347504 -45.8724041,-67.8345788 -45.8717915,-67.8335381 -45.8712686,-67.83204724 -45.87132308,-67.8363276 -45.8710445,-67.8348899 -45.87091,-67.8336024 -45.8710221,-67.83598551 -45.8713908,-67.8404045 -45.871440400000004,-67.8396642 -45.8713657,-67.8393745 -45.8705216,-67.8371751 -45.8699314,-67.8344822 -45.8697969,-67.8345251 -45.8700584,-67.8363597 -45.8707606,-67.83999726 -45.87142467,-67.8403401 -45.8715002,-67.8396213 -45.8713059,-67.8401256 -45.8706859,-67.8424323 -45.8705216,-67.8432369 -45.8702153,-67.84266503 -45.8702826,-67.8433174 -45.8702414,-67.8424054 -45.8705701,-67.8442401 -45.8712014,-67.8457582 -45.8705029,-67.8468794 -45.8714778,-67.8465736 -45.871657000000006,-67.8464073 -45.8713396,-67.84458226 -45.87132178,-67.8464448 -45.8713396,-67.8465736 -45.871657000000006,-67.84484620000002 -45.8726692,-67.84336962 -45.87289033,-67.8489339 -45.8731324,-67.8501302 -45.8733565,-67.8485316 -45.8736739,-67.8459191 -45.8729942,-67.84549 -45.8723406,-67.8449106 -45.8726842,-67.84711722 -45.87310355,-67.84873010000001 -45.87312860000001,-67.8543305 -45.8741595,-67.857635 -45.8744807,-67.857019 -45.87438052,-67.857635 -45.8744807,-67.8541696 -45.874152,-67.8588581 -45.8727103,-67.8593409 -45.8716048,-67.85882935 -45.87179542,-67.8593409 -45.8716048,-67.85971640000001 -45.8705365,-67.8614008 -45.870529,-67.861948 -45.8698268,-67.8630531 -45.8694832,-67.86235431 -45.86962035,-67.8639972 -45.8691171,-67.8657031 -45.8680713,-67.86498939 -45.86808329,-67.8668189 -45.8667639,-67.8664005 -45.866988,-67.8663254 -45.8676305,-67.86635342 -45.86702056,-67.8668725 -45.8688706,-67.8667974 -45.868646500000004,-67.8676665 -45.8677127,-67.867012 -45.86727940000001,-67.86653014 -45.86909111,-67.8665292 -45.8705589,-67.866143 -45.8710594,-67.8657889 -45.8704767,-67.8668725 -45.8688706,-67.86552841 -45.87071955,-67.8665292 -45.8704394,-67.8664756 -45.8701107,-67.8674197 -45.8697073,-67.8698659 -45.8700883,-67.8700376 -45.8699389,-67.8700268 -45.8692964,-67.86891343 -45.86940172,-67.8699839 -45.8693413,-67.8700376 -45.8699389,-67.8703916 -45.8701929,-67.8709173 -45.8699239,-67.8707349 -45.8692815,-67.8712177 -45.8686166,-67.8731596 -45.8681236,-67.8729107 -45.86822856,-67.8735942 -45.8680488,-67.8724301 -45.8682281,-67.8724086 -45.8686689,-67.8764427 -45.8695952,-67.87545792 -45.87007243,-67.8773439 -45.8681385,-67.878288 -45.8679816,-67.8767216 -45.8696102,-67.87529512 -45.86884053,-67.8773224 -45.8682132,-67.8784168 -45.867951700000006,-67.8792751 -45.866988,-67.87841593 -45.86693979,-67.8794253 -45.8652025,-67.8813779 -45.8643508,-67.8805947 -45.8648065,-67.8801227 -45.8652622,-67.8801119 -45.8658151,-67.8798544 -45.8661513,-67.87816911 -45.86559299,-67.8800154 -45.8627071,-67.880863 -45.8635887,-67.8814101 -45.8638502,-67.881496 -45.8643508,-67.8795862 -45.8651352,-67.87889297 -45.8626014,-67.8809917 -45.8619301,-67.8822792 -45.8616611,-67.8835666 -45.8617507,-67.8845859 -45.8612277,-67.8843284 -45.8612427,-67.88286864 -45.86153258,-67.8855836 -45.8605329,-67.8847253 -45.8611754,-67.8843284 -45.8612427,-67.88485253 -45.86038085,-67.8862917 -45.8600846,-67.8869355 -45.8600547,-67.8873861 -45.8596438,-67.8876221 -45.8588667,-67.8886843 -45.8579999,-67.8905296 -45.8572453,-67.8915596 -45.8569165,-67.8910661 -45.8570435,-67.89119881 -45.85678635,-67.8960952 -45.8598436,-67.8959692 -45.8585678,-67.8961945 -45.8583138,-67.8955936 -45.8581419,-67.8949177 -45.8572976,-67.8950787 -45.8562589,-67.894907 -45.8558629,-67.8937376 -45.8558928,-67.8932869 -45.8566101,-67.8928149 -45.8568492,-67.8926003 -45.8566998,-67.89506126 -45.86022417,-67.8961086 -45.8601668,-67.8949714 -45.8618927,-67.89369378 -45.862107,-67.8961945 -45.8632674,-67.8952932 -45.8629985,-67.8948426 -45.8620347,-67.8946526 -45.86372426,-67.8962696 -45.8632899,-67.8974175 -45.8625203,-67.8984583 -45.8622177,-67.89779792 -45.86312838,,-67.8975525 -45.86346654,-67.8993487 -45.8636634,-67.8988981 -45.8636933,-67.89861920000001 -45.8635215,-67.89867893 -45.86374335,-67.9039943 -45.8644255,-67.9028034 -45.8637381,-67.8999174 -45.8635812,-67.90314798 -45.8648888,-67.906419 -45.86626330000001,-67.9050887 -45.8652025,-67.9043591 -45.864814,-67.90565529 -45.8665856,-67.9108179 -45.86391,-67.9094768 -45.8638353,-67.9077816 -45.8657329,-67.9066443 -45.8662484,-67.90869072 -45.86438156,-67.9100454 -45.8663754,-67.9094982 -45.8663306,-67.909627 -45.86429100000001,-67.90947109 -45.86641003,-67.9100668 -45.8647318,-67.9098523 -45.8659197,-67.9103565 -45.8661513,-67.90917641 -45.86476613,-67.9122448 -45.8649709,-67.911129 -45.8644105,-67.9103887 -45.8645226,-67.91093971 -45.86527418,-67.9164934 -45.8652398,-67.9147875 -45.8642536,-67.9133606 -45.865322,-67.9120409 -45.8651352,-67.91575239 -45.86551598,-67.9187572 -45.8661064,-67.9176843 -45.8663679,-67.9172981 -45.8656657,-67.91774956 -45.8661538,-67.9224908 -45.8663306,-67.9191971 -45.8656582,-67.92069068 -45.86664171,-67.9258382 -45.86658460000001,-67.9220402 -45.8663903,-67.92478129 -45.86687146,-67.9266429 -45.8657927,-67.9259992 -45.8665696,-67.92617947 -45.86596757,,-67.92568273 -45.86555172,-67.9284239 -45.8655835,-67.9270077 -45.8655162,-67.92761571 -45.86576064,-67.92887450000002 -45.8655984,-67.929647 -45.8660093,-67.9311919 -45.8652622,-67.93025624 -45.86524613,-67.934196 -45.8650755,-67.9339492 -45.8648887,-67.9318678 -45.8652174,-67.93322311 -45.86539389,-67.9364544 -45.8650082,-67.9343033 -45.8651128,-67.93542287 -45.86514387,-67.9374468 -45.8637643,-67.93648120000002 -45.8648999,-67.93638614 -45.8639203,-67.9407513 -45.863103100000004,-67.9403973 -45.8622551,-67.93757020000001 -45.8636746,-67.94016816 -45.86304785,-67.9412395 -45.8636896,-67.94085860000001 -45.8628677,-67.94026881 -45.86394522,-67.9413575 -45.8643508,-67.94191 -45.8638801,-67.9413092 -45.8637717,-67.9397787 -45.86446671,-67.939437 -45.8659907,-67.9410034 -45.8642985,-67.93820898 -45.86621382,,-67.93822649 -45.86645361,-67.9383588 -45.8674437,-67.9380101 -45.8666929,-67.9392922 -45.8661064,-67.9400271 -45.8665472</t>
  </si>
  <si>
    <t>-67.9400271 -45.8665472,-67.9383588 -45.8674437,-67.9380584 -45.8682655,-67.9363847 -45.8693786,-67.9365671 -45.8696326,-67.93551008 -45.87004015,-67.936492 -45.8696625,-67.9362881 -45.8694234,-67.9350436 -45.8703273,-67.9347003 -45.8699986,-67.933282 -45.87018527,-67.9337347 -45.872531,-67.9350007 -45.8704245,-67.9346895 -45.8701032,-67.93292309 -45.87290945,-67.9305589 -45.8765722,-67.9309773 -45.8765423,-67.9323184 -45.875011,-67.9336917 -45.8726132,-67.92916705 -45.87686758,-67.9288745 -45.8790371,-67.9299796 -45.8786337,-67.9304302 -45.8776552,-67.9309022 -45.8766245,-67.9306126 -45.8766543,-67.92746283 -45.879252,-67.9288745 -45.8790371,-67.9299045 -45.8786188,-67.929765 -45.8784918,-67.9247224 -45.8798512,-67.9241753 -45.8796943,-67.92260289 -45.87981886,-67.9241753 -45.8796943,-67.9245615 -45.8798587,-67.926954 -45.8792014,-67.9268253 -45.8787383,-67.9270506 -45.8779615,-67.9269862 -45.8778121,-67.92528362 -45.8779844;-67.92528362 -45.8779844,-67.9241753 -45.8796943,-67.9245615 -45.8798587,-67.926954 -45.8792014,-67.9268253 -45.8787383,-67.9270506 -45.8779615,-67.9269862 -45.8778121,-67.92260289 -45.87981886,-67.9231775 -45.8798138,-67.9230273 -45.8801051,-67.9220295 -45.8802022,-67.9198301 -45.8807027,-67.9191542 -45.8814645,-67.9198301 -45.8813375,-67.91930941 -45.88137118,-67.9183173 -45.8833018,-67.9179525 -45.8832943,-67.9178452 -45.8829358,-67.9186606 -45.8819873,-67.9191113 -45.8815466,-67.9197979 -45.8813898,-67.91747464 -45.88372353,-67.9166651 -45.8823159,-67.9170835 -45.8822711,-67.9178345 -45.8833989,-67.9184783 -45.8832943,-67.91541483 -45.88231338,-67.911365 -45.8831076,-67.9142618 -45.8826968,-67.9159892 -45.8825026,-67.90970498 -45.88326091,-67.9076958 -45.8841084,-67.9082644 -45.8839366,-67.9093373 -45.8833167,-67.9103136 -45.8831972,-67.90591516 -45.88446218,,-67.90594775 -45.88423937,-67.9066443 -45.8844071,-67.9062474 -45.8852585,-67.908833 -45.885968,-67.9091012 -45.8864012,-67.90705336 -45.88840606,-67.9052818 -45.8875736,-67.90654780000001 -45.8882084,-67.9074919 -45.8882756,-67.90362098 -45.8874036,-67.9039729 -45.8871629,-67.9034686 -45.8869165,-67.9041123 -45.886192,-67.9042947 -45.8847656,-67.90316820000001 -45.883637900000004,-67.90293219 -45.8836944,-67.90316820000001 -45.883637900000004,-67.9026854 -45.8831823,-67.9021275 -45.8832794,-67.900722 -45.8842279,-67.9001105 -45.8851465,-67.8995955 -45.8843175,-67.89811074 -45.88424629,-67.896452 -45.8842129,-67.8972995 -45.8841607,-67.8987801 -45.8833839,-67.8993165 -45.8836304,-67.89478887 -45.88442779,-67.895658 -45.88465360000001,-67.8955078 -45.8872675,-67.89402720000001 -45.888186,-67.89313670000001 -45.8879097,-67.8935552 -45.8866999,-67.891624 -45.8850718,-67.88986813 -45.88509226,-67.8916669 -45.8851316,-67.891463 -45.8853332,-67.8890061 -45.8855946,-67.8886521 -45.8849672,-67.88725199 -45.88498287,-67.8877938 -45.885251,-67.8862166 -45.8849523,-67.88477851 -45.88530377,-67.8863347 -45.8849448,-67.8869569 -45.8849672,-67.8874826 -45.883847,-67.8903258 -45.883570600000006,-67.88934482 -45.88367092,-67.8808522 -45.8847432,-67.8831053 -45.8843548,-67.884897 -45.8834586,-67.8876114 -45.88378720000001,-67.8901434 -45.8835856,-67.87931365 -45.88515467,-67.8775477 -45.8859232,-67.87784810000001 -45.8854153,-67.8789425 -45.8862742,-67.879554 -45.8862667,-67.8829443 -45.8844743,-67.8806055 -45.8848253,-67.87597578 -45.88674947,,-67.87630061 -45.88642699,-67.8775907 -45.885744,-67.8778374 -45.8851241,-67.8766251 -45.8844594,-67.8767002 -45.8840561,-67.8758872 -45.88413516,-67.8738034 -45.8829806,-67.8739858 -45.8834512,-67.87655 -45.8844445,-67.8765929 -45.8840262,-67.87263059 -45.88283868,-67.8737283 -45.8829508,-67.8736854 -45.8833242,-67.8730094 -45.8829134,-67.8686643 -45.8830254,-67.86703039 -45.88312685,-67.8685462 -45.8831151,-67.8700483 -45.8829059,-67.8648233 -45.8818603,-67.8628063 -45.8810537,-67.8621304 -45.8814645,-67.86071597 -45.88116865,-67.8622806 -45.8814346,-67.8628922 -45.8810985,-67.8613365 -45.8799035,-67.8605962 -45.879896,-67.85926992 -45.88036306,-67.8608537 -45.8799333,-67.8613579 -45.8799707,-67.8611863 -45.8784545,-67.86092880000001 -45.8783424,-67.859516 -45.87831444,-67.8573883 -45.8816587,-67.8575063 -45.8811433,-67.8592443 -45.8804114,-67.8593087 -45.8795599,-67.8584397 -45.8786113,-67.8589547 -45.8770502,-67.8599954 -45.87787190000001,-67.85651325 -45.88220843,-67.8574526 -45.8818977,-67.8570664 -45.8807624,-67.8556824 -45.8812367,-67.8564656 -45.8801798,-67.855851 -45.88011934,-67.8564656 -45.8801798,-67.855736 -45.8808595,-67.8561974 -45.8788727,-67.8546631 -45.8788802,-67.85276267 -45.87922955,-67.8534776 -45.8786225,-67.852689 -45.8781818,-67.8508437 -45.8775395,-67.84953817 -45.87734102,-67.8503072 -45.877095,-67.8495133 -45.8766394,-67.8481615 -45.87637800000001,-67.84644226 -45.87649326,-67.8467667 -45.8780212,-67.846477 -45.87698300000001,-67.8477967 -45.8764751,-67.84627973 -45.87829114,-67.8467345 -45.87813330000001,-67.8463697 -45.8770502,-67.8451788 -45.8768261,-67.84484620000002 -45.8755264,-67.8427005 -45.8748318,-67.84082989 -45.87475713;-67.84082989 -45.87475713,-67.8467345 -45.87813330000001,-67.8463697 -45.8770502,-67.8451788 -45.8768261,-67.84484620000002 -45.8755264,-67.8427005 -45.8748318,-67.84627973 -45.87829114,-67.8467667 -45.8780212,-67.846477 -45.87698300000001,-67.8477967 -45.8764751,-67.84644226 -45.87649326,-67.847904 -45.8759074,-67.8490949 -45.8742491,-67.8510368 -45.8734349,-67.8488266 -45.8731585,-67.84711722 -45.87310355,-67.84873010000001 -45.87312860000001,-67.8543305 -45.8741595,-67.857635 -45.8744807,-67.857019 -45.87438052,-67.857635 -45.8744807,-67.8541696 -45.874152,-67.8588581 -45.8727103,-67.8593409 -45.8716048,-67.85882935 -45.87179542,-67.8593409 -45.8716048,-67.85971640000001 -45.8705365,-67.8614008 -45.870529,-67.861948 -45.8698268,-67.8630531 -45.8694832,-67.86235431 -45.86962035,-67.8639972 -45.8691171,-67.8657031 -45.8680713,-67.86498939 -45.86808329,-67.8668189 -45.8667639,-67.8664005 -45.866988,-67.8663254 -45.8676305,-67.86635342 -45.86702056,-67.8668725 -45.8688706,-67.8667974 -45.868646500000004,-67.8676665 -45.8677127,-67.867012 -45.86727940000001,-67.86653014 -45.86909111,-67.8665292 -45.8705589,-67.866143 -45.8710594,-67.8657889 -45.8704767,-67.8668725 -45.8688706,-67.86552841 -45.87071955,-67.8665292 -45.8704394,-67.8664756 -45.8701107,-67.8674197 -45.8697073,-67.8698659 -45.8700883,-67.8700376 -45.8699389,-67.8700268 -45.8692964,-67.86891343 -45.86940172,-67.8699839 -45.8693413,-67.8700376 -45.8699389,-67.8703916 -45.8701929,-67.8709173 -45.8699239,-67.8707349 -45.8692815,-67.8712177 -45.8686166,-67.8731596 -45.8681236,-67.8729107 -45.86822856,-67.8735942 -45.8680488,-67.8724301 -45.8682281,-67.8724086 -45.8686689,-67.8764427 -45.8695952,-67.87545792 -45.87007243,-67.8773439 -45.8681385,-67.878288 -45.8679816,-67.8767216 -45.8696102,-67.87529512 -45.86884053,-67.8773224 -45.8682132,-67.8784168 -45.867951700000006,-67.8792751 -45.866988,-67.87841593 -45.86693979,-67.8794253 -45.8652025,-67.8813779 -45.8643508,-67.8805947 -45.8648065,-67.8801227 -45.8652622,-67.8801119 -45.8658151,-67.8798544 -45.8661513,-67.87816911 -45.86559299,-67.8800154 -45.8627071,-67.880863 -45.8635887,-67.8814101 -45.8638502,-67.881496 -45.8643508,-67.8795862 -45.8651352,-67.87889297 -45.8626014,-67.8809917 -45.8619301,-67.8822792 -45.8616611,-67.8835666 -45.8617507,-67.8845859 -45.8612277,-67.8843284 -45.8612427,-67.88286864 -45.86153258,-67.8855836 -45.8605329,-67.8847253 -45.8611754,-67.8843284 -45.8612427,-67.88485253 -45.86038085,-67.8862917 -45.8600846,-67.8869355 -45.8600547,-67.8873861 -45.8596438,-67.8876221 -45.8588667,-67.8886843 -45.8579999,-67.8905296 -45.8572453,-67.8915596 -45.8569165,-67.8910661 -45.8570435,-67.89119881 -45.85678635,-67.8960952 -45.8598436,-67.8959692 -45.8585678,-67.8961945 -45.8583138,-67.8955936 -45.8581419,-67.8949177 -45.8572976,-67.8950787 -45.8562589,-67.894907 -45.8558629,-67.8937376 -45.8558928,-67.8932869 -45.8566101,-67.8928149 -45.8568492,-67.8926003 -45.8566998,-67.89506126 -45.86022417,-67.8961086 -45.8601668,-67.8949714 -45.8618927,-67.89369378 -45.862107,-67.8961945 -45.8632674,-67.8952932 -45.8629985,-67.8948426 -45.8620347,-67.8946526 -45.86372426,-67.8962696 -45.8632899,-67.8974175 -45.8625203,-67.8984583 -45.8622177,-67.89779792 -45.86312838,,-67.8975525 -45.86346654,-67.8993487 -45.8636634,-67.8988981 -45.8636933,-67.89861920000001 -45.8635215,-67.89867893 -45.86374335,-67.9039943 -45.8644255,-67.9028034 -45.8637381,-67.8999174 -45.8635812,-67.90314798 -45.8648888,-67.906419 -45.86626330000001,-67.9050887 -45.8652025,-67.9043591 -45.864814,-67.90565529 -45.8665856,-67.9108179 -45.86391,-67.9094768 -45.8638353,-67.9077816 -45.8657329,-67.9066443 -45.8662484,-67.90869072 -45.86438156,-67.9100454 -45.8663754,-67.9094982 -45.8663306,-67.909627 -45.86429100000001,-67.90947109 -45.86641003,-67.9100668 -45.8647318,-67.9098523 -45.8659197,-67.9103565 -45.8661513,-67.90917641 -45.86476613,-67.9122448 -45.8649709,-67.911129 -45.8644105,-67.9103887 -45.8645226,-67.91093971 -45.86527418,-67.9164934 -45.8652398,-67.9147875 -45.8642536,-67.9133606 -45.865322,-67.9120409 -45.8651352,-67.91575239 -45.86551598,-67.9187572 -45.8661064,-67.9176843 -45.8663679,-67.9172981 -45.8656657,-67.91774956 -45.8661538,-67.9224908 -45.8663306,-67.9191971 -45.8656582,-67.92069068 -45.86664171,-67.9258382 -45.86658460000001,-67.9220402 -45.8663903,-67.92478129 -45.86687146,-67.9266429 -45.8657927,-67.9259992 -45.8665696,-67.92617947 -45.86596757,,-67.92568273 -45.86555172,-67.9284239 -45.8655835,-67.9270077 -45.8655162,-67.92761571 -45.86576064,-67.92887450000002 -45.8655984,-67.929647 -45.8660093,-67.9311919 -45.8652622,-67.93025624 -45.86524613,-67.934196 -45.8650755,-67.9339492 -45.8648887,-67.9318678 -45.8652174,-67.93322311 -45.86539389,-67.9364544 -45.8650082,-67.9343033 -45.8651128,-67.93542287 -45.86514387,-67.9374468 -45.8637643,-67.93648120000002 -45.8648999,-67.93638614 -45.8639203,-67.9407513 -45.863103100000004,-67.9403973 -45.8622551,-67.93757020000001 -45.8636746,-67.94016816 -45.86304785,-67.9412395 -45.8636896,-67.94085860000001 -45.8628677,-67.94026881 -45.86394522,-67.9413575 -45.8643508,-67.94191 -45.8638801,-67.9413092 -45.8637717,-67.9397787 -45.86446671,-67.939437 -45.8659907,-67.9410034 -45.8642985,-67.93820898 -45.86621382,,-67.93822649 -45.86645361,-67.9383588 -45.8674437,-67.9380101 -45.8666929,-67.9392922 -45.8661064,-67.9400271 -45.8665472</t>
  </si>
  <si>
    <t>-67.9400271 -45.8665472,-67.9383588 -45.8674437,-67.9380584 -45.8682655,-67.9363847 -45.8693786,-67.9365671 -45.8696326,-67.93551008 -45.87004015,-67.936492 -45.8696625,-67.9362881 -45.8694234,-67.9350436 -45.8703273,-67.9347003 -45.8699986,-67.933282 -45.87018527,-67.9337347 -45.872531,-67.9350007 -45.8704245,-67.9346895 -45.8701032,-67.93292309 -45.87290945,-67.9305589 -45.8765722,-67.9309773 -45.8765423,-67.9323184 -45.875011,-67.9336917 -45.8726132,-67.92916705 -45.87686758,-67.9288745 -45.8790371,-67.9299796 -45.8786337,-67.9304302 -45.8776552,-67.9309022 -45.8766245,-67.9306126 -45.8766543,-67.92746283 -45.879252,-67.9288745 -45.8790371,-67.9299045 -45.8786188,-67.929765 -45.8784918,-67.9247224 -45.8798512,-67.9241753 -45.8796943,-67.92260289 -45.87981886,-67.9231775 -45.8798138,-67.9230273 -45.8801051,-67.9220295 -45.8802022,-67.9198301 -45.8807027,-67.9191542 -45.8814645,-67.9198301 -45.8813375,-67.91930941 -45.88137118,-67.9183173 -45.8833018,-67.9179525 -45.8832943,-67.9178452 -45.8829358,-67.9186606 -45.8819873,-67.9191113 -45.8815466,-67.9197979 -45.8813898,-67.91747464 -45.88372353,-67.9166651 -45.8823159,-67.9170835 -45.8822711,-67.9178345 -45.8833989,-67.9184783 -45.8832943,-67.91541483 -45.88231338,-67.911365 -45.8831076,-67.9142618 -45.8826968,-67.9159892 -45.8825026,-67.90970498 -45.88326091,-67.9076958 -45.8841084,-67.9082644 -45.8839366,-67.9093373 -45.8833167,-67.9103136 -45.8831972,-67.90591516 -45.88446218,,-67.90594775 -45.88423937,-67.9066443 -45.8844071,-67.9062474 -45.8852585,-67.908833 -45.885968,-67.9091012 -45.8864012,-67.90705336 -45.88840606,-67.9052818 -45.8875736,-67.90654780000001 -45.8882084,-67.9074919 -45.8882756,-67.90362098 -45.8874036,-67.9039729 -45.8871629,-67.9034686 -45.8869165,-67.9041123 -45.886192,-67.9042947 -45.8847656,-67.90316820000001 -45.883637900000004,-67.90293219 -45.8836944,-67.90316820000001 -45.883637900000004,-67.9026854 -45.8831823,-67.9021275 -45.8832794,-67.900722 -45.8842279,-67.9001105 -45.8851465,-67.8995955 -45.8843175,-67.89811074 -45.88424629,-67.896452 -45.8842129,-67.8972995 -45.8841607,-67.8987801 -45.8833839,-67.8993165 -45.8836304,-67.89478887 -45.88442779,-67.895658 -45.88465360000001,-67.8955078 -45.8872675,-67.89402720000001 -45.888186,-67.89313670000001 -45.8879097,-67.8935552 -45.8866999,-67.891624 -45.8850718,-67.88986813 -45.88509226,-67.8916669 -45.8851316,-67.891463 -45.8853332,-67.8890061 -45.8855946,-67.8886521 -45.8849672,-67.88725199 -45.88498287,-67.8877938 -45.885251,-67.8862166 -45.8849523,-67.88477851 -45.88530377,-67.8863347 -45.8849448,-67.8869569 -45.8849672,-67.8874826 -45.883847,-67.8903258 -45.883570600000006,-67.88934482 -45.88367092,-67.8808522 -45.8847432,-67.8831053 -45.8843548,-67.884897 -45.8834586,-67.8876114 -45.88378720000001,-67.8901434 -45.8835856,-67.87931365 -45.88515467,-67.8775477 -45.8859232,-67.87784810000001 -45.8854153,-67.8789425 -45.8862742,-67.879554 -45.8862667,-67.8829443 -45.8844743,-67.8806055 -45.8848253,-67.87597578 -45.88674947,,-67.87630061 -45.88642699,-67.8775907 -45.885744,-67.8778374 -45.8851241,-67.8766251 -45.8844594,-67.8767002 -45.8840561,-67.8758872 -45.88413516,-67.8738034 -45.8829806,-67.8739858 -45.8834512,-67.87655 -45.8844445,-67.8765929 -45.8840262,-67.87263059 -45.88283868,-67.8737283 -45.8829508,-67.8736854 -45.8833242,-67.8730094 -45.8829134,-67.8686643 -45.8830254,-67.86703039 -45.88312685,-67.8685462 -45.8831151,-67.8700483 -45.8829059,-67.8648233 -45.8818603,-67.8628063 -45.8810537,-67.8621304 -45.8814645,-67.86071597 -45.88116865,-67.8614116 -45.8855274,-67.862978 -45.884788,-67.8635466 -45.8831599,-67.8632355 -45.8817483,-67.86391140000002 -45.8815093,-67.8628063 -45.8810537,-67.8623772 -45.8814346,-67.85908094 -45.88593849,-67.8609717 -45.8856767,-67.862817 -45.8848403,-67.8617656 -45.8854826,-67.8616369 -45.886192,-67.8618944 -45.8867671,-67.86045923 -45.88724171;-67.86045923 -45.88724171,-67.8618944 -45.8867671,-67.8616261 -45.8862443,-67.8603601 -45.88681940000001,-67.8594589 -45.8868119,-67.8584075 -45.8873347,-67.856369 -45.8871629,-67.8557789 -45.8865655,-67.85399644 -45.88640005,-67.8587294 -45.8888955,-67.8575063 -45.8884847,-67.8558004 -45.8866177,-67.85821176 -45.88888764,-67.8570557 -45.8887461,-67.8588152 -45.88891790000001,-67.85537987 -45.88855243,-67.8569698 -45.8905682,-67.8562617 -45.8905682,-67.8551674 -45.8886042,-67.8555107 -45.8875214,-67.8557789 -45.88838020000001,-67.85652652 -45.89043864,-67.8583002 -45.8906802,-67.8604245 -45.8905832,-67.85994544 -45.89074459,-67.86183 -45.8907101,-67.8635895 -45.8906578,-67.86328043 -45.89089136,-67.8652418 -45.8907101,-67.8656602 -45.890351700000004,-67.8659928 -45.88941820000001,-67.86520231 -45.88917465,-67.8674626 -45.88708080000001,-67.866658 -45.886864200000005,-67.8658855 -45.887125600000005,-67.8670657 -45.8886864,-67.86685323 -45.88712476,-67.86739830000002 -45.8868567,-67.8667223 -45.8862667,-67.8672802 -45.8848552,-67.86589689 -45.88477956,-67.863847 -45.885027,-67.864995 -45.8837723,-67.8665936 -45.8838395,-67.86707640000002 -45.88434740000001,-67.86201513 -45.88564989;-67.86201513 -45.88564989,-67.863847 -45.885027,-67.864995 -45.8837723,-67.8665936 -45.8838395,-67.86707640000002 -45.88434740000001,-67.86589689 -45.88477956,-67.8672695 -45.88491500000001,-67.867409 -45.8861099,-67.8680742 -45.8863339,-67.8686106 -45.8860875,-67.8688896 -45.8849822,-67.870338 -45.8842577,-67.8693122 -45.8842458,-67.8685462 -45.8831151,-67.869308 -45.8829582,-67.8708422 -45.883018,-67.8705847 -45.8839366,-67.86703039 -45.88312685,-67.8685462 -45.8831151,-67.8700483 -45.8829059,-67.8648233 -45.8818603,-67.8628063 -45.8810537,-67.8621304 -45.8814645,-67.86071597 -45.88116865,-67.8622806 -45.8814346,-67.8628922 -45.8810985,-67.8613365 -45.8799035,-67.8605962 -45.879896,-67.85926992 -45.88036306,-67.8633642 -45.8805981,-67.8613579 -45.8799707,-67.8608108 -45.8798811,-67.86269956 -45.88077691;-67.86269956 -45.88077691,-67.8633642 -45.8805981,-67.8613579 -45.8799707,-67.8608108 -45.8798811,-67.85926992 -45.88036306,-67.8622806 -45.8814346,-67.8628922 -45.8810985,-67.8613365 -45.8799035,-67.8605962 -45.879896,-67.86071597 -45.88116865,-67.8685462 -45.8831151,-67.8700483 -45.8829059,-67.8648233 -45.8818603,-67.8628063 -45.8810537,-67.8621304 -45.8814645,-67.86703039 -45.88312685,-67.8737283 -45.8829508,-67.8736854 -45.8833242,-67.8730094 -45.8829134,-67.8686643 -45.8830254,-67.87263059 -45.88283868,-67.8748763 -45.8825474,-67.8737819 -45.8833541,-67.8736424 -45.8829059,-67.87433589 -45.88262032,-67.8769469 -45.8829881,-67.8762281 -45.882525,-67.87627959 -45.88310638;-67.87627959 -45.88310638,-67.8769469 -45.8829881,-67.8762281 -45.882525,-67.87433589 -45.88262032,-67.8748763 -45.8825474,-67.8737819 -45.8833541,-67.8736424 -45.8829059,-67.87263059 -45.88283868,-67.8738034 -45.8829806,-67.8739858 -45.8834512,-67.87655 -45.8844445,-67.8765929 -45.8840262,-67.8758872 -45.88413516,-67.8775907 -45.885744,-67.8778374 -45.8851241,-67.8766251 -45.8844594,-67.8767002 -45.8840561,-67.87630061 -45.88642699,,-67.87597578 -45.88674947,-67.8775477 -45.8859232,-67.87784810000001 -45.8854153,-67.8789425 -45.8862742,-67.879554 -45.8862667,-67.8829443 -45.8844743,-67.8806055 -45.8848253,-67.87931365 -45.88515467,-67.8808522 -45.8847432,-67.8831053 -45.8843548,-67.884897 -45.8834586,-67.8876114 -45.88378720000001,-67.8901434 -45.8835856,-67.88934482 -45.88367092,-67.8863347 -45.8849448,-67.8869569 -45.8849672,-67.8874826 -45.883847,-67.8903258 -45.883570600000006,-67.88477851 -45.88530377,-67.8847039 -45.885542300000004,-67.8854334 -45.8851465,-67.88304639 -45.88588109,-67.8838027 -45.88608,-67.882483 -45.8868716,-67.88085052 -45.88709026,-67.8783846 -45.8885519,-67.8803802 -45.8880143,-67.8826654 -45.8868044,-67.8823113 -45.8868119,-67.87661058 -45.88889945,-67.8765285 -45.89045620000001,-67.877773 -45.8901799,-67.8803802 -45.8880143,-67.8783846 -45.8885519,-67.87484305 -45.89067788,-67.8792322 -45.8901127,-67.877934 -45.8900903,-67.8765285 -45.89045620000001,-67.87813787 -45.88993585;-67.87813787 -45.88993585,-67.8792322 -45.8901127,-67.877934 -45.8900903,-67.8765285 -45.89045620000001,-67.87484305 -45.89067788,-67.8765285 -45.89045620000001,-67.877773 -45.8901799,-67.8803802 -45.8880143,-67.8783846 -45.8885519,-67.87661058 -45.88889945,-67.8783846 -45.8885519,-67.8803802 -45.8880143,-67.8826654 -45.8868044,-67.8823113 -45.8868119,-67.88085052 -45.88709026,-67.8838027 -45.88608,-67.882483 -45.8868716,-67.88304639 -45.88588109,-67.8847039 -45.885542300000004,-67.8854334 -45.8851465,-67.88477851 -45.88530377,-67.8877938 -45.885251,-67.8862166 -45.8849523,-67.88725199 -45.88498287,-67.8916669 -45.8851316,-67.891463 -45.8853332,-67.8890061 -45.8855946,-67.8886521 -45.8849672,-67.88986813 -45.88509226,-67.895658 -45.88465360000001,-67.8955078 -45.8872675,-67.89402720000001 -45.888186,-67.89313670000001 -45.8879097,-67.8935552 -45.8866999,-67.891624 -45.8850718,-67.89478887 -45.88442779,-67.896452 -45.8842129,-67.8972995 -45.8841607,-67.8987801 -45.8833839,-67.8993165 -45.8836304,-67.89811074 -45.88424629,-67.90316820000001 -45.883637900000004,-67.9026854 -45.8831823,-67.9021275 -45.8832794,-67.900722 -45.8842279,-67.9001105 -45.8851465,-67.8995955 -45.8843175,-67.90293219 -45.8836944,-67.9039729 -45.8871629,-67.9034686 -45.8869165,-67.9041123 -45.886192,-67.9042947 -45.8847656,-67.90316820000001 -45.883637900000004,-67.90362098 -45.8874036,-67.9052818 -45.8875736,-67.90654780000001 -45.8882084,-67.9074919 -45.8882756,-67.90705336 -45.88840606,-67.9066443 -45.8844071,-67.9062474 -45.8852585,-67.908833 -45.885968,-67.9091012 -45.8864012,-67.90594775 -45.88423937,,-67.90591516 -45.88446218,-67.9076958 -45.8841084,-67.9082644 -45.8839366,-67.9093373 -45.8833167,-67.9103136 -45.8831972,-67.90970498 -45.88326091,-67.911365 -45.8831076,-67.9142618 -45.8826968,-67.9159892 -45.8825026,-67.91541483 -45.88231338,-67.9166651 -45.8823159,-67.9170835 -45.8822711,-67.9178345 -45.8833989,-67.9184783 -45.8832943,-67.91747464 -45.88372353,-67.9183173 -45.8833018,-67.9179525 -45.8832943,-67.9178452 -45.8829358,-67.9186606 -45.8819873,-67.9191113 -45.8815466,-67.9197979 -45.8813898,-67.91930941 -45.88137118,-67.9231775 -45.8798138,-67.9230273 -45.8801051,-67.9220295 -45.8802022,-67.9198301 -45.8807027,-67.9191542 -45.8814645,-67.9198301 -45.8813375,-67.92260289 -45.87981886,-67.9288745 -45.8790371,-67.9299045 -45.8786188,-67.929765 -45.8784918,-67.9247224 -45.8798512,-67.9241753 -45.8796943,-67.92746283 -45.879252,-67.9288745 -45.8790371,-67.9299796 -45.8786337,-67.9304302 -45.8776552,-67.9309022 -45.8766245,-67.9306126 -45.8766543,-67.92916705 -45.87686758,-67.9305589 -45.8765722,-67.9309773 -45.8765423,-67.9323184 -45.875011,-67.9336917 -45.8726132,-67.93292309 -45.87290945,-67.9337347 -45.872531,-67.9350007 -45.8704245,-67.9346895 -45.8701032,-67.933282 -45.87018527,-67.936492 -45.8696625,-67.9362881 -45.8694234,-67.9350436 -45.8703273,-67.9347003 -45.8699986,-67.93551008 -45.87004015,-67.9383588 -45.8674437,-67.9380584 -45.8682655,-67.9363847 -45.8693786,-67.9365671 -45.8696326,-67.9400271 -45.8665472</t>
  </si>
  <si>
    <t>-67.9400271 -45.8665472,-67.9383588 -45.8674437,-67.9380101 -45.8666929,-67.9392922 -45.8661064,-67.93822649 -45.86645361,,-67.93820898 -45.86621382,-67.939437 -45.8659907,-67.9410034 -45.8642985,-67.9397787 -45.86446671,-67.9413575 -45.8643508,-67.94191 -45.8638801,-67.9413092 -45.8637717,-67.94026881 -45.86394522,-67.9412395 -45.8636896,-67.94085860000001 -45.8628677,-67.94016816 -45.86304785,-67.9407513 -45.863103100000004,-67.9403973 -45.8622551,-67.93757020000001 -45.8636746,-67.93638614 -45.8639203,-67.9374468 -45.8637643,-67.93648120000002 -45.8648999,-67.93542287 -45.86514387,-67.9364544 -45.8650082,-67.9343033 -45.8651128,-67.93322311 -45.86539389,-67.934196 -45.8650755,-67.9339492 -45.8648887,-67.9318678 -45.8652174,-67.93025624 -45.86524613,-67.9317927 -45.8665099,-67.9313958 -45.8663156,-67.9318678 -45.8652174,-67.93029002 -45.86668754,-67.9312563 -45.8666892,-67.9306877 -45.8669805,-67.9292071 -45.866338,-67.9283273 -45.867257,-67.92759808 -45.86788307,-67.9271686 -45.8677052,-67.926718 -45.8677948,-67.925849 -45.8687063,-67.92477777 -45.86902425,-67.9239607 -45.87091,-67.9254735 -45.8690648,-67.92270363 -45.87121385,-67.9235101 -45.8711267,-67.9226303 -45.8711043,-67.9216754 -45.8713134,-67.92053462 -45.87127057,-67.9206347 -45.8733602,-67.9204845 -45.8732108,-67.9220188 -45.8711565,-67.91979942 -45.8736741,,-67.91957453 -45.87370778,-67.9194653 -45.874084800000006,-67.9204845 -45.8732108,-67.9206347 -45.8733602,-67.91777485 -45.87443865,-67.9123628 -45.8789922,-67.9139936 -45.8782154,-67.9156995 -45.8769755,-67.9165149 -45.8759447,-67.9189503 -45.874689800000006,-67.91076944 -45.87927096,-67.9128349 -45.8790819,-67.91394 -45.8782827,-67.9123628 -45.8789922,-67.91191949 -45.87938061,-67.9140365 -45.879418,-67.9132962 -45.8793806,-67.9129636 -45.879291,-67.91353665 -45.87940202;-67.91353665 -45.87940202,-67.9140365 -45.879418,-67.9132962 -45.8793806,-67.9129636 -45.879291,-67.91191949 -45.87938061,-67.9129636 -45.879291,-67.9124808 -45.8793284,-67.9120302 -45.8802545,-67.9124165 -45.8806728,-67.9129958 -45.8809193,-67.91214619 -45.88124859,-67.9166651 -45.8823159,-67.9169762 -45.8821367,-67.9166543 -45.8815466,-67.913146 -45.8824205,-67.9128242 -45.8814645,-67.91541483 -45.88231338,-67.911365 -45.8831076,-67.9142618 -45.8826968,-67.9159892 -45.8825026,-67.90970498 -45.88326091,-67.9076958 -45.8841084,-67.9082644 -45.8839366,-67.9093373 -45.8833167,-67.9103136 -45.8831972,-67.90591516 -45.88446218,,-67.90594775 -45.88423937,-67.9066443 -45.8844071,-67.9062474 -45.8852585,-67.908833 -45.885968,-67.9091012 -45.8864012,-67.90705336 -45.88840606,-67.9052818 -45.8875736,-67.90654780000001 -45.8882084,-67.9074919 -45.8882756,-67.90362098 -45.8874036,-67.9039729 -45.8871629,-67.9034686 -45.8869165,-67.9041123 -45.886192,-67.9042947 -45.8847656,-67.90316820000001 -45.883637900000004,-67.90293219 -45.8836944,-67.90316820000001 -45.883637900000004,-67.9026854 -45.8831823,-67.9021275 -45.8832794,-67.900722 -45.8842279,-67.9001105 -45.8851465,-67.8995955 -45.8843175,-67.89811074 -45.88424629,-67.896452 -45.8842129,-67.8972995 -45.8841607,-67.8987801 -45.8833839,-67.8993165 -45.8836304,-67.89478887 -45.88442779,-67.895658 -45.88465360000001,-67.8955078 -45.8872675,-67.89402720000001 -45.888186,-67.89313670000001 -45.8879097,-67.8935552 -45.8866999,-67.891624 -45.8850718,-67.88986813 -45.88509226,-67.8916669 -45.8851316,-67.891463 -45.8853332,-67.8890061 -45.8855946,-67.8886521 -45.8849672,-67.88725199 -45.88498287,-67.8877938 -45.885251,-67.8862166 -45.8849523,-67.88477851 -45.88530377,-67.8863347 -45.8849448,-67.8869569 -45.8849672,-67.8874826 -45.883847,-67.8903258 -45.883570600000006,-67.88934482 -45.88367092,-67.8808522 -45.8847432,-67.8831053 -45.8843548,-67.884897 -45.8834586,-67.8876114 -45.88378720000001,-67.8901434 -45.8835856,-67.87931365 -45.88515467,-67.8775477 -45.8859232,-67.87784810000001 -45.8854153,-67.8789425 -45.8862742,-67.879554 -45.8862667,-67.8829443 -45.8844743,-67.8806055 -45.8848253,-67.87597578 -45.88674947,,-67.87630061 -45.88642699,-67.8775907 -45.885744,-67.8778374 -45.8851241,-67.8766251 -45.8844594,-67.8767002 -45.8840561,-67.8758872 -45.88413516,-67.8738034 -45.8829806,-67.8739858 -45.8834512,-67.87655 -45.8844445,-67.8765929 -45.8840262,-67.87263059 -45.88283868,-67.8737283 -45.8829508,-67.8736854 -45.8833242,-67.8730094 -45.8829134,-67.8686643 -45.8830254,-67.86703039 -45.88312685,-67.8685462 -45.8831151,-67.869308 -45.8829582,-67.8708422 -45.883018,-67.8705847 -45.8839366,-67.8693122 -45.8842458,-67.8672695 -45.88491500000001,-67.867409 -45.8861099,-67.8680742 -45.8863339,-67.8686106 -45.8860875,-67.8688896 -45.8849822,-67.870338 -45.8842577,-67.86589689 -45.88477956,-67.86739830000002 -45.8868567,-67.8667223 -45.8862667,-67.8672802 -45.8848552,-67.86685323 -45.88712476,-67.8674626 -45.88708080000001,-67.866658 -45.886864200000005,-67.8658855 -45.887125600000005,-67.8670657 -45.8886864,-67.86520231 -45.88917465,-67.8652418 -45.8907101,-67.8656602 -45.890351700000004,-67.8659928 -45.88941820000001,-67.86328043 -45.89089136,-67.8640401 -45.8909939,-67.8672266 -45.8915539,-67.86687975 -45.89168688,-67.8672266 -45.8915539,-67.8653598 -45.8912776,-67.8647375 -45.8920692,-67.8620982 -45.8918004,-67.8619695 -45.8921737,-67.86151916 -45.89254163;-67.86151916 -45.89254163,-67.8672266 -45.8915539,-67.8653598 -45.8912776,-67.8647375 -45.8920692,-67.8620982 -45.8918004,-67.8619695 -45.8921737,-67.86687975 -45.89168688,-67.8640401 -45.8909939,-67.8672266 -45.8915539,-67.86328043 -45.89089136,-67.86183 -45.8907101,-67.8635895 -45.8906578,-67.85994544 -45.89074459,-67.8583002 -45.8906802,-67.8604245 -45.8905832,-67.85652652 -45.89043864,-67.8569698 -45.8905682,-67.8562617 -45.8905682,-67.8551674 -45.8886042,-67.8555107 -45.8875214,-67.8557789 -45.88838020000001,-67.85537987 -45.88855243,-67.8530109 -45.886319,-67.8539872 -45.8868567,-67.8555858 -45.8874168,-67.8559721 -45.8882756,-67.85159293 -45.88612644,-67.8525496 -45.8855871,-67.8516698 -45.8851988,-67.8510153 -45.885027,-67.84983520000002 -45.8848851,-67.84921346 -45.88477072,-67.8516591 -45.8844445,-67.8505969 -45.8845789,-67.85093028 -45.88433862;-67.85093028 -45.88433862,-67.8535903 -45.8848851,-67.8530109 -45.8845938,-67.8524315 -45.8844893,-67.85284989 -45.88522411,-67.8548133 -45.885968,-67.8544056 -45.8857215,-67.8542554 -45.8852884,-67.85399644 -45.88640005,-67.8618944 -45.8867671,-67.8616261 -45.8862443,-67.8603601 -45.88681940000001,-67.8594589 -45.8868119,-67.8584075 -45.8873347,-67.856369 -45.8871629,-67.8557789 -45.8865655,-67.86045923 -45.88724171,-67.8609717 -45.8856767,-67.862817 -45.8848403,-67.8617656 -45.8854826,-67.8616369 -45.886192,-67.8618944 -45.8867671,-67.85908094 -45.88593849;-67.85908094 -45.88593849,-67.8614116 -45.8855274,-67.862978 -45.884788,-67.8635466 -45.8831599,-67.8632355 -45.8817483,-67.86391140000002 -45.8815093,-67.8628063 -45.8810537,-67.8623772 -45.8814346,-67.86071597 -45.88116865,-67.8685462 -45.8831151,-67.8700483 -45.8829059,-67.8648233 -45.8818603,-67.8628063 -45.8810537,-67.8621304 -45.8814645,-67.86703039 -45.88312685,-67.8737283 -45.8829508,-67.8736854 -45.8833242,-67.8730094 -45.8829134,-67.8686643 -45.8830254,-67.87263059 -45.88283868,-67.8734708 -45.8823084,-67.8726876 -45.8822636,-67.87121461 -45.8823951;-67.87121461 -45.8823951,-67.8734708 -45.8823084,-67.8726876 -45.8822636,-67.87263059 -45.88283868,-67.8738034 -45.8829806,-67.8739858 -45.8834512,-67.87655 -45.8844445,-67.8765929 -45.8840262,-67.8758872 -45.88413516,-67.8775907 -45.885744,-67.8778374 -45.8851241,-67.8766251 -45.8844594,-67.8767002 -45.8840561,-67.87630061 -45.88642699,,-67.87597578 -45.88674947,-67.8775477 -45.8859232,-67.87784810000001 -45.8854153,-67.8789425 -45.8862742,-67.879554 -45.8862667,-67.8829443 -45.8844743,-67.8806055 -45.8848253,-67.87931365 -45.88515467,-67.8808522 -45.8847432,-67.8831053 -45.8843548,-67.884897 -45.8834586,-67.8876114 -45.88378720000001,-67.8901434 -45.8835856,-67.88934482 -45.88367092,-67.8863347 -45.8849448,-67.8869569 -45.8849672,-67.8874826 -45.883847,-67.8903258 -45.883570600000006,-67.88477851 -45.88530377,-67.8877938 -45.885251,-67.8862166 -45.8849523,-67.88725199 -45.88498287,-67.8916669 -45.8851316,-67.891463 -45.8853332,-67.8890061 -45.8855946,-67.8886521 -45.8849672,-67.88986813 -45.88509226,-67.895658 -45.88465360000001,-67.8955078 -45.8872675,-67.89402720000001 -45.888186,-67.89313670000001 -45.8879097,-67.8935552 -45.8866999,-67.891624 -45.8850718,-67.89478887 -45.88442779,-67.896452 -45.8842129,-67.8972995 -45.8841607,-67.8987801 -45.8833839,-67.8993165 -45.8836304,-67.89811074 -45.88424629,-67.90316820000001 -45.883637900000004,-67.9026854 -45.8831823,-67.9021275 -45.8832794,-67.900722 -45.8842279,-67.9001105 -45.8851465,-67.8995955 -45.8843175,-67.90293219 -45.8836944,-67.9039729 -45.8871629,-67.9034686 -45.8869165,-67.9041123 -45.886192,-67.9042947 -45.8847656,-67.90316820000001 -45.883637900000004,-67.90362098 -45.8874036,-67.9052818 -45.8875736,-67.90654780000001 -45.8882084,-67.9074919 -45.8882756,-67.90705336 -45.88840606,-67.9066443 -45.8844071,-67.9062474 -45.8852585,-67.908833 -45.885968,-67.9091012 -45.8864012,-67.90594775 -45.88423937,,-67.90591516 -45.88446218,-67.9076958 -45.8841084,-67.9082644 -45.8839366,-67.9093373 -45.8833167,-67.9103136 -45.8831972,-67.90970498 -45.88326091,-67.911365 -45.8831076,-67.9142618 -45.8826968,-67.9159892 -45.8825026,-67.91541483 -45.88231338,-67.9166651 -45.8823159,-67.9170835 -45.8822711,-67.9178345 -45.8833989,-67.9184783 -45.8832943,-67.91747464 -45.88372353,-67.9183173 -45.8833018,-67.9179525 -45.8832943,-67.9178452 -45.8829358,-67.9186606 -45.8819873,-67.9191113 -45.8815466,-67.9197979 -45.8813898,-67.91930941 -45.88137118,-67.9231775 -45.8798138,-67.9230273 -45.8801051,-67.9220295 -45.8802022,-67.9198301 -45.8807027,-67.9191542 -45.8814645,-67.9198301 -45.8813375,-67.92260289 -45.87981886,-67.9288745 -45.8790371,-67.9299045 -45.8786188,-67.929765 -45.8784918,-67.9247224 -45.8798512,-67.9241753 -45.8796943,-67.92746283 -45.879252,-67.9288745 -45.8790371,-67.9299796 -45.8786337,-67.9304302 -45.8776552,-67.9309022 -45.8766245,-67.9306126 -45.8766543,-67.92916705 -45.87686758,-67.9305589 -45.8765722,-67.9309773 -45.8765423,-67.9323184 -45.875011,-67.9336917 -45.8726132,-67.93292309 -45.87290945,-67.9337347 -45.872531,-67.9350007 -45.8704245,-67.9346895 -45.8701032,-67.933282 -45.87018527,-67.934829 -45.8699464,-67.9352367 -45.8689827,-67.9338956 -45.8684298,-67.9331553 -45.8691993,-67.9323077 -45.8697148,-67.9319537 -45.8703348,-67.9324794 -45.8705739,-67.93187364 -45.8708609,-67.9326403 -45.8707009,-67.9319537 -45.8703348,-67.931664 -45.8708503,-67.9311275 -45.8713582,-67.9311597 -45.8717019,-67.9314923 -45.8717243,-67.93045899 -45.87199061,-67.9310846 -45.8724489,-67.9311812 -45.8718139,-67.9314172 -45.8718438,-67.92978725 -45.87284116;-67.92978725 -45.87284116,-67.9310846 -45.8724489,-67.9311812 -45.8718139,-67.9314172 -45.8718438,-67.93045899 -45.87199061,-67.9326403 -45.8707009,-67.9319537 -45.8703348,-67.931664 -45.8708503,-67.9311275 -45.8713582,-67.9311597 -45.8717019,-67.9314923 -45.8717243,-67.93187364 -45.8708609,-67.934829 -45.8699464,-67.9352367 -45.8689827,-67.9338956 -45.8684298,-67.9331553 -45.8691993,-67.9323077 -45.8697148,-67.9319537 -45.8703348,-67.9324794 -45.8705739,-67.933282 -45.87018527,-67.936492 -45.8696625,-67.9362881 -45.8694234,-67.9350436 -45.8703273,-67.9347003 -45.8699986,-67.93551008 -45.87004015,-67.9383588 -45.8674437,-67.9380584 -45.8682655,-67.9363847 -45.8693786,-67.9365671 -45.8696326,-67.9400271 -45.8665472</t>
  </si>
  <si>
    <t>-67.9400271 -45.8665472,-67.9383588 -45.8674437,-67.9380101 -45.8666929,-67.9392922 -45.8661064,-67.93822649 -45.86645361,,-67.93820898 -45.86621382,-67.939437 -45.8659907,-67.9410034 -45.8642985,-67.9397787 -45.86446671,-67.9413575 -45.8643508,-67.94191 -45.8638801,-67.9413092 -45.8637717,-67.94026881 -45.86394522,-67.9412395 -45.8636896,-67.94085860000001 -45.8628677,-67.94016816 -45.86304785,-67.9407513 -45.863103100000004,-67.9403973 -45.8622551,-67.93757020000001 -45.8636746,-67.93638614 -45.8639203,-67.9374468 -45.8637643,-67.93648120000002 -45.8648999,-67.93542287 -45.86514387,-67.9364544 -45.8650082,-67.9343033 -45.8651128,-67.93322311 -45.86539389,-67.934196 -45.8650755,-67.9339492 -45.8648887,-67.9318678 -45.8652174,-67.93025624 -45.86524613,-67.92887450000002 -45.8655984,-67.929647 -45.8660093,-67.9311919 -45.8652622,-67.92761571 -45.86576064,-67.9284239 -45.8655835,-67.9270077 -45.8655162,-67.92568273 -45.86555172,,-67.92617947 -45.86596757,-67.9266429 -45.8657927,-67.9259992 -45.8665696,-67.92478129 -45.86687146,-67.9258382 -45.86658460000001,-67.9220402 -45.8663903,-67.92069068 -45.86664171,-67.9224908 -45.8663306,-67.9191971 -45.8656582,-67.91774956 -45.8661538,-67.9187572 -45.8661064,-67.9176843 -45.8663679,-67.9172981 -45.8656657,-67.91575239 -45.86551598,-67.9164934 -45.8652398,-67.9147875 -45.8642536,-67.9133606 -45.865322,-67.9120409 -45.8651352,-67.91093971 -45.86527418,-67.9122448 -45.8649709,-67.911129 -45.8644105,-67.9103887 -45.8645226,-67.90917641 -45.86476613,-67.9100668 -45.8647318,-67.9098523 -45.8659197,-67.9103565 -45.8661513,-67.90947109 -45.86641003,-67.9100454 -45.8663754,-67.9094982 -45.8663306,-67.909627 -45.86429100000001,-67.90869072 -45.86438156,-67.9108179 -45.86391,-67.9094768 -45.8638353,-67.9077816 -45.8657329,-67.9066443 -45.8662484,-67.90565529 -45.8665856,-67.9061723 -45.8665771,-67.905035 -45.8664202,-67.9036188 -45.866734,-67.90238643 -45.86679139,-67.903533 -45.8667116,-67.9017627 -45.8675035,-67.9002507 -45.8689297,-67.89914372 -45.86914198,-67.8994882 -45.8693338,-67.8977072 -45.8699986,-67.8991663 -45.8716197,-67.89860307 -45.87190083,-67.8970957 -45.8693338,-67.8969562 -45.8699688,-67.8972459 -45.8707905,-67.898823 -45.87161220000001,-67.89665012 -45.86917164,-67.8997886 -45.8679667,-67.89790030000002 -45.8689154,-67.89853722 -45.86802334;-67.89853722 -45.86802334,-67.8997886 -45.8679667,-67.89790030000002 -45.8689154,-67.89665012 -45.86917164,-67.8979433 -45.8688258,-67.8980505 -45.8673541,-67.89633441 -45.86762629,-67.8971064 -45.8687063,-67.897085 -45.8680787,-67.8974926 -45.8676155,-67.89593684 -45.869071,-67.8968167 -45.8732108,-67.8973424 -45.8716645,-67.8965807 -45.8705066,-67.89683820000002 -45.8692143,-67.8963447 -45.8685942,-67.895268 -45.8734552,-67.8968275 -45.8739055,-67.8966451 -45.8731809,-67.89611117 -45.87416671,-67.8992522 -45.8749438,-67.8973424 -45.8751455,-67.8970528 -45.8743089,-67.89863672 -45.87485225,-67.8992522 -45.8749438,-67.8973424 -45.8751455,-67.8966451 -45.875362100000004,-67.8955722 -45.8745031,-67.89489679 -45.87455424,-67.8954864 -45.8744359,-67.8949392 -45.8739429,-67.895143 -45.8733378,-67.8949499 -45.8727701,-67.89420174 -45.8725767,-67.8951538 -45.8720604,-67.8954649 -45.8713209,-67.8950679 -45.870671,-67.8955185 -45.8706112,-67.89468537 -45.87097799,-67.8955185 -45.8706112,-67.895025 -45.8705813,-67.8944993 -45.8697073,-67.89334262 -45.86982277,-67.8929329 -45.86721210000001,-67.894392 -45.8695056,-67.89194102 -45.86726393,-67.8928256 -45.8669955,-67.8921926 -45.8666742,-67.8873646 -45.8660616,-67.8857768 -45.8654266,-67.8854012 -45.8646272,-67.88472455 -45.86475921,-67.885648 -45.8640295,-67.884264 -45.8643059,-67.8840923 -45.8646421,-67.8845537 -45.8652697,-67.8857446 -45.8653743,-67.8853691 -45.8647617,-67.88474587 -45.86417589,-67.8877938 -45.8628715,-67.8873003 -45.8630657,-67.8865063 -45.863768,-67.8859699 -45.8639324,-67.88728748 -45.86292961,-67.8896391 -45.8628117,-67.8891349 -45.8629835,-67.8883517 -45.862864,-67.88841236 -45.8628748;-67.88841236 -45.8628748,-67.8896391 -45.8628117,-67.8891349 -45.8629835,-67.8883517 -45.862864,-67.88728748 -45.86292961,-67.8877938 -45.8628715,-67.8873003 -45.8630657,-67.8865063 -45.863768,-67.8859699 -45.8639324,-67.88474587 -45.86417589,-67.885648 -45.8640295,-67.884264 -45.8643059,-67.8840923 -45.8646421,-67.8845537 -45.8652697,-67.8857446 -45.8653743,-67.8853691 -45.8647617,-67.88472455 -45.86475921,-67.8928256 -45.8669955,-67.8921926 -45.8666742,-67.8873646 -45.8660616,-67.8857768 -45.8654266,-67.8854012 -45.8646272,-67.89194102 -45.86726393,-67.8929329 -45.86721210000001,-67.894392 -45.8695056,-67.89334262 -45.86982277,-67.8955185 -45.8706112,-67.895025 -45.8705813,-67.8944993 -45.8697073,-67.89468537 -45.87097799,-67.8951538 -45.8720604,-67.8954649 -45.8713209,-67.8950679 -45.870671,-67.8955185 -45.8706112,-67.89420174 -45.8725767,-67.8954864 -45.8744359,-67.8949392 -45.8739429,-67.895143 -45.8733378,-67.8949499 -45.8727701,-67.89489679 -45.87455424,-67.8992522 -45.8749438,-67.8973424 -45.8751455,-67.8966451 -45.875362100000004,-67.8955722 -45.8745031,-67.89863672 -45.87485225,-67.8996062 -45.8756758,-67.8981364 -45.8751081,-67.8992522 -45.8749438,-67.89781334 -45.87614703,,-67.89805175 -45.8762384,-67.8998315 -45.8761838,-67.9001212 -45.8769457,-67.900883 -45.8771399,-67.9025674 -45.8764527,-67.90200809 -45.87637167,-67.9027498 -45.8764153,-67.9023206 -45.8766319,-67.9053462 -45.8764079,-67.9049706 -45.8759672,-67.90388535 -45.87594679,-67.9065692 -45.87642280000001,-67.9066443 -45.8758626,-67.9054427 -45.876363,-67.9050243 -45.8759149,-67.90493501 -45.87690763,-67.9108071 -45.880613,-67.9116762 -45.8803665,-67.9099488 -45.8795972,-67.9089832 -45.8795748,-67.908479 -45.879291,-67.9081464 -45.8778345,-67.9075241 -45.8768784,-67.9078567 -45.8763107,-67.9075456 -45.8753322,-67.9072452 -45.8752799,-67.9064727 -45.8764004,-67.90902811 -45.88062544,-67.9128456 -45.8792537,-67.9124808 -45.8793284,-67.9119766 -45.880389,-67.9108071 -45.880613,-67.91191949 -45.87938061,-67.9140365 -45.879418,-67.9132962 -45.8793806,-67.9129636 -45.879291,-67.91353665 -45.87940202,-67.9153132 -45.8792537,-67.9169548 -45.8786935,-67.91624678 -45.87867996,-67.9178238 -45.878447,-67.9194975 -45.8781632,-67.9207098 -45.8777001,-67.9215896 -45.8770278,-67.9210664 -45.87704706;-67.9210664 -45.87704706,-67.9178238 -45.878447,-67.9194975 -45.8781632,-67.9207098 -45.8777001,-67.9215896 -45.8770278,-67.91624678 -45.87867996,-67.9153132 -45.8792537,-67.9169548 -45.8786935,-67.91353665 -45.87940202,-67.9140365 -45.879418,-67.9132962 -45.8793806,-67.9129636 -45.879291,-67.91191949 -45.87938061,-67.9129636 -45.879291,-67.9124808 -45.8793284,-67.9120302 -45.8802545,-67.9124165 -45.8806728,-67.9129958 -45.8809193,-67.91214619 -45.88124859,-67.9166651 -45.8823159,-67.9169762 -45.8821367,-67.9166543 -45.8815466,-67.913146 -45.8824205,-67.9128242 -45.8814645,-67.91541483 -45.88231338,-67.9166651 -45.8823159,-67.9170835 -45.8822711,-67.9178345 -45.8833989,-67.9184783 -45.8832943,-67.91747464 -45.88372353,-67.9183173 -45.8833018,-67.9179525 -45.8832943,-67.9178452 -45.8829358,-67.9186606 -45.8819873,-67.9191113 -45.8815466,-67.9197979 -45.8813898,-67.91930941 -45.88137118,-67.9231775 -45.8798138,-67.9230273 -45.8801051,-67.9220295 -45.8802022,-67.9198301 -45.8807027,-67.9191542 -45.8814645,-67.9198301 -45.8813375,-67.92260289 -45.87981886,-67.9288745 -45.8790371,-67.9299045 -45.8786188,-67.929765 -45.8784918,-67.9247224 -45.8798512,-67.9241753 -45.8796943,-67.92746283 -45.879252,-67.9288745 -45.8790371,-67.9299796 -45.8786337,-67.9308271 -45.8793582,-67.9310632 -45.8796271,-67.9308057 -45.8796645,-67.92926139 -45.87980166,-67.9308057 -45.8796645,-67.9309773 -45.8795823,-67.9308271 -45.8793582,-67.9319429 -45.8795524,-67.9332089 -45.8799333,-67.9339921 -45.8795524,-67.9349685 -45.8793358,-67.935698 -45.8793209,-67.93512028 -45.8793768,-67.9364383 -45.8791566,-67.9368889 -45.8790371,-67.9370821 -45.878798,-67.939657 -45.8787906,-67.9398179 -45.8784246,-67.93938002 -45.87863178,,-67.93921257 -45.87804782,-67.9512119 -45.8788877,-67.952435 -45.8787607,-67.9518127 -45.8800454,-67.9474354 -45.8786785,-67.9441524 -45.8779764,-67.9427791 -45.8776328,-67.940805 -45.8776926,-67.94944114 -45.87896309,-67.9534543 -45.8773565,-67.9526925 -45.87711,-67.9530144 -45.8775731,-67.9524779 -45.878813,-67.9512334 -45.8789325,-67.95259842 -45.87763583,-67.9521346 -45.8759746,-67.9517162 -45.8759074,-67.9513943 -45.8758999,-67.9525959 -45.87702780000001,-67.95337920000001 -45.8774162,-67.95155064 -45.87647635,-67.9521239 -45.8742491,-67.9518771 -45.875885,-67.9521346 -45.8759746,-67.95131727 -45.87411285,-67.9523921 -45.8742192,-67.953068 -45.8750334,-67.9540443 -45.8756908,-67.95347139 -45.87628758;-67.95347139 -45.87628758,-67.9523921 -45.8742192,-67.953068 -45.8750334,-67.9540443 -45.8756908,-67.95131727 -45.87411285,-67.9521239 -45.8742491,-67.9518771 -45.875885,-67.9521346 -45.8759746,-67.95155064 -45.87647635,-67.9521346 -45.8759746,-67.9517162 -45.8759074,-67.9513943 -45.8758999,-67.9525959 -45.87702780000001,-67.95337920000001 -45.8774162,-67.95259842 -45.87763583,-67.9534543 -45.8773565,-67.9526925 -45.87711,-67.9530144 -45.8775731,-67.9524779 -45.878813,-67.9512334 -45.8789325,-67.94944114 -45.87896309,-67.9512119 -45.8788877,-67.952435 -45.8787607,-67.9518127 -45.8800454,-67.9474354 -45.8786785,-67.9441524 -45.8779764,-67.9427791 -45.8776328,-67.940805 -45.8776926,-67.93921257 -45.87804782,,-67.93938002 -45.87863178,-67.9364383 -45.8791566,-67.9368889 -45.8790371,-67.9370821 -45.878798,-67.939657 -45.8787906,-67.9398179 -45.8784246,-67.93512028 -45.8793768,-67.9308057 -45.8796645,-67.9309773 -45.8795823,-67.9308271 -45.8793582,-67.9319429 -45.8795524,-67.9332089 -45.8799333,-67.9339921 -45.8795524,-67.9349685 -45.8793358,-67.935698 -45.8793209,-67.92926139 -45.87980166,-67.9288745 -45.8790371,-67.9299796 -45.8786337,-67.9308271 -45.8793582,-67.9310632 -45.8796271,-67.9308057 -45.8796645,-67.92746283 -45.879252,-67.9288745 -45.8790371,-67.9299045 -45.8786188,-67.929765 -45.8784918,-67.9247224 -45.8798512,-67.9241753 -45.8796943,-67.92260289 -45.87981886,-67.9231775 -45.8798138,-67.9230273 -45.8801051,-67.9220295 -45.8802022,-67.9198301 -45.8807027,-67.9191542 -45.8814645,-67.9198301 -45.8813375,-67.91930941 -45.88137118,-67.9183173 -45.8833018,-67.9179525 -45.8832943,-67.9178452 -45.8829358,-67.9186606 -45.8819873,-67.9191113 -45.8815466,-67.9197979 -45.8813898,-67.91747464 -45.88372353,-67.9166651 -45.8823159,-67.9170835 -45.8822711,-67.9178345 -45.8833989,-67.9184783 -45.8832943,-67.91541483 -45.88231338,-67.911365 -45.8831076,-67.9142618 -45.8826968,-67.9159892 -45.8825026,-67.90970498 -45.88326091,-67.9076958 -45.8841084,-67.9082644 -45.8839366,-67.9093373 -45.8833167,-67.9103136 -45.8831972,-67.90591516 -45.88446218,,-67.90594775 -45.88423937;-67.90594775 -45.88423937,,-67.90591516 -45.88446218,-67.9076958 -45.8841084,-67.9082644 -45.8839366,-67.9093373 -45.8833167,-67.9103136 -45.8831972,-67.90970498 -45.88326091,-67.911365 -45.8831076,-67.9142618 -45.8826968,-67.9159892 -45.8825026,-67.91541483 -45.88231338,-67.9166651 -45.8823159,-67.9170835 -45.8822711,-67.9178345 -45.8833989,-67.9184783 -45.8832943,-67.91747464 -45.88372353,-67.9183173 -45.8833018,-67.9179525 -45.8832943,-67.9178452 -45.8829358,-67.9186606 -45.8819873,-67.9191113 -45.8815466,-67.9197979 -45.8813898,-67.91930941 -45.88137118,-67.9231775 -45.8798138,-67.9230273 -45.8801051,-67.9220295 -45.8802022,-67.9198301 -45.8807027,-67.9191542 -45.8814645,-67.9198301 -45.8813375,-67.92260289 -45.87981886,-67.9288745 -45.8790371,-67.9299045 -45.8786188,-67.929765 -45.8784918,-67.9247224 -45.8798512,-67.9241753 -45.8796943,-67.92746283 -45.879252,-67.9288745 -45.8790371,-67.9299796 -45.8786337,-67.9304302 -45.8776552,-67.9309022 -45.8766245,-67.9306126 -45.8766543,-67.92916705 -45.87686758,-67.9305589 -45.8765722,-67.9309773 -45.8765423,-67.9323184 -45.875011,-67.9336917 -45.8726132,-67.93292309 -45.87290945,-67.9337347 -45.872531,-67.9350007 -45.8704245,-67.9346895 -45.8701032,-67.933282 -45.87018527,-67.936492 -45.8696625,-67.9362881 -45.8694234,-67.9350436 -45.8703273,-67.9347003 -45.8699986,-67.93551008 -45.87004015,-67.9383588 -45.8674437,-67.9380584 -45.8682655,-67.9363847 -45.8693786,-67.9365671 -45.8696326,-67.9400271 -45.8665472</t>
  </si>
  <si>
    <t>-67.9400271 -45.8665472,-67.9452789 -45.8642312,-67.9498494 -45.8625128,-67.9518986 -45.8627818,-67.95083587 -45.86305697,-67.9517913 -45.8629088,-67.9498279 -45.8631554,-67.948873 -45.864022,-67.94825316 -45.86451588;-67.94825316 -45.86451588,-67.9517913 -45.8629088,-67.9498279 -45.8631554,-67.948873 -45.864022,-67.95083587 -45.86305697,-67.9452789 -45.8642312,-67.9498494 -45.8625128,-67.9518986 -45.8627818,-67.9400271 -45.8665472,-67.9383588 -45.8674437,-67.9380584 -45.8682655,-67.9363847 -45.8693786,-67.9365671 -45.8696326,-67.93551008 -45.87004015,-67.936492 -45.8696625,-67.9362881 -45.8694234,-67.9350436 -45.8703273,-67.9347003 -45.8699986,-67.933282 -45.87018527,-67.9337347 -45.872531,-67.9350007 -45.8704245,-67.9346895 -45.8701032,-67.93292309 -45.87290945,-67.9305589 -45.8765722,-67.9309773 -45.8765423,-67.9323184 -45.875011,-67.9336917 -45.8726132,-67.92916705 -45.87686758,-67.9288745 -45.8790371,-67.9299796 -45.8786337,-67.9304302 -45.8776552,-67.9309022 -45.8766245,-67.9306126 -45.8766543,-67.92746283 -45.879252,-67.9288745 -45.8790371,-67.9299796 -45.8786337,-67.9308271 -45.8793582,-67.9310632 -45.8796271,-67.9308057 -45.8796645,-67.92926139 -45.87980166,-67.9308057 -45.8796645,-67.9309773 -45.8795823,-67.9308271 -45.8793582,-67.9319429 -45.8795524,-67.9332089 -45.8799333,-67.9339921 -45.8795524,-67.9349685 -45.8793358,-67.935698 -45.8793209,-67.93512028 -45.8793768,-67.9380155 -45.8812404,-67.938627 -45.880852,-67.9384768 -45.8805682,-67.9371035 -45.8800827,-67.9358482 -45.8797093,-67.9335737 -45.8797616,-67.934432 -45.8794255,-67.9350007 -45.8792835,-67.9357088 -45.8792686,-67.93588984 -45.88149225,-67.9369104 -45.8822487,-67.9367441 -45.8819686,-67.9385787 -45.881274,-67.938568 -45.8809641,-67.9379243 -45.8811844,-67.93623372 -45.88237227,-67.9369962 -45.8822636,-67.9367441 -45.8819686,-67.9343677 -45.8832719,-67.93288041 -45.88347512,,-67.93297197 -45.88384007,-67.9325545 -45.8880964,-67.9324257 -45.8875363,-67.933048 -45.8868642,-67.9335093 -45.8836304,-67.93195275 -45.88880085,,-67.93184093 -45.88869985,-67.929883 -45.8876782,-67.9306018 -45.8878724,-67.9317605 -45.8883727,-67.9326189 -45.888201,-67.92838162 -45.88770662,-67.9286492 -45.8892166,-67.9288638 -45.8878724,-67.9292393 -45.8876931,-67.92758265 -45.88993498,-67.929368 -45.8925994,-67.9296148 -45.8919423,-67.9287994 -45.8913897,-67.9285097 -45.8910014,-67.9286277 -45.8901127,-67.92819602 -45.89300211,-67.9235637 -45.895743,-67.9241538 -45.8953249,-67.9267287 -45.8949142,-67.9271579 -45.8944961,-67.9267287 -45.8942048,-67.9257309 -45.8936448,-67.9256558 -45.8930698,-67.9268682 -45.8923604,-67.9289711 -45.8934208,-67.9293036 -45.893361,-67.92261639 -45.89612501,-67.9221904 -45.8981548,-67.9232204 -45.8984983,-67.9230487 -45.8980652,-67.9224908 -45.89755,-67.9236388 -45.8964449,-67.92046749 -45.89809236,-67.9312027 -45.9008128,-67.9299688 -45.9015296,-67.9282737 -45.9003723,-67.9263103 -45.8994316,-67.9232204 -45.8984983,-67.9221046 -45.8981623,-67.93028301 -45.90068278,-67.9313636 -45.9007755,-67.9299688 -45.9015296,-67.9309559 -45.9024778,-67.931664 -45.9022687,-67.9323721 -45.9010144,-67.9335737 -45.900447,-67.9371786 -45.9012832,-67.9379082 -45.9021045,-67.9396677 -45.9026719,-67.941041 -45.9025674,-67.94048121 -45.90255833,-67.9417276 -45.9060912,-67.9426718 -45.9047623,-67.9416203 -45.9047773,-67.9445601 -45.9035379,-67.942543 -45.9026271,-67.94070253 -45.90708056,-67.9419637 -45.9061061,-67.9426718 -45.9047623,-67.9415345 -45.9048967,-67.938745 -45.9059568,-67.9340029 -45.9072707,-67.9353547 -45.9073006,-67.93482704 -45.9074612,-67.937994 -45.9086444,-67.9371142 -45.9083457,-67.9353976 -45.9082412,-67.9346466 -45.907853,-67.9353762 -45.9076142,NA,-67.9432511 -45.9099433,-67.9437232 -45.9109734,-67.9452038 -45.9116154,-67.9434228 -45.911287,-67.9401827 -45.9100179,-67.9391742 -45.9089579,-67.94205735 -45.90980155,-67.9382944 -45.9130934,-67.9395604 -45.9136906,-67.9405904 -45.9131382,-67.9431438 -45.9124664,-67.9441524 -45.9118692,-67.9452038 -45.9116154,-67.9438734 -45.9110779,-67.9432511 -45.9099433,-67.93665996 -45.91286222,-67.9371786 -45.9124813,-67.9369533 -45.9118916,-67.9363096 -45.9101747,-67.935183 -45.9100179,-67.9330123 -45.90989279,-67.93396 -45.910003,-67.9332089 -45.9102269,-67.9314494 -45.9103464,-67.9311919 -45.9100478,-67.9308486 -45.9099433,-67.92909659 -45.90983142;-67.92909659 -45.90983142,-67.9308486 -45.9099433,-67.9312348 -45.9102419,-67.9297328 -45.910421,-67.9279304 -45.9103613,-67.9261494 -45.9116303,-67.9255915 -45.9130038,-67.924819 -45.9119737,-67.9250765 -45.911063,-67.92339949 -45.91107871,-67.9191971 -45.9115109,-67.9193473 -45.9122574,-67.9206347 -45.9121827,-67.9237676 -45.911287,-67.91938339 -45.91141146,-67.9150558 -45.9126903,-67.9162359 -45.9122126,-67.9164505 -45.9115408,-67.9181457 -45.910645,-67.9202914 -45.9111078,-67.91361731 -45.91301639,-67.9095197 -45.9178556,-67.9090691 -45.9168107,-67.9049706 -45.9149894,-67.9050565 -45.9146311,-67.908597 -45.9143027,-67.9105282 -45.9135114,-67.9126954 -45.9130636,-67.9141974 -45.9123171,-67.90949828 -45.91775832,-67.9095197 -45.9178556,-67.9090691 -45.9168107,-67.90527 -45.9149745,-67.9052067 -45.9146162,-67.9025245 -45.9141235,-67.90171 -45.9145565,-67.89907 -45.9147953,-67.8979325 -45.9163329,-67.8972459 -45.916945,-67.8961945 -45.916945,-67.896 -45.9166,-67.89415644 -45.91643339,-67.8951859 -45.9189752,-67.8956151 -45.9181094,-67.8975034 -45.9169749,-67.8979325 -45.9163329,-67.8972459 -45.916945,-67.8964305 -45.9169151,-67.8960013 -45.9166017,-67.8948966 -45.91911867,-67.895422 -45.9189901,-67.8929543 -45.9186468,-67.89164408 -45.91850265,-67.892257 -45.917781,-67.8922355 -45.9171241,-67.8925788 -45.9166017,-67.8926325 -45.9163553,-67.8917956 -45.9155044,-67.8909266 -45.914855,-67.8902507 -45.9144445,-67.8900683 -45.9137279,-67.8889096 -45.913601,-67.888813 -45.9138473,-67.88780562 -45.91450171,-67.8887486 -45.9139369,-67.8892422 -45.9133771,-67.889092 -45.9088982,-67.8895211 -45.9081964,-67.8884697 -45.9068527,-67.8891134 -45.9060464,-67.8899932 -45.905494,-67.890079 -45.9049863,-67.8895855 -45.9049415,-67.8884912 -45.9054641,-67.88690397 -45.90593083,-67.8877831 -45.9058523,-67.8869033 -45.9059867,-67.8840923 -45.9048668,-67.8834271 -45.9042397,-67.8832769 -45.9030601,-67.8820109 -45.9031497,-67.8811312 -45.903299,-67.8780627 -45.9027018,-67.8772688 -45.9023733,-67.8778911 -45.9022389,-67.87749311 -45.90223614,-67.8778911 -45.9022389,-67.8772688 -45.9023733,-67.8762174 -45.9020895,-67.8762174 -45.9018506,-67.875402 -45.9018954,-67.87401 -45.90242679,-67.875402 -45.9018954,-67.8762174 -45.9018506,-67.8767323 -45.9016117,-67.8774405 -45.9009995,-67.8778481 -45.8999691,-67.87600509 -45.90013168,-67.8778481 -45.8999691,-67.8795862 -45.8996556,-67.8816676 -45.8998198,-67.8823113 -45.899342,-67.88283131 -45.8994995,-67.8816462 -45.8976545,-67.8819466 -45.8992972,-67.8823757 -45.8992374,-67.88049412 -45.89765426,-67.8799939 -45.8961761,-67.8810668 -45.8968855,-67.881496 -45.8974007,-67.87842608 -45.89585515,-67.8782558 -45.8919497,-67.8778267 -45.8923828,-67.8780413 -45.8938315,-67.8791893 -45.8953398,-67.87768072 -45.89180609,-67.8788996 -45.8901426,-67.877934 -45.8900903,-67.8774834 -45.8904786,-67.8777945 -45.8925098,-67.8783524 -45.8919348,-67.87813787 -45.88993585,-67.8792322 -45.8901127,-67.877934 -45.8900903,-67.8765285 -45.89045620000001,-67.87484305 -45.89067788,-67.8765285 -45.89045620000001,-67.877773 -45.8901799,-67.8803802 -45.8880143,-67.8783846 -45.8885519,-67.87661058 -45.88889945,-67.8783846 -45.8885519,-67.8803802 -45.8880143,-67.8826654 -45.8868044,-67.8823113 -45.8868119,-67.88085052 -45.88709026,-67.8838027 -45.88608,-67.882483 -45.8868716,-67.88304639 -45.88588109,-67.8847039 -45.885542300000004,-67.8854334 -45.8851465,-67.88477851 -45.88530377,-67.8863347 -45.8849448,-67.8869569 -45.8849672,-67.8874826 -45.883847,-67.8903258 -45.883570600000006,-67.88934482 -45.88367092,-67.8808522 -45.8847432,-67.8831053 -45.8843548,-67.884897 -45.8834586,-67.8876114 -45.88378720000001,-67.8901434 -45.8835856,-67.87931365 -45.88515467,-67.8775477 -45.8859232,-67.87784810000001 -45.8854153,-67.8789425 -45.8862742,-67.879554 -45.8862667,-67.8829443 -45.8844743,-67.8806055 -45.8848253,-67.87597578 -45.88674947,,-67.87630061 -45.88642699,-67.8775907 -45.885744,-67.8778374 -45.8851241,-67.8766251 -45.8844594,-67.8767002 -45.8840561,-67.8758872 -45.88413516,-67.8738034 -45.8829806,-67.8739858 -45.8834512,-67.87655 -45.8844445,-67.8765929 -45.8840262,-67.87263059 -45.88283868,-67.8737283 -45.8829508,-67.8736854 -45.8833242,-67.8730094 -45.8829134,-67.8686643 -45.8830254,-67.86703039 -45.88312685,-67.8726017 -45.880389,-67.8697157 -45.8828462,-67.8706813 -45.8831001,-67.8686643 -45.8830254,-67.8724445 -45.87988188,-67.8772688 -45.8789101,-67.8749835 -45.8790146,-67.87362100000001 -45.8797765,-67.87684672 -45.87887091,-67.8785026 -45.8788802,-67.8798115 -45.8793806,-67.87875862 -45.87975391,-67.8797901 -45.8776627,-67.8792536 -45.87817810000001,-67.8798115 -45.8793806,-67.87897854 -45.87766371,-67.8836739 -45.8759821,-67.8838027 -45.8758402,-67.883234 -45.875631,-67.8816783 -45.8762734,-67.8803587 -45.8772818,-67.88220216 -45.87628794,-67.8856909 -45.8773042,-67.88382410000001 -45.8758999,-67.8835773 -45.8759821,-67.88515558 -45.87764642,-67.8892422 -45.878559,-67.8872895 -45.87787190000001,-67.8866029 -45.8774162,-67.88880073 -45.87886841;-67.88880073 -45.87886841,-67.8892422 -45.878559,-67.8872895 -45.87787190000001,-67.8866029 -45.8774162,-67.88515558 -45.87764642,-67.8856909 -45.8773042,-67.88382410000001 -45.8758999,-67.8835773 -45.8759821,-67.88220216 -45.87628794,-67.8836739 -45.8759821,-67.8838027 -45.8758402,-67.883234 -45.875631,-67.8816783 -45.8762734,-67.8803587 -45.8772818,-67.87897854 -45.87766371,-67.8797901 -45.8776627,-67.8792536 -45.87817810000001,-67.8798115 -45.8793806,-67.87875862 -45.87975391,-67.8785026 -45.8788802,-67.8798115 -45.8793806,-67.87684672 -45.87887091,-67.8772688 -45.8789101,-67.8749835 -45.8790146,-67.87362100000001 -45.8797765,-67.8724445 -45.87988188,-67.8726017 -45.880389,-67.8697157 -45.8828462,-67.8706813 -45.8831001,-67.8686643 -45.8830254,-67.86703039 -45.88312685,-67.8685462 -45.8831151,-67.8700483 -45.8829059,-67.8648233 -45.8818603,-67.8628063 -45.8810537,-67.8621304 -45.8814645,-67.86071597 -45.88116865,-67.8622806 -45.8814346,-67.8628922 -45.8810985,-67.8613365 -45.8799035,-67.8605962 -45.879896,-67.85926992 -45.88036306,-67.8608537 -45.8799333,-67.8613579 -45.8799707,-67.8611863 -45.8784545,-67.86092880000001 -45.8783424,-67.859516 -45.87831444,-67.8573883 -45.8816587,-67.8575063 -45.8811433,-67.8592443 -45.8804114,-67.8593087 -45.8795599,-67.8584397 -45.8786113,-67.8589547 -45.8770502,-67.8599954 -45.87787190000001,-67.85651325 -45.88220843,-67.8574526 -45.8818977,-67.8570664 -45.8807624,-67.8556824 -45.8812367,-67.8564656 -45.8801798,-67.855851 -45.88011934,-67.8564656 -45.8801798,-67.855736 -45.8808595,-67.8561974 -45.8788727,-67.8546631 -45.8788802,-67.85276267 -45.87922955,-67.8534776 -45.8786225,-67.852689 -45.8781818,-67.8508437 -45.8775395,-67.84953817 -45.87734102,-67.8503072 -45.877095,-67.8495133 -45.8766394,-67.8481615 -45.87637800000001,-67.84644226 -45.87649326,-67.847904 -45.8759074,-67.8490949 -45.8742491,-67.8510368 -45.8734349,-67.8488266 -45.8731585,-67.84711722 -45.87310355,-67.8489339 -45.8731324,-67.8501302 -45.8733565,-67.8485316 -45.8736739,-67.8459191 -45.8729942,-67.84549 -45.8723406,-67.8449106 -45.8726842,-67.84336962 -45.87289033,-67.8464448 -45.8713396,-67.8465736 -45.871657000000006,-67.84484620000002 -45.8726692,-67.84458226 -45.87132178,-67.8433174 -45.8702414,-67.8424054 -45.8705701,-67.8442401 -45.8712014,-67.8457582 -45.8705029,-67.8468794 -45.8714778,-67.8465736 -45.871657000000006,-67.8464073 -45.8713396,-67.84266503 -45.8702826,-67.8403401 -45.8715002,-67.8396213 -45.8713059,-67.8401256 -45.8706859,-67.8424323 -45.8705216,-67.8432369 -45.8702153,-67.83999726 -45.87142467,-67.8404045 -45.871440400000004,-67.8396642 -45.8713657,-67.8393745 -45.8705216,-67.8371751 -45.8699314,-67.8344822 -45.8697969,-67.8345251 -45.8700584,-67.8363597 -45.8707606,-67.83598551 -45.8713908,-67.8363276 -45.8710445,-67.8348899 -45.87091,-67.8336024 -45.8710221,-67.83204724 -45.87132308,-67.8326046 -45.8712686,-67.8287637 -45.8718438,-67.8266931 -45.8718811,-67.8259957 -45.8715076,-67.82435527 -45.87146335,-67.8260922 -45.8716048,-67.8258884 -45.8718886,-67.8219509 -45.871657,-67.8194082 -45.8687287,-67.8185391 -45.8670926,-67.8190756 -45.8667788,-67.8187144 -45.86699435,-67.819097 -45.8668461,-67.8186357 -45.8670552,-67.8192151 -45.868385,-67.81829240000002 -45.8680713,-67.81633269 -45.86814359,-67.8182173 -45.868004,-67.8160286 -45.8663455,-67.8181314 -45.8648065,-67.8182173 -45.864545,-67.81720169 -45.86444747,-67.818743 -45.8634467,-67.8184748 -45.8625278,-67.8150737 -45.8617806,-67.81334205 -45.86189156;-67.81334205 -45.86189156,-67.818743 -45.8634467,-67.8184748 -45.8625278,-67.8150737 -45.8617806,-67.81720169 -45.86444747,-67.8186142 -45.8634617,-67.8183568 -45.8624605,-67.8160179 -45.8615565,-67.8143764 -45.8610559,-67.81282229 -45.86107452,-67.8138077 -45.8564532,-67.814548 -45.8566699,-67.813561 -45.8597484,-67.8137219 -45.8605777,-67.81224182 -45.85671416,-67.8125632 -45.8568492,-67.810396 -45.8571033,-67.8101599 -45.8566923,-67.80907829 -45.8565264,-67.8098595 -45.8560647,-67.809999 -45.8550036,-67.8090441 -45.8548691,-67.8072436 -45.85498762,-67.8093982 -45.8548467,-67.8103423 -45.8545851,-67.808851 -45.8544506,-67.8103101 -45.854219,-67.8097093 -45.8539126,-67.80813131 -45.85419968,-67.809999 -45.85395,-67.81053540000002 -45.8542265,-67.8125417 -45.8543386,-67.81217316 -45.85421245,-67.816329 -45.8519921,-67.8167796 -45.8511701,-67.8158462 -45.8513121,-67.8150415 -45.8533148,-67.8138399 -45.8541293,-67.81497943 -45.85259887,-67.8185713 -45.8505798,-67.816962 -45.851073,-67.8161895 -45.8523658,-67.81800483 -45.85079524,-67.8223801 -45.8515886,-67.8209639 -45.8504751,-67.8196657 -45.8504079,-67.82163737 -45.8516816,-67.8244078 -45.8540994,-67.8225088 -45.8518801,-67.82322995 -45.85451391,-67.8277767 -45.8550036,-67.8251696 -45.8547271,-67.824676 -45.8544207,-67.82760578 -45.8552439,-67.8319716 -45.855437,-67.8292787 -45.855108200000004,-67.83154193 -45.85548135,-67.8371108 -45.8561767,-67.8326368 -45.8556313,-67.83653581 -45.85644197,-67.8438914 -45.8557508,-67.8414237 -45.8563262,-67.8377545 -45.8563187,-67.84359994 -45.85582912,-67.8480864 -45.8556163,-67.846477 -45.8561992,-67.8452325 -45.8556537,-67.84737753 -45.85568862,-67.851541 -45.8561394,-67.8511119 -45.8555416,-67.8497386 -45.8553249,-67.8490841 -45.8555341,-67.84992667 -45.85649082,-67.8511226 -45.8587172,-67.8489661 -45.8581942,-67.8504252 -45.8565952,-67.85051371 -45.8587379,-67.8547168 -45.8600622,-67.8545237 -45.8589862,-67.8537083 -45.858508,-67.852335 -45.8585529,-67.85325633 -45.86047853,-67.8585362 -45.8586425,-67.8567231 -45.8591431,-67.8550386 -45.8605852,-67.85800456 -45.85865306,-67.8617334 -45.8580597,-67.8595233 -45.8583362,-67.86119926 -45.8582863,-67.8630531 -45.8577608,-67.8618944 -45.8580074,-67.86269634 -45.8576934,-67.8655958 -45.85783560000001,-67.8642118 -45.8570435,-67.86509618 -45.85797591,-67.8666365 -45.8577982,-67.8680527 -45.857716,-67.86752908 -45.85773082,-67.8694689 -45.8577534,-67.8703272 -45.8578879,-67.8705525 -45.8574694,-67.8710139 -45.8575441,-67.87029294 -45.85782787,-67.8721619 -45.8576637,-67.8734279 -45.8573798,-67.8740823 -45.8579103,-67.87227986 -45.85836679,-67.8758311 -45.8590012,-67.8755307 -45.858777,-67.8718829 -45.8588144,-67.8721619 -45.8576637,-67.8733528 -45.857462,-67.8739536 -45.8579028,-67.87446619 -45.85953534,-67.875917 -45.8590236,-67.8765607 -45.8587098,-67.8784597 -45.8588443,-67.87771797 -45.85914466,-67.8790283 -45.8588293,-67.880466 -45.8587397,-67.8813028 -45.8593598,-67.88077392 -45.85953999,-67.8814316 -45.8592926,-67.8808415 -45.8591357,-67.880863 -45.8587322,-67.8817642 -45.858239,-67.8850043 -45.8580522,-67.88402968 -45.85834964,-67.887429 -45.855564,-67.8882551 -45.8548691,-67.8894138 -45.853808,-67.8920853 -45.8535689,-67.8916454 -45.8538678,-67.8897357 -45.85395,-67.88910 -45.85436,-67.8875685 -45.8562589,-67.885799 -45.8571033,-67.88544 -45.8578281,-67.88523 -45.85794,-67.88581092 -45.85597227,-67.887429 -45.855564,-67.8894138 -45.853808,-67.8932333 -45.8533447,-67.8969455 -45.8545851,-67.8963768 -45.8546599,-67.89483427 -45.85484841,-67.9008508 -45.8548093,-67.8990161 -45.8545403,-67.898823 -45.8538678,-67.8965485 -45.8545553,-67.90022567 -45.85540767,,-67.90067511 -45.8549717,-67.904284 -45.8564084,-67.9033184 -45.8552726,-67.9019022 -45.8551232,-67.90400196 -45.85653031,-67.90773330000002 -45.8580522,-67.9073417 -45.8579177,-67.9068965 -45.8568567,-67.9053408 -45.8563822,-67.90707943 -45.8582017,-67.9102653 -45.8586986,-67.9081625 -45.8581195,-67.90964669 -45.85881191,-67.9112792 -45.8592776,-67.9102921 -45.8588293,-67.9105067 -45.8586425,-67.91058213 -45.85962973,-67.9145408 -45.8594047,-67.9124916 -45.858777,-67.9112792 -45.8592776,-67.91347499 -45.85938782,-67.9153347 -45.8605702,-67.9157317 -45.8599725,-67.9146159 -45.859457,-67.91412974 -45.86109479,-67.9219651 -45.8610335,-67.9157424 -45.8609887,-67.92116295 -45.86077528,-67.9235315 -45.8601219,-67.9222655 -45.8604731,-67.92204432 -45.86025045,-67.9253769 -45.8604208,-67.9236388 -45.8595317,-67.9233384 -45.8597857,-67.92472033 -45.86078317,-67.9288423 -45.860757,-67.9286063 -45.8609812,-67.9269433 -45.8608168,-67.9254305 -45.8610559,-67.9256237 -45.8606898,-67.92827234 -45.86082887,-67.9307091 -45.86097370000001,-67.9287457 -45.8609588,-67.9288423 -45.860757,-67.92973166 -45.86112334,-67.9343569 -45.8614145,-67.9335523 -45.861549,-67.9334021 -45.8611381,-67.9309666 -45.8609214,-67.93332777 -45.86169272,-67.9375219 -45.8620421,-67.9357517 -45.861085800000005,-67.9346144 -45.8614519,-67.93652197 -45.86222667,-67.9388309 -45.8607794,-67.938112 -45.8611007,-67.9377472 -45.860899,-67.9362881 -45.8614743,-67.9374897 -45.8619749,-67.93809539 -45.86091501,-67.9389811 -45.8623559,-67.9389596 -45.8618329,-67.9381979 -45.8610783,-67.9390669 -45.8607794,-67.93749455 -45.86270022,-67.9407942 -45.8630844,-67.9403758 -45.8621878,-67.9386914 -45.8624792,-67.94016816 -45.86304785,-67.9412395 -45.8636896,-67.94085860000001 -45.8628677,-67.94026881 -45.86394522,-67.9413575 -45.8643508,-67.94191 -45.8638801,-67.9413092 -45.8637717,-67.9397787 -45.86446671,-67.939437 -45.8659907,-67.9410034 -45.8642985,-67.93820898 -45.86621382,,-67.93822649 -45.86645361,-67.9383588 -45.8674437,-67.9380101 -45.8666929,-67.9392922 -45.8661064,-67.9400271 -45.8665472</t>
  </si>
  <si>
    <t>-67.9400271 -45.8665472,-67.9383588 -45.8674437,-67.9380101 -45.8666929,-67.9392922 -45.8661064,-67.93822649 -45.86645361,,-67.93820898 -45.86621382,-67.939437 -45.8659907,-67.9410034 -45.8642985,-67.9397787 -45.86446671,-67.9413575 -45.8643508,-67.94191 -45.8638801,-67.9413092 -45.8637717,-67.94026881 -45.86394522,-67.9412395 -45.8636896,-67.94085860000001 -45.8628677,-67.94016816 -45.86304785,-67.9407513 -45.863103100000004,-67.9403973 -45.8622551,-67.93757020000001 -45.8636746,-67.93638614 -45.8639203,-67.9374468 -45.8637643,-67.93648120000002 -45.8648999,-67.93542287 -45.86514387,-67.9364544 -45.8650082,-67.9343033 -45.8651128,-67.93322311 -45.86539389,-67.934196 -45.8650755,-67.9339492 -45.8648887,-67.9318678 -45.8652174,-67.93025624 -45.86524613,-67.9317927 -45.8665099,-67.9313958 -45.8663156,-67.9318678 -45.8652174,-67.93029002 -45.86668754,-67.9313529 -45.8667714,-67.9330587 -45.867608100000005,-67.9338741 -45.8675633,-67.93326477 -45.86771282,-67.9346037 -45.8674587,-67.9359341 -45.8661886,-67.93491943 -45.86627952;-67.93491943 -45.86627952,-67.9346037 -45.8674587,-67.9359341 -45.8661886,-67.93326477 -45.86771282,-67.9313529 -45.8667714,-67.9330587 -45.867608100000005,-67.9338741 -45.8675633,-67.93029002 -45.86668754,-67.9312563 -45.8666892,-67.9306877 -45.8669805,-67.9292071 -45.866338,-67.9283273 -45.867257,-67.92759808 -45.86788307,-67.9271686 -45.8677052,-67.926718 -45.8677948,-67.925849 -45.8687063,-67.92477777 -45.86902425,-67.9239607 -45.87091,-67.9254735 -45.8690648,-67.92270363 -45.87121385,-67.9235101 -45.8711267,-67.9226303 -45.8711043,-67.9216754 -45.8713134,-67.92053462 -45.87127057,-67.9206347 -45.8733602,-67.9204845 -45.8732108,-67.9220188 -45.8711565,-67.91979942 -45.8736741,,-67.91957453 -45.87370778,-67.9194653 -45.874084800000006,-67.9204845 -45.8732108,-67.9206347 -45.8733602,-67.91777485 -45.87443865,-67.9123628 -45.8789922,-67.9139936 -45.8782154,-67.9156995 -45.8769755,-67.9165149 -45.8759447,-67.9189503 -45.874689800000006,-67.91076944 -45.87927096,-67.9128349 -45.8790819,-67.91394 -45.8782827,-67.9123628 -45.8789922,-67.91191949 -45.87938061,-67.9129636 -45.879291,-67.9124808 -45.8793284,-67.9120302 -45.8802545,-67.9124165 -45.8806728,-67.9129958 -45.8809193,-67.91214619 -45.88124859,-67.9166651 -45.8823159,-67.9169762 -45.8821367,-67.9166543 -45.8815466,-67.913146 -45.8824205,-67.9128242 -45.8814645,-67.91541483 -45.88231338,-67.911365 -45.8831076,-67.9142618 -45.8826968,-67.9159892 -45.8825026,-67.90970498 -45.88326091,-67.9076958 -45.8841084,-67.9082644 -45.8839366,-67.9093373 -45.8833167,-67.9103136 -45.8831972,-67.90591516 -45.88446218,,-67.90594775 -45.88423937,-67.9066443 -45.8844071,-67.9062474 -45.8852585,-67.908833 -45.885968,-67.9091012 -45.8864012,-67.90705336 -45.88840606,-67.9052818 -45.8875736,-67.90654780000001 -45.8882084,-67.9074919 -45.8882756,-67.90362098 -45.8874036,-67.9022241 -45.8892913,-67.9030609 -45.889239,-67.9032218 -45.8889477,-67.9028785 -45.8877678,-67.9034686 -45.8869165,-67.9039729 -45.8871629,-67.90098858 -45.88903898,-67.9020846 -45.8894257,-67.9013014 -45.8899484,-67.8996277 -45.8906877,-67.899971 -45.8910611,-67.9025245 -45.8912403,-67.90201018 -45.89143448,-67.9100668 -45.8930624,-67.90882230000001 -45.8924799,-67.9064727 -45.8916734,-67.9044127 -45.8911507,-67.9037046 -45.8911806,-67.9095676 -45.89358013,-67.9101956 -45.899678,-67.9090798 -45.9005739,-67.9091763 -45.9006934,-67.9097128 -45.9003873,-67.9113436 -45.8999841,-67.9123521 -45.9008128,-67.9124165 -45.9004769,-67.9120195 -45.899566,-67.9120624 -45.8986177,-67.9110324 -45.8972513,-67.9111183 -45.8939286,-67.90953741 -45.89946636,-67.9084682 -45.9027914,-67.9096591 -45.9021717,-67.9111719 -45.9011339,-67.9123199 -45.9007083,-67.9114294 -45.8999766,-67.9097021 -45.9003425,-67.9089189 -45.9008875,-67.9101956 -45.899678,-67.9066489 -45.9028322,-67.9045951 -45.9018208,-67.906301 -45.9022986,-67.9085219 -45.9021269,-67.9110646 -45.9011414,-67.9084682 -45.9028809,-67.90307567 -45.90165448;-67.90307567 -45.90165448,-67.9045951 -45.9018208,-67.906301 -45.9022986,-67.9085219 -45.9021269,-67.9110646 -45.9011414,-67.9084682 -45.9028809,-67.9066489 -45.9028322,-67.9084682 -45.9027914,-67.9096591 -45.9021717,-67.9111719 -45.9011339,-67.9123199 -45.9007083,-67.9114294 -45.8999766,-67.9097021 -45.9003425,-67.9089189 -45.9008875,-67.9101956 -45.899678,-67.90953741 -45.89946636,-67.9101956 -45.899678,-67.9090798 -45.9005739,-67.9091763 -45.9006934,-67.9097128 -45.9003873,-67.9113436 -45.8999841,-67.9123521 -45.9008128,-67.9124165 -45.9004769,-67.9120195 -45.899566,-67.9120624 -45.8986177,-67.9110324 -45.8972513,-67.9111183 -45.8939286,-67.9095676 -45.89358013,-67.9100668 -45.8930624,-67.90882230000001 -45.8924799,-67.9064727 -45.8916734,-67.9044127 -45.8911507,-67.9037046 -45.8911806,-67.90201018 -45.89143448,-67.9020846 -45.8894257,-67.9013014 -45.8899484,-67.8996277 -45.8906877,-67.899971 -45.8910611,-67.9025245 -45.8912403,-67.90098858 -45.88903898,-67.9022241 -45.8892913,-67.9030609 -45.889239,-67.9032218 -45.8889477,-67.9028785 -45.8877678,-67.9034686 -45.8869165,-67.9039729 -45.8871629,-67.90362098 -45.8874036,-67.9039729 -45.8871629,-67.9034686 -45.8869165,-67.9041123 -45.886192,-67.9042947 -45.8847656,-67.90316820000001 -45.883637900000004,-67.90293219 -45.8836944,-67.90316820000001 -45.883637900000004,-67.9026854 -45.8831823,-67.9021275 -45.8832794,-67.900722 -45.8842279,-67.9001105 -45.8851465,-67.8995955 -45.8843175,-67.89811074 -45.88424629,-67.896452 -45.8842129,-67.8972995 -45.8841607,-67.8987801 -45.8833839,-67.8993165 -45.8836304,-67.89478887 -45.88442779,-67.895658 -45.88465360000001,-67.8955078 -45.8872675,-67.89402720000001 -45.888186,-67.89313670000001 -45.8879097,-67.8935552 -45.8866999,-67.891624 -45.8850718,-67.88986813 -45.88509226,-67.8916669 -45.8851316,-67.891463 -45.8853332,-67.8890061 -45.8855946,-67.8886521 -45.8849672,-67.88725199 -45.88498287,-67.8877938 -45.885251,-67.8862166 -45.8849523,-67.88477851 -45.88530377,-67.8863347 -45.8849448,-67.8869569 -45.8849672,-67.8874826 -45.883847,-67.8903258 -45.883570600000006,-67.88934482 -45.88367092,-67.8808522 -45.8847432,-67.8831053 -45.8843548,-67.884897 -45.8834586,-67.8876114 -45.88378720000001,-67.8901434 -45.8835856,-67.87931365 -45.88515467,-67.8775477 -45.8859232,-67.87784810000001 -45.8854153,-67.8789425 -45.8862742,-67.879554 -45.8862667,-67.8829443 -45.8844743,-67.8806055 -45.8848253,-67.87597578 -45.88674947,,-67.87630061 -45.88642699,-67.8775907 -45.885744,-67.8778374 -45.8851241,-67.8766251 -45.8844594,-67.8767002 -45.8840561,-67.8758872 -45.88413516,-67.8738034 -45.8829806,-67.8739858 -45.8834512,-67.87655 -45.8844445,-67.8765929 -45.8840262,-67.87263059 -45.88283868,-67.8737283 -45.8829508,-67.8736854 -45.8833242,-67.8730094 -45.8829134,-67.8686643 -45.8830254,-67.86703039 -45.88312685,-67.8685462 -45.8831151,-67.8700483 -45.8829059,-67.8648233 -45.8818603,-67.8628063 -45.8810537,-67.8621304 -45.8814645,-67.86071597 -45.88116865,-67.8614116 -45.8855274,-67.862978 -45.884788,-67.8635466 -45.8831599,-67.8632355 -45.8817483,-67.86391140000002 -45.8815093,-67.8628063 -45.8810537,-67.8623772 -45.8814346,-67.85908094 -45.88593849,-67.8609717 -45.8856767,-67.862817 -45.8848403,-67.8617656 -45.8854826,-67.8616369 -45.886192,-67.8618944 -45.8867671,-67.86045923 -45.88724171,-67.8618944 -45.8867671,-67.8616261 -45.8862443,-67.8603601 -45.88681940000001,-67.8594589 -45.8868119,-67.8584075 -45.8873347,-67.856369 -45.8871629,-67.8557789 -45.8865655,-67.85399644 -45.88640005,-67.8548133 -45.885968,-67.8544056 -45.8857215,-67.8542554 -45.8852884,-67.85284989 -45.88522411,-67.8535903 -45.8848851,-67.8530109 -45.8845938,-67.8524315 -45.8844893,-67.85093028 -45.88433862,-67.8516591 -45.8844445,-67.8505969 -45.8845789,-67.84921346 -45.88477072,-67.84983520000002 -45.8848851,-67.8485048 -45.8854826,-67.849406 -45.8856842,-67.84894709 -45.88576073,-67.848537 -45.8862742,-67.8485477 -45.8854079,-67.8494489 -45.8856319,-67.84708796 -45.88650563,-67.8500605 -45.887484,-67.8466702 -45.8865729,-67.8469384 -45.8864833,-67.84957451 -45.88786751;-67.84957451 -45.88786751,-67.8500605 -45.887484,-67.8466702 -45.8865729,-67.8469384 -45.8864833,-67.84708796 -45.88650563,-67.848537 -45.8862742,-67.8485477 -45.8854079,-67.8494489 -45.8856319,-67.84894709 -45.88576073,-67.84983520000002 -45.8848851,-67.8485048 -45.8854826,-67.849406 -45.8856842,-67.84921346 -45.88477072,-67.8516591 -45.8844445,-67.8505969 -45.8845789,-67.85093028 -45.88433862,-67.8535903 -45.8848851,-67.8530109 -45.8845938,-67.8524315 -45.8844893,-67.85284989 -45.88522411,-67.8548133 -45.885968,-67.8544056 -45.8857215,-67.8542554 -45.8852884,-67.85399644 -45.88640005,-67.8618944 -45.8867671,-67.8616261 -45.8862443,-67.8603601 -45.88681940000001,-67.8594589 -45.8868119,-67.8584075 -45.8873347,-67.856369 -45.8871629,-67.8557789 -45.8865655,-67.86045923 -45.88724171,-67.8609717 -45.8856767,-67.862817 -45.8848403,-67.8617656 -45.8854826,-67.8616369 -45.886192,-67.8618944 -45.8867671,-67.85908094 -45.88593849,-67.8614116 -45.8855274,-67.862978 -45.884788,-67.8635466 -45.8831599,-67.8632355 -45.8817483,-67.86391140000002 -45.8815093,-67.8628063 -45.8810537,-67.8623772 -45.8814346,-67.86071597 -45.88116865,-67.8685462 -45.8831151,-67.8700483 -45.8829059,-67.8648233 -45.8818603,-67.8628063 -45.8810537,-67.8621304 -45.8814645,-67.86703039 -45.88312685,-67.8737283 -45.8829508,-67.8736854 -45.8833242,-67.8730094 -45.8829134,-67.8686643 -45.8830254,-67.87263059 -45.88283868,-67.8738034 -45.8829806,-67.8739858 -45.8834512,-67.87655 -45.8844445,-67.8765929 -45.8840262,-67.8758872 -45.88413516,-67.8775907 -45.885744,-67.8778374 -45.8851241,-67.8766251 -45.8844594,-67.8767002 -45.8840561,-67.87630061 -45.88642699,,-67.87597578 -45.88674947,-67.8775477 -45.8859232,-67.87784810000001 -45.8854153,-67.8789425 -45.8862742,-67.879554 -45.8862667,-67.8829443 -45.8844743,-67.8806055 -45.8848253,-67.87931365 -45.88515467,-67.8808522 -45.8847432,-67.8831053 -45.8843548,-67.884897 -45.8834586,-67.8876114 -45.88378720000001,-67.8901434 -45.8835856,-67.88934482 -45.88367092,-67.8863347 -45.8849448,-67.8869569 -45.8849672,-67.8874826 -45.883847,-67.8903258 -45.883570600000006,-67.88477851 -45.88530377,-67.8877938 -45.885251,-67.8862166 -45.8849523,-67.88725199 -45.88498287,-67.8916669 -45.8851316,-67.891463 -45.8853332,-67.8890061 -45.8855946,-67.8886521 -45.8849672,-67.88986813 -45.88509226,-67.895658 -45.88465360000001,-67.8955078 -45.8872675,-67.89402720000001 -45.888186,-67.89313670000001 -45.8879097,-67.8935552 -45.8866999,-67.891624 -45.8850718,-67.89478887 -45.88442779,-67.896452 -45.8842129,-67.8972995 -45.8841607,-67.8987801 -45.8833839,-67.8993165 -45.8836304,-67.89811074 -45.88424629,-67.90316820000001 -45.883637900000004,-67.9026854 -45.8831823,-67.9021275 -45.8832794,-67.900722 -45.8842279,-67.9001105 -45.8851465,-67.8995955 -45.8843175,-67.90293219 -45.8836944,-67.9039729 -45.8871629,-67.9034686 -45.8869165,-67.9041123 -45.886192,-67.9042947 -45.8847656,-67.90316820000001 -45.883637900000004,-67.90362098 -45.8874036,-67.9052818 -45.8875736,-67.90654780000001 -45.8882084,-67.9074919 -45.8882756,-67.90705336 -45.88840606,-67.9066443 -45.8844071,-67.9062474 -45.8852585,-67.908833 -45.885968,-67.9091012 -45.8864012,-67.90594775 -45.88423937,,-67.90591516 -45.88446218,-67.9076958 -45.8841084,-67.9082644 -45.8839366,-67.9093373 -45.8833167,-67.9103136 -45.8831972,-67.90970498 -45.88326091,-67.911365 -45.8831076,-67.9142618 -45.8826968,-67.9159892 -45.8825026,-67.91541483 -45.88231338,-67.9166651 -45.8823159,-67.9170835 -45.8822711,-67.9178345 -45.8833989,-67.9184783 -45.8832943,-67.91747464 -45.88372353,-67.9183173 -45.8833018,-67.9179525 -45.8832943,-67.9178452 -45.8829358,-67.9186606 -45.8819873,-67.9191113 -45.8815466,-67.9197979 -45.8813898,-67.91930941 -45.88137118,-67.9231775 -45.8798138,-67.9230273 -45.8801051,-67.9220295 -45.8802022,-67.9198301 -45.8807027,-67.9191542 -45.8814645,-67.9198301 -45.8813375,-67.92260289 -45.87981886,-67.9288745 -45.8790371,-67.9299045 -45.8786188,-67.929765 -45.8784918,-67.9247224 -45.8798512,-67.9241753 -45.8796943,-67.92746283 -45.879252,-67.9288745 -45.8790371,-67.9299796 -45.8786337,-67.9304302 -45.8776552,-67.9309022 -45.8766245,-67.9306126 -45.8766543,-67.92916705 -45.87686758,-67.9305589 -45.8765722,-67.9309773 -45.8765423,-67.9323184 -45.875011,-67.9336917 -45.8726132,-67.93292309 -45.87290945,-67.9337347 -45.872531,-67.9350007 -45.8704245,-67.9346895 -45.8701032,-67.933282 -45.87018527,-67.936492 -45.8696625,-67.9362881 -45.8694234,-67.9350436 -45.8703273,-67.9347003 -45.8699986,-67.93551008 -45.87004015,-67.9383588 -45.8674437,-67.9380584 -45.8682655,-67.9363847 -45.8693786,-67.9365671 -45.8696326,-67.9400271 -45.8665472</t>
  </si>
  <si>
    <t>-67.9400271 -45.8665472,-67.9383588 -45.8674437,-67.9380101 -45.8666929,-67.9392922 -45.8661064,-67.93822649 -45.86645361,,-67.93820898 -45.86621382,-67.939437 -45.8659907,-67.9410034 -45.8642985,-67.9397787 -45.86446671,-67.9413575 -45.8643508,-67.94191 -45.8638801,-67.9413092 -45.8637717,-67.94026881 -45.86394522,-67.9412395 -45.8636896,-67.94085860000001 -45.8628677,-67.94016816 -45.86304785,-67.9407513 -45.863103100000004,-67.9403973 -45.8622551,-67.93757020000001 -45.8636746,-67.93638614 -45.8639203,-67.9374468 -45.8637643,-67.93648120000002 -45.8648999,-67.93542287 -45.86514387,-67.9364544 -45.8650082,-67.9343033 -45.8651128,-67.93322311 -45.86539389,-67.934196 -45.8650755,-67.9339492 -45.8648887,-67.9318678 -45.8652174,-67.93025624 -45.86524613,-67.92887450000002 -45.8655984,-67.929647 -45.8660093,-67.9311919 -45.8652622,-67.92761571 -45.86576064,-67.9284239 -45.8655835,-67.9270077 -45.8655162,-67.92568273 -45.86555172,,-67.92617947 -45.86596757,-67.9266429 -45.8657927,-67.9259992 -45.8665696,-67.92478129 -45.86687146,-67.9258382 -45.86658460000001,-67.9220402 -45.8663903,-67.92069068 -45.86664171,-67.9224908 -45.8663306,-67.9191971 -45.8656582,-67.91774956 -45.8661538,-67.9187572 -45.8661064,-67.9176843 -45.8663679,-67.9172981 -45.8656657,-67.91575239 -45.86551598,-67.9164934 -45.8652398,-67.9147875 -45.8642536,-67.9133606 -45.865322,-67.9120409 -45.8651352,-67.91093971 -45.86527418,-67.9122448 -45.8649709,-67.911129 -45.8644105,-67.9103887 -45.8645226,-67.90917641 -45.86476613,-67.9100668 -45.8647318,-67.9098523 -45.8659197,-67.9103565 -45.8661513,-67.90947109 -45.86641003,-67.9100454 -45.8663754,-67.9094982 -45.8663306,-67.909627 -45.86429100000001,-67.90869072 -45.86438156,-67.9108179 -45.86391,-67.9094768 -45.8638353,-67.9077816 -45.8657329,-67.9066443 -45.8662484,-67.90565529 -45.8665856,-67.906419 -45.86626330000001,-67.9050887 -45.8652025,-67.9043591 -45.864814,-67.90314798 -45.8648888,-67.9039943 -45.8644255,-67.9028034 -45.8637381,-67.8999174 -45.8635812,-67.89867893 -45.86374335,-67.8993487 -45.8636634,-67.8988981 -45.8636933,-67.89861920000001 -45.8635215,-67.8975525 -45.86346654,,-67.89779792 -45.86312838,-67.8962696 -45.8632899,-67.8974175 -45.8625203,-67.8984583 -45.8622177,-67.8946526 -45.86372426,-67.8961945 -45.8632674,-67.8952932 -45.8629985,-67.8948426 -45.8620347,-67.89369378 -45.862107,-67.8961086 -45.8601668,-67.8949714 -45.8618927,-67.89506126 -45.86022417,-67.8960952 -45.8598436,-67.8959692 -45.8585678,-67.8961945 -45.8583138,-67.8955936 -45.8581419,-67.8949177 -45.8572976,-67.8950787 -45.8562589,-67.894907 -45.8558629,-67.8937376 -45.8558928,-67.8932869 -45.8566101,-67.8928149 -45.8568492,-67.8926003 -45.8566998,-67.89119881 -45.85678635,-67.8915596 -45.8569165,-67.8910661 -45.8570435,-67.8905296 -45.8572453,-67.8874397 -45.861564, -67.8883946 -45.8611157, -67.8893924 -45.859711, -67.8905833 -45.8597558, -67.8910017 -45.8595167, -67.8910661 -45.8584856,-67.8858912 -45.86209946;-67.8858912 -45.86209946,-67.8874397 -45.861564, -67.8883946 -45.8611157, -67.8893924 -45.859711, -67.8905833 -45.8597558, -67.8910017 -45.8595167, -67.8910661 -45.8584856,-67.8905296 -45.8572453,-67.8862917 -45.8600846,-67.8869355 -45.8600547,-67.8873861 -45.8596438,-67.8876221 -45.8588667,-67.8886843 -45.8579999,-67.88485253 -45.86038085,-67.8855836 -45.8605329,-67.8847253 -45.8611754,-67.8843284 -45.8612427,-67.88286864 -45.86153258,-67.8809917 -45.8619301,-67.8822792 -45.8616611,-67.8835666 -45.8617507,-67.8845859 -45.8612277,-67.8843284 -45.8612427,-67.87889297 -45.8626014,-67.8800154 -45.8627071,-67.880863 -45.8635887,-67.8814101 -45.8638502,-67.881496 -45.8643508,-67.8795862 -45.8651352,-67.87816911 -45.86559299,-67.8794253 -45.8652025,-67.8813779 -45.8643508,-67.8805947 -45.8648065,-67.8801227 -45.8652622,-67.8801119 -45.8658151,-67.8798544 -45.8661513,-67.87841593 -45.86693979,-67.8773224 -45.8682132,-67.8784168 -45.867951700000006,-67.8792751 -45.866988,-67.87529512 -45.86884053,-67.8755951 -45.8690125,-67.8751016 -45.8692815,-67.8764427 -45.8695952,-67.87545792 -45.87007243,-67.8735942 -45.8680488,-67.8724301 -45.8682281,-67.8724086 -45.8686689,-67.8764427 -45.8695952,-67.8729107 -45.86822856,-67.8699839 -45.8693413,-67.8700376 -45.8699389,-67.8703916 -45.8701929,-67.8709173 -45.8699239,-67.8707349 -45.8692815,-67.8712177 -45.8686166,-67.8731596 -45.8681236,-67.86891343 -45.86940172,-67.8665292 -45.8704394,-67.8664756 -45.8701107,-67.8674197 -45.8697073,-67.8698659 -45.8700883,-67.8700376 -45.8699389,-67.8700268 -45.8692964,-67.86552841 -45.87071955,-67.8665292 -45.8705589,-67.866143 -45.8710594,-67.8657889 -45.8704767,-67.8668725 -45.8688706,-67.86653014 -45.86909111,-67.8668725 -45.8688706,-67.8667974 -45.868646500000004,-67.8676665 -45.8677127,-67.867012 -45.86727940000001,-67.86635342 -45.86702056,-67.8668189 -45.8667639,-67.8664005 -45.866988,-67.8663254 -45.8676305,-67.86498939 -45.86808329,-67.8639972 -45.8691171,-67.8657031 -45.8680713,-67.86235431 -45.86962035,-67.8593409 -45.8716048,-67.85971640000001 -45.8705365,-67.8614008 -45.870529,-67.861948 -45.8698268,-67.8630531 -45.8694832,-67.85882935 -45.87179542,-67.857635 -45.8744807,-67.8541696 -45.874152,-67.8588581 -45.8727103,-67.8593409 -45.8716048,-67.857019 -45.87438052,-67.84873010000001 -45.87312860000001,-67.8543305 -45.8741595,-67.857635 -45.8744807,-67.84711722 -45.87310355,-67.8489339 -45.8731324,-67.8501302 -45.8733565,-67.8485316 -45.8736739,-67.8459191 -45.8729942,-67.84549 -45.8723406,-67.8449106 -45.8726842,-67.84336962 -45.87289033,-67.8464448 -45.8713396,-67.8465736 -45.871657000000006,-67.84484620000002 -45.8726692,-67.84458226 -45.87132178,-67.8433174 -45.8702414,-67.8424054 -45.8705701,-67.8442401 -45.8712014,-67.8457582 -45.8705029,-67.8468794 -45.8714778,-67.8465736 -45.871657000000006,-67.8464073 -45.8713396,-67.84266503 -45.8702826,-67.8403401 -45.8715002,-67.8396213 -45.8713059,-67.8401256 -45.8706859,-67.8424323 -45.8705216,-67.8432369 -45.8702153,-67.83999726 -45.87142467,-67.8404045 -45.871440400000004,-67.8396642 -45.8713657,-67.8393745 -45.8705216,-67.8371751 -45.8699314,-67.8344822 -45.8697969,-67.8345251 -45.8700584,-67.8363597 -45.8707606,-67.83598551 -45.8713908,-67.8363276 -45.8710445,-67.8348899 -45.87091,-67.8336024 -45.8710221,-67.83204724 -45.87132308,-67.8347504 -45.8724041,-67.8345788 -45.8717915,-67.8335381 -45.8712686,-67.8339131 -45.87269245,-67.8368962 -45.8743761,-67.8363168 -45.8740101,-67.8365743 -45.8734723,-67.8358126 -45.8726879,-67.8366923 -45.875026,-67.8362739 -45.8749812,-67.8353405 -45.875362100000004,-67.8336787 -45.87548722,-67.8340852 -45.8751231,-67.8342354 -45.8742566,-67.8322077 -45.8732855,-67.8288817 -45.8737262,-67.82716871 -45.873948,-67.821511 -45.878081,-67.8234959 -45.8768037,-67.8260922 -45.8734274,-67.8288066 -45.8736889,-67.82018891 -45.8787842,-67.826339 -45.88047110000001,-67.8268754 -45.8811284,-67.8273153 -45.8802321,-67.8244936 -45.8781408,-67.8228843 -45.8780212,-67.8223586 -45.8783947,-67.8233027 -45.8768411,-67.8215861 -45.8781258,-67.82495492 -45.88019856,-67.8244615 -45.8810313,-67.8250515 -45.8799259,-67.8256953 -45.8798288,-67.82277878 -45.88156147;-67.82277878 -45.88156147,-67.8244615 -45.8810313,-67.8250515 -45.8799259,-67.8256953 -45.8798288,-67.82495492 -45.88019856,-67.826339 -45.88047110000001,-67.8268003 -45.8811956,-67.8233886 -45.8829433,-67.8221127 -45.88349304,-67.8419 -45.8843,-67.84199 -45.88554,-67.8396535 -45.88699,-67.83912 -45.88937,-67.83802 -45.8905,-67.83603 -45.89096,-67.83455 -45.89131,-67.8337097 -45.8907848,-67.83354 -45.88813,-67.82783 -45.88844,-67.824097 -45.88562,-67.82332 -45.88365,-67.8408227 -45.88408969,-67.8418744 -45.8837275,-67.8411126 -45.8830703,-67.839793 -45.8826221,-67.8392565 -45.8819126,-67.8402436 -45.8815616,-67.83977572 -45.88161766,-67.842443 -45.8796122,-67.8389347 -45.8810612,-67.8383017 -45.8819499,-67.8395998 -45.8826445,-67.8392565 -45.8820246,-67.8403294 -45.8816064,-67.84221298 -45.87973382,-67.8455973 -45.8806504,-67.8449214 -45.8812852,-67.8420246 -45.8795972,-67.8425181 -45.87953,-67.84518194 -45.88032275,-67.8494382 -45.880628,-67.84873010000001 -45.8802396,-67.8461766 -45.8806653,-67.8457046 -45.880515900000006,-67.8485758 -45.88086765,-67.8556287 -45.8843698,-67.853719 -45.8831001,-67.8518629 -45.8825923,-67.8500605 -45.8812329,-67.85493998 -45.88481908,-67.8571093 -45.8855572,-67.8559184 -45.8854378,-67.8555107 -45.884698400000005,-67.85655105 -45.88556448,-67.85825730000002 -45.8853855,-67.85964130000002 -45.8854228,-67.85908094 -45.88593849,-67.8614116 -45.8855274,-67.862978 -45.884788,-67.8635466 -45.8831599,-67.8632355 -45.8817483,-67.86391140000002 -45.8815093,-67.8628063 -45.8810537,-67.8623772 -45.8814346,-67.86071597 -45.88116865,-67.8685462 -45.8831151,-67.8700483 -45.8829059,-67.8648233 -45.8818603,-67.8628063 -45.8810537,-67.8621304 -45.8814645,-67.86703039 -45.88312685,-67.8737283 -45.8829508,-67.8736854 -45.8833242,-67.8730094 -45.8829134,-67.8686643 -45.8830254,-67.87263059 -45.88283868,-67.8738034 -45.8829806,-67.8739858 -45.8834512,-67.87655 -45.8844445,-67.8765929 -45.8840262,-67.8758872 -45.88413516,-67.8775907 -45.885744,-67.8778374 -45.8851241,-67.8766251 -45.8844594,-67.8767002 -45.8840561,-67.87630061 -45.88642699,,-67.87597578 -45.88674947,-67.8775477 -45.8859232,-67.87784810000001 -45.8854153,-67.8789425 -45.8862742,-67.879554 -45.8862667,-67.8829443 -45.8844743,-67.8806055 -45.8848253,-67.87931365 -45.88515467,-67.8808522 -45.8847432,-67.8831053 -45.8843548,-67.884897 -45.8834586,-67.8876114 -45.88378720000001,-67.8901434 -45.8835856,-67.88934482 -45.88367092,-67.8863347 -45.8849448,-67.8869569 -45.8849672,-67.8874826 -45.883847,-67.8903258 -45.883570600000006,-67.88477851 -45.88530377,-67.8847039 -45.885542300000004,-67.8854334 -45.8851465,-67.88304639 -45.88588109,-67.8838027 -45.88608,-67.882483 -45.8868716,-67.88085052 -45.88709026,-67.8783846 -45.8885519,-67.8803802 -45.8880143,-67.8826654 -45.8868044,-67.8823113 -45.8868119,-67.87661058 -45.88889945,-67.8765285 -45.89045620000001,-67.877773 -45.8901799,-67.8803802 -45.8880143,-67.8783846 -45.8885519,-67.87484305 -45.89067788,-67.8792322 -45.8901127,-67.877934 -45.8900903,-67.8765285 -45.89045620000001,-67.87813787 -45.88993585,-67.8789854 -45.8901127,-67.8777838 -45.8901052,-67.8751981 -45.8927935,-67.8739536 -45.8942571,-67.87230402 -45.89457162,-67.8732026 -45.8945633,-67.872076 -45.8946753,-67.8709388 -45.89427200000001,-67.8709924 -45.8932789,-67.86962065 -45.89326713,,-67.8703009 -45.89288745;-67.8703009 -45.89288745,,-67.86962065 -45.89326713,-67.8732026 -45.8945633,-67.872076 -45.8946753,-67.8709388 -45.89427200000001,-67.8709924 -45.8932789,-67.87230402 -45.89457162,-67.8727734 -45.8946678,-67.8694153 -45.8954742,-67.8682566 -45.89504860000001,-67.86797017 -45.89505687,-67.86816 -45.8950113,-67.8676021 -45.8944886,-67.866143 -45.8944961,-67.86504739 -45.89456671,-67.8660572 -45.8945035,-67.8649414 -45.8945185,-67.8640723 -45.8941302,-67.8626239 -45.893936,-67.8611112 -45.8934058,-67.8592336 -45.8931445,-67.8576779 -45.8937045,-67.8559321 -45.89402021;-67.8559321 -45.89402021,-67.8660572 -45.8945035,-67.8649414 -45.8945185,-67.8640723 -45.8941302,-67.8626239 -45.893936,-67.8611112 -45.8934058,-67.8592336 -45.8931445,-67.8576779 -45.8937045,-67.86504739 -45.89456671,-67.86816 -45.8950113,-67.8676021 -45.8944886,-67.866143 -45.8944961,-67.86797017 -45.89505687,-67.8727734 -45.8946678,-67.8694153 -45.8954742,-67.8682566 -45.89504860000001,-67.87230402 -45.89457162,-67.8789854 -45.8901127,-67.8777838 -45.8901052,-67.8751981 -45.8927935,-67.8739536 -45.8942571,-67.87813787 -45.88993585,-67.8792322 -45.8901127,-67.877934 -45.8900903,-67.8765285 -45.89045620000001,-67.87484305 -45.89067788,-67.8765285 -45.89045620000001,-67.877773 -45.8901799,-67.8803802 -45.8880143,-67.8783846 -45.8885519,-67.87661058 -45.88889945,-67.8783846 -45.8885519,-67.8803802 -45.8880143,-67.8826654 -45.8868044,-67.8823113 -45.8868119,-67.88085052 -45.88709026,-67.8838027 -45.88608,-67.882483 -45.8868716,-67.88304639 -45.88588109,-67.8847039 -45.885542300000004,-67.8854334 -45.8851465,-67.88477851 -45.88530377,-67.8877938 -45.885251,-67.8862166 -45.8849523,-67.88725199 -45.88498287,-67.8916669 -45.8851316,-67.891463 -45.8853332,-67.8890061 -45.8855946,-67.8886521 -45.8849672,-67.88986813 -45.88509226,-67.895658 -45.88465360000001,-67.8955078 -45.8872675,-67.89402720000001 -45.888186,-67.89313670000001 -45.8879097,-67.8935552 -45.8866999,-67.891624 -45.8850718,-67.89478887 -45.88442779,-67.896452 -45.8842129,-67.8972995 -45.8841607,-67.8987801 -45.8833839,-67.8993165 -45.8836304,-67.89811074 -45.88424629,-67.90316820000001 -45.883637900000004,-67.9026854 -45.8831823,-67.9021275 -45.8832794,-67.900722 -45.8842279,-67.9001105 -45.8851465,-67.8995955 -45.8843175,-67.90293219 -45.8836944,-67.9039729 -45.8871629,-67.9034686 -45.8869165,-67.9041123 -45.886192,-67.9042947 -45.8847656,-67.90316820000001 -45.883637900000004,-67.90362098 -45.8874036,-67.9052818 -45.8875736,-67.90654780000001 -45.8882084,-67.9074919 -45.8882756,-67.90705336 -45.88840606,-67.9066443 -45.8844071,-67.9062474 -45.8852585,-67.908833 -45.885968,-67.9091012 -45.8864012,-67.90594775 -45.88423937,,-67.90591516 -45.88446218,-67.9076958 -45.8841084,-67.9082644 -45.8839366,-67.9093373 -45.8833167,-67.9103136 -45.8831972,-67.90970498 -45.88326091,-67.911365 -45.8831076,-67.9142618 -45.8826968,-67.9159892 -45.8825026,-67.91541483 -45.88231338,-67.9166651 -45.8823159,-67.9170835 -45.8822711,-67.9178345 -45.8833989,-67.9184783 -45.8832943,-67.91747464 -45.88372353,-67.9183173 -45.8833018,-67.9179525 -45.8832943,-67.9178452 -45.8829358,-67.9186606 -45.8819873,-67.9191113 -45.8815466,-67.9197979 -45.8813898,-67.91930941 -45.88137118,-67.9231775 -45.8798138,-67.9230273 -45.8801051,-67.9220295 -45.8802022,-67.9198301 -45.8807027,-67.9191542 -45.8814645,-67.9198301 -45.8813375,-67.92260289 -45.87981886,-67.9288745 -45.8790371,-67.9299045 -45.8786188,-67.929765 -45.8784918,-67.9247224 -45.8798512,-67.9241753 -45.8796943,-67.92746283 -45.879252,-67.9288745 -45.8790371,-67.9299796 -45.8786337,-67.9304302 -45.8776552,-67.9309022 -45.8766245,-67.9306126 -45.8766543,-67.92916705 -45.87686758,-67.9305589 -45.8765722,-67.9309773 -45.8765423,-67.9323184 -45.875011,-67.9336917 -45.8726132,-67.93292309 -45.87290945,-67.9337347 -45.872531,-67.9350007 -45.8704245,-67.9346895 -45.8701032,-67.933282 -45.87018527,-67.936492 -45.8696625,-67.9362881 -45.8694234,-67.9350436 -45.8703273,-67.9347003 -45.8699986,-67.93551008 -45.87004015,-67.9383588 -45.8674437,-67.9380584 -45.8682655,-67.9363847 -45.8693786,-67.9365671 -45.8696326,-67.9400271 -45.8665472</t>
  </si>
  <si>
    <t>-67.9400271 -45.8665472,-67.9383588 -45.8674437,-67.9380101 -45.8666929,-67.9392922 -45.8661064,-67.93822649 -45.86645361,,-67.93820898 -45.86621382,-67.939437 -45.8659907,-67.9410034 -45.8642985,-67.9397787 -45.86446671,-67.9413575 -45.8643508,-67.94191 -45.8638801,-67.9413092 -45.8637717,-67.94026881 -45.86394522,-67.9412395 -45.8636896,-67.94085860000001 -45.8628677,-67.94016816 -45.86304785,-67.9407513 -45.863103100000004,-67.9403973 -45.8622551,-67.93757020000001 -45.8636746,-67.93638614 -45.8639203,-67.9374468 -45.8637643,-67.93648120000002 -45.8648999,-67.93542287 -45.86514387;-67.93542287 -45.86514387,-67.9364544 -45.8650082,-67.9343033 -45.8651128,-67.93322311 -45.86539389,-67.934196 -45.8650755,-67.9339492 -45.8648887,-67.9318678 -45.8652174,-67.93025624 -45.86524613,-67.92887450000002 -45.8655984,-67.929647 -45.8660093,-67.9311919 -45.8652622,-67.92761571 -45.86576064,-67.9284239 -45.8655835,-67.9270077 -45.8655162,-67.92568273 -45.86555172,,-67.92617947 -45.86596757,-67.9266429 -45.8657927,-67.9259992 -45.8665696,-67.92478129 -45.86687146,-67.9258382 -45.86658460000001,-67.9220402 -45.8663903,-67.92069068 -45.86664171,-67.9220402 -45.8663903,-67.9233062 -45.8663605,-67.9220939 -45.86691330000001,-67.9212034 -45.8670029,-67.9194438 -45.8683551,-67.918725 -45.8684821,-67.91712918 -45.86851117,-67.9188001 -45.868512,-67.9194438 -45.8683551,-67.9187143 -45.868885600000006,-67.9161716 -45.8689378,-67.9146481 -45.87009580000001,-67.91316355 -45.8704339,-67.912792 -45.8681833,-67.9137361 -45.8680638,-67.9160964 -45.8689304,-67.9145193 -45.8701256,-67.91127227 -45.86860891;-67.91127227 -45.86860891,-67.914927 -45.8677874,-67.912792 -45.8681833,-67.9143801 -45.8679855,-67.9147553 -45.8672868,-67.9154098 -45.8676977,-67.9130059 -45.86729039,-67.9110271 -45.86621850000001,-67.9131621 -45.8664613,-67.9139614 -45.8669058,-67.90947109 -45.86641003,-67.9100668 -45.8647318,-67.9098523 -45.8659197,-67.9103565 -45.8661513,-67.90917641 -45.86476613,-67.9122448 -45.8649709,-67.911129 -45.8644105,-67.9103887 -45.8645226,-67.91093971 -45.86527418;-67.91093971 -45.86527418,-67.9164934 -45.8652398,-67.9147875 -45.8642536,-67.9133606 -45.865322,-67.9120409 -45.8651352,-67.91575239 -45.86551598,-67.9187572 -45.8661064,-67.9176843 -45.8663679,-67.9172981 -45.8656657,-67.91774956 -45.8661538,-67.9224908 -45.8663306,-67.9191971 -45.8656582,-67.92069068 -45.86664171,-67.9220402 -45.8663903,-67.9233062 -45.8663605,-67.9220939 -45.86691330000001,-67.9212034 -45.8670029,-67.9194438 -45.8683551,-67.918725 -45.8684821,-67.91712918 -45.86851117;-67.91712918 -45.86851117,-67.9220402 -45.8663903,-67.9233062 -45.8663605,-67.9220939 -45.86691330000001,-67.9212034 -45.8670029,-67.9194438 -45.8683551,-67.918725 -45.8684821,-67.92069068 -45.86664171,-67.9258382 -45.86658460000001,-67.9220402 -45.8663903,-67.92478129 -45.86687146,-67.9266429 -45.8657927,-67.9259992 -45.8665696,-67.92617947 -45.86596757,,-67.92568273 -45.86555172,-67.9284239 -45.8655835,-67.9270077 -45.8655162,-67.92761571 -45.86576064,-67.92887450000002 -45.8655984,-67.929647 -45.8660093,-67.9311919 -45.8652622,-67.93025624 -45.86524613,-67.934196 -45.8650755,-67.9339492 -45.8648887,-67.9318678 -45.8652174,-67.93322311 -45.86539389,-67.9364544 -45.8650082,-67.9343033 -45.8651128,-67.93542287 -45.86514387,-67.9374468 -45.8637643,-67.93648120000002 -45.8648999,-67.93638614 -45.8639203,-67.9407513 -45.863103100000004,-67.9403973 -45.8622551,-67.93757020000001 -45.8636746,-67.94016816 -45.86304785,-67.9412395 -45.8636896,-67.94085860000001 -45.8628677,-67.94026881 -45.86394522,-67.9413575 -45.8643508,-67.94191 -45.8638801,-67.9413092 -45.8637717,-67.9397787 -45.86446671,-67.939437 -45.8659907,-67.9410034 -45.8642985,-67.93820898 -45.86621382,,-67.93822649 -45.86645361,-67.9383588 -45.8674437,-67.9380101 -45.8666929,-67.9392922 -45.8661064,-67.9400271 -45.8665472</t>
  </si>
  <si>
    <t>-67.9400271 -45.8665472,-67.9452038 -45.8642219,-67.9464403 -45.8647635,-67.9454304 -45.86503525,,-67.94551194 -45.86495899,-67.949152 -45.8670029,-67.9489589 -45.866338,-67.9464805 -45.8656358,-67.946502 -45.8652099,-67.94827454 -45.86749255,-67.9513514 -45.867951700000006,-67.9506004 -45.8681534,-67.9493558 -45.8665622,-67.9490876 -45.8664576,-67.9492164 -45.8668461,-67.95075242 -45.86791677,-67.9511476 -45.8693039,-67.95089010000001 -45.8697222,-67.9506433 -45.8681011,-67.9512978 -45.867892,-67.95011093 -45.86936834,-67.9526013 -45.869965,-67.9517484 -45.8700734,-67.9508901 -45.8697222,-67.9511476 -45.8693039,-67.95188123 -45.87007275,-67.9518449 -45.870925,-67.9516733 -45.8706037,-67.9509866 -45.870275,-67.95089010000001 -45.8697222,-67.9517484 -45.8700734,-67.9526281 -45.8699912,-67.95082673 -45.87123588,-67.9510081 -45.87218,-67.9515123 -45.8715599,-67.9518449 -45.870925,-67.94974928 -45.87213834,-67.9508579 -45.8736739,-67.9509115 -45.8721426,-67.94983615 -45.87396079,-67.9521346 -45.8759746,-67.951448 -45.8759597,-67.9509008 -45.8738383,-67.95155064 -45.87647635,-67.9521346 -45.8759746,-67.9517162 -45.8759074,-67.9513943 -45.8758999,-67.9525959 -45.87702780000001,-67.95337920000001 -45.8774162,-67.95259842 -45.87763583,-67.9538298 -45.8776104,-67.9575419 -45.8788205,-67.9596341 -45.8789624,-67.9602242 -45.8794852,-67.95937836 -45.87978501,-67.967391 -45.8796271,-67.9660606 -45.879657,-67.9619408 -45.879179,-67.959795 -45.8789997,-67.9602242 -45.8794852,-67.96661757 -45.87943084,-67.9708028 -45.8792686,-67.9686999 -45.8795524,-67.9682064 -45.8792238,-67.96993071 -45.87922522,-67.9739785 -45.8781632,-67.9745579 -45.8782677,-67.9740644 -45.8788802,-67.9710174 -45.8792537,-67.97210325 -45.8786421,-67.9764569 -45.8790072,-67.9757595 -45.8787084,-67.9755771 -45.8785142,-67.9742253 -45.8787756,-67.974236 -45.878222900000004,-67.9757414 -45.87911165,-67.9789352 -45.8795823,-67.9791069 -45.8776627,-67.9756737 -45.8784769,-67.9758239 -45.8787234,-67.9765105 -45.8789474,-67.97764389 -45.88001208,-67.9789352 -45.8795823,-67.9789889 -45.8790669,-67.9799759 -45.8791491,-67.97934342 -45.87920812,-67.9797721 -45.879179,-67.9789889 -45.8790669,-67.9792571 -45.8776403,-67.9831409 -45.876744,-67.9844499 -45.8766842,-67.9838705 -45.8772892,-67.98257485 -45.87765379,-67.9838705 -45.8772892,-67.9842675 -45.8766469,-67.9854584 -45.876617,-67.9846001 -45.8763854,-67.98281428 -45.87644776,-67.9865313 -45.8763033,-67.9853833 -45.8764975,-67.98469660000002 -45.8764303,-67.98563419 -45.87640922,-67.9896748 -45.8771548,-67.9892349 -45.8767216,-67.985158 -45.8765946,-67.9863167 -45.8762734,-67.98904006 -45.87741924,-67.9909623 -45.8768411,-67.9909086 -45.8766394,-67.9893529 -45.876729,-67.9896641 -45.8770726,-67.98995293 -45.87688436,-67.9932904 -45.8760792,-67.9926252 -45.8763556,-67.9912949 -45.8766319,-67.99230343 -45.87612978,-67.9940093 -45.875758,-67.9942882 -45.875646,-67.9944921 -45.8759223,-67.9952216 -45.8756385,-67.9962945 -45.874899,-67.99575168 -45.87505796,-67.9970562 -45.8749065,-67.998054 -45.8746002,-67.9989874 -45.8742865,-67.9998994 -45.8736889,-67.99900055 -45.87377745,-68.0009079 -45.8733901,-68.0017447 -45.8731436,-68.0013478 -45.8728149,-68.0005753 -45.8728074,-67.9998672 -45.8727327,-67.9986441 -45.8728074,-67.99707801 -45.87306235,-67.9984939 -45.8727327,-67.9986763 -45.8725609,-67.9987407 -45.872292,-67.99743076 -45.87213204,-68.0036652 -45.8703498,-68.0024529 -45.8706934,-68.0012727 -45.8709175,-68.0001891 -45.8713881,-67.9995775 -45.8718363,-68.00284674 -45.87040916,-68.0041587 -45.8700285,-68.0051243 -45.8686091,-68.00449906 -45.86852742,-68.0070448 -45.8686241,-68.0060685 -45.868385,-68.00620422 -45.86892139,-68.0070448 -45.8686241,-68.0067122 -45.8683028,-68.0066907 -45.8679293,-68.0047274 -45.8681086,-68.0029786 -45.8686316,-68.0021524 -45.8685344,-68.0022383 -45.8682132,-68.00126819 -45.86832361,,-68.00080119 -45.86808139,-67.9980218 -45.8692665,-68.0000389 -45.8684074,-68.0017662 -45.8680339,-67.99627751 -45.86960923,-67.9969811 -45.8694981,-67.9958439 -45.8695654,-67.99512510000001 -45.8693413,-67.99505 -45.8690499,-67.99439359 -45.86914058,-67.99505 -45.8690499,-67.9947495 -45.8687287,-67.9952323 -45.8676529,-67.99437986 -45.8677879;-67.99437986 -45.8677879,-67.9954576 -45.8672868,-67.9960907 -45.8666518,-67.9968202 -45.8663306,-67.99554948 -45.86642106,-67.9970026 -45.8663754,-68.0035257 -45.8657777,-68.003397 -45.8661662,-68.00288598 -45.86648631,-68.0048561 -45.8661961,-68.0066156 -45.864941,-68.00601835 -45.8652672,-68.0066907 -45.8648887,-68.0076134 -45.8646197,-68.0077314 -45.8640818,-68.0066907 -45.862595,-68.0065084 -45.8626847,-68.00524993 -45.86266209,-68.0066907 -45.862595,-68.0062294 -45.8616088,-68.0054569 -45.8608467,-68.004663 -45.8610185,-68.00290781 -45.86119572,-68.0032039 -45.861564,-68.0037832 -45.8611157,-68.0040193 -45.8610858,-68.00170055 -45.8618692,-68.0024529 -45.8617881,-68.0025601 -45.862341,-68.0002105 -45.8608467,-68.0004787 -45.8601219,-67.99931829 -45.86009184,-68.0074525 -45.859442,-68.0054677 -45.8582764,-68.0048132 -45.8581195,-68.0035686 -45.8582092,-68.0016375 -45.8587994,-68.0007148 -45.8595093,-68.00660247 -45.85987417,-68.0073881 -45.8595317,-68.0048668 -45.8579775,-68.0083323 -45.8566475,-68.0111432 -45.8564831,-68.0119586 -45.855833,-68.0093408 -45.8553025,-68.0084181 -45.8553324,-68.0081391 -45.8549139,-68.0071521 -45.8545179,-68.00533143 -45.85441605;-68.00533143 -45.85441605,-68.0073881 -45.8595317,-68.0048668 -45.8579775,-68.0083323 -45.8566475,-68.0111432 -45.8564831,-68.0119586 -45.855833,-68.0093408 -45.8553025,-68.0084181 -45.8553324,-68.0081391 -45.8549139,-68.0071521 -45.8545179,-68.00660247 -45.85987417,-68.0074525 -45.859442,-68.0054677 -45.8582764,-68.0048132 -45.8581195,-68.0035686 -45.8582092,-68.0016375 -45.8587994,-68.0007148 -45.8595093,-67.99931829 -45.86009184,-68.0024529 -45.8617881,-68.0025601 -45.862341,-68.0002105 -45.8608467,-68.0004787 -45.8601219,-68.00170055 -45.8618692,-68.0032039 -45.861564,-68.0037832 -45.8611157,-68.0040193 -45.8610858,-68.00290781 -45.86119572,-68.0066907 -45.862595,-68.0062294 -45.8616088,-68.0054569 -45.8608467,-68.004663 -45.8610185,-68.00524993 -45.86266209,-68.0066907 -45.8648887,-68.0076134 -45.8646197,-68.0077314 -45.8640818,-68.0066907 -45.862595,-68.0065084 -45.8626847,-68.00601835 -45.8652672,-68.0048561 -45.8661961,-68.0066156 -45.864941,-68.00288598 -45.86648631,-67.9970026 -45.8663754,-68.0035257 -45.8657777,-68.003397 -45.8661662,-67.99554948 -45.86642106,-67.9954576 -45.8672868,-67.9960907 -45.8666518,-67.9968202 -45.8663306,-67.99437986 -45.8677879,-67.99505 -45.8690499,-67.9947495 -45.8687287,-67.9952323 -45.8676529,-67.99439359 -45.86914058,-67.9969811 -45.8694981,-67.9958439 -45.8695654,-67.99512510000001 -45.8693413,-67.99505 -45.8690499,-67.99627751 -45.86960923,-67.9980218 -45.8692665,-68.0000389 -45.8684074,-68.0017662 -45.8680339,-68.00080119 -45.86808139,,-68.00126819 -45.86832361,-68.0070448 -45.8686241,-68.0067122 -45.8683028,-68.0066907 -45.8679293,-68.0047274 -45.8681086,-68.0029786 -45.8686316,-68.0021524 -45.8685344,-68.0022383 -45.8682132,-68.00620422 -45.86892139,-68.0070448 -45.8686241,-68.0060685 -45.868385,-68.00449906 -45.86852742,-68.0041587 -45.8700285,-68.0051243 -45.8686091,-68.00284674 -45.87040916,,-68.00265219 -45.87027578;-68.00265219 -45.87027578,,-68.00284674 -45.87040916,-68.0036652 -45.8703498,-68.0024529 -45.8706934,-68.0012727 -45.8709175,-68.0001891 -45.8713881,-67.9995775 -45.8718363,-67.99743076 -45.87213204,-67.9984939 -45.8727327,-67.9986763 -45.8725609,-67.9987407 -45.872292,-67.99707801 -45.87306235,-68.0009079 -45.8733901,-68.0017447 -45.8731436,-68.0013478 -45.8728149,-68.0005753 -45.8728074,-67.9998672 -45.8727327,-67.9986441 -45.8728074,-67.99900055 -45.87377745,,-67.99919655 -45.8737358;-67.99919655 -45.8737358,,-67.99900055 -45.87377745,-67.9970562 -45.8749065,-67.998054 -45.8746002,-67.9989874 -45.8742865,-67.9998994 -45.8736889,-67.99575168 -45.87505796,-67.9940093 -45.875758,-67.9942882 -45.875646,-67.9944921 -45.8759223,-67.9952216 -45.8756385,-67.9962945 -45.874899,-67.99230343 -45.87612978,-67.9932904 -45.8760792,-67.9926252 -45.8763556,-67.9912949 -45.8766319,-67.98995293 -45.87688436,-67.9909623 -45.8768411,-67.9909086 -45.8766394,-67.9893529 -45.876729,-67.9896641 -45.8770726,-67.98904006 -45.87741924,-67.9896748 -45.8771548,-67.9892349 -45.8767216,-67.985158 -45.8765946,-67.9863167 -45.8762734,-67.98563419 -45.87640922,-67.9865313 -45.8763033,-67.9853833 -45.8764975,-67.98469660000002 -45.8764303,-67.98281428 -45.87644776,-67.9838705 -45.8772892,-67.9842675 -45.8766469,-67.9854584 -45.876617,-67.9846001 -45.8763854,-67.98257485 -45.87765379,-67.9797721 -45.879179,-67.9789889 -45.8790669,-67.9792571 -45.8776403,-67.9831409 -45.876744,-67.9844499 -45.8766842,-67.9838705 -45.8772892,-67.97934342 -45.87920812,-67.9789352 -45.8795823,-67.9789889 -45.8790669,-67.9799759 -45.8791491,-67.97764389 -45.88001208,-67.9789352 -45.8795823,-67.9791069 -45.8776627,-67.9756737 -45.8784769,-67.9758239 -45.8787234,-67.9765105 -45.8789474,-67.9757414 -45.87911165,-67.9764569 -45.8790072,-67.9757595 -45.8787084,-67.9755771 -45.8785142,-67.9742253 -45.8787756,-67.974236 -45.878222900000004,-67.97210325 -45.8786421,-67.9739785 -45.8781632,-67.9745579 -45.8782677,-67.9740644 -45.8788802,-67.9710174 -45.8792537,-67.96993071 -45.87922522,-67.9708028 -45.8792686,-67.9686999 -45.8795524,-67.9682064 -45.8792238,-67.96661757 -45.87943084,-67.967391 -45.8796271,-67.9660606 -45.879657,-67.9619408 -45.879179,-67.959795 -45.8789997,-67.9602242 -45.8794852,-67.95937836 -45.87978501,-67.9538298 -45.8776104,-67.9575419 -45.8788205,-67.9596341 -45.8789624,-67.9602242 -45.8794852,-67.95259842 -45.87763583,-67.9521346 -45.8759746,-67.9517162 -45.8759074,-67.9513943 -45.8758999,-67.9525959 -45.87702780000001,-67.95337920000001 -45.8774162,-67.95155064 -45.87647635,-67.9521346 -45.8759746,-67.951448 -45.8759597,-67.9509008 -45.8738383,-67.94983615 -45.87396079,-67.9508579 -45.8736739,-67.9509115 -45.8721426,-67.94974928 -45.87213834,-67.9510081 -45.87218,-67.9515123 -45.8715599,-67.9518449 -45.870925,-67.95082673 -45.87123588,-67.9518449 -45.870925,-67.9516733 -45.8706037,-67.9509866 -45.870275,-67.95089010000001 -45.8697222,-67.9517484 -45.8700734,-67.9526281 -45.8699912,-67.95188123 -45.87007275,-67.9526013 -45.869965,-67.9517484 -45.8700734,-67.9508901 -45.8697222,-67.9511476 -45.8693039,-67.95011093 -45.86936834,-67.9511476 -45.8693039,-67.95089010000001 -45.8697222,-67.9506433 -45.8681011,-67.9512978 -45.867892,-67.95075242 -45.86791677,-67.9513514 -45.867951700000006,-67.9506004 -45.8681534,-67.9493558 -45.8665622,-67.9490876 -45.8664576,-67.9492164 -45.8668461,-67.94827454 -45.86749255,-67.949152 -45.8670029,-67.9489589 -45.866338,-67.9464805 -45.8656358,-67.946502 -45.8652099,-67.94551194 -45.86495899,,-67.9454304 -45.86503525,-67.9452038 -45.8642219,-67.9464403 -45.8647635,-67.9400271 -45.8665472</t>
  </si>
  <si>
    <t>-67.9400271 -45.8665472,-67.9383588 -45.8674437,-67.9380584 -45.8682655,-67.9363847 -45.8693786,-67.9365671 -45.8696326,-67.93551008 -45.87004015,-67.936492 -45.8696625,-67.9362881 -45.8694234,-67.9350436 -45.8703273,-67.9347003 -45.8699986,-67.933282 -45.87018527,-67.9337347 -45.872531,-67.9350007 -45.8704245,-67.9346895 -45.8701032,-67.93292309 -45.87290945,-67.9305589 -45.8765722,-67.9309773 -45.8765423,-67.9323184 -45.875011,-67.9336917 -45.8726132,-67.92916705 -45.87686758,-67.9288745 -45.8790371,-67.9299796 -45.8786337,-67.9304302 -45.8776552,-67.9309022 -45.8766245,-67.9306126 -45.8766543,-67.92746283 -45.879252,-67.9288745 -45.8790371,-67.9299045 -45.8786188,-67.929765 -45.8784918,-67.9247224 -45.8798512,-67.9241753 -45.8796943,-67.92260289 -45.87981886,-67.9231775 -45.8798138,-67.9230273 -45.8801051,-67.9220295 -45.8802022,-67.9198301 -45.8807027,-67.9191542 -45.8814645,-67.9198301 -45.8813375,-67.91930941 -45.88137118,-67.9183173 -45.8833018,-67.9179525 -45.8832943,-67.9178452 -45.8829358,-67.9186606 -45.8819873,-67.9191113 -45.8815466,-67.9197979 -45.8813898,-67.91747464 -45.88372353,-67.9166651 -45.8823159,-67.9170835 -45.8822711,-67.9178345 -45.8833989,-67.9184783 -45.8832943,-67.91541483 -45.88231338,-67.9166651 -45.8823159,-67.9169762 -45.8821367,-67.9166543 -45.8815466,-67.913146 -45.8824205,-67.9128242 -45.8814645,-67.91214619 -45.88124859,,-67.91210808 -45.8814063,-67.9107428 -45.880501,-67.9119766 -45.880389,-67.9123414 -45.8806952,-67.9129958 -45.8809193,-67.90891537 -45.88072557,,-67.90902811 -45.88062544,-67.9108071 -45.880613,-67.9116762 -45.8803665,-67.9099488 -45.8795972,-67.9089832 -45.8795748,-67.908479 -45.879291,-67.9081464 -45.8778345,-67.9075241 -45.8768784,-67.9078567 -45.8763107,-67.9075456 -45.8753322,-67.9072452 -45.8752799,-67.9064727 -45.8764004,-67.90493501 -45.87690763,-67.9034686 -45.8779764,-67.9054427 -45.8768411,-67.90157634 -45.87835903;-67.90157634 -45.87835903,-67.9034686 -45.8779764,-67.9054427 -45.8768411,-67.90493501 -45.87690763,-67.9065692 -45.87642280000001,-67.9066443 -45.8758626,-67.9054427 -45.876363,-67.9050243 -45.8759149,-67.90388535 -45.87594679,-67.9027498 -45.8764153,-67.9023206 -45.8766319,-67.9053462 -45.8764079,-67.9049706 -45.8759672,-67.90200809 -45.87637167,-67.8998315 -45.8761838,-67.9001212 -45.8769457,-67.900883 -45.8771399,-67.9025674 -45.8764527,-67.89805175 -45.8762384,,-67.89781334 -45.87614703,-67.8996062 -45.8756758,-67.8981364 -45.8751081,-67.8992522 -45.8749438,-67.89863672 -45.87485225,-67.9000354 -45.874518,-67.9017198 -45.8745629,-67.9028571 -45.8752501,-67.9027605 -45.8753397,-67.90134205 -45.87570554;-67.90134205 -45.87570554,-67.9000354 -45.874518,-67.9017198 -45.8745629,-67.9028571 -45.8752501,-67.9027605 -45.8753397,-67.89863672 -45.87485225,-67.8996062 -45.8756758,-67.8981364 -45.8751081,-67.8992522 -45.8749438,-67.89781334 -45.87614703,,-67.89805175 -45.8762384,-67.8998315 -45.8761838,-67.9001212 -45.8769457,-67.900883 -45.8771399,-67.9025674 -45.8764527,-67.90200809 -45.87637167,-67.9027498 -45.8764153,-67.9023206 -45.8766319,-67.9053462 -45.8764079,-67.9049706 -45.8759672,-67.90388535 -45.87594679,-67.9065692 -45.87642280000001,-67.9066443 -45.8758626,-67.9054427 -45.876363,-67.9050243 -45.8759149,-67.90493501 -45.87690763,-67.9108071 -45.880613,-67.9116762 -45.8803665,-67.9099488 -45.8795972,-67.9089832 -45.8795748,-67.908479 -45.879291,-67.9081464 -45.8778345,-67.9075241 -45.8768784,-67.9078567 -45.8763107,-67.9075456 -45.8753322,-67.9072452 -45.8752799,-67.9064727 -45.8764004,-67.90902811 -45.88062544,,-67.90891537 -45.88072557,-67.9107428 -45.880501,-67.9119766 -45.880389,-67.9123414 -45.8806952,-67.9129958 -45.8809193,-67.91210808 -45.8814063,,-67.91214619 -45.88124859,-67.9166651 -45.8823159,-67.9169762 -45.8821367,-67.9166543 -45.8815466,-67.913146 -45.8824205,-67.9128242 -45.8814645,-67.91541483 -45.88231338,-67.9166651 -45.8823159,-67.9170835 -45.8822711,-67.9178345 -45.8833989,-67.9184783 -45.8832943,-67.91747464 -45.88372353,-67.9183173 -45.8833018,-67.9179525 -45.8832943,-67.9178452 -45.8829358,-67.9186606 -45.8819873,-67.9191113 -45.8815466,-67.9197979 -45.8813898,-67.91930941 -45.88137118,-67.9231775 -45.8798138,-67.9230273 -45.8801051,-67.9220295 -45.8802022,-67.9198301 -45.8807027,-67.9191542 -45.8814645,-67.9198301 -45.8813375,-67.92260289 -45.87981886,-67.9288745 -45.8790371,-67.9299045 -45.8786188,-67.929765 -45.8784918,-67.9247224 -45.8798512,-67.9241753 -45.8796943,-67.92746283 -45.879252,-67.9288745 -45.8790371,-67.9299796 -45.8786337,-67.9308271 -45.8793582,-67.9310632 -45.8796271,-67.9308057 -45.8796645,-67.92926139 -45.87980166,-67.9308057 -45.8796645,-67.9309773 -45.8795823,-67.9308271 -45.8793582,-67.9319429 -45.8795524,-67.9332089 -45.8799333,-67.9339921 -45.8795524,-67.9349685 -45.8793358,-67.935698 -45.8793209,-67.93512028 -45.8793768,-67.9364383 -45.8791566,-67.9368889 -45.8790371,-67.9370821 -45.878798,-67.939657 -45.8787906,-67.9398179 -45.8784246,-67.93938002 -45.87863178,,-67.93921257 -45.87804782,-67.9512119 -45.8788877,-67.952435 -45.8787607,-67.9518127 -45.8800454,-67.9474354 -45.8786785,-67.9441524 -45.8779764,-67.9427791 -45.8776328,-67.940805 -45.8776926,-67.94944114 -45.87896309,-67.9534543 -45.8773565,-67.9526925 -45.87711,-67.9530144 -45.8775731,-67.9524779 -45.878813,-67.9512334 -45.8789325,-67.95259842 -45.87763583,-67.9538298 -45.8776104,-67.9575419 -45.8788205,-67.9596341 -45.8789624,-67.9602242 -45.8794852,-67.95937836 -45.87978501,-67.967391 -45.8796271,-67.9660606 -45.879657,-67.9619408 -45.879179,-67.959795 -45.8789997,-67.9602242 -45.8794852,-67.96661757 -45.87943084,-67.9708028 -45.8792686,-67.9686999 -45.8795524,-67.9682064 -45.8792238,-67.96993071 -45.87922522,-67.9739785 -45.8781632,-67.9745579 -45.8782677,-67.9740644 -45.8788802,-67.9710174 -45.8792537,-67.97210325 -45.8786421,-67.9764569 -45.8790072,-67.9757595 -45.8787084,-67.9755771 -45.8785142,-67.9742253 -45.8787756,-67.974236 -45.878222900000004,-67.9757414 -45.87911165,-67.9789352 -45.8795823,-67.9791069 -45.8776627,-67.9756737 -45.8784769,-67.9758239 -45.8787234,-67.9765105 -45.8789474,-67.97764389 -45.88001208,-67.9789352 -45.8795823,-67.9789889 -45.8790669,-67.9799759 -45.8791491,-67.97934342 -45.87920812,-67.9797721 -45.879179,-67.9789889 -45.8790669,-67.9792571 -45.8776403,-67.9831409 -45.876744,-67.9844499 -45.8766842,-67.9838705 -45.8772892,-67.98257485 -45.87765379,-67.9838705 -45.8772892,-67.9842675 -45.8766469,-67.9854584 -45.876617,-67.9846001 -45.8763854,-67.98281428 -45.87644776,-67.9865313 -45.8763033,-67.9853833 -45.8764975,-67.98469660000002 -45.8764303,-67.98563419 -45.87640922,-67.9896748 -45.8771548,-67.9892349 -45.8767216,-67.985158 -45.8765946,-67.9863167 -45.8762734,-67.98904006 -45.87741924,-67.9909623 -45.8768411,-67.9909086 -45.8766394,-67.9893529 -45.876729,-67.9896641 -45.8770726,-67.98995293 -45.87688436,-67.9932904 -45.8760792,-67.9926252 -45.8763556,-67.9912949 -45.8766319,-67.99230343 -45.87612978,-67.9921103 -45.8760792,-67.9931402 -45.8760045,-67.99035969 -45.8762868;-67.99035969 -45.8762868,-67.9921103 -45.8760792,-67.9931402 -45.8760045,-67.99230343 -45.87612978,-67.9932904 -45.8760792,-67.9926252 -45.8763556,-67.9912949 -45.8766319,-67.98995293 -45.87688436,-67.9909623 -45.8768411,-67.9909086 -45.8766394,-67.9893529 -45.876729,-67.9896641 -45.8770726,-67.98904006 -45.87741924,-67.9896748 -45.8771548,-67.9892349 -45.8767216,-67.985158 -45.8765946,-67.9863167 -45.8762734,-67.98563419 -45.87640922,-67.9865313 -45.8763033,-67.9853833 -45.8764975,-67.98469660000002 -45.8764303,-67.98281428 -45.87644776,-67.9838705 -45.8772892,-67.9842675 -45.8766469,-67.9854584 -45.876617,-67.9846001 -45.8763854,-67.98257485 -45.87765379,-67.9797721 -45.879179,-67.9789889 -45.8790669,-67.9792571 -45.8776403,-67.9831409 -45.876744,-67.9844499 -45.8766842,-67.9838705 -45.8772892,-67.97934342 -45.87920812,-67.9789352 -45.8795823,-67.9789889 -45.8790669,-67.9799759 -45.8791491,-67.97764389 -45.88001208,-67.9789352 -45.8795823,-67.9791069 -45.8776627,-67.9756737 -45.8784769,-67.9758239 -45.8787234,-67.9765105 -45.8789474,-67.9757414 -45.87911165,-67.9764569 -45.8790072,-67.9757595 -45.8787084,-67.9755771 -45.8785142,-67.9742253 -45.8787756,-67.974236 -45.878222900000004,-67.97210325 -45.8786421,-67.9739785 -45.8781632,-67.9745579 -45.8782677,-67.9740644 -45.8788802,-67.9710174 -45.8792537,-67.96993071 -45.87922522,-67.9708028 -45.8792686,-67.9686999 -45.8795524,-67.9682064 -45.8792238,-67.96661757 -45.87943084,-67.967391 -45.8796271,-67.9660606 -45.879657,-67.9619408 -45.879179,-67.959795 -45.8789997,-67.9602242 -45.8794852,-67.95937836 -45.87978501,-67.9538298 -45.8776104,-67.9575419 -45.8788205,-67.9596341 -45.8789624,-67.9602242 -45.8794852,-67.95259842 -45.87763583,-67.9521346 -45.8759746,-67.9517162 -45.8759074,-67.9513943 -45.8758999,-67.9525959 -45.87702780000001,-67.95337920000001 -45.8774162,-67.95155064 -45.87647635,-67.9521346 -45.8759746,-67.951448 -45.8759597,-67.9509008 -45.8738383,-67.94983615 -45.87396079,-67.9508579 -45.8736739,-67.9509115 -45.8721426,-67.94974928 -45.87213834,-67.9510081 -45.87218,-67.9515123 -45.8715599,-67.9518449 -45.870925,-67.95082673 -45.87123588,-67.9518449 -45.870925,-67.9516733 -45.8706037,-67.9509866 -45.870275,-67.95089010000001 -45.8697222,-67.9517484 -45.8700734,-67.9526281 -45.8699912,-67.95188123 -45.87007275,-67.9526013 -45.869965,-67.9517484 -45.8700734,-67.9508901 -45.8697222,-67.9511476 -45.8693039,-67.95011093 -45.86936834,-67.9511476 -45.8693039,-67.95089010000001 -45.8697222,-67.9506433 -45.8681011,-67.9512978 -45.867892,-67.95075242 -45.86791677,-67.9513514 -45.867951700000006,-67.9506004 -45.8681534,-67.9493558 -45.8665622,-67.9490876 -45.8664576,-67.9492164 -45.8668461,-67.94827454 -45.86749255,-67.949152 -45.8670029,-67.9489589 -45.866338,-67.9464805 -45.8656358,-67.946502 -45.8652099,-67.94551194 -45.86495899,,-67.9454304 -45.86503525,-67.9452038 -45.8642219,-67.9464403 -45.8647635,-67.9400271 -45.8665472</t>
  </si>
  <si>
    <t>-67.9400271 -45.8665472,-67.9383588 -45.8674437,-67.9380101 -45.8666929,-67.9392922 -45.8661064,-67.93822649 -45.86645361,,-67.93820898 -45.86621382,-67.939437 -45.8659907,-67.9410034 -45.8642985,-67.9397787 -45.86446671,-67.9413575 -45.8643508,-67.94191 -45.8638801,-67.9413092 -45.8637717,-67.94026881 -45.86394522,-67.9412395 -45.8636896,-67.94085860000001 -45.8628677,-67.94016816 -45.86304785,-67.9407513 -45.863103100000004,-67.9403973 -45.8622551,-67.93757020000001 -45.8636746,-67.93638614 -45.8639203,-67.9374468 -45.8637643,-67.93648120000002 -45.8648999,-67.93542287 -45.86514387,-67.9364544 -45.8650082,-67.9343033 -45.8651128,-67.93322311 -45.86539389,-67.934196 -45.8650755,-67.9339492 -45.8648887,-67.9318678 -45.8652174,-67.93025624 -45.86524613,-67.92887450000002 -45.8655984,-67.929647 -45.8660093,-67.9311919 -45.8652622,-67.92761571 -45.86576064,-67.9284239 -45.8655835,-67.9270077 -45.8655162,-67.92568273 -45.86555172,,-67.92617947 -45.86596757,-67.9266429 -45.8657927,-67.9259992 -45.8665696,-67.92478129 -45.86687146,-67.9258382 -45.86658460000001,-67.9220402 -45.8663903,-67.92069068 -45.86664171,-67.9224908 -45.8663306,-67.9191971 -45.8656582,-67.91774956 -45.8661538,-67.9187572 -45.8661064,-67.9176843 -45.8663679,-67.9172981 -45.8656657,-67.91575239 -45.86551598,-67.9164934 -45.8652398,-67.9147875 -45.8642536,-67.9133606 -45.865322,-67.9120409 -45.8651352,-67.91093971 -45.86527418,-67.9122448 -45.8649709,-67.911129 -45.8644105,-67.9103887 -45.8645226,-67.90917641 -45.86476613,-67.9100668 -45.8647318,-67.9098523 -45.8659197,-67.9103565 -45.8661513,-67.90947109 -45.86641003,-67.9100454 -45.8663754,-67.9094982 -45.8663306,-67.909627 -45.86429100000001,-67.90869072 -45.86438156,-67.9108179 -45.86391,-67.9094768 -45.8638353,-67.9077816 -45.8657329,-67.9066443 -45.8662484,-67.90565529 -45.8665856,-67.906419 -45.86626330000001,-67.9050887 -45.8652025,-67.9043591 -45.864814,-67.90314798 -45.8648888,-67.9039943 -45.8644255,-67.9028034 -45.8637381,-67.8999174 -45.8635812,-67.89867893 -45.86374335,-67.8993487 -45.8636634,-67.8988981 -45.8636933,-67.89861920000001 -45.8635215,-67.8975525 -45.86346654,,-67.89779792 -45.86312838,-67.8962696 -45.8632899,-67.8974175 -45.8625203,-67.8984583 -45.8622177,-67.8946526 -45.86372426,-67.8961945 -45.8632674,-67.8952932 -45.8629985,-67.8948426 -45.8620347,-67.89369378 -45.862107,-67.8961086 -45.8601668,-67.8949714 -45.8618927,-67.89506126 -45.86022417,-67.8960952 -45.8598436,-67.8959692 -45.8585678,-67.8961945 -45.8583138,-67.8955936 -45.8581419,-67.8949177 -45.8572976,-67.8950787 -45.8562589,-67.894907 -45.8558629,-67.8937376 -45.8558928,-67.8932869 -45.8566101,-67.8928149 -45.8568492,-67.8926003 -45.8566998,-67.89119881 -45.85678635,-67.8915596 -45.8569165,-67.8910661 -45.8570435,-67.8905296 -45.8572453,-67.8862917 -45.8600846,-67.8869355 -45.8600547,-67.8873861 -45.8596438,-67.8876221 -45.8588667,-67.8886843 -45.8579999,-67.88485253 -45.86038085,-67.8855836 -45.8605329,-67.8847253 -45.8611754,-67.8843284 -45.8612427,-67.88286864 -45.86153258,-67.8809917 -45.8619301,-67.8822792 -45.8616611,-67.8835666 -45.8617507,-67.8845859 -45.8612277,-67.8843284 -45.8612427,-67.87889297 -45.8626014,-67.8800154 -45.8627071,-67.880863 -45.8635887,-67.8814101 -45.8638502,-67.881496 -45.8643508,-67.8795862 -45.8651352,-67.87816911 -45.86559299,-67.8794253 -45.8652025,-67.8813779 -45.8643508,-67.8805947 -45.8648065,-67.8801227 -45.8652622,-67.8801119 -45.8658151,-67.8798544 -45.8661513,-67.87841593 -45.86693979,-67.8773224 -45.8682132,-67.8784168 -45.867951700000006,-67.8792751 -45.866988,-67.87529512 -45.86884053,-67.8755951 -45.8690125,-67.8751016 -45.8692815,-67.8764427 -45.8695952,-67.87545792 -45.87007243,-67.87638900000002 -45.8699314,-67.8751016 -45.8709026,-67.87327595 -45.87129886;-67.87327595 -45.87129886,-67.87638900000002 -45.8699314,-67.8751016 -45.8709026,-67.87545792 -45.87007243,-67.8735942 -45.8680488,-67.8724301 -45.8682281,-67.8724086 -45.8686689,-67.8764427 -45.8695952,-67.8729107 -45.86822856,-67.8740609 -45.8679218,-67.8740501 -45.8676828,-67.8730416 -45.867115,-67.8732347 -45.8667639,-67.8746724 -45.8662783,-67.8754556 -45.865591,-67.876035 -45.8638054,-67.8748977 -45.8643134,-67.87319628 -45.86441938,-67.8776658 -45.8646496,-67.876035 -45.8642312,-67.8759491 -45.8638278,-67.8749514 -45.864380600000004,-67.87711554 -45.86436098,-67.87849190000001 -45.8641416,-67.8785133 -45.863499,-67.8778052 -45.8630732,-67.87624464 -45.86324951,-67.8765821 -45.8616835,-67.8769684 -45.861803,-67.877183 -45.8627295,-67.87598229 -45.86175617,-67.8761101 -45.86104100000001,-67.8766465 -45.8610185,-67.8767216 -45.8614071,-67.87444477 -45.86135588,-67.8762281 -45.861026,-67.8764856 -45.8608841,-67.8761208 -45.8599501,-67.8737497 -45.8604133,-67.87238238 -45.86053745,-67.87273050000002 -45.8603909,-67.8713894 -45.86060760000001,-67.8696728 -45.8603312,-67.8687501 -45.8600248,-67.868396 -45.859329900000006,-67.8688145 -45.8588667,-67.8688037 -45.8592029,-67.86821501 -45.85959306,-67.8666258 -45.8579551,-67.8677523 -45.8588443,-67.8689218 -45.8588293,-67.8688896 -45.8591954,-67.86509618 -45.85797591,-67.8655958 -45.85783560000001,-67.8642118 -45.8570435,-67.86269634 -45.8576934,-67.8630531 -45.8577608,-67.8618944 -45.8580074,-67.86119926 -45.8582863,-67.8617334 -45.8580597,-67.8595233 -45.8583362,-67.85800456 -45.85865306,-67.8585362 -45.8586425,-67.8567231 -45.8591431,-67.8550386 -45.8605852,-67.85325633 -45.86047853,-67.8547168 -45.8600622,-67.8545237 -45.8589862,-67.8537083 -45.858508,-67.852335 -45.8585529,-67.85051371 -45.8587379,-67.8511226 -45.8587172,-67.8489661 -45.8581942,-67.8504252 -45.8565952,-67.84992667 -45.85649082,-67.851541 -45.8561394,-67.8511119 -45.8555416,-67.8497386 -45.8553249,-67.8490841 -45.8555341,-67.84737753 -45.85568862,-67.8480864 -45.8556163,-67.846477 -45.8561992,-67.8452325 -45.8556537,-67.84359994 -45.85582912,-67.8438914 -45.8557508,-67.8414237 -45.8563262,-67.8377545 -45.8563187,-67.83653581 -45.85644197,-67.8371108 -45.8561767,-67.8326368 -45.8556313,-67.83154193 -45.85548135,-67.8319716 -45.855437,-67.8292787 -45.855108200000004,-67.82760578 -45.8552439,-67.8277767 -45.8550036,-67.8251696 -45.8547271,-67.824676 -45.8544207,-67.82322995 -45.85451391,-67.8244078 -45.8540994,-67.8225088 -45.8518801,-67.82163737 -45.8516816,-67.8223801 -45.8515886,-67.8209639 -45.8504751,-67.8196657 -45.8504079,-67.81800483 -45.85079524,-67.8185713 -45.8505798,-67.816962 -45.851073,-67.8161895 -45.8523658,-67.81497943 -45.85259887,-67.816329 -45.8519921,-67.8167796 -45.8511701,-67.8158462 -45.8513121,-67.8150415 -45.8533148,-67.8138399 -45.8541293,-67.81217316 -45.85421245,-67.809999 -45.85395,-67.81053540000002 -45.8542265,-67.8125417 -45.8543386,-67.80813131 -45.85419968,-67.8064048 -45.853539,-67.8089046 -45.854361,-67.8103852 -45.8542265,-67.8098702 -45.8539126,-67.80441533 -45.8533642,-67.805289 -45.8529487,-67.8034651 -45.8522612,-67.8028214 -45.85306820000001,-67.8021669 -45.8529711,-67.80053473 -45.85338776,-67.8040767 -45.8510805,-67.8027248 -45.8530309,-67.8023279 -45.8529561,-67.80300362 -45.85086721,-67.7998281 -45.8509609,-67.7995491 -45.8515811,-67.8006542 -45.8517979,-67.8019416 -45.8517306,-67.8034651 -45.8522612,-67.8040767 -45.8510805,-67.79929116 -45.85082718,-67.7998281 -45.8509609,-67.7995062 -45.8512748,-67.7991307 -45.8505872,-67.7971566 -45.8503332,-67.79555457 -45.85028232;-67.79555457 -45.85028232,-67.7998281 -45.8509609,-67.7995062 -45.8512748,-67.7991307 -45.8505872,-67.7971566 -45.8503332,-67.79929116 -45.85082718,-67.7998281 -45.8509609,-67.7995491 -45.8515811,-67.8006542 -45.8517979,-67.8019416 -45.8517306,-67.8034651 -45.8522612,-67.8040767 -45.8510805,-67.80300362 -45.85086721,-67.8040767 -45.8510805,-67.8027248 -45.8530309,-67.8023279 -45.8529561,-67.80053473 -45.85338776,-67.805289 -45.8529487,-67.8034651 -45.8522612,-67.8028214 -45.85306820000001,-67.8021669 -45.8529711,-67.80441533 -45.8533642,-67.8064048 -45.853539,-67.8089046 -45.854361,-67.8103852 -45.8542265,-67.8098702 -45.8539126,-67.80813131 -45.85419968,-67.809999 -45.85395,-67.81053540000002 -45.8542265,-67.8125417 -45.8543386,-67.81217316 -45.85421245,-67.816329 -45.8519921,-67.8167796 -45.8511701,-67.8158462 -45.8513121,-67.8150415 -45.8533148,-67.8138399 -45.8541293,-67.81497943 -45.85259887,-67.8185713 -45.8505798,-67.816962 -45.851073,-67.8161895 -45.8523658,-67.81800483 -45.85079524,-67.8223801 -45.8515886,-67.8209639 -45.8504751,-67.8196657 -45.8504079,-67.82163737 -45.8516816,-67.8244078 -45.8540994,-67.8225088 -45.8518801,-67.82322995 -45.85451391,-67.8277767 -45.8550036,-67.8251696 -45.8547271,-67.824676 -45.8544207,-67.82760578 -45.8552439,-67.8319716 -45.855437,-67.8292787 -45.855108200000004,-67.83154193 -45.85548135,-67.8371108 -45.8561767,-67.8326368 -45.8556313,-67.83653581 -45.85644197,-67.8438914 -45.8557508,-67.8414237 -45.8563262,-67.8377545 -45.8563187,-67.84359994 -45.85582912,-67.8480864 -45.8556163,-67.846477 -45.8561992,-67.8452325 -45.8556537,-67.84737753 -45.85568862,-67.851541 -45.8561394,-67.8511119 -45.8555416,-67.8497386 -45.8553249,-67.8490841 -45.8555341,-67.84992667 -45.85649082,-67.8511226 -45.8587172,-67.8489661 -45.8581942,-67.8504252 -45.8565952,-67.85051371 -45.8587379,-67.8547168 -45.8600622,-67.8545237 -45.8589862,-67.8537083 -45.858508,-67.852335 -45.8585529,-67.85325633 -45.86047853,-67.8585362 -45.8586425,-67.8567231 -45.8591431,-67.8550386 -45.8605852,-67.85800456 -45.85865306,-67.8617334 -45.8580597,-67.8595233 -45.8583362,-67.86119926 -45.8582863,-67.8630531 -45.8577608,-67.8618944 -45.8580074,-67.86269634 -45.8576934,-67.8655958 -45.85783560000001,-67.8642118 -45.8570435,-67.86509618 -45.85797591,-67.8666365 -45.8577982,-67.8680527 -45.857716,-67.86752908 -45.85773082,-67.8694689 -45.8577534,-67.8703272 -45.8578879,-67.8705525 -45.8574694,-67.8710139 -45.8575441,-67.87029294 -45.85782787,-67.8721619 -45.8576637,-67.8734279 -45.8573798,-67.8740823 -45.8579103,-67.87227986 -45.85836679,-67.8758311 -45.8590012,-67.8755307 -45.858777,-67.8718829 -45.8588144,-67.8721619 -45.8576637,-67.8733528 -45.857462,-67.8739536 -45.8579028,-67.87446619 -45.85953534,-67.875917 -45.8590236,-67.8765607 -45.8587098,-67.8784597 -45.8588443,-67.87771797 -45.85914466,-67.8790283 -45.8588293,-67.880466 -45.8587397,-67.8813028 -45.8593598,-67.88077392 -45.85953999,-67.8814316 -45.8592926,-67.8808415 -45.8591357,-67.880863 -45.8587322,-67.8817642 -45.858239,-67.8850043 -45.8580522,-67.88402968 -45.85834964,-67.887429 -45.855564,-67.8882551 -45.8548691,-67.8894138 -45.853808,-67.8920853 -45.8535689,-67.8916454 -45.8538678,-67.8897357 -45.85395,-67.88910 -45.85436,-67.8875685 -45.8562589,-67.885799 -45.8571033,-67.88544 -45.8578281,-67.88523 -45.85794,-67.88581092 -45.85597227,-67.887429 -45.855564,-67.8894138 -45.853808,-67.8932333 -45.8533447,-67.8969455 -45.8545851,-67.8963768 -45.8546599,-67.89483427 -45.85484841,-67.9008508 -45.8548093,-67.8990161 -45.8545403,-67.898823 -45.8538678,-67.8965485 -45.8545553,-67.90022567 -45.85540767,,-67.90067511 -45.8549717,-67.904284 -45.8564084,-67.9033184 -45.8552726,-67.9019022 -45.8551232,-67.90400196 -45.85653031,-67.90773330000002 -45.8580522,-67.9073417 -45.8579177,-67.9068965 -45.8568567,-67.9053408 -45.8563822,-67.90707943 -45.8582017,-67.9102653 -45.8586986,-67.9081625 -45.8581195,-67.90964669 -45.85881191,-67.9112792 -45.8592776,-67.9102921 -45.8588293,-67.9105067 -45.8586425,-67.91058213 -45.85962973,-67.9145408 -45.8594047,-67.9124916 -45.858777,-67.9112792 -45.8592776,-67.91347499 -45.85938782,-67.9153347 -45.8605702,-67.9157317 -45.8599725,-67.9146159 -45.859457,-67.91412974 -45.86109479,-67.9219651 -45.8610335,-67.9157424 -45.8609887,-67.92116295 -45.86077528,-67.9235315 -45.8601219,-67.9222655 -45.8604731,-67.92204432 -45.86025045,-67.9253769 -45.8604208,-67.9236388 -45.8595317,-67.9233384 -45.8597857,-67.92472033 -45.86078317,-67.9288423 -45.860757,-67.9286063 -45.8609812,-67.9269433 -45.8608168,-67.9254305 -45.8610559,-67.9256237 -45.8606898,-67.92827234 -45.86082887,-67.9307091 -45.86097370000001,-67.9287457 -45.8609588,-67.9288423 -45.860757,-67.92973166 -45.86112334,-67.9343569 -45.8614145,-67.9335523 -45.861549,-67.9334021 -45.8611381,-67.9309666 -45.8609214,-67.93332777 -45.86169272,-67.9375219 -45.8620421,-67.9357517 -45.861085800000005,-67.9346144 -45.8614519,-67.93652197 -45.86222667,-67.9388309 -45.8607794,-67.938112 -45.8611007,-67.9377472 -45.860899,-67.9362881 -45.8614743,-67.9374897 -45.8619749,-67.93809539 -45.86091501,-67.9389811 -45.8623559,-67.9389596 -45.8618329,-67.9381979 -45.8610783,-67.9390669 -45.8607794,-67.93749455 -45.86270022,-67.9407942 -45.8630844,-67.9403758 -45.8621878,-67.9386914 -45.8624792,-67.94016816 -45.86304785,-67.9412395 -45.8636896,-67.94085860000001 -45.8628677,-67.94026881 -45.86394522,-67.9413575 -45.8643508,-67.94191 -45.8638801,-67.9413092 -45.8637717,-67.9397787 -45.86446671,-67.939437 -45.8659907,-67.9410034 -45.8642985,-67.93820898 -45.86621382,,-67.93822649 -45.86645361,-67.9383588 -45.8674437,-67.9380101 -45.8666929,-67.9392922 -45.8661064,-67.9400271 -45.8665472</t>
  </si>
  <si>
    <t>-67.9400271 -45.8665472,-67.9383588 -45.8674437,-67.9380584 -45.8682655,-67.9363847 -45.8693786,-67.9365671 -45.8696326,-67.93551008 -45.87004015,-67.936492 -45.8696625,-67.9362881 -45.8694234,-67.9350436 -45.8703273,-67.9347003 -45.8699986,-67.933282 -45.87018527,-67.9337347 -45.872531,-67.9350007 -45.8704245,-67.9346895 -45.8701032,-67.93292309 -45.87290945,-67.9305589 -45.8765722,-67.9309773 -45.8765423,-67.9323184 -45.875011,-67.9336917 -45.8726132,-67.92916705 -45.87686758,-67.9288745 -45.8790371,-67.9299796 -45.8786337,-67.9304302 -45.8776552,-67.9309022 -45.8766245,-67.9306126 -45.8766543,-67.92746283 -45.879252,-67.9288745 -45.8790371,-67.9299796 -45.8786337,-67.9308271 -45.8793582,-67.9310632 -45.8796271,-67.9308057 -45.8796645,-67.92926139 -45.87980166,-67.9308057 -45.8796645,-67.9309773 -45.8795823,-67.9308271 -45.8793582,-67.9319429 -45.8795524,-67.9332089 -45.8799333,-67.9339921 -45.8795524,-67.9349685 -45.8793358,-67.935698 -45.8793209,-67.93512028 -45.8793768,-67.9380155 -45.8812404,-67.938627 -45.880852,-67.9384768 -45.8805682,-67.9371035 -45.8800827,-67.9358482 -45.8797093,-67.9335737 -45.8797616,-67.934432 -45.8794255,-67.9350007 -45.8792835,-67.9357088 -45.8792686,-67.93588984 -45.88149225,-67.9369104 -45.8822487,-67.9367441 -45.8819686,-67.9385787 -45.881274,-67.938568 -45.8809641,-67.9379243 -45.8811844,-67.93623372 -45.88237227,-67.9369962 -45.8822636,-67.9367441 -45.8819686,-67.9343677 -45.8832719,-67.93288041 -45.88347512,,-67.93297197 -45.88384007,-67.9325545 -45.8880964,-67.9324257 -45.8875363,-67.933048 -45.8868642,-67.9335093 -45.8836304,-67.93195275 -45.88880085,,-67.93184093 -45.88869985,-67.929883 -45.8876782,-67.9306018 -45.8878724,-67.9317605 -45.8883727,-67.9326189 -45.888201,-67.92838162 -45.88770662,-67.9286492 -45.8892166,-67.9288638 -45.8878724,-67.9292393 -45.8876931,-67.92758265 -45.88993498,-67.929368 -45.8925994,-67.9296148 -45.8919423,-67.9287994 -45.8913897,-67.9285097 -45.8910014,-67.9286277 -45.8901127,-67.92819602 -45.89300211,-67.9235637 -45.895743,-67.9241538 -45.8953249,-67.9267287 -45.8949142,-67.9271579 -45.8944961,-67.9267287 -45.8942048,-67.9257309 -45.8936448,-67.9256558 -45.8930698,-67.9268682 -45.8923604,-67.9289711 -45.8934208,-67.9293036 -45.893361,-67.92261639 -45.89612501,-67.9221904 -45.8981548,-67.9232204 -45.8984983,-67.9230487 -45.8980652,-67.9224908 -45.89755,-67.9236388 -45.8964449,-67.92046749 -45.89809236,-67.9312027 -45.9008128,-67.9299688 -45.9015296,-67.9282737 -45.9003723,-67.9263103 -45.8994316,-67.9232204 -45.8984983,-67.9221046 -45.8981623,-67.93028301 -45.90068278,-67.9313636 -45.9007755,-67.9299688 -45.9015296,-67.9309559 -45.9024778,-67.931664 -45.9022687,-67.9323721 -45.9010144,-67.9335737 -45.900447,-67.9371786 -45.9012832,-67.9379082 -45.9021045,-67.9396677 -45.9026719,-67.941041 -45.9025674,-67.94048121 -45.90255833,-67.9417276 -45.9060912,-67.9426718 -45.9047623,-67.9416203 -45.9047773,-67.9445601 -45.9035379,-67.942543 -45.9026271,-67.94070253 -45.90708056,-67.9419637 -45.9061061,-67.9426718 -45.9047623,-67.9415345 -45.9048967,-67.938745 -45.9059568,-67.9340029 -45.9072707,-67.9353547 -45.9073006,-67.93482704 -45.9074612,-67.922008 -45.9097193,-67.9201412 -45.9109884,-67.9196906 -45.9109585,-67.9200125 -45.9097492,-67.9210854 -45.909585,-67.9227591 -45.90851,-67.9267287 -45.9077933,-67.9317927 -45.9075544,-67.9344964 -45.9080023,-67.9353762 -45.9076142,-67.92132124 -45.90950332,-67.9221797 -45.9097492,-67.9201412 -45.9109884,-67.91924 -45.911063,-67.9191971 -45.9115109,-67.91938339 -45.91141146,-67.9150558 -45.9126903,-67.9162359 -45.9122126,-67.9164505 -45.9115408,-67.9181457 -45.910645,-67.9202914 -45.9111078,-67.91361731 -45.91301639,-67.9152703 -45.9126754,-67.9162359 -45.9122126,-67.9164505 -45.9115408,-67.9124379 -45.9113168,-67.9118156 -45.9111227,-67.91156522 -45.91091836;-67.91156522 -45.91091836,-67.9152703 -45.9126754,-67.9162359 -45.9122126,-67.9164505 -45.9115408,-67.9124379 -45.9113168,-67.9118156 -45.9111227,-67.91361731 -45.91301639,-67.9095197 -45.9178556,-67.9090691 -45.9168107,-67.9049706 -45.9149894,-67.9050565 -45.9146311,-67.908597 -45.9143027,-67.9105282 -45.9135114,-67.9126954 -45.9130636,-67.9141974 -45.9123171,-67.90949828 -45.91775832,-67.9095197 -45.9178556,-67.9090691 -45.9168107,-67.90527 -45.9149745,-67.9052067 -45.9146162,-67.9025245 -45.9141235,-67.90171 -45.9145565,-67.89907 -45.9147953,-67.8979325 -45.9163329,-67.8972459 -45.916945,-67.8961945 -45.916945,-67.896 -45.9166,-67.89415644 -45.91643339,-67.8951859 -45.9189752,-67.8956151 -45.9181094,-67.8975034 -45.9169749,-67.8979325 -45.9163329,-67.8972459 -45.916945,-67.8964305 -45.9169151,-67.8960013 -45.9166017,-67.8948966 -45.91911867,-67.895422 -45.9189901,-67.8929543 -45.9186468,-67.89164408 -45.91850265,-67.892257 -45.917781,-67.8922355 -45.9171241,-67.8925788 -45.9166017,-67.8926325 -45.9163553,-67.8917956 -45.9155044,-67.8909266 -45.914855,-67.8902507 -45.9144445,-67.8900683 -45.9137279,-67.8889096 -45.913601,-67.888813 -45.9138473,-67.88780562 -45.91450171,-67.8887486 -45.9139369,-67.8892422 -45.9133771,-67.889092 -45.9088982,-67.8895211 -45.9081964,-67.8884697 -45.9068527,-67.8891134 -45.9060464,-67.8899932 -45.905494,-67.890079 -45.9049863,-67.8895855 -45.9049415,-67.8884912 -45.9054641,-67.88690397 -45.90593083,-67.8877831 -45.9058523,-67.8869033 -45.9059867,-67.8840923 -45.9048668,-67.8834271 -45.9042397,-67.8832769 -45.9030601,-67.8820109 -45.9031497,-67.8811312 -45.903299,-67.8780627 -45.9027018,-67.8772688 -45.9023733,-67.8778911 -45.9022389,-67.87749311 -45.90223614,-67.8778911 -45.9022389,-67.8772688 -45.9023733,-67.8762174 -45.9020895,-67.8762174 -45.9018506,-67.875402 -45.9018954,-67.87401 -45.90242679,-67.875402 -45.9018954,-67.8762174 -45.9018506,-67.8767323 -45.9016117,-67.8774405 -45.9009995,-67.8778481 -45.8999691,-67.87600509 -45.90013168,-67.8778481 -45.8999691,-67.8795862 -45.8996556,-67.8816676 -45.8998198,-67.8823113 -45.899342,-67.88283131 -45.8994995,-67.8816462 -45.8976545,-67.8819466 -45.8992972,-67.8823757 -45.8992374,-67.88049412 -45.89765426,-67.8799939 -45.8961761,-67.8810668 -45.8968855,-67.881496 -45.8974007,-67.87842608 -45.89585515,-67.8782558 -45.8919497,-67.8778267 -45.8923828,-67.8780413 -45.8938315,-67.8791893 -45.8953398,-67.87768072 -45.89180609,-67.8788996 -45.8901426,-67.877934 -45.8900903,-67.8774834 -45.8904786,-67.8777945 -45.8925098,-67.8783524 -45.8919348,-67.87813787 -45.88993585,-67.8789854 -45.8901127,-67.8777838 -45.8901052,-67.8751981 -45.8927935,-67.8739536 -45.8942571,-67.87230402 -45.89457162,-67.8727734 -45.8946678,-67.8694153 -45.8954742,-67.8682566 -45.89504860000001,-67.86797017 -45.89505687,-67.8685999 -45.895295,-67.8667116 -45.8956833,-67.8646088 -45.8956833,-67.86301998 -45.89560501,-67.8636646 -45.8957132,-67.8625917 -45.8959521,-67.8602743 -45.8948769,-67.85948859 -45.89472907;-67.85948859 -45.89472907,-67.8636646 -45.8957132,-67.8625917 -45.8959521,-67.8602743 -45.8948769,-67.86301998 -45.89560501,-67.8685999 -45.895295,-67.8667116 -45.8956833,-67.8646088 -45.8956833,-67.86797017 -45.89505687,-67.8727734 -45.8946678,-67.8694153 -45.8954742,-67.8682566 -45.89504860000001,-67.87230402 -45.89457162,-67.8789854 -45.8901127,-67.8777838 -45.8901052,-67.8751981 -45.8927935,-67.8739536 -45.8942571,-67.87813787 -45.88993585,-67.8788996 -45.8901426,-67.877934 -45.8900903,-67.8774834 -45.8904786,-67.8777945 -45.8925098,-67.8783524 -45.8919348,-67.87768072 -45.89180609,-67.8782558 -45.8919497,-67.8778267 -45.8923828,-67.8780413 -45.8938315,-67.8791893 -45.8953398,-67.87842608 -45.89585515,-67.8799939 -45.8961761,-67.8810668 -45.8968855,-67.881496 -45.8974007,-67.88049412 -45.89765426,-67.8816462 -45.8976545,-67.8819466 -45.8992972,-67.8823757 -45.8992374,-67.88283131 -45.8994995,-67.8778481 -45.8999691,-67.8795862 -45.8996556,-67.8816676 -45.8998198,-67.8823113 -45.899342,-67.87600509 -45.90013168,-67.8777301 -45.9000289, -67.8775263 -45.9006635, -67.8726447 -45.9006411,-67.87136842 -45.90083234;-67.87136842 -45.90083234,-67.8777301 -45.9000289, -67.8775263 -45.9006635, -67.8726447 -45.9006411,-67.87600509 -45.90013168;-67.87600509 -45.90013168,-67.8778481 -45.8999691,-67.8795862 -45.8996556,-67.8816676 -45.8998198,-67.8823113 -45.899342,-67.88283131 -45.8994995,-67.8816462 -45.8976545,-67.8819466 -45.8992972,-67.8823757 -45.8992374,-67.88049412 -45.89765426,-67.8799939 -45.8961761,-67.8810668 -45.8968855,-67.881496 -45.8974007,-67.87842608 -45.89585515,-67.8782558 -45.8919497,-67.8778267 -45.8923828,-67.8780413 -45.8938315,-67.8791893 -45.8953398,-67.87768072 -45.89180609,-67.8788996 -45.8901426,-67.877934 -45.8900903,-67.8774834 -45.8904786,-67.8777945 -45.8925098,-67.8783524 -45.8919348,-67.87813787 -45.88993585,-67.8792322 -45.8901127,-67.877934 -45.8900903,-67.8765285 -45.89045620000001,-67.87484305 -45.89067788,-67.8765285 -45.89045620000001,-67.877773 -45.8901799,-67.8803802 -45.8880143,-67.8783846 -45.8885519,-67.87661058 -45.88889945,-67.8783846 -45.8885519,-67.8803802 -45.8880143,-67.8826654 -45.8868044,-67.8823113 -45.8868119,-67.88085052 -45.88709026,-67.8838027 -45.88608,-67.882483 -45.8868716,-67.88304639 -45.88588109,-67.8847039 -45.885542300000004,-67.8854334 -45.8851465,-67.88477851 -45.88530377,-67.8863347 -45.8849448,-67.8869569 -45.8849672,-67.8874826 -45.883847,-67.8903258 -45.883570600000006,-67.88934482 -45.88367092,-67.8808522 -45.8847432,-67.8831053 -45.8843548,-67.884897 -45.8834586,-67.8876114 -45.88378720000001,-67.8901434 -45.8835856,-67.87931365 -45.88515467,-67.8775477 -45.8859232,-67.87784810000001 -45.8854153,-67.8789425 -45.8862742,-67.879554 -45.8862667,-67.8829443 -45.8844743,-67.8806055 -45.8848253,-67.87597578 -45.88674947,,-67.87630061 -45.88642699,-67.8775907 -45.885744,-67.8778374 -45.8851241,-67.8766251 -45.8844594,-67.8767002 -45.8840561,-67.8758872 -45.88413516,-67.8738034 -45.8829806,-67.8739858 -45.8834512,-67.87655 -45.8844445,-67.8765929 -45.8840262,-67.87263059 -45.88283868,-67.8737283 -45.8829508,-67.8736854 -45.8833242,-67.8730094 -45.8829134,-67.8686643 -45.8830254,-67.86703039 -45.88312685,-67.8726017 -45.880389,-67.8697157 -45.8828462,-67.8706813 -45.8831001,-67.8686643 -45.8830254,-67.8724445 -45.87988188,-67.8772688 -45.8789101,-67.8749835 -45.8790146,-67.87362100000001 -45.8797765,-67.87684672 -45.87887091,-67.8785026 -45.8788802,-67.8798115 -45.8793806,-67.87875862 -45.87975391,-67.8797901 -45.8776627,-67.8792536 -45.87817810000001,-67.8798115 -45.8793806,-67.87897854 -45.87766371,-67.8836739 -45.8759821,-67.8838027 -45.8758402,-67.883234 -45.875631,-67.8816783 -45.8762734,-67.8803587 -45.8772818,-67.88220216 -45.87628794,-67.8837168 -45.877461,-67.8835773 -45.8776627,-67.8827834 -45.8773191,-67.8828907 -45.8762136,-67.88305116 -45.8774157;-67.88305116 -45.8774157,-67.8837168 -45.877461,-67.8835773 -45.8776627,-67.8827834 -45.8773191,-67.8828907 -45.8762136,-67.88220216 -45.87628794,-67.8836739 -45.8759821,-67.8838027 -45.8758402,-67.883234 -45.875631,-67.8816783 -45.8762734,-67.8803587 -45.8772818,-67.87897854 -45.87766371,-67.8797901 -45.8776627,-67.8792536 -45.87817810000001,-67.8798115 -45.8793806,-67.87875862 -45.87975391,-67.8785026 -45.8788802,-67.8798115 -45.8793806,-67.87684672 -45.87887091,-67.8772688 -45.8789101,-67.8749835 -45.8790146,-67.87362100000001 -45.8797765,-67.8724445 -45.87988188,-67.8726017 -45.880389,-67.8697157 -45.8828462,-67.8706813 -45.8831001,-67.8686643 -45.8830254,-67.86703039 -45.88312685,-67.8737283 -45.8829508,-67.8736854 -45.8833242,-67.8730094 -45.8829134,-67.8686643 -45.8830254,-67.87263059 -45.88283868,-67.8738034 -45.8829806,-67.8739858 -45.8834512,-67.87655 -45.8844445,-67.8765929 -45.8840262,-67.8758872 -45.88413516,-67.8775907 -45.885744,-67.8778374 -45.8851241,-67.8766251 -45.8844594,-67.8767002 -45.8840561,-67.87630061 -45.88642699,,-67.87597578 -45.88674947,-67.8775477 -45.8859232,-67.87784810000001 -45.8854153,-67.8789425 -45.8862742,-67.879554 -45.8862667,-67.8829443 -45.8844743,-67.8806055 -45.8848253,-67.87931365 -45.88515467,-67.8808522 -45.8847432,-67.8831053 -45.8843548,-67.884897 -45.8834586,-67.8876114 -45.88378720000001,-67.8901434 -45.8835856,-67.88934482 -45.88367092,-67.8863347 -45.8849448,-67.8869569 -45.8849672,-67.8874826 -45.883847,-67.8903258 -45.883570600000006,-67.88477851 -45.88530377,-67.8877938 -45.885251,-67.8862166 -45.8849523,-67.88725199 -45.88498287,-67.8916669 -45.8851316,-67.891463 -45.8853332,-67.8890061 -45.8855946,-67.8886521 -45.8849672,-67.88986813 -45.88509226,-67.895658 -45.88465360000001,-67.8955078 -45.8872675,-67.89402720000001 -45.888186,-67.89313670000001 -45.8879097,-67.8935552 -45.8866999,-67.891624 -45.8850718,-67.89478887 -45.88442779,-67.896452 -45.8842129,-67.8972995 -45.8841607,-67.8987801 -45.8833839,-67.8993165 -45.8836304,-67.89811074 -45.88424629,-67.90316820000001 -45.883637900000004,-67.9026854 -45.8831823,-67.9021275 -45.8832794,-67.900722 -45.8842279,-67.9001105 -45.8851465,-67.8995955 -45.8843175,-67.90293219 -45.8836944,-67.9039729 -45.8871629,-67.9034686 -45.8869165,-67.9041123 -45.886192,-67.9042947 -45.8847656,-67.90316820000001 -45.883637900000004,-67.90362098 -45.8874036,-67.9052818 -45.8875736,-67.90654780000001 -45.8882084,-67.9074919 -45.8882756,-67.90705336 -45.88840606,-67.9066443 -45.8844071,-67.9062474 -45.8852585,-67.908833 -45.885968,-67.9091012 -45.8864012,-67.90594775 -45.88423937,,-67.90591516 -45.88446218,-67.9076958 -45.8841084,-67.9082644 -45.8839366,-67.9093373 -45.8833167,-67.9103136 -45.8831972,-67.90970498 -45.88326091,-67.911365 -45.8831076,-67.9142618 -45.8826968,-67.9159892 -45.8825026,-67.91541483 -45.88231338,-67.9166651 -45.8823159,-67.9170835 -45.8822711,-67.9178345 -45.8833989,-67.9184783 -45.8832943,-67.91747464 -45.88372353,-67.9183173 -45.8833018,-67.9179525 -45.8832943,-67.9178452 -45.8829358,-67.9186606 -45.8819873,-67.9191113 -45.8815466,-67.9197979 -45.8813898,-67.91930941 -45.88137118,-67.9231775 -45.8798138,-67.9230273 -45.8801051,-67.9220295 -45.8802022,-67.9198301 -45.8807027,-67.9191542 -45.8814645,-67.9198301 -45.8813375,-67.92260289 -45.87981886,-67.9288745 -45.8790371,-67.9299045 -45.8786188,-67.929765 -45.8784918,-67.9247224 -45.8798512,-67.9241753 -45.8796943,-67.92746283 -45.879252,-67.9288745 -45.8790371,-67.9299796 -45.8786337,-67.9304302 -45.8776552,-67.9309022 -45.8766245,-67.9306126 -45.8766543,-67.92916705 -45.87686758,-67.9305589 -45.8765722,-67.9309773 -45.8765423,-67.9323184 -45.875011,-67.9336917 -45.8726132,-67.93292309 -45.87290945,-67.9337347 -45.872531,-67.9350007 -45.8704245,-67.9346895 -45.8701032,-67.933282 -45.87018527,-67.936492 -45.8696625,-67.9362881 -45.8694234,-67.9350436 -45.8703273,-67.9347003 -45.8699986,-67.93551008 -45.87004015,-67.9383588 -45.8674437,-67.9380584 -45.8682655,-67.9363847 -45.8693786,-67.9365671 -45.8696326,-67.9400271 -45.8665472</t>
  </si>
  <si>
    <t>-67.9400271 -45.8665472,-67.9383588 -45.8674437,-67.9380584 -45.8682655,-67.9363847 -45.8693786,-67.9365671 -45.8696326,-67.93551008 -45.87004015,-67.936492 -45.8696625,-67.9362881 -45.8694234,-67.9350436 -45.8703273,-67.9347003 -45.8699986,-67.933282 -45.87018527,-67.9337347 -45.872531,-67.9350007 -45.8704245,-67.9346895 -45.8701032,-67.93292309 -45.87290945,-67.9305589 -45.8765722,-67.9309773 -45.8765423,-67.9323184 -45.875011,-67.9336917 -45.8726132,-67.92916705 -45.87686758,-67.9288745 -45.8790371,-67.9299796 -45.8786337,-67.9304302 -45.8776552,-67.9309022 -45.8766245,-67.9306126 -45.8766543,-67.92746283 -45.879252,-67.9288745 -45.8790371,-67.9299045 -45.8786188,-67.929765 -45.8784918,-67.9247224 -45.8798512,-67.9241753 -45.8796943,-67.92260289 -45.87981886,-67.9231775 -45.8798138,-67.9230273 -45.8801051,-67.9220295 -45.8802022,-67.9198301 -45.8807027,-67.9191542 -45.8814645,-67.9198301 -45.8813375,-67.91930941 -45.88137118,-67.9183173 -45.8833018,-67.9179525 -45.8832943,-67.9178452 -45.8829358,-67.9186606 -45.8819873,-67.9191113 -45.8815466,-67.9197979 -45.8813898,-67.91747464 -45.88372353,-67.9166651 -45.8823159,-67.9170835 -45.8822711,-67.9178345 -45.8833989,-67.9184783 -45.8832943,-67.91541483 -45.88231338,-67.911365 -45.8831076,-67.9142618 -45.8826968,-67.9159892 -45.8825026,-67.90970498 -45.88326091,-67.9076958 -45.8841084,-67.9082644 -45.8839366,-67.9093373 -45.8833167,-67.9103136 -45.8831972,-67.90591516 -45.88446218,,-67.90594775 -45.88423937,-67.9066443 -45.8844071,-67.9062474 -45.8852585,-67.908833 -45.885968,-67.9091012 -45.8864012,-67.90705336 -45.88840606,-67.9052818 -45.8875736,-67.90654780000001 -45.8882084,-67.9074919 -45.8882756,-67.90362098 -45.8874036,-67.9022241 -45.8892913,-67.9030609 -45.889239,-67.9032218 -45.8889477,-67.9028785 -45.8877678,-67.9034686 -45.8869165,-67.9039729 -45.8871629,-67.90098858 -45.88903898,-67.9052174 -45.8898887,-67.9046273 -45.8890523,-67.9033613 -45.8891643,-67.9021382 -45.8893659,-67.90475618 -45.89004619,-67.908082 -45.8906056,-67.9061723 -45.8899111,-67.90753763 -45.89070583,-67.9088008 -45.8909117,-67.9101098 -45.8913822,-67.9100025 -45.891763,-67.9117191 -45.8917406,-67.9115689 -45.8913971,-67.911129 -45.8908445,-67.9124701 -45.8893286,-67.9118619 -45.88916575;-67.9118619 -45.88916575,-67.9088008 -45.8909117,-67.9101098 -45.8913822,-67.9100025 -45.891763,-67.9117191 -45.8917406,-67.9115689 -45.8913971,-67.911129 -45.8908445,-67.9124701 -45.8893286,-67.90753763 -45.89070583,-67.9155815 -45.891315,-67.9156137 -45.8917929,-67.9101205 -45.891778,-67.9101098 -45.8913822,-67.9085004 -45.8909043,-67.91464614 -45.89123186,-67.9154849 -45.8913374,-67.9156995 -45.8918153,-67.9161823 -45.8920468,-67.9130065 -45.8949441,-67.9139829 -45.893137,-67.91314953 -45.89274698,-67.9123414 -45.8967361,-67.9125881 -45.8958401,-67.913264 -45.8944587,-67.9140687 -45.8931669,-67.91162615 -45.89729001;-67.91162615 -45.89729001,-67.9123414 -45.8967361,-67.9125881 -45.8958401,-67.913264 -45.8944587,-67.9140687 -45.8931669,-67.91314953 -45.89274698;-67.91314953 -45.89274698,-67.9154849 -45.8913374,-67.9156995 -45.8918153,-67.9161823 -45.8920468,-67.9130065 -45.8949441,-67.9139829 -45.893137,-67.91464614 -45.89123186,-67.9155815 -45.891315,-67.9156137 -45.8917929,-67.9101205 -45.891778,-67.9101098 -45.8913822,-67.9085004 -45.8909043,-67.90753763 -45.89070583,-67.908082 -45.8906056,-67.9061723 -45.8899111,-67.90475618 -45.89004619,-67.9052174 -45.8898887,-67.9046273 -45.8890523,-67.9033613 -45.8891643,-67.9021382 -45.8893659,-67.90098858 -45.88903898,-67.9022241 -45.8892913,-67.9030609 -45.889239,-67.9032218 -45.8889477,-67.9028785 -45.8877678,-67.9034686 -45.8869165,-67.9039729 -45.8871629,-67.90362098 -45.8874036,-67.9052818 -45.8875736,-67.90654780000001 -45.8882084,-67.9074919 -45.8882756,-67.90705336 -45.88840606,-67.9066443 -45.8844071,-67.9062474 -45.8852585,-67.908833 -45.885968,-67.9091012 -45.8864012,-67.90594775 -45.88423937,,-67.90591516 -45.88446218,-67.9076958 -45.8841084,-67.9082644 -45.8839366,-67.9093373 -45.8833167,-67.9103136 -45.8831972,-67.90970498 -45.88326091,-67.911365 -45.8831076,-67.9142618 -45.8826968,-67.9159892 -45.8825026,-67.91541483 -45.88231338,-67.9166651 -45.8823159,-67.9170835 -45.8822711,-67.9178345 -45.8833989,-67.9184783 -45.8832943,-67.91747464 -45.88372353,-67.9183173 -45.8833018,-67.9179525 -45.8832943,-67.9178452 -45.8829358,-67.9186606 -45.8819873,-67.9191113 -45.8815466,-67.9197979 -45.8813898,-67.91930941 -45.88137118,-67.9231775 -45.8798138,-67.9230273 -45.8801051,-67.9220295 -45.8802022,-67.9198301 -45.8807027,-67.9191542 -45.8814645,-67.9198301 -45.8813375,-67.92260289 -45.87981886,-67.9288745 -45.8790371,-67.9299045 -45.8786188,-67.929765 -45.8784918,-67.9247224 -45.8798512,-67.9241753 -45.8796943,-67.92746283 -45.879252,-67.9288745 -45.8790371,-67.9299796 -45.8786337,-67.9304302 -45.8776552,-67.9309022 -45.8766245,-67.9306126 -45.8766543,-67.92916705 -45.87686758,-67.9305589 -45.8765722,-67.9309773 -45.8765423,-67.9323184 -45.875011,-67.9336917 -45.8726132,-67.93292309 -45.87290945,-67.9337347 -45.872531,-67.9350007 -45.8704245,-67.9346895 -45.8701032,-67.933282 -45.87018527,-67.936492 -45.8696625,-67.9362881 -45.8694234,-67.9350436 -45.8703273,-67.9347003 -45.8699986,-67.93551008 -45.87004015,-67.9383588 -45.8674437,-67.9380584 -45.8682655,-67.9363847 -45.8693786,-67.9365671 -45.8696326,-67.9400271 -45.8665472</t>
  </si>
  <si>
    <t>-67.9400271 -45.8665472,-67.9427254 -45.8635364,-67.9464859 -45.8623447,-67.9469097 -45.862016,-67.94569946 -45.86221924,-67.9469097 -45.8620944,-67.9481596 -45.8620048,-67.94727301 -45.86217176,-67.9483044 -45.861911400000004,-67.9473495 -45.8614183,-67.94655091 -45.86160389,-67.9479718 -45.8615453,-67.9493934 -45.8606973,-67.9489589 -45.8606599,-67.94780419 -45.86081977,-67.9549134 -45.858239,-67.9527032 -45.8590684,-67.9493666 -45.8607794,-67.9491198 -45.8606898,-67.9539623 -45.85805836,-67.9549778 -45.85820170000001,-67.9571986 -45.85672970000001,-67.9579175 -45.8564981,-67.9585719 -45.8567521,-67.95773843 -45.85672753,-67.9586148 -45.8568044,-67.9579926 -45.8564383,-67.9605138 -45.8553847,-67.9615545 -45.8546374,-67.963078 -45.8525451,-67.9633892 -45.8522836,-67.9675841 -45.8512224,-67.9699767 -45.8512598,-67.9700732 -45.8515064,-67.9697835 -45.8517381,-67.96836168 -45.85192469,-67.9697835 -45.8517381,-67.9700947 -45.8517082,-67.9702342 -45.8514018,-67.9710817 -45.8516335,-67.97135 -45.8516633,-67.97067338 -45.85178783,-67.9748797 -45.8534568,-67.9738176 -45.8522612,-67.9730666 -45.8517007,-67.9728305 -45.8516858,-67.9720902 -45.8515438,-67.97404757 -45.85313584,-67.9747403 -45.8533821,-67.9737854 -45.8521267,-67.9758561 -45.8519548,-67.9769397 -45.8521042,-67.9775941 -45.8524031,-67.97708143 -45.85269116,-67.9816282 -45.8521939,-67.9812098 -45.8524031,-67.9798794 -45.8525526,-67.9790747 -45.8522462,-67.9770684 -45.8520893,-67.9774868 -45.8524256,-67.98073146 -45.85218722,-67.9812849 -45.8543311,-67.9821217 -45.8545851,-67.9830444 -45.8534792,-67.9832697 -45.8527095,-67.9828513 -45.8519996,-67.9814351 -45.8523359,-67.9816818 -45.8521416,-67.97991539 -45.85426196,-67.9839563 -45.855026,-67.9837525 -45.8546374,-67.9831088 -45.8549513,-67.9826152 -45.8550185,-67.9821646 -45.8546748,-67.9815531 -45.8544581,-67.9812849 -45.8543311,-67.98265584 -45.85532812;-67.98265584 -45.85532812,-67.9838812 -45.8552801,-67.9835379 -45.8555416,-67.9828727 -45.8555267,-67.9824436 -45.8558181,-67.9824865 -45.8565578,-67.9826903 -45.8569837,-67.9821646 -45.8571182,-67.9811668 -45.8569464,-67.97973452 -45.85686561,-67.9796112 -45.8591954,-67.9805982 -45.8590086,-67.9837096 -45.8569987,-67.9826903 -45.8567521,-67.9826152 -45.8569837,-67.9819822 -45.8570884,-67.9810381 -45.8569015,-67.97805617 -45.85962835,-67.9789138 -45.8594345,-67.9789031 -45.8591207,-67.978034 -45.8588891,-67.9774547 -45.8577534,-67.9779911 -45.8567596,-67.97716227 -45.85688391,-67.9788172 -45.8572079,-67.9786134 -45.8566849,-67.9783559 -45.8564084,-67.9780984 -45.8565653,-67.97750972 -45.857618;-67.97750972 -45.857618,-67.9788172 -45.8572079,-67.9786134 -45.8566849,-67.9783559 -45.8564084,-67.9780984 -45.8565653,-67.97716227 -45.85688391,-67.9789138 -45.8594345,-67.9789031 -45.8591207,-67.978034 -45.8588891,-67.9774547 -45.8577534,-67.9779911 -45.8567596,-67.97805617 -45.85962835,-67.9787743 -45.859569,-67.9784095 -45.8600622,-67.9786134 -45.860249,-67.9797721 -45.8603909,-67.9814243 -45.8607346,-67.98085648 -45.8609192,-67.9814565 -45.8608243,-67.9794395 -45.8610634,-67.97806312 -45.86131529,-67.9787314 -45.8612128,-67.9781628 -45.8612053,-67.9774868 -45.8607794,-67.9767251 -45.8597259,-67.9755342 -45.8596288,-67.9744506 -45.8598903,-67.9743111 -45.8601967,-67.9733455 -45.8602788,-67.9734099 -45.8608317,-67.9735816 -45.8606898,-67.97275807 -45.86073448,-67.9727018 -45.8616387,-67.973367 -45.8612352,-67.9735816 -45.8606898,-67.97103212 -45.86191282;-67.97103212 -45.86191282,-67.9727018 -45.8616387,-67.973367 -45.8612352,-67.9735816 -45.8606898,-67.97275807 -45.86073448,-67.9787314 -45.8612128,-67.9781628 -45.8612053,-67.9774868 -45.8607794,-67.9767251 -45.8597259,-67.9755342 -45.8596288,-67.9744506 -45.8598903,-67.9743111 -45.8601967,-67.9733455 -45.8602788,-67.9734099 -45.8608317,-67.9735816 -45.8606898,-67.97806312 -45.86131529,-67.9814565 -45.8608243,-67.9794395 -45.8610634,-67.98085648 -45.8609192,-67.9787743 -45.859569,-67.9784095 -45.8600622,-67.9786134 -45.860249,-67.9797721 -45.8603909,-67.9814243 -45.8607346,-67.97805617 -45.85962835,-67.9762101 -45.8587172,-67.9768431 -45.8590385,-67.9774976 -45.8593075,-67.9783773 -45.8600024,-67.9787743 -45.859569,-67.97543611 -45.85876585,-67.9761672 -45.8586351,-67.9759634 -45.858508,-67.9757595 -45.8578206,-67.9751909 -45.8575143,-67.9723477 -45.8568567,-67.9721653 -45.8565802,-67.97079424 -45.85669528,-67.9717469 -45.8565802,-67.9712749 -45.8564906,-67.9691505 -45.8556985,-67.9694617 -45.8555042,-67.96888425 -45.85562391,-67.9702127 -45.8552278,-67.9707491 -45.854899,-67.9705453 -45.8543834,-67.96980500000001 -45.854346,-67.9680531 -45.85437396,-67.96980500000001 -45.854346,-67.9705453 -45.8543834,-67.9708993 -45.8532924,-67.9696655 -45.85327,-67.96844422 -45.85339307,,-67.96784171 -45.85362119;-67.96784171 -45.85362119,,-67.96844422 -45.85339307,-67.96980500000001 -45.854346,-67.9705453 -45.8543834,-67.9708993 -45.8532924,-67.9696655 -45.85327,-67.9680531 -45.85437396,-67.9702127 -45.8552278,-67.9707491 -45.854899,-67.9705453 -45.8543834,-67.96980500000001 -45.854346,-67.96888425 -45.85562391,-67.9717469 -45.8565802,-67.9712749 -45.8564906,-67.9691505 -45.8556985,-67.9694617 -45.8555042,-67.97079424 -45.85669528,-67.9721439 -45.8564532,-67.9723585 -45.855833,-67.9728305 -45.8549363,-67.9739249 -45.8544805,-67.9741395 -45.8540023,-67.9740536 -45.853539,-67.9744184 -45.8538977,-67.9746437 -45.8541517,-67.9750943 -45.8540247,-67.9749548 -45.854488,-67.97353981 -45.85482131,-67.9750836 -45.8543983,-67.9752016 -45.8534194,-67.97404757 -45.85313584,-67.9748797 -45.8534568,-67.9738176 -45.8522612,-67.9730666 -45.8517007,-67.9728305 -45.8516858,-67.9720902 -45.8515438,-67.97067338 -45.85178783,-67.9697835 -45.8517381,-67.9700947 -45.8517082,-67.9702342 -45.8514018,-67.9710817 -45.8516335,-67.97135 -45.8516633,-67.96836168 -45.85192469,-67.9586148 -45.8568044,-67.9579926 -45.8564383,-67.9605138 -45.8553847,-67.9615545 -45.8546374,-67.963078 -45.8525451,-67.9633892 -45.8522836,-67.9675841 -45.8512224,-67.9699767 -45.8512598,-67.9700732 -45.8515064,-67.9697835 -45.8517381,-67.95773843 -45.85672753,-67.9549778 -45.85820170000001,-67.9571986 -45.85672970000001,-67.9579175 -45.8564981,-67.9585719 -45.8567521,-67.9539623 -45.85805836,-67.9549134 -45.858239,-67.9527032 -45.8590684,-67.9493666 -45.8607794,-67.9491198 -45.8606898,-67.94780419 -45.86081977,-67.9494631 -45.8607197,-67.9496992 -45.8604582,-67.9489589 -45.8596363,-67.9496777 -45.8591282,-67.9500318 -45.8586351,-67.9503858 -45.8584632,-67.94942594 -45.85854239,-67.95038580000002 -45.8584109,-67.9492486 -45.8582839,-67.9486799 -45.8563934,-67.9455793 -45.8575815,-67.94451337 -45.85788474,-67.9454827 -45.8575591,-67.9450428 -45.8573125,-67.9437983 -45.8579999,-67.9424357 -45.8576786,-67.94116334 -45.85759913;-67.94116334 -45.85759913,-67.9454827 -45.8575591,-67.9450428 -45.8573125,-67.9437983 -45.8579999,-67.9424357 -45.8576786,-67.94451337 -45.85788474,-67.95038580000002 -45.8584109,-67.9492486 -45.8582839,-67.9486799 -45.8563934,-67.9455793 -45.8575815,-67.94942594 -45.85854239,-67.9494631 -45.8607197,-67.9496992 -45.8604582,-67.9489589 -45.8596363,-67.9496777 -45.8591282,-67.9500318 -45.8586351,-67.9503858 -45.8584632,-67.94780419 -45.86081977,-67.9479718 -45.8615453,-67.9493934 -45.8606973,-67.9489589 -45.8606599,-67.94655091 -45.86160389,-67.9483044 -45.861911400000004,-67.9473495 -45.8614183,-67.94727301 -45.86217176,-67.9469097 -45.8620944,-67.9481596 -45.8620048,-67.94569946 -45.86221924,-67.9427254 -45.8635364,-67.9464859 -45.8623447,-67.9469097 -45.862016,-67.9400271 -45.8665472</t>
  </si>
  <si>
    <t>-67.9400271 -45.8665472,-67.9383588 -45.8674437,-67.9380101 -45.8666929,-67.9392922 -45.8661064,-67.93822649 -45.86645361,,-67.93820898 -45.86621382,-67.939437 -45.8659907,-67.9410034 -45.8642985,-67.9397787 -45.86446671,-67.9413575 -45.8643508,-67.94191 -45.8638801,-67.9413092 -45.8637717,-67.94026881 -45.86394522,-67.9412395 -45.8636896,-67.94085860000001 -45.8628677,-67.94016816 -45.86304785,-67.9407513 -45.863103100000004,-67.9403973 -45.8622551,-67.93757020000001 -45.8636746,-67.93638614 -45.8639203,-67.9374468 -45.8637643,-67.93648120000002 -45.8648999,-67.93542287 -45.86514387,-67.9364544 -45.8650082,-67.9343033 -45.8651128,-67.93322311 -45.86539389,-67.934196 -45.8650755,-67.9339492 -45.8648887,-67.9318678 -45.8652174,-67.93025624 -45.86524613,-67.92887450000002 -45.8655984,-67.929647 -45.8660093,-67.9311919 -45.8652622,-67.92761571 -45.86576064,-67.9284239 -45.8655835,-67.9270077 -45.8655162,-67.92568273 -45.86555172,,-67.92617947 -45.86596757,-67.9266429 -45.8657927,-67.9259992 -45.8665696,-67.92478129 -45.86687146,-67.9258382 -45.86658460000001,-67.9220402 -45.8663903,-67.92069068 -45.86664171,-67.9224908 -45.8663306,-67.9191971 -45.8656582,-67.91774956 -45.8661538,-67.9187572 -45.8661064,-67.9176843 -45.8663679,-67.9172981 -45.8656657,-67.91575239 -45.86551598,-67.9164934 -45.8652398,-67.9147875 -45.8642536,-67.9133606 -45.865322,-67.9120409 -45.8651352,-67.91093971 -45.86527418,-67.9122448 -45.8649709,-67.911129 -45.8644105,-67.9103887 -45.8645226,-67.90917641 -45.86476613,-67.9100668 -45.8647318,-67.9098523 -45.8659197,-67.9103565 -45.8661513,-67.90947109 -45.86641003,-67.9100454 -45.8663754,-67.9094982 -45.8663306,-67.909627 -45.86429100000001,-67.90869072 -45.86438156,-67.9108179 -45.86391,-67.9094768 -45.8638353,-67.9077816 -45.8657329,-67.9066443 -45.8662484,-67.90565529 -45.8665856,-67.906419 -45.86626330000001,-67.9050887 -45.8652025,-67.9043591 -45.864814,-67.90314798 -45.8648888,-67.9039943 -45.8644255,-67.9028034 -45.8637381,-67.8999174 -45.8635812,-67.89867893 -45.86374335,-67.8993487 -45.8636634,-67.8988981 -45.8636933,-67.89861920000001 -45.8635215,-67.8975525 -45.86346654,,-67.89779792 -45.86312838,-67.8962696 -45.8632899,-67.8974175 -45.8625203,-67.8984583 -45.8622177,-67.8946526 -45.86372426,-67.8961945 -45.8632674,-67.8952932 -45.8629985,-67.8948426 -45.8620347,-67.89369378 -45.862107,-67.8961086 -45.8601668,-67.8949714 -45.8618927,-67.89506126 -45.86022417,-67.8960952 -45.8598436,-67.8959692 -45.8585678,-67.8961945 -45.8583138,-67.8955936 -45.8581419,-67.8949177 -45.8572976,-67.8950787 -45.8562589,-67.894907 -45.8558629,-67.8937376 -45.8558928,-67.8932869 -45.8566101,-67.8928149 -45.8568492,-67.8926003 -45.8566998,-67.89119881 -45.85678635,-67.8915596 -45.8569165,-67.8910661 -45.8570435,-67.8905296 -45.8572453,-67.8862917 -45.8600846,-67.8869355 -45.8600547,-67.8873861 -45.8596438,-67.8876221 -45.8588667,-67.8886843 -45.8579999,-67.88485253 -45.86038085,-67.8861415 -45.8600696,-67.8866887 -45.8595317,-67.8869033 -45.8586351,-67.88574793 -45.85866319,,-67.88589584 -45.85818603;-67.88589584 -45.85818603,,-67.88574793 -45.85866319,-67.8861415 -45.8600696,-67.8866887 -45.8595317,-67.8869033 -45.8586351,-67.88485253 -45.86038085,-67.8855836 -45.8605329,-67.8847253 -45.8611754,-67.8843284 -45.8612427,-67.88286864 -45.86153258,-67.8809917 -45.8619301,-67.8822792 -45.8616611,-67.8835666 -45.8617507,-67.8845859 -45.8612277,-67.8843284 -45.8612427,-67.87889297 -45.8626014,-67.8800154 -45.8627071,-67.880863 -45.8635887,-67.8814101 -45.8638502,-67.881496 -45.8643508,-67.8795862 -45.8651352,-67.87816911 -45.86559299,-67.8794253 -45.8652025,-67.8813779 -45.8643508,-67.8805947 -45.8648065,-67.8801227 -45.8652622,-67.8801119 -45.8658151,-67.8798544 -45.8661513,-67.87841593 -45.86693979,-67.8773224 -45.8682132,-67.8784168 -45.867951700000006,-67.8792751 -45.866988,-67.87529512 -45.86884053,-67.8755951 -45.8690125,-67.8751016 -45.8692815,-67.8764427 -45.8695952,-67.87545792 -45.87007243,-67.8735942 -45.8680488,-67.8724301 -45.8682281,-67.8724086 -45.8686689,-67.8764427 -45.8695952,-67.8729107 -45.86822856,-67.8699839 -45.8693413,-67.8700376 -45.8699389,-67.8703916 -45.8701929,-67.8709173 -45.8699239,-67.8707349 -45.8692815,-67.8712177 -45.8686166,-67.8731596 -45.8681236,-67.86891343 -45.86940172,-67.8665292 -45.8704394,-67.8664756 -45.8701107,-67.8674197 -45.8697073,-67.8698659 -45.8700883,-67.8700376 -45.8699389,-67.8700268 -45.8692964,-67.86552841 -45.87071955,-67.8665292 -45.8705589,-67.866143 -45.8710594,-67.8657889 -45.8704767,-67.8668725 -45.8688706,-67.86653014 -45.86909111,-67.8668725 -45.8688706,-67.8667974 -45.868646500000004,-67.8676665 -45.8677127,-67.867012 -45.86727940000001,-67.86635342 -45.86702056,-67.8668189 -45.8667639,-67.8664005 -45.866988,-67.8663254 -45.8676305,-67.86498939 -45.86808329,-67.8639972 -45.8691171,-67.8657031 -45.8680713,-67.86235431 -45.86962035,-67.8593409 -45.8716048,-67.85971640000001 -45.8705365,-67.8614008 -45.870529,-67.861948 -45.8698268,-67.8630531 -45.8694832,-67.85882935 -45.87179542,-67.857635 -45.8744807,-67.8541696 -45.874152,-67.8588581 -45.8727103,-67.8593409 -45.8716048,-67.857019 -45.87438052,-67.84873010000001 -45.87312860000001,-67.8543305 -45.8741595,-67.857635 -45.8744807,-67.84711722 -45.87310355,-67.8489339 -45.8731324,-67.8501302 -45.8733565,-67.8485316 -45.8736739,-67.8459191 -45.8729942,-67.84549 -45.8723406,-67.8449106 -45.8726842,-67.84336962 -45.87289033,-67.8464448 -45.8713396,-67.8465736 -45.871657000000006,-67.84484620000002 -45.8726692,-67.84458226 -45.87132178,-67.8433174 -45.8702414,-67.8424054 -45.8705701,-67.8442401 -45.8712014,-67.8457582 -45.8705029,-67.8468794 -45.8714778,-67.8465736 -45.871657000000006,-67.8464073 -45.8713396,-67.84266503 -45.8702826,-67.8403401 -45.8715002,-67.8396213 -45.8713059,-67.8401256 -45.8706859,-67.8424323 -45.8705216,-67.8432369 -45.8702153,-67.83999726 -45.87142467,-67.8404045 -45.871440400000004,-67.8396642 -45.8713657,-67.8393745 -45.8705216,-67.8371751 -45.8699314,-67.8344822 -45.8697969,-67.8345251 -45.8700584,-67.8363597 -45.8707606,-67.83598551 -45.8713908,-67.8363276 -45.8710445,-67.8348899 -45.87091,-67.8336024 -45.8710221,-67.83204724 -45.87132308,-67.8347504 -45.8724041,-67.8345788 -45.8717915,-67.8335381 -45.8712686,-67.8339131 -45.87269245,-67.8368962 -45.8743761,-67.8363168 -45.8740101,-67.8365743 -45.8734723,-67.8358126 -45.8726879,-67.8366923 -45.875026,-67.8369284 -45.8751679,-67.8384304 -45.875317300000006,-67.83709911 -45.87528907,-67.8404582 -45.876744,-67.8387737 -45.8754144,-67.83972408 -45.87683377,-67.8388381 -45.8793059,-67.8380656 -45.8795375,-67.8406405 -45.8772519,-67.8405118 -45.8769083,-67.8383257 -45.87925524,-67.8388596 -45.8793582,-67.8365421 -45.8801649,-67.8342998 -45.88042630000001,-67.8343749 -45.8798736,-67.83402097 -45.87975218,-67.8344929 -45.8798512,-67.834214 -45.88047110000001,-67.8320682 -45.880613,-67.8315103 -45.8803068,-67.83022822 -45.88021021,-67.8282809 -45.8789624,-67.8289354 -45.8793806,-67.83077000000002 -45.8797541,-67.82657673 -45.87879537,-67.8282809 -45.8789624,-67.8290534 -45.8802919,-67.8286672 -45.88047110000001,-67.82727683 -45.88061818,-67.8286564 -45.8805981,-67.8285921 -45.8817184,-67.82738854 -45.88198827;-67.82738854 -45.88198827,-67.8286564 -45.8805981,-67.8285921 -45.8817184,-67.82727683 -45.88061818,-67.8282809 -45.8789624,-67.8290534 -45.8802919,-67.8286672 -45.88047110000001,-67.82657673 -45.87879537,-67.8282809 -45.8789624,-67.8289354 -45.8793806,-67.83077000000002 -45.8797541,-67.83022822 -45.88021021,-67.8344929 -45.8798512,-67.834214 -45.88047110000001,-67.8320682 -45.880613,-67.8315103 -45.8803068,-67.83402097 -45.87975218,-67.8388596 -45.8793582,-67.8365421 -45.8801649,-67.8342998 -45.88042630000001,-67.8343749 -45.8798736,-67.8383257 -45.87925524,-67.8388381 -45.8793059,-67.8380656 -45.8795375,-67.8406405 -45.8772519,-67.8405118 -45.8769083,-67.83972408 -45.87683377,-67.8404582 -45.876744,-67.8387737 -45.8754144,-67.83709911 -45.87528907,-67.8369284 -45.8751679,-67.8384304 -45.875317300000006,-67.8366923 -45.875026,-67.8368962 -45.8743761,-67.8363168 -45.8740101,-67.8365743 -45.8734723,-67.8358126 -45.8726879,-67.8339131 -45.87269245,-67.8347504 -45.8724041,-67.8345788 -45.8717915,-67.8335381 -45.8712686,-67.83204724 -45.87132308,-67.8326046 -45.8712686,-67.8287637 -45.8718438,-67.8266931 -45.8718811,-67.8259957 -45.8715076,-67.82435527 -45.87146335,-67.8260922 -45.8716048,-67.8258884 -45.8718886,-67.8219509 -45.871657,-67.8194082 -45.8687287,-67.8185391 -45.8670926,-67.8190756 -45.8667788,-67.8187144 -45.86699435;-67.8187144 -45.86699435,-67.819097 -45.8668461,-67.8186357 -45.8670552,-67.8192151 -45.868385,-67.81829240000002 -45.8680713,-67.81633269 -45.86814359,-67.8222084 -45.867638,-67.8207171 -45.86819080000001,-67.8187966 -45.8682506,-67.81829240000002 -45.8680713,-67.82151826 -45.86746063,-67.8236783 -45.8675633,-67.8205454 -45.8682207,-67.8219295 -45.8676529,-67.82310921 -45.86764419,-67.8240538 -45.8675707,-67.8247404 -45.8675782,-67.82420567 -45.8676006;-67.82420567 -45.8676006,-67.8240538 -45.8675707,-67.8247404 -45.8675782,-67.82310921 -45.86764419,-67.8236783 -45.8675633,-67.8205454 -45.8682207,-67.8219295 -45.8676529,-67.82151826 -45.86746063,-67.8222084 -45.867638,-67.8207171 -45.86819080000001,-67.8187966 -45.8682506,-67.81829240000002 -45.8680713,-67.81633269 -45.86814359,-67.819097 -45.8668461,-67.8186357 -45.8670552,-67.8192151 -45.868385,-67.81829240000002 -45.8680713,-67.8187144 -45.86699435,-67.8260922 -45.8716048,-67.8258884 -45.8718886,-67.8219509 -45.871657,-67.8194082 -45.8687287,-67.8185391 -45.8670926,-67.8190756 -45.8667788,-67.82435527 -45.87146335,-67.8260922 -45.8716048,-67.8265107 -45.8718513,-67.8220475 -45.8717168,-67.8213286 -45.8718064,-67.8198588 -45.8704394,-67.81826245 -45.87021787,-67.8187859 -45.8699314,-67.8176165 -45.8689677,-67.8157818 -45.8684597,-67.81380528 -45.86885432;-67.81380528 -45.86885432,-67.8187859 -45.8699314,-67.8176165 -45.8689677,-67.8157818 -45.8684597,-67.81826245 -45.87021787,-67.8260922 -45.8716048,-67.8265107 -45.8718513,-67.8220475 -45.8717168,-67.8213286 -45.8718064,-67.8198588 -45.8704394,-67.82435527 -45.87146335,-67.8326046 -45.8712686,-67.8287637 -45.8718438,-67.8266931 -45.8718811,-67.8259957 -45.8715076,-67.83204724 -45.87132308,-67.8363276 -45.8710445,-67.8348899 -45.87091,-67.8336024 -45.8710221,-67.83598551 -45.8713908,-67.8404045 -45.871440400000004,-67.8396642 -45.8713657,-67.8393745 -45.8705216,-67.8371751 -45.8699314,-67.8344822 -45.8697969,-67.8345251 -45.8700584,-67.8363597 -45.8707606,-67.83999726 -45.87142467,-67.8403401 -45.8715002,-67.8396213 -45.8713059,-67.8401256 -45.8706859,-67.8424323 -45.8705216,-67.8432369 -45.8702153,-67.84266503 -45.8702826,-67.8433174 -45.8702414,-67.8424054 -45.8705701,-67.8442401 -45.8712014,-67.8457582 -45.8705029,-67.8468794 -45.8714778,-67.8465736 -45.871657000000006,-67.8464073 -45.8713396,-67.84458226 -45.87132178,-67.8464448 -45.8713396,-67.8465736 -45.871657000000006,-67.84484620000002 -45.8726692,-67.84336962 -45.87289033,-67.8489339 -45.8731324,-67.8501302 -45.8733565,-67.8485316 -45.8736739,-67.8459191 -45.8729942,-67.84549 -45.8723406,-67.8449106 -45.8726842,-67.84711722 -45.87310355,-67.84873010000001 -45.87312860000001,-67.8543305 -45.8741595,-67.857635 -45.8744807,-67.857019 -45.87438052,-67.857635 -45.8744807,-67.8541696 -45.874152,-67.8588581 -45.8727103,-67.8593409 -45.8716048,-67.85882935 -45.87179542,-67.8593409 -45.8716048,-67.85971640000001 -45.8705365,-67.8614008 -45.870529,-67.861948 -45.8698268,-67.8630531 -45.8694832,-67.86235431 -45.86962035,-67.8639972 -45.8691171,-67.8657031 -45.8680713,-67.86498939 -45.86808329,-67.8668189 -45.8667639,-67.8664005 -45.866988,-67.8663254 -45.8676305,-67.86635342 -45.86702056,-67.8668725 -45.8688706,-67.8667974 -45.868646500000004,-67.8676665 -45.8677127,-67.867012 -45.86727940000001,-67.86653014 -45.86909111,-67.8665292 -45.8705589,-67.866143 -45.8710594,-67.8657889 -45.8704767,-67.8668725 -45.8688706,-67.86552841 -45.87071955,-67.8665292 -45.8704394,-67.8664756 -45.8701107,-67.8674197 -45.8697073,-67.8698659 -45.8700883,-67.8700376 -45.8699389,-67.8700268 -45.8692964,-67.86891343 -45.86940172,-67.8699839 -45.8693413,-67.8700376 -45.8699389,-67.8703916 -45.8701929,-67.8709173 -45.8699239,-67.8707349 -45.8692815,-67.8712177 -45.8686166,-67.8731596 -45.8681236,-67.8729107 -45.86822856,-67.8735942 -45.8680488,-67.8724301 -45.8682281,-67.8724086 -45.8686689,-67.8764427 -45.8695952,-67.87545792 -45.87007243,-67.8773439 -45.8681385,-67.878288 -45.8679816,-67.8767216 -45.8696102,-67.87529512 -45.86884053,-67.8773224 -45.8682132,-67.8784168 -45.867951700000006,-67.8792751 -45.866988,-67.87841593 -45.86693979,-67.8794253 -45.8652025,-67.8813779 -45.8643508,-67.8805947 -45.8648065,-67.8801227 -45.8652622,-67.8801119 -45.8658151,-67.8798544 -45.8661513,-67.87816911 -45.86559299,-67.8800154 -45.8627071,-67.880863 -45.8635887,-67.8814101 -45.8638502,-67.881496 -45.8643508,-67.8795862 -45.8651352,-67.87889297 -45.8626014,-67.8809917 -45.8619301,-67.8822792 -45.8616611,-67.8835666 -45.8617507,-67.8845859 -45.8612277,-67.8843284 -45.8612427,-67.88286864 -45.86153258,-67.8855836 -45.8605329,-67.8847253 -45.8611754,-67.8843284 -45.8612427,-67.88485253 -45.86038085,-67.8862917 -45.8600846,-67.8869355 -45.8600547,-67.8873861 -45.8596438,-67.8876221 -45.8588667,-67.8886843 -45.8579999,-67.8905296 -45.8572453,-67.8915596 -45.8569165,-67.8910661 -45.8570435,-67.89119881 -45.85678635,-67.8960952 -45.8598436,-67.8959692 -45.8585678,-67.8961945 -45.8583138,-67.8955936 -45.8581419,-67.8949177 -45.8572976,-67.8950787 -45.8562589,-67.894907 -45.8558629,-67.8937376 -45.8558928,-67.8932869 -45.8566101,-67.8928149 -45.8568492,-67.8926003 -45.8566998,-67.89506126 -45.86022417,-67.8961086 -45.8601668,-67.8949714 -45.8618927,-67.89369378 -45.862107,-67.8961945 -45.8632674,-67.8952932 -45.8629985,-67.8948426 -45.8620347,-67.8946526 -45.86372426,-67.8962696 -45.8632899,-67.8974175 -45.8625203,-67.8984583 -45.8622177,-67.89779792 -45.86312838,,-67.8975525 -45.86346654,-67.8993487 -45.8636634,-67.8988981 -45.8636933,-67.89861920000001 -45.8635215,-67.89867893 -45.86374335,-67.9039943 -45.8644255,-67.9028034 -45.8637381,-67.8999174 -45.8635812,-67.90314798 -45.8648888,-67.906419 -45.86626330000001,-67.9050887 -45.8652025,-67.9043591 -45.864814,-67.90565529 -45.8665856,-67.9108179 -45.86391,-67.9094768 -45.8638353,-67.9077816 -45.8657329,-67.9066443 -45.8662484,-67.90869072 -45.86438156,-67.9100454 -45.8663754,-67.9094982 -45.8663306,-67.909627 -45.86429100000001,-67.90947109 -45.86641003,-67.9100668 -45.8647318,-67.9098523 -45.8659197,-67.9103565 -45.8661513,-67.90917641 -45.86476613,-67.9122448 -45.8649709,-67.911129 -45.8644105,-67.9103887 -45.8645226,-67.91093971 -45.86527418,-67.9164934 -45.8652398,-67.9147875 -45.8642536,-67.9133606 -45.865322,-67.9120409 -45.8651352,-67.91575239 -45.86551598,-67.9187572 -45.8661064,-67.9176843 -45.8663679,-67.9172981 -45.8656657,-67.91774956 -45.8661538,-67.9224908 -45.8663306,-67.9191971 -45.8656582,-67.92069068 -45.86664171,-67.9258382 -45.86658460000001,-67.9220402 -45.8663903,-67.92478129 -45.86687146,-67.9266429 -45.8657927,-67.9259992 -45.8665696,-67.92617947 -45.86596757,,-67.92568273 -45.86555172,-67.9284239 -45.8655835,-67.9270077 -45.8655162,-67.92761571 -45.86576064,-67.92887450000002 -45.8655984,-67.929647 -45.8660093,-67.9311919 -45.8652622,-67.93025624 -45.86524613,-67.934196 -45.8650755,-67.9339492 -45.8648887,-67.9318678 -45.8652174,-67.93322311 -45.86539389,-67.9364544 -45.8650082,-67.9343033 -45.8651128,-67.93542287 -45.86514387,-67.9374468 -45.8637643,-67.93648120000002 -45.8648999,-67.93638614 -45.8639203,-67.9407513 -45.863103100000004,-67.9403973 -45.8622551,-67.93757020000001 -45.8636746,-67.94016816 -45.86304785,-67.9412395 -45.8636896,-67.94085860000001 -45.8628677,-67.94026881 -45.86394522,-67.9413575 -45.8643508,-67.94191 -45.8638801,-67.9413092 -45.8637717,-67.9397787 -45.86446671,-67.939437 -45.8659907,-67.9410034 -45.8642985,-67.93820898 -45.86621382,,-67.93822649 -45.86645361,-67.9383588 -45.8674437,-67.9380101 -45.8666929,-67.9392922 -45.8661064,-67.9400271 -45.8665472</t>
  </si>
  <si>
    <t>-67.9400271 -45.8665472,-67.9427254 -45.8635364,-67.9464859 -45.8623447,-67.9469097 -45.862016,-67.94569946 -45.86221924,-67.9469097 -45.8620944,-67.9481596 -45.8620048,-67.94727301 -45.86217176,-67.9483044 -45.861911400000004,-67.9473495 -45.8614183,-67.94655091 -45.86160389,,-67.94614101 -45.86156482;-67.94614101 -45.86156482,,-67.94655091 -45.86160389,-67.9479718 -45.8615453,-67.9493934 -45.8606973,-67.9489589 -45.8606599,-67.94780419 -45.86081977,-67.9549134 -45.858239,-67.9527032 -45.8590684,-67.9493666 -45.8607794,-67.9491198 -45.8606898,-67.9539623 -45.85805836,-67.9549778 -45.85820170000001,-67.9571986 -45.85672970000001,-67.9579175 -45.8564981,-67.9585719 -45.8567521,-67.95773843 -45.85672753,-67.9586148 -45.8568044,-67.9579926 -45.8564383,-67.9605138 -45.8553847,-67.9615545 -45.8546374,-67.963078 -45.8525451,-67.9633892 -45.8522836,-67.9675841 -45.8512224,-67.9699767 -45.8512598,-67.9700732 -45.8515064,-67.9697835 -45.8517381,-67.96836168 -45.85192469,-67.9697835 -45.8517381,-67.9700947 -45.8517082,-67.9702342 -45.8514018,-67.9710817 -45.8516335,-67.97135 -45.8516633,-67.97067338 -45.85178783,-67.9748797 -45.8534568,-67.9738176 -45.8522612,-67.9730666 -45.8517007,-67.9728305 -45.8516858,-67.9720902 -45.8515438,-67.97404757 -45.85313584,-67.9750836 -45.8543983,-67.9752016 -45.8534194,-67.97353981 -45.85482131,-67.9721439 -45.8564532,-67.9723585 -45.855833,-67.9728305 -45.8549363,-67.9739249 -45.8544805,-67.9741395 -45.8540023,-67.9740536 -45.853539,-67.9744184 -45.8538977,-67.9746437 -45.8541517,-67.9750943 -45.8540247,-67.9749548 -45.854488,-67.97079424 -45.85669528,-67.9716182 -45.8586425,-67.9730558 -45.8570659,-67.9720259 -45.8565877,-67.97062811 -45.85914674,-67.97135 -45.8605329,-67.9716933 -45.8600771,-67.9713929 -45.8591282,-67.96999638 -45.86075838,-67.9688287 -45.8612875,-67.9708672 -45.860772,-67.9674538 -45.86158535,-67.9682064 -45.8628939,-67.968421 -45.8615714,-67.96738506 -45.86316959,-67.96923640000001 -45.8639249,-67.9690218 -45.8637232,-67.9683566 -45.8633944,-67.9682493 -45.8630657,-67.96827866 -45.86435695;-67.96827866 -45.86435695,-67.96923640000001 -45.8639249,-67.9690218 -45.8637232,-67.9683566 -45.8633944,-67.9682493 -45.8630657,-67.96738506 -45.86316959;-67.96738506 -45.86316959,-67.9682064 -45.8628939,-67.968421 -45.8615714,-67.9674538 -45.86158535;-67.9674538 -45.86158535,-67.9688287 -45.8612875,-67.9708672 -45.860772,-67.96999638 -45.86075838,-67.97135 -45.8605329,-67.9716933 -45.8600771,-67.9713929 -45.8591282,-67.97062811 -45.85914674,-67.9716182 -45.8586425,-67.9730558 -45.8570659,-67.9720259 -45.8565877,-67.97079424 -45.85669528,-67.9721439 -45.8564532,-67.9723585 -45.855833,-67.9728305 -45.8549363,-67.9739249 -45.8544805,-67.9741395 -45.8540023,-67.9740536 -45.853539,-67.9744184 -45.8538977,-67.9746437 -45.8541517,-67.9750943 -45.8540247,-67.9749548 -45.854488,-67.97353981 -45.85482131,-67.9750836 -45.8543983,-67.9752016 -45.8534194,-67.97404757 -45.85313584,-67.9748797 -45.8534568,-67.9738176 -45.8522612,-67.9730666 -45.8517007,-67.9728305 -45.8516858,-67.9720902 -45.8515438,-67.97067338 -45.85178783,-67.9697835 -45.8517381,-67.9700947 -45.8517082,-67.9702342 -45.8514018,-67.9710817 -45.8516335,-67.97135 -45.8516633,-67.96836168 -45.85192469,-67.9586148 -45.8568044,-67.9579926 -45.8564383,-67.9605138 -45.8553847,-67.9615545 -45.8546374,-67.963078 -45.8525451,-67.9633892 -45.8522836,-67.9675841 -45.8512224,-67.9699767 -45.8512598,-67.9700732 -45.8515064,-67.9697835 -45.8517381,-67.95773843 -45.85672753,-67.9549778 -45.85820170000001,-67.9571986 -45.85672970000001,-67.9579175 -45.8564981,-67.9585719 -45.8567521,-67.9539623 -45.85805836,-67.9549134 -45.858239,-67.9527032 -45.8590684,-67.9493666 -45.8607794,-67.9491198 -45.8606898,-67.94780419 -45.86081977,-67.9479718 -45.8615453,-67.9493934 -45.8606973,-67.9489589 -45.8606599,-67.94655091 -45.86160389,-67.9483044 -45.861911400000004,-67.9473495 -45.8614183,-67.94727301 -45.86217176,-67.9469097 -45.8620944,-67.9481596 -45.8620048,-67.94569946 -45.86221924,-67.9427254 -45.8635364,-67.9464859 -45.8623447,-67.9469097 -45.862016,-67.9400271 -45.8665472</t>
  </si>
  <si>
    <t>-67.9400271 -45.8665472,-67.9383588 -45.8674437,-67.9380584 -45.8682655,-67.9363847 -45.8693786,-67.9365671 -45.8696326,-67.93551008 -45.87004015,-67.936492 -45.8696625,-67.9362881 -45.8694234,-67.9350436 -45.8703273,-67.9347003 -45.8699986,-67.933282 -45.87018527,-67.9337347 -45.872531,-67.9350007 -45.8704245,-67.9346895 -45.8701032,-67.93292309 -45.87290945,-67.9305589 -45.8765722,-67.9309773 -45.8765423,-67.9323184 -45.875011,-67.9336917 -45.8726132,-67.92916705 -45.87686758,-67.9288745 -45.8790371,-67.9299796 -45.8786337,-67.9304302 -45.8776552,-67.9309022 -45.8766245,-67.9306126 -45.8766543,-67.92746283 -45.879252,-67.9288745 -45.8790371,-67.9299045 -45.8786188,-67.929765 -45.8784918,-67.9247224 -45.8798512,-67.9241753 -45.8796943,-67.92260289 -45.87981886,-67.9231775 -45.8798138,-67.9230273 -45.8801051,-67.9220295 -45.8802022,-67.9198301 -45.8807027,-67.9191542 -45.8814645,-67.9198301 -45.8813375,-67.91930941 -45.88137118,-67.9183173 -45.8833018,-67.9179525 -45.8832943,-67.9178452 -45.8829358,-67.9186606 -45.8819873,-67.9191113 -45.8815466,-67.9197979 -45.8813898,-67.91747464 -45.88372353,-67.9166651 -45.8823159,-67.9170835 -45.8822711,-67.9178345 -45.8833989,-67.9184783 -45.8832943,-67.91541483 -45.88231338,-67.911365 -45.8831076,-67.9142618 -45.8826968,-67.9159892 -45.8825026,-67.90970498 -45.88326091,-67.9076958 -45.8841084,-67.9082644 -45.8839366,-67.9093373 -45.8833167,-67.9103136 -45.8831972,-67.90591516 -45.88446218,,-67.90594775 -45.88423937,-67.9066443 -45.8844071,-67.9062474 -45.8852585,-67.908833 -45.885968,-67.9091012 -45.8864012,-67.90705336 -45.88840606,-67.9052818 -45.8875736,-67.90654780000001 -45.8882084,-67.9074919 -45.8882756,-67.90362098 -45.8874036,-67.9022241 -45.8892913,-67.9030609 -45.889239,-67.9032218 -45.8889477,-67.9028785 -45.8877678,-67.9034686 -45.8869165,-67.9039729 -45.8871629,-67.90098858 -45.88903898,-67.9052174 -45.8898887,-67.9046273 -45.8890523,-67.9033613 -45.8891643,-67.9021382 -45.8893659,-67.90475618 -45.89004619;-67.90475618 -45.89004619,-67.9052174 -45.8898887,-67.9046273 -45.8890523,-67.9033613 -45.8891643,-67.9021382 -45.8893659,-67.90098858 -45.88903898,-67.9022241 -45.8892913,-67.9030609 -45.889239,-67.9032218 -45.8889477,-67.9028785 -45.8877678,-67.9034686 -45.8869165,-67.9039729 -45.8871629,-67.90362098 -45.8874036,-67.9039729 -45.8871629,-67.9034686 -45.8869165,-67.9041123 -45.886192,-67.9042947 -45.8847656,-67.90316820000001 -45.883637900000004,-67.90293219 -45.8836944,-67.90316820000001 -45.883637900000004,-67.9026854 -45.8831823,-67.9021275 -45.8832794,-67.900722 -45.8842279,-67.9001105 -45.8851465,-67.8995955 -45.8843175,-67.89811074 -45.88424629,-67.896452 -45.8842129,-67.8972995 -45.8841607,-67.8987801 -45.8833839,-67.8993165 -45.8836304,-67.89478887 -45.88442779,-67.895658 -45.88465360000001,-67.8955078 -45.8872675,-67.89402720000001 -45.888186,-67.89313670000001 -45.8879097,-67.8935552 -45.8866999,-67.891624 -45.8850718,-67.88986813 -45.88509226,-67.8916669 -45.8851316,-67.891463 -45.8853332,-67.8890061 -45.8855946,-67.8886521 -45.8849672,-67.88725199 -45.88498287,-67.8877938 -45.885251,-67.8862166 -45.8849523,-67.88477851 -45.88530377,-67.8863347 -45.8849448,-67.8869569 -45.8849672,-67.8874826 -45.883847,-67.8903258 -45.883570600000006,-67.88934482 -45.88367092,-67.8808522 -45.8847432,-67.8831053 -45.8843548,-67.884897 -45.8834586,-67.8876114 -45.88378720000001,-67.8901434 -45.8835856,-67.87931365 -45.88515467,-67.8775477 -45.8859232,-67.87784810000001 -45.8854153,-67.8789425 -45.8862742,-67.879554 -45.8862667,-67.8829443 -45.8844743,-67.8806055 -45.8848253,-67.87597578 -45.88674947,,-67.87630061 -45.88642699,-67.8775907 -45.885744,-67.8778374 -45.8851241,-67.8766251 -45.8844594,-67.8767002 -45.8840561,-67.8758872 -45.88413516,-67.8738034 -45.8829806,-67.8739858 -45.8834512,-67.87655 -45.8844445,-67.8765929 -45.8840262,-67.87263059 -45.88283868,-67.8737283 -45.8829508,-67.8736854 -45.8833242,-67.8730094 -45.8829134,-67.8686643 -45.8830254,-67.86703039 -45.88312685,-67.8685462 -45.8831151,-67.8700483 -45.8829059,-67.8648233 -45.8818603,-67.8628063 -45.8810537,-67.8621304 -45.8814645,-67.86071597 -45.88116865,-67.8622806 -45.8814346,-67.8628922 -45.8810985,-67.8613365 -45.8799035,-67.8605962 -45.879896,-67.85926992 -45.88036306,-67.8608537 -45.8799333,-67.8613579 -45.8799707,-67.8611863 -45.8784545,-67.86092880000001 -45.8783424,-67.859516 -45.87831444;-67.859516 -45.87831444,-67.8573883 -45.8816587,-67.8575063 -45.8811433,-67.8592443 -45.8804114,-67.8593087 -45.8795599,-67.8584397 -45.8786113,-67.8589547 -45.8770502,-67.8599954 -45.87787190000001,-67.85651325 -45.88220843,-67.8574526 -45.8818977,-67.8570664 -45.8807624,-67.8556824 -45.8812367,-67.8564656 -45.8801798,-67.855851 -45.88011934,-67.8507471 -45.87878310000001,-67.851643 -45.8793134,-67.8513211 -45.8804636,-67.8522384 -45.8811919,-67.8556824 -45.8812367,-67.856546 -45.8801873,-67.85112203 -45.88017373;-67.85112203 -45.88017373,-67.8507471 -45.87878310000001,-67.851643 -45.8793134,-67.8513211 -45.8804636,-67.8522384 -45.8811919,-67.8556824 -45.8812367,-67.856546 -45.8801873,-67.855851 -45.88011934,-67.8574526 -45.8818977,-67.8570664 -45.8807624,-67.8556824 -45.8812367,-67.8564656 -45.8801798,-67.85651325 -45.88220843,-67.8573883 -45.8816587,-67.8575063 -45.8811433,-67.8592443 -45.8804114,-67.8593087 -45.8795599,-67.8584397 -45.8786113,-67.8589547 -45.8770502,-67.8599954 -45.87787190000001,-67.859516 -45.87831444,-67.8608537 -45.8799333,-67.8613579 -45.8799707,-67.8611863 -45.8784545,-67.86092880000001 -45.8783424,-67.85926992 -45.88036306,-67.8622806 -45.8814346,-67.8628922 -45.8810985,-67.8613365 -45.8799035,-67.8605962 -45.879896,-67.86071597 -45.88116865,-67.8685462 -45.8831151,-67.8700483 -45.8829059,-67.8648233 -45.8818603,-67.8628063 -45.8810537,-67.8621304 -45.8814645,-67.86703039 -45.88312685,-67.8737283 -45.8829508,-67.8736854 -45.8833242,-67.8730094 -45.8829134,-67.8686643 -45.8830254,-67.87263059 -45.88283868,-67.8738034 -45.8829806,-67.8739858 -45.8834512,-67.87655 -45.8844445,-67.8765929 -45.8840262,-67.8758872 -45.88413516,-67.8775907 -45.885744,-67.8778374 -45.8851241,-67.8766251 -45.8844594,-67.8767002 -45.8840561,-67.87630061 -45.88642699,,-67.87597578 -45.88674947,-67.8775477 -45.8859232,-67.87784810000001 -45.8854153,-67.8789425 -45.8862742,-67.879554 -45.8862667,-67.8829443 -45.8844743,-67.8806055 -45.8848253,-67.87931365 -45.88515467,-67.8808522 -45.8847432,-67.8831053 -45.8843548,-67.884897 -45.8834586,-67.8876114 -45.88378720000001,-67.8901434 -45.8835856,-67.88934482 -45.88367092,-67.8863347 -45.8849448,-67.8869569 -45.8849672,-67.8874826 -45.883847,-67.8903258 -45.883570600000006,-67.88477851 -45.88530377,-67.8877938 -45.885251,-67.8862166 -45.8849523,-67.88725199 -45.88498287,-67.8916669 -45.8851316,-67.891463 -45.8853332,-67.8890061 -45.8855946,-67.8886521 -45.8849672,-67.88986813 -45.88509226,-67.895658 -45.88465360000001,-67.8955078 -45.8872675,-67.89402720000001 -45.888186,-67.89313670000001 -45.8879097,-67.8935552 -45.8866999,-67.891624 -45.8850718,-67.89478887 -45.88442779,-67.896452 -45.8842129,-67.8972995 -45.8841607,-67.8987801 -45.8833839,-67.8993165 -45.8836304,-67.89811074 -45.88424629,-67.90316820000001 -45.883637900000004,-67.9026854 -45.8831823,-67.9021275 -45.8832794,-67.900722 -45.8842279,-67.9001105 -45.8851465,-67.8995955 -45.8843175,-67.90293219 -45.8836944,-67.9039729 -45.8871629,-67.9034686 -45.8869165,-67.9041123 -45.886192,-67.9042947 -45.8847656,-67.90316820000001 -45.883637900000004,-67.90362098 -45.8874036,-67.9052818 -45.8875736,-67.90654780000001 -45.8882084,-67.9074919 -45.8882756,-67.90705336 -45.88840606,-67.9066443 -45.8844071,-67.9062474 -45.8852585,-67.908833 -45.885968,-67.9091012 -45.8864012,-67.90594775 -45.88423937,,-67.90591516 -45.88446218,-67.9076958 -45.8841084,-67.9082644 -45.8839366,-67.9093373 -45.8833167,-67.9103136 -45.8831972,-67.90970498 -45.88326091,-67.911365 -45.8831076,-67.9142618 -45.8826968,-67.9159892 -45.8825026,-67.91541483 -45.88231338,-67.9166651 -45.8823159,-67.9170835 -45.8822711,-67.9178345 -45.8833989,-67.9184783 -45.8832943,-67.91747464 -45.88372353,-67.9183173 -45.8833018,-67.9179525 -45.8832943,-67.9178452 -45.8829358,-67.9186606 -45.8819873,-67.9191113 -45.8815466,-67.9197979 -45.8813898,-67.91930941 -45.88137118,-67.9231775 -45.8798138,-67.9230273 -45.8801051,-67.9220295 -45.8802022,-67.9198301 -45.8807027,-67.9191542 -45.8814645,-67.9198301 -45.8813375,-67.92260289 -45.87981886,-67.9288745 -45.8790371,-67.9299045 -45.8786188,-67.929765 -45.8784918,-67.9247224 -45.8798512,-67.9241753 -45.8796943,-67.92746283 -45.879252,-67.9288745 -45.8790371,-67.9299796 -45.8786337,-67.9304302 -45.8776552,-67.9309022 -45.8766245,-67.9306126 -45.8766543,-67.92916705 -45.87686758,-67.9305589 -45.8765722,-67.9309773 -45.8765423,-67.9323184 -45.875011,-67.9336917 -45.8726132,-67.93292309 -45.87290945,-67.9337347 -45.872531,-67.9350007 -45.8704245,-67.9346895 -45.8701032,-67.933282 -45.87018527,-67.936492 -45.8696625,-67.9362881 -45.8694234,-67.9350436 -45.8703273,-67.9347003 -45.8699986,-67.93551008 -45.87004015,-67.9383588 -45.8674437,-67.9380584 -45.8682655,-67.9363847 -45.8693786,-67.9365671 -45.8696326,-67.9400271 -45.8665472</t>
  </si>
  <si>
    <t>-67.9400271 -45.8665472,-67.9383588 -45.8674437,-67.9380101 -45.8666929,-67.9392922 -45.8661064,-67.93822649 -45.86645361,,-67.93820898 -45.86621382,-67.939437 -45.8659907,-67.9410034 -45.8642985,-67.9397787 -45.86446671,-67.9413575 -45.8643508,-67.94191 -45.8638801,-67.9413092 -45.8637717,-67.94026881 -45.86394522,-67.9412395 -45.8636896,-67.94085860000001 -45.8628677,-67.94016816 -45.86304785,-67.9407942 -45.8630844,-67.9403758 -45.8621878,-67.9386914 -45.8624792,-67.93749455 -45.86270022,-67.9389811 -45.8623559,-67.9389596 -45.8618329,-67.9381979 -45.8610783,-67.9390669 -45.8607794,-67.93809539 -45.86091501,-67.9388309 -45.8607794,-67.938112 -45.8611007,-67.9377472 -45.860899,-67.9362881 -45.8614743,-67.9374897 -45.8619749,-67.93652197 -45.86222667,-67.9375219 -45.8620421,-67.9357517 -45.861085800000005,-67.9346144 -45.8614519,-67.93332777 -45.86169272,-67.9343569 -45.8614145,-67.9335523 -45.861549,-67.9334021 -45.8611381,-67.9309666 -45.8609214,-67.92973166 -45.86112334,-67.9307091 -45.86097370000001,-67.9287457 -45.8609588,-67.9288423 -45.860757,-67.92827234 -45.86082887,-67.9288423 -45.860757,-67.9286063 -45.8609812,-67.9269433 -45.8608168,-67.9254305 -45.8610559,-67.9256237 -45.8606898,-67.92472033 -45.86078317;-67.92472033 -45.86078317,-67.9253769 -45.8604208,-67.92240500000001 -45.8586799,-67.9212785 -45.8587546,-67.92001872 -45.85910034,-67.9202163 -45.858963800000005,-67.9188108 -45.8570659,-67.918371 -45.8571108,-67.91707962 -45.85731555,-67.9179096 -45.8569314,-67.917974 -45.8555117,-67.9220295 -45.8569464,-67.92158978 -45.85720014,-67.9236388 -45.8571407,-67.9227161 -45.8570659,-67.92272998 -45.85731085;-67.92272998 -45.85731085,-67.9283702 -45.8576637,-67.9275548 -45.8572154,-67.9269218 -45.8575143,-67.9259026 -45.8575367,-67.9241967 -45.8567969,-67.92745639 -45.85783394,-67.9284239 -45.8577608,-67.9278553 -45.858792,-67.9272817 -45.85903741;-67.9272817 -45.85903741,-67.9288638 -45.8589265,-67.9306984 -45.8588144,-67.92996431 -45.85892348,-67.9338741 -45.8553324,-67.9329085 -45.85672970000001,-67.9318249 -45.8585902,-67.9328218 -45.85546946,-67.9352367 -45.8546599,-67.9346144 -45.8547794,-67.9340136 -45.8552128,-67.93449161 -45.85473418,-67.9390132 -45.8553324,-67.9377794 -45.8546898,-67.9357088 -45.8545104,-67.93784211 -45.85566073,-67.9418778 -45.8559601,-67.9390132 -45.8553324,-67.94127839 -45.85682198,-67.9455793 -45.8575815,-67.9449892 -45.8573947,-67.9450321 -45.8569464,-67.9437447 -45.8569987,-67.9429507 -45.8566475,-67.94451337 -45.85788474,-67.95038580000002 -45.8584109,-67.9492486 -45.8582839,-67.9486799 -45.8563934,-67.9455793 -45.8575815,-67.94942594 -45.85854239,-67.9494631 -45.8607197,-67.9496992 -45.8604582,-67.9489589 -45.8596363,-67.9496777 -45.8591282,-67.9500318 -45.8586351,-67.9503858 -45.8584632,-67.94780419 -45.86081977,-67.9479718 -45.8615453,-67.9493934 -45.8606973,-67.9489589 -45.8606599,-67.94655091 -45.86160389,-67.9483044 -45.861911400000004,-67.9473495 -45.8614183,-67.94727301 -45.86217176,-67.9469097 -45.8620944,-67.9481596 -45.8620048,-67.94569946 -45.86221924,-67.9427254 -45.8635364,-67.9464859 -45.8623447,-67.9469097 -45.862016,-67.9400271 -45.8665472,-67.9452038 -45.8642219,-67.9464403 -45.8647635,-67.9454304 -45.86503525,,-67.94551194 -45.86495899,-67.949152 -45.8670029,-67.9489589 -45.866338,-67.9464805 -45.8656358,-67.946502 -45.8652099,-67.94827454 -45.86749255,-67.9513514 -45.867951700000006,-67.9506004 -45.8681534,-67.9493558 -45.8665622,-67.9490876 -45.8664576,-67.9492164 -45.8668461,-67.95075242 -45.86791677,-67.9511476 -45.8693039,-67.95089010000001 -45.8697222,-67.9506433 -45.8681011,-67.9512978 -45.867892,-67.95011093 -45.86936834,-67.9526013 -45.869965,-67.9517484 -45.8700734,-67.9508901 -45.8697222,-67.9511476 -45.8693039,-67.95188123 -45.87007275,-67.9518449 -45.870925,-67.9516733 -45.8706037,-67.9509866 -45.870275,-67.95089010000001 -45.8697222,-67.9517484 -45.8700734,-67.9526281 -45.8699912,-67.95082673 -45.87123588,-67.9510081 -45.87218,-67.9515123 -45.8715599,-67.9518449 -45.870925,-67.94974928 -45.87213834,-67.9508579 -45.8736739,-67.9509115 -45.8721426,-67.94983615 -45.87396079,-67.9521346 -45.8759746,-67.951448 -45.8759597,-67.9509008 -45.8738383,-67.95155064 -45.87647635,-67.9521239 -45.8742491,-67.9518771 -45.875885,-67.9521346 -45.8759746,-67.95131727 -45.87411285;-67.95131727 -45.87411285,-67.9521239 -45.8742491,-67.9518771 -45.875885,-67.9521346 -45.8759746,-67.95155064 -45.87647635,-67.9521346 -45.8759746,-67.951448 -45.8759597,-67.9509008 -45.8738383,-67.94983615 -45.87396079,-67.9508579 -45.8736739,-67.9509115 -45.8721426,-67.94974928 -45.87213834,-67.9510081 -45.87218,-67.9515123 -45.8715599,-67.9518449 -45.870925,-67.95082673 -45.87123588,-67.9518449 -45.870925,-67.9516733 -45.8706037,-67.9509866 -45.870275,-67.95089010000001 -45.8697222,-67.9517484 -45.8700734,-67.9526281 -45.8699912,-67.95188123 -45.87007275,-67.9526013 -45.869965,-67.9517484 -45.8700734,-67.9508901 -45.8697222,-67.9511476 -45.8693039,-67.95011093 -45.86936834,-67.9511476 -45.8693039,-67.95089010000001 -45.8697222,-67.9506433 -45.8681011,-67.9512978 -45.867892,-67.95075242 -45.86791677,-67.9513514 -45.867951700000006,-67.9506004 -45.8681534,-67.9493558 -45.8665622,-67.9490876 -45.8664576,-67.9492164 -45.8668461,-67.94827454 -45.86749255,-67.949152 -45.8670029,-67.9489589 -45.866338,-67.9464805 -45.8656358,-67.946502 -45.8652099,-67.94551194 -45.86495899,,-67.9454304 -45.86503525,-67.9452038 -45.8642219,-67.9464403 -45.8647635,-67.9400271 -45.8665472,-67.9427254 -45.8635364,-67.9464859 -45.8623447,-67.9469097 -45.862016,-67.94569946 -45.86221924,-67.9469097 -45.8620944,-67.9481596 -45.8620048,-67.94727301 -45.86217176,-67.9483044 -45.861911400000004,-67.9473495 -45.8614183,-67.94655091 -45.86160389,-67.9479718 -45.8615453,-67.9493934 -45.8606973,-67.9489589 -45.8606599,-67.94780419 -45.86081977,-67.9549134 -45.858239,-67.9527032 -45.8590684,-67.9493666 -45.8607794,-67.9491198 -45.8606898,-67.9539623 -45.85805836,-67.9549778 -45.85820170000001,-67.9571986 -45.85672970000001,-67.9579175 -45.8564981,-67.9585719 -45.8567521,-67.95773843 -45.85672753,-67.9637325 -45.8577459,-67.9643655 -45.8579476,-67.9642689 -45.8583885,-67.9623485 -45.8582017,-67.9617047 -45.8578879,-67.960825 -45.8571257,-67.9587221 -45.8568418,-67.96207279 -45.85789473,-67.9626489 -45.8575591,-67.9621768 -45.8566998,-67.96103638 -45.85651367;-67.96103638 -45.85651367,-67.9626489 -45.8575591,-67.9621768 -45.8566998,-67.96207279 -45.85789473,-67.9637325 -45.8577459,-67.9643655 -45.8579476,-67.9642689 -45.8583885,-67.9623485 -45.8582017,-67.9617047 -45.8578879,-67.960825 -45.8571257,-67.9587221 -45.8568418,-67.95773843 -45.85672753,-67.9549778 -45.85820170000001,-67.9571986 -45.85672970000001,-67.9579175 -45.8564981,-67.9585719 -45.8567521,-67.9539623 -45.85805836,-67.9549134 -45.858239,-67.9527032 -45.8590684,-67.9493666 -45.8607794,-67.9491198 -45.8606898,-67.94780419 -45.86081977,-67.9479718 -45.8615453,-67.9493934 -45.8606973,-67.9489589 -45.8606599,-67.94655091 -45.86160389,-67.9483044 -45.861911400000004,-67.9473495 -45.8614183,-67.94727301 -45.86217176,-67.9469097 -45.8620944,-67.9481596 -45.8620048,-67.94569946 -45.86221924,-67.9427254 -45.8635364,-67.9464859 -45.8623447,-67.9469097 -45.862016,-67.9400271 -45.8665472</t>
  </si>
  <si>
    <t>-67.9400271 -45.8665472,-67.9383588 -45.8674437,-67.9380584 -45.8682655,-67.9363847 -45.8693786,-67.9365671 -45.8696326,-67.93551008 -45.87004015,-67.936492 -45.8696625,-67.9362881 -45.8694234,-67.9350436 -45.8703273,-67.9347003 -45.8699986,-67.933282 -45.87018527,-67.9337347 -45.872531,-67.9350007 -45.8704245,-67.9346895 -45.8701032,-67.93292309 -45.87290945,-67.9305589 -45.8765722,-67.9309773 -45.8765423,-67.9323184 -45.875011,-67.9336917 -45.8726132,-67.92916705 -45.87686758,-67.9288745 -45.8790371,-67.9299796 -45.8786337,-67.9304302 -45.8776552,-67.9309022 -45.8766245,-67.9306126 -45.8766543,-67.92746283 -45.879252,-67.9288745 -45.8790371,-67.9299045 -45.8786188,-67.929765 -45.8784918,-67.9247224 -45.8798512,-67.9241753 -45.8796943,-67.92260289 -45.87981886,-67.9231775 -45.8798138,-67.9230273 -45.8801051,-67.9220295 -45.8802022,-67.9198301 -45.8807027,-67.9191542 -45.8814645,-67.9198301 -45.8813375,-67.91930941 -45.88137118,-67.9183173 -45.8833018,-67.9179525 -45.8832943,-67.9178452 -45.8829358,-67.9186606 -45.8819873,-67.9191113 -45.8815466,-67.9197979 -45.8813898,-67.91747464 -45.88372353,-67.9166651 -45.8823159,-67.9170835 -45.8822711,-67.9178345 -45.8833989,-67.9184783 -45.8832943,-67.91541483 -45.88231338,-67.911365 -45.8831076,-67.9142618 -45.8826968,-67.9159892 -45.8825026,-67.90970498 -45.88326091,-67.9076958 -45.8841084,-67.9082644 -45.8839366,-67.9093373 -45.8833167,-67.9103136 -45.8831972,-67.90591516 -45.88446218,,-67.90594775 -45.88423937,-67.9066443 -45.8844071,-67.9062474 -45.8852585,-67.908833 -45.885968,-67.9091012 -45.8864012,-67.90705336 -45.88840606,-67.9052818 -45.8875736,-67.90654780000001 -45.8882084,-67.9074919 -45.8882756,-67.90362098 -45.8874036,-67.9039729 -45.8871629,-67.9034686 -45.8869165,-67.9041123 -45.886192,-67.9042947 -45.8847656,-67.90316820000001 -45.883637900000004,-67.90293219 -45.8836944,-67.90316820000001 -45.883637900000004,-67.9026854 -45.8831823,-67.9021275 -45.8832794,-67.900722 -45.8842279,-67.9001105 -45.8851465,-67.8995955 -45.8843175,-67.89811074 -45.88424629,-67.896452 -45.8842129,-67.8972995 -45.8841607,-67.8987801 -45.8833839,-67.8993165 -45.8836304,-67.89478887 -45.88442779,-67.895658 -45.88465360000001,-67.8955078 -45.8872675,-67.89402720000001 -45.888186,-67.89313670000001 -45.8879097,-67.8935552 -45.8866999,-67.891624 -45.8850718,-67.88986813 -45.88509226,-67.8916669 -45.8851316,-67.891463 -45.8853332,-67.8890061 -45.8855946,-67.8886521 -45.8849672,-67.88725199 -45.88498287,-67.8877938 -45.885251,-67.8862166 -45.8849523,-67.88477851 -45.88530377,-67.8847039 -45.885542300000004,-67.8854334 -45.8851465,-67.88304639 -45.88588109,-67.8838027 -45.88608,-67.882483 -45.8868716,-67.88085052 -45.88709026,-67.8783846 -45.8885519,-67.8803802 -45.8880143,-67.8826654 -45.8868044,-67.8823113 -45.8868119,-67.87661058 -45.88889945,-67.8765285 -45.89045620000001,-67.877773 -45.8901799,-67.8803802 -45.8880143,-67.8783846 -45.8885519,-67.87484305 -45.89067788,-67.8792322 -45.8901127,-67.877934 -45.8900903,-67.8765285 -45.89045620000001,-67.87813787 -45.88993585,-67.8789854 -45.8901127,-67.8777838 -45.8901052,-67.8751981 -45.8927935,-67.8739536 -45.8942571,-67.87230402 -45.89457162,-67.8727734 -45.8946678,-67.8694153 -45.8954742,-67.8682566 -45.89504860000001,-67.86797017 -45.89505687,-67.86816 -45.8950113,-67.8676021 -45.8944886,-67.866143 -45.8944961,-67.86504739 -45.89456671,-67.8660572 -45.8945035,-67.8649414 -45.8945185,-67.8640723 -45.8941302,-67.8626239 -45.893936,-67.8611112 -45.8934058,-67.8592336 -45.8931445,-67.8576779 -45.8937045,-67.8559321 -45.89402021,,-67.85521863 -45.89409907;-67.85521863 -45.89409907,,-67.8559321 -45.89402021,-67.8660572 -45.8945035,-67.8649414 -45.8945185,-67.8640723 -45.8941302,-67.8626239 -45.893936,-67.8611112 -45.8934058,-67.8592336 -45.8931445,-67.8576779 -45.8937045,-67.86504739 -45.89456671,-67.86816 -45.8950113,-67.8676021 -45.8944886,-67.866143 -45.8944961,-67.86797017 -45.89505687,-67.8685999 -45.895295,-67.8667116 -45.8956833,-67.8646088 -45.8956833,-67.86301998 -45.89560501;-67.86301998 -45.89560501,-67.8636646 -45.8957132,-67.8630209 -45.8961014,-67.8661537 -45.8966391,-67.86618307 -45.89684928,-67.8667545 -45.8970572,-67.8640938 -45.8981025,-67.8651237 -45.89867,-67.86456115 -45.89914262,-67.8660679 -45.8992972,-67.8682137 -45.8998049,-67.86778786 -45.90024848;-67.86778786 -45.90024848,-67.8660679 -45.8992972,-67.8682137 -45.8998049,-67.86456115 -45.89914262,-67.8667545 -45.8970572,-67.8640938 -45.8981025,-67.8651237 -45.89867,-67.86618307 -45.89684928,-67.8636646 -45.8957132,-67.8630209 -45.8961014,-67.8661537 -45.8966391,-67.86301998 -45.89560501,-67.8685999 -45.895295,-67.8667116 -45.8956833,-67.8646088 -45.8956833,-67.86797017 -45.89505687,-67.8727734 -45.8946678,-67.8694153 -45.8954742,-67.8682566 -45.89504860000001,-67.87230402 -45.89457162,-67.8789854 -45.8901127,-67.8777838 -45.8901052,-67.8751981 -45.8927935,-67.8739536 -45.8942571,-67.87813787 -45.88993585,-67.8792322 -45.8901127,-67.877934 -45.8900903,-67.8765285 -45.89045620000001,-67.87484305 -45.89067788,-67.8765285 -45.89045620000001,-67.877773 -45.8901799,-67.8803802 -45.8880143,-67.8783846 -45.8885519,-67.87661058 -45.88889945,-67.8783846 -45.8885519,-67.8803802 -45.8880143,-67.8826654 -45.8868044,-67.8823113 -45.8868119,-67.88085052 -45.88709026,-67.8838027 -45.88608,-67.882483 -45.8868716,-67.88304639 -45.88588109,-67.8847039 -45.885542300000004,-67.8854334 -45.8851465,-67.88477851 -45.88530377,-67.8877938 -45.885251,-67.8862166 -45.8849523,-67.88725199 -45.88498287,-67.8916669 -45.8851316,-67.891463 -45.8853332,-67.8890061 -45.8855946,-67.8886521 -45.8849672,-67.88986813 -45.88509226,-67.895658 -45.88465360000001,-67.8955078 -45.8872675,-67.89402720000001 -45.888186,-67.89313670000001 -45.8879097,-67.8935552 -45.8866999,-67.891624 -45.8850718,-67.89478887 -45.88442779,-67.896452 -45.8842129,-67.8972995 -45.8841607,-67.8987801 -45.8833839,-67.8993165 -45.8836304,-67.89811074 -45.88424629,-67.90316820000001 -45.883637900000004,-67.9026854 -45.8831823,-67.9021275 -45.8832794,-67.900722 -45.8842279,-67.9001105 -45.8851465,-67.8995955 -45.8843175,-67.90293219 -45.8836944,-67.9039729 -45.8871629,-67.9034686 -45.8869165,-67.9041123 -45.886192,-67.9042947 -45.8847656,-67.90316820000001 -45.883637900000004,-67.90362098 -45.8874036,-67.9052818 -45.8875736,-67.90654780000001 -45.8882084,-67.9074919 -45.8882756,-67.90705336 -45.88840606,-67.9066443 -45.8844071,-67.9062474 -45.8852585,-67.908833 -45.885968,-67.9091012 -45.8864012,-67.90594775 -45.88423937,,-67.90591516 -45.88446218,-67.9076958 -45.8841084,-67.9082644 -45.8839366,-67.9093373 -45.8833167,-67.9103136 -45.8831972,-67.90970498 -45.88326091,-67.911365 -45.8831076,-67.9142618 -45.8826968,-67.9159892 -45.8825026,-67.91541483 -45.88231338,-67.9166651 -45.8823159,-67.9170835 -45.8822711,-67.9178345 -45.8833989,-67.9184783 -45.8832943,-67.91747464 -45.88372353,-67.9183173 -45.8833018,-67.9179525 -45.8832943,-67.9178452 -45.8829358,-67.9186606 -45.8819873,-67.9191113 -45.8815466,-67.9197979 -45.8813898,-67.91930941 -45.88137118,-67.9231775 -45.8798138,-67.9230273 -45.8801051,-67.9220295 -45.8802022,-67.9198301 -45.8807027,-67.9191542 -45.8814645,-67.9198301 -45.8813375,-67.92260289 -45.87981886,-67.9288745 -45.8790371,-67.9299045 -45.8786188,-67.929765 -45.8784918,-67.9247224 -45.8798512,-67.9241753 -45.8796943,-67.92746283 -45.879252,-67.9288745 -45.8790371,-67.9299796 -45.8786337,-67.9304302 -45.8776552,-67.9309022 -45.8766245,-67.9306126 -45.8766543,-67.92916705 -45.87686758,-67.9305589 -45.8765722,-67.9309773 -45.8765423,-67.9323184 -45.875011,-67.9336917 -45.8726132,-67.93292309 -45.87290945,-67.9337347 -45.872531,-67.9350007 -45.8704245,-67.9346895 -45.8701032,-67.933282 -45.87018527,-67.936492 -45.8696625,-67.9362881 -45.8694234,-67.9350436 -45.8703273,-67.9347003 -45.8699986,-67.93551008 -45.87004015,-67.9383588 -45.8674437,-67.9380584 -45.8682655,-67.9363847 -45.8693786,-67.9365671 -45.8696326,-67.9400271 -45.8665472</t>
  </si>
  <si>
    <t>-67.9400271 -45.8665472,-67.9383588 -45.8674437,-67.9380584 -45.8682655,-67.9363847 -45.8693786,-67.9365671 -45.8696326,-67.93551008 -45.87004015,-67.936492 -45.8696625,-67.9362881 -45.8694234,-67.9350436 -45.8703273,-67.9347003 -45.8699986,-67.933282 -45.87018527,-67.9337347 -45.872531,-67.9350007 -45.8704245,-67.9346895 -45.8701032,-67.93292309 -45.87290945,-67.9305589 -45.8765722,-67.9309773 -45.8765423,-67.9323184 -45.875011,-67.9336917 -45.8726132,-67.92916705 -45.87686758,-67.9288745 -45.8790371,-67.9299796 -45.8786337,-67.9304302 -45.8776552,-67.9309022 -45.8766245,-67.9306126 -45.8766543,-67.92746283 -45.879252,-67.9288745 -45.8790371,-67.9299796 -45.8786337,-67.9308271 -45.8793582,-67.9310632 -45.8796271,-67.9308057 -45.8796645,-67.92926139 -45.87980166,-67.9308057 -45.8796645,-67.9309773 -45.8795823,-67.9308271 -45.8793582,-67.9319429 -45.8795524,-67.9332089 -45.8799333,-67.9339921 -45.8795524,-67.9349685 -45.8793358,-67.935698 -45.8793209,-67.93512028 -45.8793768,-67.9364383 -45.8791566,-67.9368889 -45.8790371,-67.9370821 -45.878798,-67.939657 -45.8787906,-67.9398179 -45.8784246,-67.93938002 -45.87863178,-67.9433799 -45.8793582,-67.9425859 -45.8792462,-67.9414809 -45.8788951,-67.9399574 -45.8788802,-67.9395819 -45.8785889,-67.9398179 -45.8784246,-67.94258106 -45.87928487,-67.9468131 -45.8799931,-67.9464698 -45.8794927,-67.9443026 -45.8791491,-67.9459034 -45.88040255,-67.9472744 -45.8827118,-67.9475963 -45.8819051,-67.9476392 -45.8807475,-67.9472208 -45.8805159,-67.94607409 -45.88311995,-67.9472744 -45.8852212,-67.9470921 -45.8844967,-67.9472423 -45.883959,-67.9472315 -45.8831823,-67.94628753 -45.88560005,-67.9487872 -45.8868418,-67.9495382 -45.8874766,-67.9496884 -45.88726,-67.9485726 -45.886095,-67.9476714 -45.8855871,-67.94746568 -45.88694764,-67.948755 -45.886894,-67.9494202 -45.887484,-67.9503751 -45.8875587,-67.9509008 -45.8873571,-67.9508793 -45.8868716,-67.94972726 -45.88693813,-67.951051 -45.8868418,-67.9516089 -45.886207,-67.952832 -45.8866028,-67.95178221 -45.88666191,-67.957381 -45.8868268,-67.9566729 -45.8866327,-67.953701 -45.8868791,-67.9533148 -45.8869911,-67.9529393 -45.8866103,-67.95650174 -45.8868325,-67.9563618 -45.8869613,-67.9570055 -45.8870583,-67.9568553 -45.8866028,-67.957381 -45.8868268,-67.95495587 -45.8875866,-67.9576063 -45.8896124,-67.9577136 -45.888888,-67.9572308 -45.8876483,-67.9565012 -45.8869986,-67.95602222 -45.88970885,-67.9610395 -45.8924351,-67.9590547 -45.8915988,-67.9585397 -45.8910014,-67.9589152 -45.8901575,-67.9578102 -45.8897468,-67.95993517 -45.89286656;-67.95993517 -45.89286656,-67.9610395 -45.8924351,-67.9590547 -45.8915988,-67.9585397 -45.8910014,-67.9589152 -45.8901575,-67.9578102 -45.8897468,-67.95602222 -45.88970885,-67.958647 -45.8921289,-67.9580784 -45.8917854,-67.958411 -45.8907699,-67.9588509 -45.8902397,-67.9578209 -45.8896422,-67.95792371 -45.89252328,-67.958411 -45.8946678,-67.9585934 -45.8938464,-67.9590118 -45.8934581,-67.9594839 -45.8932714,-67.9597199 -45.892913,-67.9595053 -45.8926741,-67.95753705 -45.89518861,-67.9602778 -45.8973559,-67.959677 -45.8974604,-67.9590976 -45.897326,-67.9587114 -45.8968257,-67.95928 -45.896094,-67.9591405 -45.8953548,-67.95956637 -45.89743693,-67.9612112 -45.8971319,-67.9633784 -45.8962807,-67.9639149 -45.8957132,-67.9634535 -45.8934357,-67.9631853 -45.892801,-67.96212496 -45.89267136,-67.9636359 -45.8920916,-67.9636359 -45.890964,-67.96267485 -45.89061558,-67.9667902 -45.8928309,-67.9665112 -45.8926517,-67.9661894 -45.8920169,-67.965138 -45.8917033,-67.964741 -45.8917481,-67.9635823 -45.8909043,-67.96564342 -45.89329615;-67.96564342 -45.89329615,-67.9649234 -45.8939808,-67.9661894 -45.8928234,-67.9669297 -45.8928981,-67.96375293 -45.89458506;-67.96375293 -45.89458506,-67.9649234 -45.8939808,-67.9661894 -45.8928234,-67.9669297 -45.8928981,-67.96564342 -45.89329615,-67.9667902 -45.8928309,-67.9665112 -45.8926517,-67.9661894 -45.8920169,-67.965138 -45.8917033,-67.964741 -45.8917481,-67.9635823 -45.8909043,-67.96267485 -45.89061558,-67.9636359 -45.8920916,-67.9636359 -45.890964,-67.96212496 -45.89267136,-67.963196 -45.8927189,-67.9626918 -45.8927114,-67.9624236 -45.8909043,-67.9618871 -45.8908445,-67.9608786 -45.8903442,-67.95958813 -45.89007642,-67.9609108 -45.8902845,-67.9623485 -45.8909491,-67.9621017 -45.8899111,-67.962445 -45.8899634,-67.9637861 -45.8886864,-67.96290254 -45.88863388;-67.96290254 -45.88863388,-67.9670262 -45.8881263,-67.9660714 -45.8869613,-67.9657602 -45.8876259,-67.9651165 -45.8877678,-67.9650307 -45.887947,-67.964462 -45.8880815,-67.96633372 -45.88873533,-67.9671872 -45.8881412,-67.9659748 -45.8870061,-67.9642153 -45.8869314,-67.9642582 -45.8866849,-67.96291589 -45.88644251,-67.9642582 -45.8866849,-67.9660714 -45.8869613,-67.9663503 -45.8865505,-67.9662859 -45.88549,-67.9665112 -45.8837798,-67.9671657 -45.8837275,-67.9670477 -45.8843548,-67.96615149 -45.88487087,-67.9689896 -45.8855572,-67.9684317 -45.8850942,-67.9680133 -45.8843399,-67.9672301 -45.8837872,-67.9670477 -45.8843548,-67.96828667 -45.88589528,-67.9702342 -45.8858709,-67.9697192 -45.8860352,-67.9691613 -45.8857589,-67.96952973 -45.8860392,-67.9752874 -45.8886341,-67.9738069 -45.8884922,-67.9698479 -45.8860651,-67.9702234 -45.8859307,-67.97417558 -45.88870119;-67.97417558 -45.88870119,-67.9752874 -45.8886341,-67.9738069 -45.8884922,-67.9698479 -45.8860651,-67.9702234 -45.8859307,-67.96952973 -45.8860392,-67.9702342 -45.8858709,-67.9697192 -45.8860352,-67.9691613 -45.8857589,-67.96828667 -45.88589528,-67.9689896 -45.8855572,-67.9684317 -45.8850942,-67.9680133 -45.8843399,-67.9672301 -45.8837872,-67.9670477 -45.8843548,-67.96615149 -45.88487087,-67.9642582 -45.8866849,-67.9660714 -45.8869613,-67.9663503 -45.8865505,-67.9662859 -45.88549,-67.9665112 -45.8837798,-67.9671657 -45.8837275,-67.9670477 -45.8843548,-67.96291589 -45.88644251,-67.9643977 -45.8867746,-67.9641402 -45.8867895,-67.9629064 -45.8855274,-67.9625845 -45.8842055,-67.9620588 -45.8840412,-67.9608893 -45.8848926,-67.95958113 -45.88533853,-67.960428 -45.8852436,-67.9597843 -45.8853855,-67.9578102 -45.8852959,-67.9558897 -45.8849448,-67.9546167 -45.88506443,-67.9573059 -45.8868268,-67.956748 -45.8864908,-67.9563725 -45.8857215,-67.9556644 -45.8849971,-67.95650174 -45.8868325,-67.957381 -45.8868268,-67.9566729 -45.8866327,-67.953701 -45.8868791,-67.9533148 -45.8869911,-67.9529393 -45.8866103,-67.95178221 -45.88666191,-67.951051 -45.8868418,-67.9516089 -45.886207,-67.952832 -45.8866028,-67.94972726 -45.88693813,-67.948755 -45.886894,-67.9494202 -45.887484,-67.9503751 -45.8875587,-67.9509008 -45.8873571,-67.9508793 -45.8868716,-67.94746568 -45.88694764,-67.9484117 -45.88667,-67.947489 -45.8864908,-67.9468238 -45.8864609,-67.9463196 -45.8856021,-67.9456758 -45.8850643,-67.945118 -45.8847581,-67.9446459 -45.8841607,-67.9440129 -45.8842652,-67.94255555 -45.88454697,-67.9434013 -45.8843175,-67.9426825 -45.884086,-67.9423177 -45.8838843,-67.94191 -45.8839814,-67.9418349 -45.8844669,-67.9412127 -45.8843922,-67.94007097 -45.88448059,-67.9413199 -45.8842577,-67.94191 -45.884325,-67.9418242 -45.8848403,-67.9404724 -45.8852734,-67.9399681 -45.8854975,-67.9388416 -45.8850046,-67.9390776 -45.8859083,-67.93803519 -45.88653092;-67.93803519 -45.88653092,-67.9390776 -45.8859083,-67.9388952 -45.8849299,-67.9384875 -45.8844519,-67.9383051 -45.883832,-67.939024 -45.8833317,-67.9396892 -45.8836155,-67.9402363 -45.8833989,-67.93935418 -45.88340612,-67.9404831 -45.883003,-67.9393351 -45.8816139,-67.9395604 -45.8815392,-67.93895804 -45.88204116,-67.9394478 -45.8815018,-67.9390669 -45.8813786,-67.9390454 -45.8810425,-67.9386485 -45.8811881,-67.938568 -45.8809641,-67.9379404 -45.8812105,-67.93588984 -45.88149225,-67.9380155 -45.8812404,-67.938627 -45.880852,-67.9384768 -45.8805682,-67.9371035 -45.8800827,-67.9358482 -45.8797093,-67.9335737 -45.8797616,-67.934432 -45.8794255,-67.9350007 -45.8792835,-67.9357088 -45.8792686,-67.93512028 -45.8793768,-67.9308057 -45.8796645,-67.9309773 -45.8795823,-67.9308271 -45.8793582,-67.9319429 -45.8795524,-67.9332089 -45.8799333,-67.9339921 -45.8795524,-67.9349685 -45.8793358,-67.935698 -45.8793209,-67.92926139 -45.87980166,-67.9288745 -45.8790371,-67.9299796 -45.8786337,-67.9308271 -45.8793582,-67.9310632 -45.8796271,-67.9308057 -45.8796645,-67.92746283 -45.879252,-67.9288745 -45.8790371,-67.9299796 -45.8786337,-67.9304302 -45.8776552,-67.9309022 -45.8766245,-67.9306126 -45.8766543,-67.92916705 -45.87686758,-67.9305589 -45.8765722,-67.9309773 -45.8765423,-67.9323184 -45.875011,-67.9336917 -45.8726132,-67.93292309 -45.87290945,-67.9337347 -45.872531,-67.9350007 -45.8704245,-67.9346895 -45.8701032,-67.933282 -45.87018527,-67.936492 -45.8696625,-67.9362881 -45.8694234,-67.9350436 -45.8703273,-67.9347003 -45.8699986,-67.93551008 -45.87004015,-67.9383588 -45.8674437,-67.9380584 -45.8682655,-67.9363847 -45.8693786,-67.9365671 -45.8696326,-67.9400271 -45.8665472,-67.9427254 -45.8635364,-67.9445654 -45.863047,-67.94562220000002 -45.8635738,-67.94453448 -45.86385281;-67.94453448 -45.86385281,-67.9427254 -45.8635364,-67.9445654 -45.863047,-67.94562220000002 -45.8635738,-67.9400271 -45.8665472</t>
  </si>
  <si>
    <t>-67.9400271 -45.8665472,-67.9427254 -45.8635364,-67.9464859 -45.8623447,-67.9469097 -45.862016,-67.94569946 -45.86221924,-67.9469097 -45.8620944,-67.9481596 -45.8620048,-67.94727301 -45.86217176,-67.9483044 -45.861911400000004,-67.9473495 -45.8614183,-67.94655091 -45.86160389,-67.9479718 -45.8615453,-67.9493934 -45.8606973,-67.9489589 -45.8606599,-67.94780419 -45.86081977,-67.9549134 -45.858239,-67.9527032 -45.8590684,-67.9493666 -45.8607794,-67.9491198 -45.8606898,-67.9539623 -45.85805836,-67.9549778 -45.85820170000001,-67.9571986 -45.85672970000001,-67.9579175 -45.8564981,-67.9585719 -45.8567521,-67.95773843 -45.85672753,-67.9586148 -45.8568044,-67.9579926 -45.8564383,-67.9605138 -45.8553847,-67.9615545 -45.8546374,-67.963078 -45.8525451,-67.9633892 -45.8522836,-67.9675841 -45.8512224,-67.9699767 -45.8512598,-67.9700732 -45.8515064,-67.9697835 -45.8517381,-67.96836168 -45.85192469,-67.9697835 -45.8517381,-67.9700947 -45.8517082,-67.9702342 -45.8514018,-67.9710817 -45.8516335,-67.97135 -45.8516633,-67.97067338 -45.85178783,-67.9748797 -45.8534568,-67.9738176 -45.8522612,-67.9730666 -45.8517007,-67.9728305 -45.8516858,-67.9720902 -45.8515438,-67.97404757 -45.85313584,-67.9750836 -45.8543983,-67.9752016 -45.8534194,-67.97353981 -45.85482131,-67.9721439 -45.8564532,-67.9723585 -45.855833,-67.9728305 -45.8549363,-67.9739249 -45.8544805,-67.9741395 -45.8540023,-67.9740536 -45.853539,-67.9744184 -45.8538977,-67.9746437 -45.8541517,-67.9750943 -45.8540247,-67.9749548 -45.854488,-67.97079424 -45.85669528,-67.9717469 -45.8565802,-67.9712749 -45.8564906,-67.9691505 -45.8556985,-67.9694617 -45.8555042,-67.96888425 -45.85562391,-67.96980500000001 -45.8555341,-67.9681528 -45.8556462,-67.966007 -45.8547122,-67.9648912 -45.8550335,-67.96313922 -45.85555735;-67.96313922 -45.85555735,-67.96980500000001 -45.8555341,-67.9681528 -45.8556462,-67.966007 -45.8547122,-67.9648912 -45.8550335,-67.96888425 -45.85562391,-67.9717469 -45.8565802,-67.9712749 -45.8564906,-67.9691505 -45.8556985,-67.9694617 -45.8555042,-67.97079424 -45.85669528,-67.9721439 -45.8564532,-67.9723585 -45.855833,-67.9728305 -45.8549363,-67.9739249 -45.8544805,-67.9741395 -45.8540023,-67.9740536 -45.853539,-67.9744184 -45.8538977,-67.9746437 -45.8541517,-67.9750943 -45.8540247,-67.9749548 -45.854488,-67.97353981 -45.85482131,-67.9750836 -45.8543983,-67.9752016 -45.8534194,-67.97404757 -45.85313584,-67.9748797 -45.8534568,-67.9738176 -45.8522612,-67.9730666 -45.8517007,-67.9728305 -45.8516858,-67.9720902 -45.8515438,-67.97067338 -45.85178783,-67.9697835 -45.8517381,-67.9700947 -45.8517082,-67.9702342 -45.8514018,-67.9710817 -45.8516335,-67.97135 -45.8516633,-67.96836168 -45.85192469,-67.9586148 -45.8568044,-67.9579926 -45.8564383,-67.9605138 -45.8553847,-67.9615545 -45.8546374,-67.963078 -45.8525451,-67.9633892 -45.8522836,-67.9675841 -45.8512224,-67.9699767 -45.8512598,-67.9700732 -45.8515064,-67.9697835 -45.8517381,-67.95773843 -45.85672753,-67.9549778 -45.85820170000001,-67.9571986 -45.85672970000001,-67.9579175 -45.8564981,-67.9585719 -45.8567521,-67.9539623 -45.85805836,-67.9549134 -45.858239,-67.9527032 -45.8590684,-67.9493666 -45.8607794,-67.9491198 -45.8606898,-67.94780419 -45.86081977,-67.9479718 -45.8615453,-67.9493934 -45.8606973,-67.9489589 -45.8606599,-67.94655091 -45.86160389,-67.9483044 -45.861911400000004,-67.9473495 -45.8614183,-67.94727301 -45.86217176,-67.9469097 -45.8620944,-67.9481596 -45.8620048,-67.94569946 -45.86221924,-67.9427254 -45.8635364,-67.9464859 -45.8623447,-67.9469097 -45.862016,-67.9400271 -45.8665472,-67.9383588 -45.8674437,-67.9380101 -45.8666929,-67.9392922 -45.8661064,-67.93822649 -45.86645361,,-67.93820898 -45.86621382,-67.939437 -45.8659907,-67.9410034 -45.8642985,-67.9397787 -45.86446671,-67.9413575 -45.8643508,-67.94191 -45.8638801,-67.9413092 -45.8637717,-67.94026881 -45.86394522,-67.9412395 -45.8636896,-67.94085860000001 -45.8628677,-67.94016816 -45.86304785,-67.9407513 -45.863103100000004,-67.9403973 -45.8622551,-67.93757020000001 -45.8636746,-67.93638614 -45.8639203,-67.9374468 -45.8637643,-67.93648120000002 -45.8648999,-67.93542287 -45.86514387,-67.9364544 -45.8650082,-67.9343033 -45.8651128,-67.93322311 -45.86539389,-67.934196 -45.8650755,-67.9339492 -45.8648887,-67.9318678 -45.8652174,-67.93025624 -45.86524613,-67.92887450000002 -45.8655984,-67.929647 -45.8660093,-67.9311919 -45.8652622,-67.92761571 -45.86576064,-67.9267931 -45.86391,-67.9258704 -45.8645525,-67.9281235 -45.8654938,-67.92562891 -45.86384385;-67.92562891 -45.86384385,-67.9267931 -45.86391,-67.9258704 -45.8645525,-67.9281235 -45.8654938,-67.92761571 -45.86576064,-67.92887450000002 -45.8655984,-67.929647 -45.8660093,-67.9311919 -45.8652622,-67.93025624 -45.86524613,-67.934196 -45.8650755,-67.9339492 -45.8648887,-67.9318678 -45.8652174,-67.93322311 -45.86539389,-67.9364544 -45.8650082,-67.9343033 -45.8651128,-67.93542287 -45.86514387,-67.9374468 -45.8637643,-67.93648120000002 -45.8648999,-67.93638614 -45.8639203,-67.9407513 -45.863103100000004,-67.9403973 -45.8622551,-67.93757020000001 -45.8636746,-67.94016816 -45.86304785,-67.9412395 -45.8636896,-67.94085860000001 -45.8628677,-67.94026881 -45.86394522,-67.9413575 -45.8643508,-67.94191 -45.8638801,-67.9413092 -45.8637717,-67.9397787 -45.86446671,-67.939437 -45.8659907,-67.9410034 -45.8642985,-67.93820898 -45.86621382,,-67.93822649 -45.86645361,-67.9383588 -45.8674437,-67.9380101 -45.8666929,-67.9392922 -45.8661064,-67.9400271 -45.8665472</t>
  </si>
  <si>
    <t>-67.9400271 -45.8665472,-67.9383588 -45.8674437,-67.9380584 -45.8682655,-67.9363847 -45.8693786,-67.9365671 -45.8696326,-67.93551008 -45.87004015,-67.936492 -45.8696625,-67.9362881 -45.8694234,-67.9350436 -45.8703273,-67.9347003 -45.8699986,-67.933282 -45.87018527,-67.9337347 -45.872531,-67.9350007 -45.8704245,-67.9346895 -45.8701032,-67.93292309 -45.87290945,-67.9305589 -45.8765722,-67.9309773 -45.8765423,-67.9323184 -45.875011,-67.9336917 -45.8726132,-67.92916705 -45.87686758,-67.9288745 -45.8790371,-67.9299796 -45.8786337,-67.9304302 -45.8776552,-67.9309022 -45.8766245,-67.9306126 -45.8766543,-67.92746283 -45.879252,-67.9288745 -45.8790371,-67.9299796 -45.8786337,-67.9308271 -45.8793582,-67.9310632 -45.8796271,-67.9308057 -45.8796645,-67.92926139 -45.87980166,-67.9308057 -45.8796645,-67.9309773 -45.8795823,-67.9308271 -45.8793582,-67.9319429 -45.8795524,-67.9332089 -45.8799333,-67.9339921 -45.8795524,-67.9349685 -45.8793358,-67.935698 -45.8793209,-67.93512028 -45.8793768,-67.9364383 -45.8791566,-67.9368889 -45.8790371,-67.9370821 -45.878798,-67.939657 -45.8787906,-67.9398179 -45.8784246,-67.93938002 -45.87863178,-67.9433799 -45.8793582,-67.9425859 -45.8792462,-67.9414809 -45.8788951,-67.9399574 -45.8788802,-67.9395819 -45.8785889,-67.9398179 -45.8784246,-67.94258106 -45.87928487,-67.9468131 -45.8799931,-67.9464698 -45.8794927,-67.9443026 -45.8791491,-67.9459034 -45.88040255,-67.9472744 -45.8827118,-67.9475963 -45.8819051,-67.9476392 -45.8807475,-67.9472208 -45.8805159,-67.94607409 -45.88311995,-67.9472744 -45.8852212,-67.9470921 -45.8844967,-67.9472423 -45.883959,-67.9472315 -45.8831823,-67.94628753 -45.88560005,-67.9487872 -45.8868418,-67.9495382 -45.8874766,-67.9496884 -45.88726,-67.9485726 -45.886095,-67.9476714 -45.8855871,-67.94746568 -45.88694764,-67.948755 -45.886894,-67.9494202 -45.887484,-67.9503751 -45.8875587,-67.9509008 -45.8873571,-67.9508793 -45.8868716,-67.94972726 -45.88693813,-67.951051 -45.8868418,-67.9516089 -45.886207,-67.952832 -45.8866028,-67.95178221 -45.88666191,-67.957381 -45.8868268,-67.9566729 -45.8866327,-67.953701 -45.8868791,-67.9533148 -45.8869911,-67.9529393 -45.8866103,-67.95650174 -45.8868325,-67.9563618 -45.8869613,-67.9570055 -45.8870583,-67.9568553 -45.8866028,-67.957381 -45.8868268,-67.95495587 -45.8875866,-67.9576063 -45.8896124,-67.9577136 -45.888888,-67.9572308 -45.8876483,-67.9565012 -45.8869986,-67.95602222 -45.88970885,-67.958647 -45.8921289,-67.9580784 -45.8917854,-67.958411 -45.8907699,-67.9588509 -45.8902397,-67.9578209 -45.8896422,-67.95792371 -45.89252328,-67.958411 -45.8946678,-67.9585934 -45.8938464,-67.9590118 -45.8934581,-67.9594839 -45.8932714,-67.9597199 -45.892913,-67.9595053 -45.8926741,-67.95753705 -45.89518861,-67.9602778 -45.8973559,-67.959677 -45.8974604,-67.9590976 -45.897326,-67.9587114 -45.8968257,-67.95928 -45.896094,-67.9591405 -45.8953548,-67.95956637 -45.89743693,-67.9642367 -45.8983564,-67.9643333 -45.8976993,-67.9650199 -45.8970721,-67.9652989 -45.8964076,-67.9613721 -45.8972065,-67.96354703 -45.89869944,-67.9693437 -45.9027914,-67.9659963 -45.8987297,-67.965138 -45.8986401,-67.96793825 -45.90348141,-67.970438 -45.9058075,-67.9690218 -45.9036126,-67.96980563 -45.90670646,-67.9705238 -45.9066735,-67.9697728 -45.9068527,-67.9681849 -45.9083607,-67.9670477 -45.9085548,-67.9651165 -45.9093461,-67.9646015 -45.9095999,-67.9632926 -45.9097492,-67.9626489 -45.9100179,-67.9595375 -45.9096447,-67.9576575 -45.90959388,-67.9533577 -45.9118095,-67.9582071 -45.9103464,-67.960031 -45.9096148,-67.9595375 -45.9095402,-67.95174739 -45.91238069;-67.95174739 -45.91238069,-67.9533577 -45.9118095,-67.9582071 -45.9103464,-67.960031 -45.9096148,-67.9595375 -45.9095402,-67.9576575 -45.90959388,-67.9705238 -45.9066735,-67.9697728 -45.9068527,-67.9681849 -45.9083607,-67.9670477 -45.9085548,-67.9651165 -45.9093461,-67.9646015 -45.9095999,-67.9632926 -45.9097492,-67.9626489 -45.9100179,-67.9595375 -45.9096447,-67.96980563 -45.90670646,-67.970438 -45.9058075,-67.9690218 -45.9036126,-67.96793825 -45.90348141,-67.9685926 -45.9034484,-67.9653096 -45.9044488,-67.9600525 -45.9049564,-67.9584861 -45.9041651,-67.9576707 -45.9040606,-67.95594313 -45.90408308,-67.9576921 -45.9039411,-67.9583466 -45.9038888,-67.959516 -45.9036873,-67.9611468 -45.9030079,-67.9597306 -45.9022762,-67.9588938 -45.9019029,-67.9587328 -45.9013728,-67.95803039 -45.90137444;-67.95803039 -45.90137444,-67.9576921 -45.9039411,-67.9583466 -45.9038888,-67.959516 -45.9036873,-67.9611468 -45.9030079,-67.9597306 -45.9022762,-67.9588938 -45.9019029,-67.9587328 -45.9013728,-67.95594313 -45.90408308,-67.9685926 -45.9034484,-67.9653096 -45.9044488,-67.9600525 -45.9049564,-67.9584861 -45.9041651,-67.9576707 -45.9040606,-67.96793825 -45.90348141,-67.9693437 -45.9027914,-67.9659963 -45.8987297,-67.965138 -45.8986401,-67.96354703 -45.89869944,-67.9642367 -45.8983564,-67.9643333 -45.8976993,-67.9650199 -45.8970721,-67.9652989 -45.8964076,-67.9613721 -45.8972065,-67.95956637 -45.89743693,-67.9612112 -45.8971319,-67.9633784 -45.8962807,-67.9639149 -45.8957132,-67.9634535 -45.8934357,-67.9631853 -45.892801,-67.96212496 -45.89267136,-67.963196 -45.8927189,-67.9626918 -45.8927114,-67.9624236 -45.8909043,-67.9618871 -45.8908445,-67.9608786 -45.8903442,-67.95958813 -45.89007642,-67.9609108 -45.8902845,-67.9623485 -45.8909491,-67.9621017 -45.8899111,-67.962445 -45.8899634,-67.9637861 -45.8886864,-67.96290254 -45.88863388,-67.9670262 -45.8881263,-67.9660714 -45.8869613,-67.9657602 -45.8876259,-67.9651165 -45.8877678,-67.9650307 -45.887947,-67.964462 -45.8880815,-67.96633372 -45.88873533,-67.9702985 -45.892002,-67.9693437 -45.8927189,-67.9695046 -45.8920393,-67.9694617 -45.8909565,-67.9689038 -45.8902247,-67.9675949 -45.8891494,-67.9695987 -45.89181892,-67.9699337 -45.8946379,-67.9693973 -45.8950411,-67.9688287 -45.894847,-67.9686248 -45.893936,-67.9694724 -45.8926591,-67.9702985 -45.892002,-67.96939983 -45.89469974,-67.9721761 -45.8962209,-67.9716182 -45.8947873,-67.9710388 -45.8947723,-67.97161551 -45.8965517,-67.9729271 -45.8958177,-67.9726696 -45.8949515,-67.97168684 -45.8946769,-67.9725194 -45.8940704,-67.9735279 -45.8935179,-67.97316911 -45.89352066,-67.9749441 -45.8933834,-67.9761243 -45.8929055,-67.9766607 -45.892353,-67.97648439 -45.89266109,-67.9806304 -45.8917854,-67.9784203 -45.8917854,-67.9782271 -45.8926517,-67.98023252 -45.89201679;-67.98023252 -45.89201679,-67.9806304 -45.8917854,-67.9784203 -45.8917854,-67.9782271 -45.8926517,-67.97648439 -45.89266109,-67.9749441 -45.8933834,-67.9761243 -45.8929055,-67.9766607 -45.892353,-67.97316911 -45.89352066;-67.97316911 -45.89352066,-67.9725194 -45.8940704,-67.9735279 -45.8935179,-67.97168684 -45.8946769,-67.9729271 -45.8958177,-67.9726696 -45.8949515,-67.97161551 -45.8965517,-67.9721761 -45.8962209,-67.9716182 -45.8947873,-67.9710388 -45.8947723,-67.96939983 -45.89469974,-67.9699337 -45.8946379,-67.9693973 -45.8950411,-67.9688287 -45.894847,-67.9686248 -45.893936,-67.9694724 -45.8926591,-67.9702985 -45.892002,-67.9695987 -45.89181892,-67.9702985 -45.892002,-67.969805 -45.8925695,-67.9693437 -45.8927189,-67.9691291 -45.8925844,-67.9689145 -45.8911731,-67.96747113 -45.89098947;-67.96747113 -45.89098947,-67.9702985 -45.892002,-67.969805 -45.8925695,-67.9693437 -45.8927189,-67.9691291 -45.8925844,-67.9689145 -45.8911731,-67.9695987 -45.89181892,-67.9702985 -45.892002,-67.9693437 -45.8927189,-67.9695046 -45.8920393,-67.9694617 -45.8909565,-67.9689038 -45.8902247,-67.9675949 -45.8891494,-67.96633372 -45.88873533,-67.9670262 -45.8881263,-67.9660714 -45.8869613,-67.9657602 -45.8876259,-67.9651165 -45.8877678,-67.9650307 -45.887947,-67.964462 -45.8880815,-67.96290254 -45.88863388,-67.9609108 -45.8902845,-67.9623485 -45.8909491,-67.9621017 -45.8899111,-67.962445 -45.8899634,-67.9637861 -45.8886864,-67.95958813 -45.89007642;-67.95958813 -45.89007642,-67.9609108 -45.8902845,-67.9623485 -45.8909491,-67.9621017 -45.8899111,-67.962445 -45.8899634,-67.9637861 -45.8886864,-67.96290254 -45.88863388,-67.9670262 -45.8881263,-67.9660714 -45.8869613,-67.9657602 -45.8876259,-67.9651165 -45.8877678,-67.9650307 -45.887947,-67.964462 -45.8880815,-67.96633372 -45.88873533,-67.9671872 -45.8881412,-67.9659748 -45.8870061,-67.9642153 -45.8869314,-67.9642582 -45.8866849,-67.96291589 -45.88644251,-67.9643977 -45.8867746,-67.9641402 -45.8867895,-67.9629064 -45.8855274,-67.9625845 -45.8842055,-67.9620588 -45.8840412,-67.9608893 -45.8848926,-67.95958113 -45.88533853,-67.960428 -45.8852436,-67.9597843 -45.8853855,-67.9578102 -45.8852959,-67.9558897 -45.8849448,-67.9546167 -45.88506443,-67.9573059 -45.8868268,-67.956748 -45.8864908,-67.9563725 -45.8857215,-67.9556644 -45.8849971,-67.95650174 -45.8868325,-67.957381 -45.8868268,-67.9566729 -45.8866327,-67.953701 -45.8868791,-67.9533148 -45.8869911,-67.9529393 -45.8866103,-67.95178221 -45.88666191,-67.951051 -45.8868418,-67.9516089 -45.886207,-67.952832 -45.8866028,-67.94972726 -45.88693813,-67.948755 -45.886894,-67.9494202 -45.887484,-67.9503751 -45.8875587,-67.9509008 -45.8873571,-67.9508793 -45.8868716,-67.94746568 -45.88694764,-67.9487872 -45.8868418,-67.9495382 -45.8874766,-67.9496884 -45.88726,-67.9485726 -45.886095,-67.9476714 -45.8855871,-67.94628753 -45.88560005,-67.9472744 -45.8852212,-67.9470921 -45.8844967,-67.9472423 -45.883959,-67.9472315 -45.8831823,-67.94607409 -45.88311995,-67.9472744 -45.8827118,-67.9475963 -45.8819051,-67.9476392 -45.8807475,-67.9472208 -45.8805159,-67.9459034 -45.88040255,-67.9468131 -45.8799931,-67.9464698 -45.8794927,-67.9443026 -45.8791491,-67.94258106 -45.87928487,-67.9433799 -45.8793582,-67.9425859 -45.8792462,-67.9414809 -45.8788951,-67.9399574 -45.8788802,-67.9395819 -45.8785889,-67.9398179 -45.8784246,-67.93938002 -45.87863178,-67.9364383 -45.8791566,-67.9368889 -45.8790371,-67.9370821 -45.878798,-67.939657 -45.8787906,-67.9398179 -45.8784246,-67.93512028 -45.8793768,-67.9308057 -45.8796645,-67.9309773 -45.8795823,-67.9308271 -45.8793582,-67.9319429 -45.8795524,-67.9332089 -45.8799333,-67.9339921 -45.8795524,-67.9349685 -45.8793358,-67.935698 -45.8793209,-67.92926139 -45.87980166,-67.9288745 -45.8790371,-67.9299796 -45.8786337,-67.9308271 -45.8793582,-67.9310632 -45.8796271,-67.9308057 -45.8796645,-67.92746283 -45.879252,-67.9288745 -45.8790371,-67.9299796 -45.8786337,-67.9304302 -45.8776552,-67.9309022 -45.8766245,-67.9306126 -45.8766543,-67.92916705 -45.87686758,-67.9305589 -45.8765722,-67.9309773 -45.8765423,-67.9323184 -45.875011,-67.9336917 -45.8726132,-67.93292309 -45.87290945,-67.9337347 -45.872531,-67.9350007 -45.8704245,-67.9346895 -45.8701032,-67.933282 -45.87018527,-67.936492 -45.8696625,-67.9362881 -45.8694234,-67.9350436 -45.8703273,-67.9347003 -45.8699986,-67.93551008 -45.87004015,-67.9383588 -45.8674437,-67.9380584 -45.8682655,-67.9363847 -45.8693786,-67.9365671 -45.8696326,-67.9400271 -45.8665472</t>
  </si>
  <si>
    <t>-67.9400271 -45.8665472,-67.9427254 -45.8635364,-67.9464859 -45.8623447,-67.9469097 -45.862016,-67.94569946 -45.86221924,-67.9469097 -45.8620944,-67.9481596 -45.8620048,-67.94727301 -45.86217176,-67.9483044 -45.861911400000004,-67.9473495 -45.8614183,-67.94655091 -45.86160389,-67.9479718 -45.8615453,-67.9493934 -45.8606973,-67.9489589 -45.8606599,-67.94780419 -45.86081977,-67.9494631 -45.8607197,-67.9496992 -45.8604582,-67.9489589 -45.8596363,-67.9496777 -45.8591282,-67.9500318 -45.8586351,-67.9503858 -45.8584632,-67.94942594 -45.85854239;-67.94942594 -45.85854239,-67.9494631 -45.8607197,-67.9496992 -45.8604582,-67.9489589 -45.8596363,-67.9496777 -45.8591282,-67.9500318 -45.8586351,-67.9503858 -45.8584632,-67.94780419 -45.86081977,-67.9479718 -45.8615453,-67.9493934 -45.8606973,-67.9489589 -45.8606599,-67.94655091 -45.86160389,-67.9483044 -45.861911400000004,-67.9473495 -45.8614183,-67.94727301 -45.86217176,-67.9469097 -45.8620944,-67.9481596 -45.8620048,-67.94569946 -45.86221924,-67.9427254 -45.8635364,-67.9464859 -45.8623447,-67.9469097 -45.862016,-67.9400271 -45.8665472,-67.9383588 -45.8674437,-67.9380584 -45.8682655,-67.9363847 -45.8693786,-67.9365671 -45.8696326,-67.93551008 -45.87004015,-67.936492 -45.8696625,-67.9362881 -45.8694234,-67.9350436 -45.8703273,-67.9347003 -45.8699986,-67.933282 -45.87018527,-67.9337347 -45.872531,-67.9350007 -45.8704245,-67.9346895 -45.8701032,-67.93292309 -45.87290945,-67.9305589 -45.8765722,-67.9309773 -45.8765423,-67.9323184 -45.875011,-67.9336917 -45.8726132,-67.92916705 -45.87686758,-67.9288745 -45.8790371,-67.9299796 -45.8786337,-67.9304302 -45.8776552,-67.9309022 -45.8766245,-67.9306126 -45.8766543,-67.92746283 -45.879252,-67.9288745 -45.8790371,-67.9299796 -45.8786337,-67.9308271 -45.8793582,-67.9310632 -45.8796271,-67.9308057 -45.8796645,-67.92926139 -45.87980166,-67.9308057 -45.8796645,-67.9309773 -45.8795823,-67.9308271 -45.8793582,-67.9319429 -45.8795524,-67.9332089 -45.8799333,-67.9339921 -45.8795524,-67.9349685 -45.8793358,-67.935698 -45.8793209,-67.93512028 -45.8793768,-67.9380155 -45.8812404,-67.938627 -45.880852,-67.9384768 -45.8805682,-67.9371035 -45.8800827,-67.9358482 -45.8797093,-67.9335737 -45.8797616,-67.934432 -45.8794255,-67.9350007 -45.8792835,-67.9357088 -45.8792686,-67.93588984 -45.88149225,-67.9394478 -45.8815018,-67.9390669 -45.8813786,-67.9390454 -45.8810425,-67.9386485 -45.8811881,-67.938568 -45.8809641,-67.9379404 -45.8812105,-67.93895804 -45.88204116,-67.9404831 -45.883003,-67.9393351 -45.8816139,-67.9395604 -45.8815392,-67.93935418 -45.88340612,-67.937361 -45.8846162,-67.9377794 -45.883735,-67.9390776 -45.8830777,-67.9391098 -45.8833615,-67.9396677 -45.8835632,-67.9402363 -45.8833989,-67.936352 -45.88515172,-67.937361 -45.8846162,-67.9372966 -45.8833914,-67.93588554 -45.8836543;-67.93588554 -45.8836543,-67.937361 -45.8846162,-67.9372966 -45.8833914,-67.936352 -45.88515172,-67.937361 -45.8846162,-67.9377794 -45.883735,-67.9390776 -45.8830777,-67.9391098 -45.8833615,-67.9396677 -45.8835632,-67.9402363 -45.8833989,-67.93935418 -45.88340612,-67.9404831 -45.883003,-67.9393351 -45.8816139,-67.9395604 -45.8815392,-67.93895804 -45.88204116,-67.9394478 -45.8815018,-67.9390669 -45.8813786,-67.9390454 -45.8810425,-67.9386485 -45.8811881,-67.938568 -45.8809641,-67.9379404 -45.8812105,-67.93588984 -45.88149225,-67.9369104 -45.8822487,-67.9367441 -45.8819686,-67.9385787 -45.881274,-67.938568 -45.8809641,-67.9379243 -45.8811844,-67.93623372 -45.88237227,-67.9369962 -45.8822636,-67.9367441 -45.8819686,-67.9343677 -45.8832719,-67.93288041 -45.88347512,,-67.93297197 -45.88384007,-67.9325545 -45.8880964,-67.9324257 -45.8875363,-67.933048 -45.8868642,-67.9335093 -45.8836304,-67.93195275 -45.88880085,,-67.93184093 -45.88869985,-67.929883 -45.8876782,-67.9306018 -45.8878724,-67.9317605 -45.8883727,-67.9326189 -45.888201,-67.92838162 -45.88770662,-67.9286492 -45.8892166,-67.9288638 -45.8878724,-67.9292393 -45.8876931,-67.92758265 -45.88993498,-67.929368 -45.8925994,-67.9296148 -45.8919423,-67.9287994 -45.8913897,-67.9285097 -45.8910014,-67.9286277 -45.8901127,-67.92819602 -45.89300211,-67.9235637 -45.895743,-67.9241538 -45.8953249,-67.9267287 -45.8949142,-67.9271579 -45.8944961,-67.9267287 -45.8942048,-67.9257309 -45.8936448,-67.9256558 -45.8930698,-67.9268682 -45.8923604,-67.9289711 -45.8934208,-67.9293036 -45.893361,-67.92261639 -45.89612501,-67.9221904 -45.8981548,-67.9232204 -45.8984983,-67.9230487 -45.8980652,-67.9224908 -45.89755,-67.9236388 -45.8964449,-67.92046749 -45.89809236,-67.9312027 -45.9008128,-67.9299688 -45.9015296,-67.9282737 -45.9003723,-67.9263103 -45.8994316,-67.9232204 -45.8984983,-67.9221046 -45.8981623,-67.93028301 -45.90068278,-67.9313636 -45.9007755,-67.9299688 -45.9015296,-67.9309559 -45.9024778,-67.931664 -45.9022687,-67.9323721 -45.9010144,-67.9335737 -45.900447,-67.9371786 -45.9012832,-67.9379082 -45.9021045,-67.9396677 -45.9026719,-67.941041 -45.9025674,-67.94048121 -45.90255833,-67.9417276 -45.9060912,-67.9426718 -45.9047623,-67.9416203 -45.9047773,-67.9445601 -45.9035379,-67.942543 -45.9026271,-67.94070253 -45.90708056,-67.9419637 -45.9061061,-67.9426718 -45.9047623,-67.9415345 -45.9048967,-67.938745 -45.9059568,-67.9340029 -45.9072707,-67.9353547 -45.9073006,-67.93482704 -45.9074612,-67.937994 -45.9086444,-67.9371142 -45.9083457,-67.9353976 -45.9082412,-67.9346466 -45.907853,-67.9353762 -45.9076142,NA,-67.9432511 -45.9099433,-67.9437232 -45.9109734,-67.9452038 -45.9116154,-67.9434228 -45.911287,-67.9401827 -45.9100179,-67.9391742 -45.9089579,-67.94205735 -45.90980155,-67.9382944 -45.9130934,-67.9395604 -45.9136906,-67.9405904 -45.9131382,-67.9431438 -45.9124664,-67.9441524 -45.9118692,-67.9452038 -45.9116154,-67.9438734 -45.9110779,-67.9432511 -45.9099433,-67.93665996 -45.91286222,-67.9371786 -45.9124813,-67.9369533 -45.9118916,-67.9363096 -45.9101747,-67.935183 -45.9100179,-67.9330123 -45.90989279,-67.93396 -45.910003,-67.9332089 -45.9102269,-67.9314494 -45.9103464,-67.9311919 -45.9100478,-67.9308486 -45.9099433,-67.92909659 -45.90983142,-67.9287028 -45.9107794,-67.9314494 -45.9103464,-67.9308486 -45.9099433,-67.92696483 -45.91132509;-67.92696483 -45.91132509,-67.9287028 -45.9107794,-67.9314494 -45.9103464,-67.9308486 -45.9099433,-67.92909659 -45.90983142,-67.93396 -45.910003,-67.9332089 -45.9102269,-67.9314494 -45.9103464,-67.9311919 -45.9100478,-67.9308486 -45.9099433,-67.9330123 -45.90989279,-67.9371786 -45.9124813,-67.9369533 -45.9118916,-67.9363096 -45.9101747,-67.935183 -45.9100179,-67.93665996 -45.91286222,-67.9382944 -45.9130934,-67.9395604 -45.9136906,-67.9405904 -45.9131382,-67.9431438 -45.9124664,-67.9441524 -45.9118692,-67.9452038 -45.9116154,-67.9438734 -45.9110779,-67.9432511 -45.9099433,-67.94205735 -45.90980155,-67.9432511 -45.9099433,-67.9437232 -45.9109734,-67.9452038 -45.9116154,-67.9434228 -45.911287,-67.9401827 -45.9100179,-67.9391742 -45.9089579,NA,-67.937994 -45.9086444,-67.9371142 -45.9083457,-67.9353976 -45.9082412,-67.9346466 -45.907853,-67.9353762 -45.9076142,-67.93482704 -45.9074612,-67.9419637 -45.9061061,-67.9426718 -45.9047623,-67.9415345 -45.9048967,-67.938745 -45.9059568,-67.9340029 -45.9072707,-67.9353547 -45.9073006,-67.94070253 -45.90708056,-67.9417276 -45.9060912,-67.9426718 -45.9047623,-67.9416203 -45.9047773,-67.9445601 -45.9035379,-67.942543 -45.9026271,-67.94048121 -45.90255833,-67.9506755 -45.9009696,-67.9479718 -45.9005665,-67.9449892 -45.9007008,-67.945075 -45.9032692,-67.9445601 -45.9035379,-67.9423714 -45.902642,-67.95037233 -45.90142031,-67.9506969 -45.9010816,-67.9497743 -45.9008576,-67.9498494 -45.8992001,-67.94838203 -45.89904174,-67.9498494 -45.8992001,-67.949506 -45.8996854,-67.9466414 -45.8986103,-67.9437232 -45.8985057,-67.9415774 -45.8979681,-67.9412556 -45.8976545,-67.9422104 -45.8972588,-67.94188659 -45.8972671;-67.94188659 -45.8972671,-67.942307 -45.8972439,-67.941395 -45.8969527,-67.9402256 -45.8963927,-67.9396248 -45.8958401,-67.93839722 -45.89565726;-67.93839722 -45.89565726,-67.942307 -45.8972439,-67.941395 -45.8969527,-67.9402256 -45.8963927,-67.9396248 -45.8958401,-67.94188659 -45.8972671,-67.9498494 -45.8992001,-67.949506 -45.8996854,-67.9466414 -45.8986103,-67.9437232 -45.8985057,-67.9415774 -45.8979681,-67.9412556 -45.8976545,-67.9422104 -45.8972588,-67.94838203 -45.89904174,-67.9506969 -45.9010816,-67.9497743 -45.9008576,-67.9498494 -45.8992001,-67.95037233 -45.90142031,-67.9506755 -45.9009696,-67.9479718 -45.9005665,-67.9449892 -45.9007008,-67.945075 -45.9032692,-67.9445601 -45.9035379,-67.9423714 -45.902642,-67.94048121 -45.90255833,-67.9313636 -45.9007755,-67.9299688 -45.9015296,-67.9309559 -45.9024778,-67.931664 -45.9022687,-67.9323721 -45.9010144,-67.9335737 -45.900447,-67.9371786 -45.9012832,-67.9379082 -45.9021045,-67.9396677 -45.9026719,-67.941041 -45.9025674,-67.93028301 -45.90068278,-67.9312027 -45.9008128,-67.9299688 -45.9015296,-67.9282737 -45.9003723,-67.9263103 -45.8994316,-67.9232204 -45.8984983,-67.9221046 -45.8981623,-67.92046749 -45.89809236,-67.9221904 -45.8981548,-67.9232204 -45.8984983,-67.9230487 -45.8980652,-67.9224908 -45.89755,-67.9236388 -45.8964449,-67.92261639 -45.89612501,-67.9235637 -45.895743,-67.9241538 -45.8953249,-67.9267287 -45.8949142,-67.9271579 -45.8944961,-67.9267287 -45.8942048,-67.9257309 -45.8936448,-67.9256558 -45.8930698,-67.9268682 -45.8923604,-67.9289711 -45.8934208,-67.9293036 -45.893361,-67.92819602 -45.89300211,-67.9292285 -45.8926143,-67.9297435 -45.8916137,-67.930634 -45.8913523,-67.9310846 -45.8915241,-67.9320288 -45.8924127,-67.9322755 -45.8923231,-67.9316425 -45.8910014,-67.93002857 -45.89099999,-67.9326725 -45.8927039,-67.9321253 -45.8924276,-67.9320502 -45.8919796,-67.9315674 -45.8910163,-67.93203261 -45.89325144,-67.9325116 -45.8927189,-67.9321575 -45.8923754,-67.9320073 -45.8911582,-67.9324365 -45.8909939,-67.9336274 -45.8912403,-67.9348075 -45.8908669,-67.93404442 -45.8909633;-67.93404442 -45.8909633,-67.9351616 -45.890628,-67.9353011 -45.8903069,-67.9351509 -45.889702,-67.9356337 -45.8888283,-67.9361594 -45.8882682,-67.9367387 -45.8882607,-67.93581454 -45.88863383,-67.9410625 -45.888776,-67.9401827 -45.8890747,-67.9375863 -45.8886341,-67.93992923 -45.88854577,-67.9414594 -45.88785,-67.9417813 -45.8871554,-67.9419315 -45.8865879,-67.9423285 -45.8863414,-67.94198922 -45.88653728,-67.9423177 -45.8861323,-67.9425859 -45.8852137,-67.9431438 -45.8846088,-67.9432619 -45.8842802,-67.94255555 -45.88454697,-67.9459763 -45.8845415,-67.9446459 -45.8841607,-67.9436696 -45.8842353,-67.94483649 -45.8845247,-67.9471672 -45.8852884,-67.9470921 -45.8848627,-67.9461265 -45.8845565,-67.94628753 -45.88560005,-67.9472744 -45.8852212,-67.9470921 -45.8844967,-67.9472423 -45.883959,-67.9472315 -45.8831823,-67.94607409 -45.88311995,-67.9472744 -45.8827118,-67.9475963 -45.8819051,-67.9476392 -45.8807475,-67.9472208 -45.8805159,-67.9459034 -45.88040255,-67.9468131 -45.8799931,-67.9464698 -45.8794927,-67.9443026 -45.8791491,-67.94258106 -45.87928487,-67.9433799 -45.8793582,-67.9425859 -45.8792462,-67.9414809 -45.8788951,-67.9399574 -45.8788802,-67.9395819 -45.8785889,-67.9398179 -45.8784246,-67.93938002 -45.87863178,-67.9364383 -45.8791566,-67.9368889 -45.8790371,-67.9370821 -45.878798,-67.939657 -45.8787906,-67.9398179 -45.8784246,-67.93512028 -45.8793768,-67.9308057 -45.8796645,-67.9309773 -45.8795823,-67.9308271 -45.8793582,-67.9319429 -45.8795524,-67.9332089 -45.8799333,-67.9339921 -45.8795524,-67.9349685 -45.8793358,-67.935698 -45.8793209,-67.92926139 -45.87980166,-67.9288745 -45.8790371,-67.9299796 -45.8786337,-67.9308271 -45.8793582,-67.9310632 -45.8796271,-67.9308057 -45.8796645,-67.92746283 -45.879252,-67.9288745 -45.8790371,-67.9299796 -45.8786337,-67.9304302 -45.8776552,-67.9309022 -45.8766245,-67.9306126 -45.8766543,-67.92916705 -45.87686758,-67.9305589 -45.8765722,-67.9309773 -45.8765423,-67.9323184 -45.875011,-67.9336917 -45.8726132,-67.93292309 -45.87290945,-67.9337347 -45.872531,-67.9350007 -45.8704245,-67.9346895 -45.8701032,-67.933282 -45.87018527,-67.936492 -45.8696625,-67.9362881 -45.8694234,-67.9350436 -45.8703273,-67.9347003 -45.8699986,-67.93551008 -45.87004015,-67.9383588 -45.8674437,-67.9380584 -45.8682655,-67.9363847 -45.8693786,-67.9365671 -45.8696326,-67.9400271 -45.8665472</t>
  </si>
  <si>
    <t>-67.9400271 -45.8665472,-67.9383588 -45.8674437,-67.9380584 -45.8682655,-67.9363847 -45.8693786,-67.9365671 -45.8696326,-67.93551008 -45.87004015,-67.936492 -45.8696625,-67.9362881 -45.8694234,-67.9350436 -45.8703273,-67.9347003 -45.8699986,-67.933282 -45.87018527,-67.9337347 -45.872531,-67.9350007 -45.8704245,-67.9346895 -45.8701032,-67.93292309 -45.87290945,-67.9305589 -45.8765722,-67.9309773 -45.8765423,-67.9323184 -45.875011,-67.9336917 -45.8726132,-67.92916705 -45.87686758,-67.9288745 -45.8790371,-67.9299796 -45.8786337,-67.9304302 -45.8776552,-67.9309022 -45.8766245,-67.9306126 -45.8766543,-67.92746283 -45.879252,-67.9288745 -45.8790371,-67.9299796 -45.8786337,-67.9308271 -45.8793582,-67.9310632 -45.8796271,-67.9308057 -45.8796645,-67.92926139 -45.87980166,-67.9308057 -45.8796645,-67.9309773 -45.8795823,-67.9308271 -45.8793582,-67.9319429 -45.8795524,-67.9332089 -45.8799333,-67.9339921 -45.8795524,-67.9349685 -45.8793358,-67.935698 -45.8793209,-67.93512028 -45.8793768,-67.9364383 -45.8791566,-67.9368889 -45.8790371,-67.9370821 -45.878798,-67.939657 -45.8787906,-67.9398179 -45.8784246,-67.93938002 -45.87863178;-67.93938002 -45.87863178,-67.9433799 -45.8793582,-67.9425859 -45.8792462,-67.9414809 -45.8788951,-67.9399574 -45.8788802,-67.9395819 -45.8785889,-67.9398179 -45.8784246,-67.94258106 -45.87928487,-67.9468131 -45.8799931,-67.9464698 -45.8794927,-67.9443026 -45.8791491,-67.9459034 -45.88040255,-67.9472744 -45.8827118,-67.9475963 -45.8819051,-67.9476392 -45.8807475,-67.9472208 -45.8805159,-67.94607409 -45.88311995,-67.9472744 -45.8852212,-67.9470921 -45.8844967,-67.9472423 -45.883959,-67.9472315 -45.8831823,-67.94628753 -45.88560005,-67.9487872 -45.8868418,-67.9495382 -45.8874766,-67.9496884 -45.88726,-67.9485726 -45.886095,-67.9476714 -45.8855871,-67.94746568 -45.88694764,-67.948755 -45.886894,-67.9494202 -45.887484,-67.9503751 -45.8875587,-67.9509008 -45.8873571,-67.9508793 -45.8868716,-67.94972726 -45.88693813,-67.951051 -45.8868418,-67.9516089 -45.886207,-67.952832 -45.8866028,-67.95178221 -45.88666191,-67.957381 -45.8868268,-67.9566729 -45.8866327,-67.953701 -45.8868791,-67.9533148 -45.8869911,-67.9529393 -45.8866103,-67.95650174 -45.8868325,-67.9563618 -45.8869613,-67.9570055 -45.8870583,-67.9568553 -45.8866028,-67.957381 -45.8868268,-67.95495587 -45.8875866,-67.9576063 -45.8896124,-67.9577136 -45.888888,-67.9572308 -45.8876483,-67.9565012 -45.8869986,-67.95602222 -45.88970885,-67.9555678 -45.8902546,-67.9566729 -45.8896124,-67.95416096 -45.89058835,-67.9546666 -45.8908595,-67.9532504 -45.8922185,-67.9515231 -45.8917406,-67.95045121 -45.89176951,-67.9449463 -45.892353,-67.9449999 -45.8927189,-67.9458153 -45.8930848,-67.9470813 -45.8933088,-67.9488838 -45.8925919,-67.9495275 -45.8921961,-67.950021 -45.8916212,-67.9507613 -45.8914718,-67.9513192 -45.8916436,-67.94414165 -45.89228087;-67.94414165 -45.89228087,-67.9449463 -45.892353,-67.9449999 -45.8927189,-67.9458153 -45.8930848,-67.9470813 -45.8933088,-67.9488838 -45.8925919,-67.9495275 -45.8921961,-67.950021 -45.8916212,-67.9507613 -45.8914718,-67.9513192 -45.8916436,-67.95045121 -45.89176951,-67.9549241 -45.8925098,-67.9545915 -45.8926666,-67.9532933 -45.8921588,-67.9515231 -45.8917406,-67.95418299 -45.89226319,-67.9583359 -45.8946379,-67.9581213 -45.8934282,-67.958293 -45.8929951,-67.9576492 -45.8922484,-67.9574883 -45.8911432,-67.9567587 -45.8908221,-67.9557824 -45.8912104,-67.9554927 -45.8916958,-67.95753705 -45.89518861;-67.95753705 -45.89518861,-67.958411 -45.8946678,-67.9585934 -45.8938464,-67.9590118 -45.8934581,-67.9594839 -45.8932714,-67.9597199 -45.892913,-67.9595053 -45.8926741,-67.95792371 -45.89252328,-67.958647 -45.8921289,-67.9580784 -45.8917854,-67.958411 -45.8907699,-67.9588509 -45.8902397,-67.9578209 -45.8896422,-67.95602222 -45.88970885,-67.9576063 -45.8896124,-67.9577136 -45.888888,-67.9572308 -45.8876483,-67.9565012 -45.8869986,-67.95495587 -45.8875866,-67.9563618 -45.8869613,-67.9570055 -45.8870583,-67.9568553 -45.8866028,-67.957381 -45.8868268,-67.95650174 -45.8868325,-67.957381 -45.8868268,-67.9566729 -45.8866327,-67.953701 -45.8868791,-67.9533148 -45.8869911,-67.9529393 -45.8866103,-67.95178221 -45.88666191,-67.951051 -45.8868418,-67.9516089 -45.886207,-67.952832 -45.8866028,-67.94972726 -45.88693813,-67.948755 -45.886894,-67.9494202 -45.887484,-67.9503751 -45.8875587,-67.9509008 -45.8873571,-67.9508793 -45.8868716,-67.94746568 -45.88694764,-67.9487872 -45.8868418,-67.9495382 -45.8874766,-67.9496884 -45.88726,-67.9485726 -45.886095,-67.9476714 -45.8855871,-67.94628753 -45.88560005,-67.9472744 -45.8852212,-67.9470921 -45.8844967,-67.9472423 -45.883959,-67.9472315 -45.8831823,-67.94607409 -45.88311995,-67.9472744 -45.8827118,-67.9475963 -45.8819051,-67.9476392 -45.8807475,-67.9472208 -45.8805159,-67.9459034 -45.88040255,-67.9468131 -45.8799931,-67.9464698 -45.8794927,-67.9443026 -45.8791491,-67.94258106 -45.87928487,-67.9433799 -45.8793582,-67.9425859 -45.8792462,-67.9414809 -45.8788951,-67.9399574 -45.8788802,-67.9395819 -45.8785889,-67.9398179 -45.8784246,-67.93938002 -45.87863178,-67.9364383 -45.8791566,-67.9368889 -45.8790371,-67.9370821 -45.878798,-67.939657 -45.8787906,-67.9398179 -45.8784246,-67.93512028 -45.8793768,-67.9308057 -45.8796645,-67.9309773 -45.8795823,-67.9308271 -45.8793582,-67.9319429 -45.8795524,-67.9332089 -45.8799333,-67.9339921 -45.8795524,-67.9349685 -45.8793358,-67.935698 -45.8793209,-67.92926139 -45.87980166,-67.9288745 -45.8790371,-67.9299796 -45.8786337,-67.9308271 -45.8793582,-67.9310632 -45.8796271,-67.9308057 -45.8796645,-67.92746283 -45.879252,-67.9288745 -45.8790371,-67.9299796 -45.8786337,-67.9304302 -45.8776552,-67.9309022 -45.8766245,-67.9306126 -45.8766543,-67.92916705 -45.87686758,-67.9305589 -45.8765722,-67.9309773 -45.8765423,-67.9323184 -45.875011,-67.9336917 -45.8726132,-67.93292309 -45.87290945,-67.9337347 -45.872531,-67.9350007 -45.8704245,-67.9346895 -45.8701032,-67.933282 -45.87018527,-67.936492 -45.8696625,-67.9362881 -45.8694234,-67.9350436 -45.8703273,-67.9347003 -45.8699986,-67.93551008 -45.87004015,-67.9383588 -45.8674437,-67.9380584 -45.8682655,-67.9363847 -45.8693786,-67.9365671 -45.8696326,-67.9400271 -45.8665472</t>
  </si>
  <si>
    <t>-67.9400271 -45.8665472,-67.9452038 -45.8642219,-67.9464403 -45.8647635,-67.9454304 -45.86503525,,-67.94551194 -45.86495899,-67.949152 -45.8670029,-67.9489589 -45.866338,-67.9464805 -45.8656358,-67.946502 -45.8652099,-67.94827454 -45.86749255,-67.9581213 -45.8673466,-67.9581428 -45.8669731,-67.9568553 -45.866226,-67.9523492 -45.8659869,-67.9491305 -45.866226,-67.9489803 -45.8668834,-67.95709848 -45.86769228,-67.9570484 -45.8711267,-67.9574454 -45.8693637,-67.9580891 -45.8675707,-67.95610675 -45.87170205,-67.9571235 -45.8715898,-67.9572952 -45.8723443,-67.9570484 -45.87342,-67.95743470000001 -45.8736217,-67.95650202 -45.87386891,-67.9575098 -45.8735619,-67.9580784 -45.8727253,-67.95720623 -45.87256309,-67.9630244 -45.8733005,-67.9618549 -45.87156740000001,-67.9611683 -45.8714553,-67.9596126 -45.871724300000004,-67.95881870000001 -45.8720007,-67.96214261 -45.87344787,-67.9666829 -45.8734274,-67.9651701 -45.87286720000001,-67.9644513 -45.8730315,-67.9638612 -45.8733752,-67.9632068 -45.8733901,-67.96572509 -45.87368099,-67.96696190000002 -45.8736067,-67.9677129 -45.8742267,-67.9679918 -45.8746077,-67.9672039 -45.87497495,-67.9711676 -45.8706262,-67.9712427 -45.8723667,-67.9717791 -45.8732033,-67.9711139 -45.8738906,-67.9693866 -45.8740474,-67.9686463 -45.874533,-67.96992116 -45.87035971,-67.9710925 -45.8705739,-67.9709744 -45.8714329,-67.9711354 -45.8722173,-67.9706633 -45.8714479,-67.9697943 -45.8691545,-67.9688479 -45.86924263,-67.96972990000002 -45.8689453,-67.96923640000001 -45.8685867,-67.9698372 -45.8679667,-67.96898996 -45.86789944,-67.9704916 -45.8675259,-67.9713821 -45.8670777,-67.9725838 -45.8673092,-67.97170451 -45.86764851,-67.9784846 -45.8638128,-67.9773581 -45.8639025,-67.9769611 -45.8641416,-67.9760814 -45.864545,-67.975781 -45.8649709,-67.9756951 -45.8656806,-67.9747403 -45.8664725,-67.9738927 -45.8666518,-67.9742575 -45.8674213,-67.9730237 -45.867369,-67.97781889 -45.86412305,-67.9785061 -45.863768,-67.977562 -45.8638502,-67.9780233 -45.8634692,-67.9789352 -45.8631031,-67.9785919 -45.8629686,-67.97692655 -45.86298292,-67.9785919 -45.8629686,-67.9789352 -45.8631031,-67.9796863 -45.8629088,-67.9804587 -45.8629985,-67.9811132 -45.8627967,-67.98026531 -45.86300386,-67.9835165 -45.8632226,-67.9838812 -45.8630209,-67.9841387 -45.8625502,-67.9836881 -45.862991,-67.9831409 -45.8631255,-67.9816282 -45.862737,-67.98206338 -45.86352335,-67.9887307 -45.8607944,-67.9889238 -45.8604806,-67.9867244 -45.8607421,-67.9861665 -45.8609737,-67.9860163 -45.8616088,-67.9854047 -45.8619674,-67.9846215 -45.8621617,-67.9841387 -45.862468,-67.9838812 -45.8630209,-67.9834414 -45.8631927,-67.98715669 -45.86146692,-67.9928935 -45.8605404,-67.9914236 -45.8609588,-67.98931 -45.8614369,-67.9889023 -45.8613323,-67.99220337 -45.86057361,-67.9911339 -45.8618479,-67.9904687 -45.8619002,-67.9910696 -45.8615117,-67.9918849 -45.861295,-67.9930007 -45.8606151,-67.99023202 -45.86204363,-67.9886341 -45.8629088,-67.9906297 -45.8618479,-67.9911232 -45.8617956,-67.98677491 -45.86342245,-67.9859948 -45.8647094,-67.9874003 -45.863783,-67.98422803 -45.86529103,-67.9920459 -45.8642163,-67.9910159 -45.864672,-67.9903078 -45.8650157,-67.9890847 -45.8656208,-67.9855978 -45.8654415,-67.9855227 -45.865322,-67.99158422 -45.86437969;-67.99158422 -45.86437969,-67.9929578 -45.8671225,-67.9928398 -45.8662783,-67.9924321 -45.8655835,-67.9919815 -45.8652548,-67.992121 -45.8648663,-67.9910159 -45.864672,-67.9918528 -45.8642238,-67.99174523 -45.8677107,-67.9914558 -45.8692516,-67.9914558 -45.8690499,-67.9925716 -45.8679293,-67.99024475 -45.86974641,-67.9910052 -45.8707457,-67.9910266 -45.8705664,-67.99163820000001 -45.8700883,-67.9915524 -45.8697073,-67.9900866 -45.8710699,-67.9930758 -45.87218,-67.992754 -45.8724788,-67.9914343 -45.8718886,-67.9915845 -45.8711565,-67.9912734 -45.8710071,-67.99156523 -45.87210921,-67.9929739 -45.8721949,-67.9927379 -45.872546,-67.993784 -45.8729494,-67.9957634 -45.8725273,-67.9964232 -45.8722024,-67.99553288 -45.87226112,-67.9971957 -45.8714031,-67.9989982 -45.8712611,-67.9998028 -45.8710071,-67.99921407 -45.87121751,,-67.99960904 -45.87080973,-68.0035579 -45.8703423,-68.0025816 -45.8706859,-68.0014014 -45.8705066,-68.00284674 -45.87040916,-68.0041587 -45.8700285,-68.0051243 -45.8686091,-68.00449906 -45.86852742,-68.0070448 -45.8686241,-68.0060685 -45.868385,-68.00620422 -45.86892139,-68.0070448 -45.8686241,-68.0067122 -45.8683028,-68.0066907 -45.8679293,-68.0047274 -45.8681086,-68.0029786 -45.8686316,-68.0021524 -45.8685344,-68.0022383 -45.8682132,-68.00126819 -45.86832361,,-68.00080119 -45.86808139,-67.9980218 -45.8692665,-68.0000389 -45.8684074,-68.0017662 -45.8680339,-67.99627751 -45.86960923,-67.9969811 -45.8694981,-67.9958439 -45.8695654,-67.99512510000001 -45.8693413,-67.99505 -45.8690499,-67.99439359 -45.86914058,-67.99505 -45.8690499,-67.9947495 -45.8687287,-67.9952323 -45.8676529,-67.99437986 -45.8677879,-67.9954576 -45.8672868,-67.9960907 -45.8666518,-67.9968202 -45.8663306,-67.99554948 -45.86642106,-67.9970026 -45.8663754,-68.0035257 -45.8657777,-68.003397 -45.8661662,-68.00288598 -45.86648631,-68.0048561 -45.8661961,-68.0066156 -45.864941,-68.00601835 -45.8652672,-68.0004144 -45.8672271,-68.0020022 -45.8664426,-68.0025816 -45.8662932,-68.0029786 -45.8663007,-68.003751 -45.8658375,-68.0066907 -45.8648887,-67.99912755 -45.86739172,-68.0017018 -45.8670702,-68.0004251 -45.8673989,-68.0009024 -45.8670472;-68.0009024 -45.8670472,-68.0017018 -45.8670702,-68.0004251 -45.8673989,-67.99912755 -45.86739172,-68.0004144 -45.8672271,-68.0020022 -45.8664426,-68.0025816 -45.8662932,-68.0029786 -45.8663007,-68.003751 -45.8658375,-68.0066907 -45.8648887,-68.00601835 -45.8652672,-68.0066907 -45.8648887,-68.0076134 -45.8646197,-68.0077314 -45.8640818,-68.0066907 -45.862595,-68.0065084 -45.8626847,-68.00524993 -45.86266209,-68.0066907 -45.862595,-68.0062294 -45.8616088,-68.0054569 -45.8608467,-68.004663 -45.8610185,-68.00290781 -45.86119572,-68.0032039 -45.861564,-68.0037832 -45.8611157,-68.0040193 -45.8610858,-68.00170055 -45.8618692,-68.0024529 -45.8617881,-68.0025601 -45.862341,-68.0002105 -45.8608467,-68.0004787 -45.8601219,-67.99931829 -45.86009184,-68.0074525 -45.859442,-68.0054677 -45.8582764,-68.0048132 -45.8581195,-68.0035686 -45.8582092,-68.0016375 -45.8587994,-68.0007148 -45.8595093,-68.00660247 -45.85987417,-68.0073881 -45.8595317,-68.0048668 -45.8579775,-68.0083323 -45.8566475,-68.0111432 -45.8564831,-68.0119586 -45.855833,-68.0093408 -45.8553025,-68.0084181 -45.8553324,-68.0081391 -45.8549139,-68.0071521 -45.8545179,-68.00533143 -45.85441605,-68.0071521 -45.8545179,-68.0081713 -45.855026,-68.0084181 -45.8553324,-68.0044699 -45.8552875,-68.00310693 -45.85560933;-68.00310693 -45.85560933,-68.0071521 -45.8545179,-68.0081713 -45.855026,-68.0084181 -45.8553324,-68.0044699 -45.8552875,-68.00533143 -45.85441605,-68.0073881 -45.8595317,-68.0048668 -45.8579775,-68.0083323 -45.8566475,-68.0111432 -45.8564831,-68.0119586 -45.855833,-68.0093408 -45.8553025,-68.0084181 -45.8553324,-68.0081391 -45.8549139,-68.0071521 -45.8545179,-68.00660247 -45.85987417,-68.0074525 -45.859442,-68.0054677 -45.8582764,-68.0048132 -45.8581195,-68.0035686 -45.8582092,-68.0016375 -45.8587994,-68.0007148 -45.8595093,-67.99931829 -45.86009184,-68.0024529 -45.8617881,-68.0025601 -45.862341,-68.0002105 -45.8608467,-68.0004787 -45.8601219,-68.00170055 -45.8618692,-68.0032039 -45.861564,-68.0037832 -45.8611157,-68.0040193 -45.8610858,-68.00290781 -45.86119572,-68.0066907 -45.862595,-68.0062294 -45.8616088,-68.0054569 -45.8608467,-68.004663 -45.8610185,-68.00524993 -45.86266209,-68.0066907 -45.8648887,-68.0076134 -45.8646197,-68.0077314 -45.8640818,-68.0066907 -45.862595,-68.0065084 -45.8626847,-68.00601835 -45.8652672,-68.0048561 -45.8661961,-68.0066156 -45.864941,-68.00288598 -45.86648631,-67.9970026 -45.8663754,-68.0035257 -45.8657777,-68.003397 -45.8661662,-67.99554948 -45.86642106,-67.9954576 -45.8672868,-67.9960907 -45.8666518,-67.9968202 -45.8663306,-67.99437986 -45.8677879,-67.99505 -45.8690499,-67.9947495 -45.8687287,-67.9952323 -45.8676529,-67.99439359 -45.86914058,-67.9969811 -45.8694981,-67.9958439 -45.8695654,-67.99512510000001 -45.8693413,-67.99505 -45.8690499,-67.99627751 -45.86960923,-67.9980218 -45.8692665,-68.0000389 -45.8684074,-68.0017662 -45.8680339,-68.00080119 -45.86808139,,-68.00126819 -45.86832361,-68.0070448 -45.8686241,-68.0067122 -45.8683028,-68.0066907 -45.8679293,-68.0047274 -45.8681086,-68.0029786 -45.8686316,-68.0021524 -45.8685344,-68.0022383 -45.8682132,-68.00620422 -45.86892139,-68.0070448 -45.8686241,-68.0060685 -45.868385,-68.00449906 -45.86852742,-68.0041587 -45.8700285,-68.0051243 -45.8686091,-68.00284674 -45.87040916,-68.0036652 -45.8703498,-68.0024529 -45.8706934,-68.0012727 -45.8709175,-68.0001891 -45.8713881,-67.9995775 -45.8718363,-67.99743076 -45.87213204,-67.9984939 -45.8727327,-67.9986763 -45.8725609,-67.9987407 -45.872292,-67.99707801 -45.87306235,-68.0009079 -45.8733901,-68.0017447 -45.8731436,-68.0013478 -45.8728149,-68.0005753 -45.8728074,-67.9998672 -45.8727327,-67.9986441 -45.8728074,-67.99900055 -45.87377745,-67.9970562 -45.8749065,-67.998054 -45.8746002,-67.9989874 -45.8742865,-67.9998994 -45.8736889,-67.99575168 -45.87505796,-67.9940093 -45.875758,-67.9942882 -45.875646,-67.9944921 -45.8759223,-67.9952216 -45.8756385,-67.9962945 -45.874899,-67.99230343 -45.87612978,-67.9932904 -45.8760792,-67.9926252 -45.8763556,-67.9912949 -45.8766319,-67.98995293 -45.87688436,-67.9909623 -45.8768411,-67.9909086 -45.8766394,-67.9893529 -45.876729,-67.9896641 -45.8770726,-67.98904006 -45.87741924,-67.9896748 -45.8771548,-67.9892349 -45.8767216,-67.985158 -45.8765946,-67.9863167 -45.8762734,-67.98563419 -45.87640922,-67.9865313 -45.8763033,-67.9853833 -45.8764975,-67.98469660000002 -45.8764303,-67.98281428 -45.87644776,-67.9838705 -45.8772892,-67.9842675 -45.8766469,-67.9854584 -45.876617,-67.9846001 -45.8763854,-67.98257485 -45.87765379,-67.9797721 -45.879179,-67.9789889 -45.8790669,-67.9792571 -45.8776403,-67.9831409 -45.876744,-67.9844499 -45.8766842,-67.9838705 -45.8772892,-67.97934342 -45.87920812,-67.9789352 -45.8795823,-67.9789889 -45.8790669,-67.9799759 -45.8791491,-67.97764389 -45.88001208,-67.9789352 -45.8795823,-67.9791069 -45.8776627,-67.9756737 -45.8784769,-67.9758239 -45.8787234,-67.9765105 -45.8789474,-67.9757414 -45.87911165,-67.9764569 -45.8790072,-67.9757595 -45.8787084,-67.9755771 -45.8785142,-67.9742253 -45.8787756,-67.974236 -45.878222900000004,-67.97210325 -45.8786421,-67.9739785 -45.8781632,-67.9745579 -45.8782677,-67.9740644 -45.8788802,-67.9710174 -45.8792537,-67.96993071 -45.87922522,-67.9708028 -45.8792686,-67.9686999 -45.8795524,-67.9682064 -45.8792238,-67.96661757 -45.87943084,-67.967391 -45.8796271,-67.9660606 -45.879657,-67.9619408 -45.879179,-67.959795 -45.8789997,-67.9602242 -45.8794852,-67.95937836 -45.87978501,-67.9538298 -45.8776104,-67.9575419 -45.8788205,-67.9596341 -45.8789624,-67.9602242 -45.8794852,-67.95259842 -45.87763583,-67.9521346 -45.8759746,-67.9517162 -45.8759074,-67.9513943 -45.8758999,-67.9525959 -45.87702780000001,-67.95337920000001 -45.8774162,-67.95155064 -45.87647635,-67.9521239 -45.8742491,-67.9518771 -45.875885,-67.9521346 -45.8759746,-67.95131727 -45.87411285,-67.9523921 -45.8742192,-67.953068 -45.8750334,-67.9540443 -45.8756908,-67.95347139 -45.87628758,-67.9545808 -45.876206200000006,-67.9548597 -45.8766021,-67.9553211 -45.8767066,-67.95502272 -45.87715106;-67.95502272 -45.87715106,-67.9545808 -45.876206200000006,-67.9548597 -45.8766021,-67.9553211 -45.8767066,-67.95347139 -45.87628758,-67.9523921 -45.8742192,-67.953068 -45.8750334,-67.9540443 -45.8756908,-67.95131727 -45.87411285,-67.9521239 -45.8742491,-67.9518771 -45.875885,-67.9521346 -45.8759746,-67.95155064 -45.87647635,-67.9521346 -45.8759746,-67.951448 -45.8759597,-67.9509008 -45.8738383,-67.94983615 -45.87396079,-67.9508579 -45.8736739,-67.9509115 -45.8721426,-67.94974928 -45.87213834,-67.9510081 -45.87218,-67.9515123 -45.8715599,-67.9518449 -45.870925,-67.95082673 -45.87123588,-67.9518449 -45.870925,-67.9516733 -45.8706037,-67.9509866 -45.870275,-67.95089010000001 -45.8697222,-67.9517484 -45.8700734,-67.9526281 -45.8699912,-67.95188123 -45.87007275,-67.9526013 -45.869965,-67.9517484 -45.8700734,-67.9508901 -45.8697222,-67.9511476 -45.8693039,-67.95011093 -45.86936834,-67.9511476 -45.8693039,-67.95089010000001 -45.8697222,-67.9506433 -45.8681011,-67.9512978 -45.867892,-67.95075242 -45.86791677,-67.9513514 -45.867951700000006,-67.9506004 -45.8681534,-67.9493558 -45.8665622,-67.9490876 -45.8664576,-67.9492164 -45.8668461,-67.94827454 -45.86749255,-67.949152 -45.8670029,-67.9489589 -45.866338,-67.9464805 -45.8656358,-67.946502 -45.8652099,-67.94551194 -45.86495899,,-67.9454304 -45.86503525,-67.9452038 -45.8642219,-67.9464403 -45.8647635,-67.9400271 -45.8665472</t>
  </si>
  <si>
    <t>-67.9400271 -45.8665472,-67.9383588 -45.8674437,-67.9380101 -45.8666929,-67.9392922 -45.8661064,-67.93822649 -45.86645361,,-67.93820898 -45.86621382,-67.939437 -45.8659907,-67.9410034 -45.8642985,-67.9397787 -45.86446671,-67.9413575 -45.8643508,-67.94191 -45.8638801,-67.9413092 -45.8637717,-67.94026881 -45.86394522,-67.9412395 -45.8636896,-67.94085860000001 -45.8628677,-67.94016816 -45.86304785,-67.94085860000001 -45.8628677,-67.9404294 -45.860772,-67.93965509 -45.86091672,-67.9403543 -45.8608019,-67.9402256 -45.8604656,-67.9411912 -45.8599202,-67.94002007 -45.86002619;-67.94002007 -45.86002619,-67.9403543 -45.8608019,-67.9402256 -45.8604656,-67.9411912 -45.8599202,-67.93965509 -45.86091672,-67.9404509 -45.8607122,-67.93858410000001 -45.8598305,-67.9376185 -45.8606001,-67.9381227 -45.8610185,-67.9388309 -45.8607794,-67.93809539 -45.86091501,-67.9388309 -45.8607794,-67.938112 -45.8611007,-67.9377472 -45.860899,-67.9362881 -45.8614743,-67.9374897 -45.8619749,-67.93652197 -45.86222667,-67.9375219 -45.8620421,-67.9357517 -45.861085800000005,-67.9346144 -45.8614519,-67.93332777 -45.86169272,-67.9343569 -45.8614145,-67.9335523 -45.861549,-67.9334021 -45.8611381,-67.9309666 -45.8609214,-67.92973166 -45.86112334,-67.9307091 -45.86097370000001,-67.9287457 -45.8609588,-67.9288423 -45.860757,-67.92827234 -45.86082887,-67.9288423 -45.860757,-67.9286063 -45.8609812,-67.9269433 -45.8608168,-67.9254305 -45.8610559,-67.9256237 -45.8606898,-67.92472033 -45.86078317,-67.9253769 -45.8604208,-67.9236388 -45.8595317,-67.9233384 -45.8597857,-67.92204432 -45.86025045,-67.9235315 -45.8601219,-67.9222655 -45.8604731,-67.92116295 -45.86077528,-67.9219651 -45.8610335,-67.9157424 -45.8609887,-67.91412974 -45.86109479,-67.9153347 -45.8605702,-67.9157317 -45.8599725,-67.9146159 -45.859457,-67.91347499 -45.85938782,-67.9145408 -45.8594047,-67.9124916 -45.858777,-67.9112792 -45.8592776,-67.91058213 -45.85962973,-67.9112792 -45.8592776,-67.9102921 -45.8588293,-67.9105067 -45.8586425,-67.90964669 -45.85881191,-67.9102653 -45.8586986,-67.9081625 -45.8581195,-67.90707943 -45.8582017,-67.9079533 -45.8582615,-67.9074919 -45.8604283,-67.90669842 -45.86068564,-67.934314 -45.8614668,-67.9336488 -45.8615341,-67.93349860000001 -45.8611979,-67.9346895 -45.8607645,-67.93353649 -45.86088532,-67.9348075 -45.8606001,-67.9353011 -45.8596736,-67.93453745 -45.8597358;-67.93453745 -45.8597358,-67.9348075 -45.8606001,-67.9353011 -45.8596736,-67.93353649 -45.86088532,-67.934314 -45.8614668,-67.9336488 -45.8615341,-67.93349860000001 -45.8611979,-67.9346895 -45.8607645,-67.90669842 -45.86068564,-67.9079533 -45.8582615,-67.9074919 -45.8604283,-67.90707943 -45.8582017,-67.90773330000002 -45.8580522,-67.9073417 -45.8579177,-67.9068965 -45.8568567,-67.9053408 -45.8563822,-67.90400196 -45.85653031,-67.904284 -45.8564084,-67.9033184 -45.8552726,-67.9019022 -45.8551232,-67.90067511 -45.8549717,,-67.90022567 -45.85540767,-67.9008508 -45.8548093,-67.8990161 -45.8545403,-67.898823 -45.8538678,-67.8965485 -45.8545553,-67.89483427 -45.85484841,-67.887429 -45.855564,-67.8894138 -45.853808,-67.8932333 -45.8533447,-67.8969455 -45.8545851,-67.8963768 -45.8546599,-67.88581092 -45.85597227,-67.887429 -45.855564,-67.8882551 -45.8548691,-67.8894138 -45.853808,-67.8920853 -45.8535689,-67.8916454 -45.8538678,-67.8897357 -45.85395,-67.88910 -45.85436,-67.8875685 -45.8562589,-67.885799 -45.8571033,-67.88544 -45.8578281,-67.88523 -45.85794,-67.88402968 -45.85834964,-67.8814316 -45.8592926,-67.8808415 -45.8591357,-67.880863 -45.8587322,-67.8817642 -45.858239,-67.8850043 -45.8580522,-67.88077392 -45.85953999,-67.8790283 -45.8588293,-67.880466 -45.8587397,-67.8813028 -45.8593598,-67.87771797 -45.85914466,-67.875917 -45.8590236,-67.8765607 -45.8587098,-67.8784597 -45.8588443,-67.87446619 -45.85953534,-67.8758311 -45.8590012,-67.8755307 -45.858777,-67.8718829 -45.8588144,-67.8721619 -45.8576637,-67.8733528 -45.857462,-67.8739536 -45.8579028,-67.87227986 -45.85836679,-67.8721619 -45.8576637,-67.8734279 -45.8573798,-67.8740823 -45.8579103,-67.87029294 -45.85782787,-67.8694689 -45.8577534,-67.8703272 -45.8578879,-67.8705525 -45.8574694,-67.8710139 -45.8575441,-67.86752908 -45.85773082,-67.8666365 -45.8577982,-67.8680527 -45.857716,-67.86509618 -45.85797591,-67.8655958 -45.85783560000001,-67.8642118 -45.8570435,-67.86269634 -45.8576934,-67.8630531 -45.8577608,-67.8618944 -45.8580074,-67.86119926 -45.8582863,-67.8617334 -45.8580597,-67.8595233 -45.8583362,-67.85800456 -45.85865306,-67.8585362 -45.8586425,-67.8567231 -45.8591431,-67.8550386 -45.8605852,-67.85325633 -45.86047853,-67.8547168 -45.8600622,-67.8545237 -45.8589862,-67.8537083 -45.858508,-67.852335 -45.8585529,-67.85051371 -45.8587379,-67.8492987 -45.8598679,-67.8513372 -45.8591133,-67.848022 -45.8590161,-67.8489661 -45.8582615,-67.8510582 -45.8585977,-67.84751224 -45.86039212;-67.84751224 -45.86039212,-67.8480113 -45.860376,-67.8467989 -45.86128,-67.8443742 -45.8622663,-67.8429365 -45.86190760000001,-67.84287871 -45.86187221,-67.8434944 -45.861818,-67.8401899 -45.8621318,-67.8426361 -45.8613473,-67.8426254 -45.8601294,-67.842797 -45.8591058,-67.841928 -45.8586351,-67.8397501 -45.8591282,-67.8376687 -45.8590012,-67.83635942 -45.85907747,-67.8371 -45.8587098,-67.8367245 -45.8583661,-67.8377759 -45.8572004,-67.8377545 -45.8567372,-67.8374755 -45.8565279,-67.83653581 -45.85644197,-67.8371108 -45.8561767,-67.8326368 -45.8556313,-67.83154193 -45.85548135,-67.8319716 -45.855437,-67.8292787 -45.855108200000004,-67.82760578 -45.8552439,-67.8277767 -45.8550036,-67.8251696 -45.8547271,-67.824676 -45.8544207,-67.82322995 -45.85451391,-67.8244078 -45.8540994,-67.8225088 -45.8518801,-67.82163737 -45.8516816,-67.8223801 -45.8515886,-67.8209639 -45.8504751,-67.8196657 -45.8504079,-67.81800483 -45.85079524,-67.8185713 -45.8505798,-67.816962 -45.851073,-67.8161895 -45.8523658,-67.81497943 -45.85259887,-67.816329 -45.8519921,-67.8167796 -45.8511701,-67.8158462 -45.8513121,-67.8150415 -45.8533148,-67.8138399 -45.8541293,-67.81217316 -45.85421245,-67.809999 -45.85395,-67.81053540000002 -45.8542265,-67.8125417 -45.8543386,-67.80813131 -45.85419968,-67.8093982 -45.8548467,-67.8103423 -45.8545851,-67.808851 -45.8544506,-67.8103101 -45.854219,-67.8097093 -45.8539126,-67.8072436 -45.85498762;-67.8072436 -45.85498762,-67.8098595 -45.8560647,-67.809999 -45.8550036,-67.8090441 -45.8548691,-67.80907829 -45.8565264,-67.8125632 -45.8568492,-67.810396 -45.8571033,-67.8101599 -45.8566923,-67.81224182 -45.85671416,-67.8138828 -45.856371,-67.8149986 -45.8564981,-67.816329 -45.8556985,-67.81537995 -45.85550384;-67.81537995 -45.85550384,-67.8138828 -45.856371,-67.8149986 -45.8564981,-67.816329 -45.8556985,-67.81224182 -45.85671416,-67.8125632 -45.8568492,-67.810396 -45.8571033,-67.8101599 -45.8566923,-67.80907829 -45.8565264,-67.8098595 -45.8560647,-67.809999 -45.8550036,-67.8090441 -45.8548691,-67.8072436 -45.85498762,-67.8093982 -45.8548467,-67.8103423 -45.8545851,-67.808851 -45.8544506,-67.8103101 -45.854219,-67.8097093 -45.8539126,-67.80813131 -45.85419968,-67.809999 -45.85395,-67.81053540000002 -45.8542265,-67.8125417 -45.8543386,-67.81217316 -45.85421245,-67.816329 -45.8519921,-67.8167796 -45.8511701,-67.8158462 -45.8513121,-67.8150415 -45.8533148,-67.8138399 -45.8541293,-67.81497943 -45.85259887,-67.8185713 -45.8505798,-67.816962 -45.851073,-67.8161895 -45.8523658,-67.81800483 -45.85079524,-67.8223801 -45.8515886,-67.8209639 -45.8504751,-67.8196657 -45.8504079,-67.82163737 -45.8516816,-67.8244078 -45.8540994,-67.8225088 -45.8518801,-67.82322995 -45.85451391,-67.8277767 -45.8550036,-67.8251696 -45.8547271,-67.824676 -45.8544207,-67.82760578 -45.8552439,-67.8319716 -45.855437,-67.8292787 -45.855108200000004,-67.83154193 -45.85548135,-67.8371108 -45.8561767,-67.8326368 -45.8556313,-67.83653581 -45.85644197,-67.8438914 -45.8557508,-67.8414237 -45.8563262,-67.8377545 -45.8563187,-67.84359994 -45.85582912,-67.8480864 -45.8556163,-67.846477 -45.8561992,-67.8452325 -45.8556537,-67.84737753 -45.85568862,-67.851541 -45.8561394,-67.8511119 -45.8555416,-67.8497386 -45.8553249,-67.8490841 -45.8555341,-67.84992667 -45.85649082,-67.8511226 -45.8587172,-67.8489661 -45.8581942,-67.8504252 -45.8565952,-67.85051371 -45.8587379,-67.8547168 -45.8600622,-67.8545237 -45.8589862,-67.8537083 -45.858508,-67.852335 -45.8585529,-67.85325633 -45.86047853,-67.8585362 -45.8586425,-67.8567231 -45.8591431,-67.8550386 -45.8605852,-67.85800456 -45.85865306,-67.8617334 -45.8580597,-67.8595233 -45.8583362,-67.86119926 -45.8582863,-67.8630531 -45.8577608,-67.8618944 -45.8580074,-67.86269634 -45.8576934,-67.8655958 -45.85783560000001,-67.8642118 -45.8570435,-67.86509618 -45.85797591,-67.8666365 -45.8577982,-67.8680527 -45.857716,-67.86752908 -45.85773082,-67.8694689 -45.8577534,-67.8703272 -45.8578879,-67.8705525 -45.8574694,-67.8710139 -45.8575441,-67.87029294 -45.85782787,-67.8721619 -45.8576637,-67.8734279 -45.8573798,-67.8740823 -45.8579103,-67.87227986 -45.85836679,-67.8758311 -45.8590012,-67.8755307 -45.858777,-67.8718829 -45.8588144,-67.8721619 -45.8576637,-67.8733528 -45.857462,-67.8739536 -45.8579028,-67.87446619 -45.85953534,-67.875917 -45.8590236,-67.8765607 -45.8587098,-67.8784597 -45.8588443,-67.87771797 -45.85914466,-67.8790283 -45.8588293,-67.880466 -45.8587397,-67.8813028 -45.8593598,-67.88077392 -45.85953999,-67.8814316 -45.8592926,-67.8808415 -45.8591357,-67.880863 -45.8587322,-67.8817642 -45.858239,-67.8850043 -45.8580522,-67.88402968 -45.85834964,-67.8850043 -45.8580522,-67.8858519 -45.8571556,-67.8847897 -45.8575666,-67.8816998 -45.856909,-67.88007662 -45.85706707,-67.8804874 -45.8568642,-67.8787923 -45.8561469,-67.8767753 -45.8558554,-67.87507141 -45.85623923;-67.87507141 -45.85623923,-67.8804874 -45.8568642,-67.8787923 -45.8561469,-67.8767753 -45.8558554,-67.88007662 -45.85706707,-67.8850043 -45.8580522,-67.8858519 -45.8571556,-67.8847897 -45.8575666,-67.8816998 -45.856909,-67.88402968 -45.85834964,-67.887429 -45.855564,-67.8882551 -45.8548691,-67.8894138 -45.853808,-67.8920853 -45.8535689,-67.8916454 -45.8538678,-67.8897357 -45.85395,-67.88910 -45.85436,-67.8875685 -45.8562589,-67.885799 -45.8571033,-67.88544 -45.8578281,-67.88523 -45.85794,-67.88581092 -45.85597227,-67.887429 -45.855564,-67.8894138 -45.853808,-67.8932333 -45.8533447,-67.8969455 -45.8545851,-67.8963768 -45.8546599,-67.89483427 -45.85484841,-67.9008508 -45.8548093,-67.8990161 -45.8545403,-67.898823 -45.8538678,-67.8965485 -45.8545553,-67.90022567 -45.85540767,,-67.90067511 -45.8549717,-67.904284 -45.8564084,-67.9033184 -45.8552726,-67.9019022 -45.8551232,-67.90400196 -45.85653031,-67.90773330000002 -45.8580522,-67.9073417 -45.8579177,-67.9068965 -45.8568567,-67.9053408 -45.8563822,-67.90707943 -45.8582017,-67.9102653 -45.8586986,-67.9081625 -45.8581195,-67.90964669 -45.85881191,-67.9112792 -45.8592776,-67.9102921 -45.8588293,-67.9105067 -45.8586425,-67.91058213 -45.85962973,-67.9145408 -45.8594047,-67.9124916 -45.858777,-67.9112792 -45.8592776,-67.91347499 -45.85938782,-67.9153347 -45.8605702,-67.9157317 -45.8599725,-67.9146159 -45.859457,-67.91412974 -45.86109479,-67.9219651 -45.8610335,-67.9157424 -45.8609887,-67.92116295 -45.86077528,-67.9235315 -45.8601219,-67.9222655 -45.8604731,-67.92204432 -45.86025045,-67.9253769 -45.8604208,-67.9236388 -45.8595317,-67.9233384 -45.8597857,-67.92472033 -45.86078317,-67.9288423 -45.860757,-67.9286063 -45.8609812,-67.9269433 -45.8608168,-67.9254305 -45.8610559,-67.9256237 -45.8606898,-67.92827234 -45.86082887,-67.9307091 -45.86097370000001,-67.9287457 -45.8609588,-67.9288423 -45.860757,-67.92973166 -45.86112334,-67.9343569 -45.8614145,-67.9335523 -45.861549,-67.9334021 -45.8611381,-67.9309666 -45.8609214,-67.93332777 -45.86169272,-67.9375219 -45.8620421,-67.9357517 -45.861085800000005,-67.9346144 -45.8614519,-67.93652197 -45.86222667,-67.9388309 -45.8607794,-67.938112 -45.8611007,-67.9377472 -45.860899,-67.9362881 -45.8614743,-67.9374897 -45.8619749,-67.93809539 -45.86091501,-67.9389811 -45.8623559,-67.9389596 -45.8618329,-67.9381979 -45.8610783,-67.9390669 -45.8607794,-67.93749455 -45.86270022,-67.9407942 -45.8630844,-67.9403758 -45.8621878,-67.9386914 -45.8624792,-67.94016816 -45.86304785,-67.9412395 -45.8636896,-67.94085860000001 -45.8628677,-67.94026881 -45.86394522,-67.9413575 -45.8643508,-67.94191 -45.8638801,-67.9413092 -45.8637717,-67.9397787 -45.86446671,-67.939437 -45.8659907,-67.9410034 -45.8642985,-67.93820898 -45.86621382,,-67.93822649 -45.86645361,-67.9383588 -45.8674437,-67.9380101 -45.8666929,-67.9392922 -45.8661064,-67.9400271 -45.8665472</t>
  </si>
  <si>
    <t>-67.9400271 -45.8665472,-67.9383588 -45.8674437,-67.9380101 -45.8666929,-67.9392922 -45.8661064,-67.93822649 -45.86645361,,-67.93820898 -45.86621382,-67.939437 -45.8659907,-67.9410034 -45.8642985,-67.9397787 -45.86446671,-67.9413575 -45.8643508,-67.94191 -45.8638801,-67.9413092 -45.8637717,-67.94026881 -45.86394522,-67.9412395 -45.8636896,-67.94085860000001 -45.8628677,-67.94016816 -45.86304785,-67.9407942 -45.8630844,-67.9403758 -45.8621878,-67.9386914 -45.8624792,-67.93749455 -45.86270022,-67.9389811 -45.8623559,-67.9389596 -45.8618329,-67.9381979 -45.8610783,-67.9390669 -45.8607794,-67.93809539 -45.86091501,-67.9388309 -45.8607794,-67.938112 -45.8611007,-67.9377472 -45.860899,-67.9362881 -45.8614743,-67.9374897 -45.8619749,-67.93652197 -45.86222667,-67.9375219 -45.8620421,-67.9357517 -45.861085800000005,-67.9346144 -45.8614519,-67.93332777 -45.86169272,-67.9343569 -45.8614145,-67.9335523 -45.861549,-67.9334021 -45.8611381,-67.9309666 -45.8609214,-67.92973166 -45.86112334,-67.9307091 -45.86097370000001,-67.9287457 -45.8609588,-67.9288423 -45.860757,-67.92827234 -45.86082887,-67.9288423 -45.860757,-67.9286063 -45.8609812,-67.9269433 -45.8608168,-67.9254305 -45.8610559,-67.9256237 -45.8606898,-67.92472033 -45.86078317,-67.9253769 -45.8604208,-67.9236388 -45.8595317,-67.9233384 -45.8597857,-67.92204432 -45.86025045,-67.9235315 -45.8601219,-67.9222655 -45.8604731,-67.92116295 -45.86077528,-67.9219651 -45.8610335,-67.9157424 -45.8609887,-67.91412974 -45.86109479,-67.9153347 -45.8605702,-67.9157317 -45.8599725,-67.9146159 -45.859457,-67.91347499 -45.85938782,-67.9145408 -45.8594047,-67.9124916 -45.858777,-67.9112792 -45.8592776,-67.91058213 -45.85962973,-67.9112792 -45.8592776,-67.9102921 -45.8588293,-67.9105067 -45.8586425,-67.90964669 -45.85881191,-67.9102653 -45.8586986,-67.9081625 -45.8581195,-67.90707943 -45.8582017,-67.90773330000002 -45.8580522,-67.9073417 -45.8579177,-67.9068965 -45.8568567,-67.9053408 -45.8563822,-67.90400196 -45.85653031,-67.904284 -45.8564084,-67.9033184 -45.8552726,-67.9019022 -45.8551232,-67.90067511 -45.8549717,,-67.90022567 -45.85540767,-67.9008508 -45.8548093,-67.8990161 -45.8545403,-67.898823 -45.8538678,-67.8965485 -45.8545553,-67.89483427 -45.85484841,-67.887429 -45.855564,-67.8894138 -45.853808,-67.8932333 -45.8533447,-67.8969455 -45.8545851,-67.8963768 -45.8546599,-67.88581092 -45.85597227,-67.887429 -45.855564,-67.8882551 -45.8548691,-67.8894138 -45.853808,-67.8920853 -45.8535689,-67.8916454 -45.8538678,-67.8897357 -45.85395,-67.88910 -45.85436,-67.8875685 -45.8562589,-67.885799 -45.8571033,-67.88544 -45.8578281,-67.88523 -45.85794,-67.88402968 -45.85834964;-67.88402968 -45.85834964,-67.8814316 -45.8592926,-67.8808415 -45.8591357,-67.880863 -45.8587322,-67.8817642 -45.858239,-67.8850043 -45.8580522,-67.88077392 -45.85953999,-67.8790283 -45.8588293,-67.880466 -45.8587397,-67.8813028 -45.8593598,-67.87771797 -45.85914466,-67.875917 -45.8590236,-67.8765607 -45.8587098,-67.8784597 -45.8588443,-67.87446619 -45.85953534,-67.8758311 -45.8590012,-67.8755307 -45.858777,-67.8718829 -45.8588144,-67.8721619 -45.8576637,-67.8733528 -45.857462,-67.8739536 -45.8579028,-67.87227986 -45.85836679,-67.8721619 -45.8576637,-67.8734279 -45.8573798,-67.8740823 -45.8579103,-67.87029294 -45.85782787,-67.8694689 -45.8577534,-67.8703272 -45.8578879,-67.8705525 -45.8574694,-67.8710139 -45.8575441,-67.86752908 -45.85773082,-67.8666365 -45.8577982,-67.8680527 -45.857716,-67.86509618 -45.85797591,-67.8655958 -45.85783560000001,-67.8642118 -45.8570435,-67.86269634 -45.8576934,-67.8630531 -45.8577608,-67.8618944 -45.8580074,-67.86119926 -45.8582863,-67.8617334 -45.8580597,-67.8595233 -45.8583362,-67.85800456 -45.85865306,-67.8602314 -45.85924030000001,-67.8568411 -45.8591506,-67.8585362 -45.8586425,-67.85979998 -45.85959279,-67.8623772 -45.8601145,-67.8619158 -45.8597185,-67.86181930000001 -45.8591954,-67.8608966 -45.8592179,-67.8613425 -45.86055445,-67.8623772 -45.8601145,-67.8618085 -45.8597185,-67.8601241 -45.8605852,-67.85862453 -45.86123384;-67.85862453 -45.86123384,-67.8623772 -45.8601145,-67.8618085 -45.8597185,-67.8601241 -45.8605852,-67.8613425 -45.86055445,-67.8632784 -45.8615042,-67.863096 -45.86128,-67.8622055 -45.8610559,-67.861948 -45.8605105,-67.86252974 -45.86187269,-67.8653276 -45.8635663,-67.8648341 -45.8637904,-67.8645015 -45.8630059,-67.8653491 -45.8606898,-67.8640616 -45.8614295,-67.864423 -45.86337238,-67.8639328 -45.8659271,-67.8645658 -45.8647542,-67.8655207 -45.8635513,-67.86331328 -45.86669187,-67.8659713 -45.8654266,-67.8650701 -45.8654864,-67.864598 -45.8658599,-67.86542164 -45.86561862,-67.8640509 -45.869035,-67.8651345 -45.867384,-67.8649521 -45.8657329,-67.8658748 -45.8655237,-67.86235431 -45.86962035,-67.8639972 -45.8691171,-67.8657031 -45.8680713,-67.86498939 -45.86808329,-67.8668189 -45.8667639,-67.8664005 -45.866988,-67.8663254 -45.8676305,-67.86635342 -45.86702056,-67.8668725 -45.8688706,-67.8667974 -45.868646500000004,-67.8676665 -45.8677127,-67.867012 -45.86727940000001,-67.86653014 -45.86909111,-67.8665292 -45.8705589,-67.866143 -45.8710594,-67.8657889 -45.8704767,-67.8668725 -45.8688706,-67.86552841 -45.87071955,-67.8687286 -45.87223970000001,-67.8671408 -45.8717542,-67.8661752 -45.8712611,-67.8662395 -45.8705888,-67.86803091 -45.87230485,-67.8686213 -45.87223970000001,-67.8679776 -45.8725012,-67.867173 -45.87342,-67.86601994 -45.87390747,-67.8666043 -45.8740773,-67.8655958 -45.8758999,-67.8658319 -45.8761464,-67.86520975 -45.8764158,-67.8690398 -45.8759074,-67.8681815 -45.8748691,-67.8664434 -45.8762585,-67.86877282 -45.87598303,-67.8721726 -45.8748019,-67.868793 -45.8753024,-67.8683639 -45.8750633,-67.8691471 -45.8759522,-67.87226293 -45.87472228,-67.8772473 -45.875646,-67.87714 -45.874899,-67.8760457 -45.8739578,-67.8750265 -45.8733005,-67.8741574 -45.8732108,-67.8737283 -45.8741819,-67.87580898 -45.87623664,-67.8836632 -45.8741296,-67.884264 -45.8734723,-67.8839421 -45.8733229,-67.8833306 -45.8736515,-67.8822899 -45.87404,-67.8816032 -45.8749737,-67.8808522 -45.875153,-67.8791678 -45.8762809,-67.8782129 -45.8766021,-67.8774083 -45.8765572,-67.88196942 -45.87464989,-67.8855407 -45.8747869,-67.8848219 -45.8745703,-67.8843713 -45.8743089,-67.8840923 -45.8735395,-67.8836632 -45.8741296,-67.88511415 -45.8749264,-67.88980010000002 -45.8758999,-67.8896391 -45.8754592,-67.8868389 -45.87464500000001,-67.8887044 -45.87631529,-67.88980010000002 -45.8758999,-67.8895426 -45.8756086,-67.886517 -45.875989600000004,-67.88477363 -45.87646395;-67.88477363 -45.87646395,-67.88980010000002 -45.8758999,-67.8895426 -45.8756086,-67.886517 -45.875989600000004,-67.8887044 -45.87631529,-67.88980010000002 -45.8758999,-67.8896391 -45.8754592,-67.8868389 -45.87464500000001,-67.88511415 -45.8749264,-67.8855407 -45.8747869,-67.8848219 -45.8745703,-67.8843713 -45.8743089,-67.8840923 -45.8735395,-67.8836632 -45.8741296,-67.88196942 -45.87464989,-67.8836632 -45.8741296,-67.884264 -45.8734723,-67.8839421 -45.8733229,-67.8833306 -45.8736515,-67.8822899 -45.87404,-67.8816032 -45.8749737,-67.8808522 -45.875153,-67.8791678 -45.8762809,-67.8782129 -45.8766021,-67.8774083 -45.8765572,-67.87580898 -45.87623664,-67.8772473 -45.875646,-67.87714 -45.874899,-67.8760457 -45.8739578,-67.8750265 -45.8733005,-67.8741574 -45.8732108,-67.8737283 -45.8741819,-67.87226293 -45.87472228,-67.8735888 -45.8741744,-67.8739643 -45.8739055,-67.8744149 -45.8726132,-67.8760242 -45.8715599,-67.87563056 -45.87167842;-67.87563056 -45.87167842,-67.8735888 -45.8741744,-67.8739643 -45.8739055,-67.8744149 -45.8726132,-67.8760242 -45.8715599,-67.87226293 -45.87472228,-67.8721726 -45.8748019,-67.868793 -45.8753024,-67.8683639 -45.8750633,-67.8691471 -45.8759522,-67.86877282 -45.87598303,-67.8690398 -45.8759074,-67.8681815 -45.8748691,-67.8664434 -45.8762585,-67.86520975 -45.8764158,-67.8666043 -45.8740773,-67.8655958 -45.8758999,-67.8658319 -45.8761464,-67.86601994 -45.87390747,-67.8686213 -45.87223970000001,-67.8679776 -45.8725012,-67.867173 -45.87342,-67.86803091 -45.87230485,-67.8687286 -45.87223970000001,-67.8671408 -45.8717542,-67.8661752 -45.8712611,-67.8662395 -45.8705888,-67.86552841 -45.87071955,-67.8665292 -45.8704394,-67.8664756 -45.8701107,-67.8674197 -45.8697073,-67.8698659 -45.8700883,-67.8700376 -45.8699389,-67.8700268 -45.8692964,-67.86891343 -45.86940172,-67.8699839 -45.8693413,-67.8700376 -45.8699389,-67.8703916 -45.8701929,-67.8709173 -45.8699239,-67.8707349 -45.8692815,-67.8712177 -45.8686166,-67.8731596 -45.8681236,-67.8729107 -45.86822856,-67.8740609 -45.8679218,-67.8740501 -45.8676828,-67.8730416 -45.867115,-67.8732347 -45.8667639,-67.8746724 -45.8662783,-67.8754556 -45.865591,-67.876035 -45.8638054,-67.8748977 -45.8643134,-67.87319628 -45.86441938,-67.8776658 -45.8646496,-67.876035 -45.8642312,-67.8759491 -45.8638278,-67.8749514 -45.864380600000004,-67.87711554 -45.86436098,-67.87849190000001 -45.8641416,-67.8785133 -45.863499,-67.8778052 -45.8630732,-67.87624464 -45.86324951,-67.8765821 -45.8616835,-67.8769684 -45.861803,-67.877183 -45.8627295,-67.87598229 -45.86175617,-67.8761101 -45.86104100000001,-67.8766465 -45.8610185,-67.8767216 -45.8614071,-67.87444477 -45.86135588,-67.8759491 -45.8590983,-67.8764319 -45.8599501,-67.87655 -45.8609588,-67.8760779 -45.8611231,-67.87446619 -45.85953534,-67.875917 -45.8590236,-67.8765607 -45.8587098,-67.8784597 -45.8588443,-67.87771797 -45.85914466,-67.8790283 -45.8588293,-67.880466 -45.8587397,-67.8813028 -45.8593598,-67.88077392 -45.85953999,-67.8820431 -45.8588966,-67.8808415 -45.8591357,-67.8813887 -45.8593822,-67.88161815 -45.85881773;-67.88161815 -45.85881773,-67.8820431 -45.8588966,-67.8808415 -45.8591357,-67.8813887 -45.8593822,-67.88077392 -45.85953999,-67.8814316 -45.8592926,-67.8808415 -45.8591357,-67.880863 -45.8587322,-67.8817642 -45.858239,-67.8850043 -45.8580522,-67.88402968 -45.85834964,-67.887429 -45.855564,-67.8882551 -45.8548691,-67.8894138 -45.853808,-67.8920853 -45.8535689,-67.8916454 -45.8538678,-67.8897357 -45.85395,-67.88910 -45.85436,-67.8875685 -45.8562589,-67.885799 -45.8571033,-67.88544 -45.8578281,-67.88523 -45.85794,-67.88581092 -45.85597227,-67.887429 -45.855564,-67.8894138 -45.853808,-67.8932333 -45.8533447,-67.8969455 -45.8545851,-67.8963768 -45.8546599,-67.89483427 -45.85484841,-67.9008508 -45.8548093,-67.8990161 -45.8545403,-67.898823 -45.8538678,-67.8965485 -45.8545553,-67.90022567 -45.85540767,,-67.90067511 -45.8549717,-67.904284 -45.8564084,-67.9033184 -45.8552726,-67.9019022 -45.8551232,-67.90400196 -45.85653031,-67.90773330000002 -45.8580522,-67.9073417 -45.8579177,-67.9068965 -45.8568567,-67.9053408 -45.8563822,-67.90707943 -45.8582017,-67.9102653 -45.8586986,-67.9081625 -45.8581195,-67.90964669 -45.85881191,-67.9112792 -45.8592776,-67.9102921 -45.8588293,-67.9105067 -45.8586425,-67.91058213 -45.85962973,-67.9145408 -45.8594047,-67.9124916 -45.858777,-67.9112792 -45.8592776,-67.91347499 -45.85938782,-67.9153347 -45.8605702,-67.9157317 -45.8599725,-67.9146159 -45.859457,-67.91412974 -45.86109479,-67.9219651 -45.8610335,-67.9157424 -45.8609887,-67.92116295 -45.86077528,-67.9235315 -45.8601219,-67.9222655 -45.8604731,-67.92204432 -45.86025045,-67.9253769 -45.8604208,-67.9236388 -45.8595317,-67.9233384 -45.8597857,-67.92472033 -45.86078317,-67.9288423 -45.860757,-67.9286063 -45.8609812,-67.9269433 -45.8608168,-67.9254305 -45.8610559,-67.9256237 -45.8606898,-67.92827234 -45.86082887,-67.9307091 -45.86097370000001,-67.9287457 -45.8609588,-67.9288423 -45.860757,-67.92973166 -45.86112334,-67.9343569 -45.8614145,-67.9335523 -45.861549,-67.9334021 -45.8611381,-67.9309666 -45.8609214,-67.93332777 -45.86169272,-67.9375219 -45.8620421,-67.9357517 -45.861085800000005,-67.9346144 -45.8614519,-67.93652197 -45.86222667,-67.9388309 -45.8607794,-67.938112 -45.8611007,-67.9377472 -45.860899,-67.9362881 -45.8614743,-67.9374897 -45.8619749,-67.93809539 -45.86091501,-67.9389811 -45.8623559,-67.9389596 -45.8618329,-67.9381979 -45.8610783,-67.9390669 -45.8607794,-67.93749455 -45.86270022,-67.9407942 -45.8630844,-67.9403758 -45.8621878,-67.9386914 -45.8624792,-67.94016816 -45.86304785,-67.9412395 -45.8636896,-67.94085860000001 -45.8628677,-67.94026881 -45.86394522,-67.9413575 -45.8643508,-67.94191 -45.8638801,-67.9413092 -45.8637717,-67.9397787 -45.86446671,-67.939437 -45.8659907,-67.9410034 -45.8642985,-67.93820898 -45.86621382,,-67.93822649 -45.86645361,-67.9383588 -45.8674437,-67.9380101 -45.8666929,-67.9392922 -45.8661064,-67.9400271 -45.8665472</t>
  </si>
  <si>
    <t>-67.9400271 -45.8665472,-67.9383588 -45.8674437,-67.9380584 -45.8682655,-67.9363847 -45.8693786,-67.9365671 -45.8696326,-67.93551008 -45.87004015,-67.936492 -45.8696625,-67.9362881 -45.8694234,-67.9350436 -45.8703273,-67.9347003 -45.8699986,-67.933282 -45.87018527,-67.9337347 -45.872531,-67.9350007 -45.8704245,-67.9346895 -45.8701032,-67.93292309 -45.87290945,-67.9305589 -45.8765722,-67.9309773 -45.8765423,-67.9323184 -45.875011,-67.9336917 -45.8726132,-67.92916705 -45.87686758,-67.9288745 -45.8790371,-67.9299796 -45.8786337,-67.9304302 -45.8776552,-67.9309022 -45.8766245,-67.9306126 -45.8766543,-67.92746283 -45.879252,-67.9288745 -45.8790371,-67.9299796 -45.8786337,-67.9308271 -45.8793582,-67.9310632 -45.8796271,-67.9308057 -45.8796645,-67.92926139 -45.87980166,-67.9308057 -45.8796645,-67.9309773 -45.8795823,-67.9308271 -45.8793582,-67.9319429 -45.8795524,-67.9332089 -45.8799333,-67.9339921 -45.8795524,-67.9349685 -45.8793358,-67.935698 -45.8793209,-67.93512028 -45.8793768,-67.9364383 -45.8791566,-67.9368889 -45.8790371,-67.9370821 -45.878798,-67.939657 -45.8787906,-67.9398179 -45.8784246,-67.93938002 -45.87863178,-67.9433799 -45.8793582,-67.9425859 -45.8792462,-67.9414809 -45.8788951,-67.9399574 -45.8788802,-67.9395819 -45.8785889,-67.9398179 -45.8784246,-67.94258106 -45.87928487,-67.9468131 -45.8799931,-67.9464698 -45.8794927,-67.9443026 -45.8791491,-67.9459034 -45.88040255,-67.9472744 -45.8827118,-67.9475963 -45.8819051,-67.9476392 -45.8807475,-67.9472208 -45.8805159,-67.94607409 -45.88311995,-67.9472744 -45.8852212,-67.9470921 -45.8844967,-67.9472423 -45.883959,-67.9472315 -45.8831823,-67.94628753 -45.88560005,-67.9471672 -45.8852884,-67.9470921 -45.8848627,-67.9461265 -45.8845565,-67.94483649 -45.8845247,-67.9459763 -45.8845415,-67.9446459 -45.8841607,-67.9436696 -45.8842353,-67.94255555 -45.88454697,-67.9423177 -45.8861323,-67.9425859 -45.8852137,-67.9431438 -45.8846088,-67.9432619 -45.8842802,-67.94198922 -45.88653728,-67.9414594 -45.88785,-67.9417813 -45.8871554,-67.9419315 -45.8865879,-67.9423285 -45.8863414,-67.93992923 -45.88854577,-67.9410625 -45.888776,-67.9401827 -45.8890747,-67.9375863 -45.8886341,-67.93581454 -45.88863383;-67.93581454 -45.88863383,-67.9351616 -45.890628,-67.9353011 -45.8903069,-67.9351509 -45.889702,-67.9356337 -45.8888283,-67.9361594 -45.8882682,-67.9367387 -45.8882607,-67.93404442 -45.8909633,-67.9365563 -45.8934955,-67.9363203 -45.8936,-67.935344 -45.8928831,-67.935226 -45.8911432,-67.9360062 -45.89335158,-67.9386914 -45.8911283,-67.9384661 -45.8920468,-67.9380691 -45.8922111,-67.9374146 -45.8931968,-67.93808121 -45.89103139,-67.9441845 -45.8944512,-67.9437339 -45.8940256,-67.9429615 -45.8935179,-67.9420388 -45.8926442,-67.9392278 -45.8921737,-67.9386055 -45.8919721,-67.9388738 -45.8911059,-67.94342733 -45.89494583,-67.9444742 -45.8952204,-67.9448175 -45.8966465,-67.9453754 -45.8970423,-67.9465127 -45.8973708,-67.948122 -45.8975724,-67.9491735 -45.8979383,-67.9495811 -45.8977143,-67.9495168 -45.8971916,-67.948916 -45.89643,-67.9480469 -45.8964599,-67.94634029 -45.89666725;-67.94634029 -45.89666725,-67.9480469 -45.8964599,-67.9490232 -45.8964748,-67.9496241 -45.8946081,-67.9499245 -45.8939808,-67.9505253 -45.8936448,-67.9514372 -45.8936821,-67.9526389 -45.8943915,-67.95185094 -45.89446535,-67.9582393 -45.8946827,-67.9580355 -45.8936448,-67.9570484 -45.8930026,-67.9563832 -45.8929429,-67.9546344 -45.8936448,-67.9533792 -45.8943691,-67.95753705 -45.89518861,-67.9602778 -45.8973559,-67.959677 -45.8974604,-67.9590976 -45.897326,-67.9587114 -45.8968257,-67.95928 -45.896094,-67.9591405 -45.8953548,-67.95956637 -45.89743693,-67.9642367 -45.8983564,-67.9643333 -45.8976993,-67.9650199 -45.8970721,-67.9652989 -45.8964076,-67.9613721 -45.8972065,-67.96354703 -45.89869944,-67.9693437 -45.9027914,-67.9659963 -45.8987297,-67.965138 -45.8986401,-67.96793825 -45.90348141,-67.9685926 -45.9034484,-67.9653096 -45.9044488,-67.9600525 -45.9049564,-67.9584861 -45.9041651,-67.9576707 -45.9040606,-67.95594313 -45.90408308,-67.9576063 -45.9040904, -67.9586792 -45.9041949, -67.9598594 -45.9049266, -67.9530573 -45.9053894, -67.948916 -45.9068676,-67.9477358 -45.9069124,-67.9420066 -45.9072707, -67.9449141 -45.9072931, -67.9463518 -45.9076291,-67.94070253 -45.90708056,-67.9419637 -45.9061061,-67.9426718 -45.9047623,-67.9415345 -45.9048967,-67.938745 -45.9059568,-67.9340029 -45.9072707,-67.9353547 -45.9073006,-67.93482704 -45.9074612,-67.922008 -45.9097193,-67.9201412 -45.9109884,-67.9196906 -45.9109585,-67.9200125 -45.9097492,-67.9210854 -45.909585,-67.9227591 -45.90851,-67.9267287 -45.9077933,-67.9317927 -45.9075544,-67.9344964 -45.9080023,-67.9353762 -45.9076142,-67.92132124 -45.90950332,-67.9221797 -45.9097492,-67.9201412 -45.9109884,-67.91924 -45.911063,-67.9191971 -45.9115109,-67.91938339 -45.91141146,-67.9150558 -45.9126903,-67.9162359 -45.9122126,-67.9164505 -45.9115408,-67.9181457 -45.910645,-67.9202914 -45.9111078,-67.91361731 -45.91301639,-67.9181457 -45.9134368,-67.9172659 -45.9143475,-67.9155493 -45.9147505,-67.9153347 -45.914437,-67.9160857 -45.9122425,-67.9150558 -45.9126903,-67.91754846 -45.91327537;-67.91754846 -45.91327537,-67.9181457 -45.9134368,-67.9172659 -45.9143475,-67.9155493 -45.9147505,-67.9153347 -45.914437,-67.9160857 -45.9122425,-67.9150558 -45.9126903,-67.91361731 -45.91301639,-67.9095197 -45.9178556,-67.9090691 -45.9168107,-67.9049706 -45.9149894,-67.9050565 -45.9146311,-67.908597 -45.9143027,-67.9105282 -45.9135114,-67.9126954 -45.9130636,-67.9141974 -45.9123171,-67.90949828 -45.91775832,-67.9105067 -45.9207068,-67.9081678 -45.9205276,-67.9078245 -45.9200798,-67.9065156 -45.9195574,-67.9081035 -45.9191991,-67.9097772 -45.9180049,-67.91006087 -45.92075561,-67.9186392 -45.925737,-67.9181242 -45.9258713,-67.9160213 -45.924319,-67.9144335 -45.9239011,-67.9125881 -45.9236324,-67.911365 -45.9232891,-67.908361 -45.9205575,-67.9107213 -45.9206172,-67.91781996 -45.92567691;-67.91781996 -45.92567691,-67.9287672 -45.9270653,-67.927587 -45.9266922,-67.9265141 -45.9266325,-67.9261708 -45.9260206,-67.926321 -45.9254982,-67.9253769 -45.9248713,-67.9232097 -45.9249011,-67.922008 -45.9242593,-67.9200339 -45.9239458,-67.9162788 -45.9243787,-67.9181242 -45.9258713,-67.9186392 -45.925737,-67.92882882 -45.92622679,-67.9366422 -45.9271698,-67.9355264 -45.9268564,-67.9335093 -45.9267071,-67.9319644 -45.9271698,-67.9287672 -45.9270653,-67.93584321 -45.92709528,-67.9435515 -45.9227219,-67.9384983 -45.9223039,-67.9381764 -45.9219979,-67.9378438 -45.9222592,-67.9378438 -45.9241399,-67.9368353 -45.9265728,-67.9433277 -45.92278492;-67.9433277 -45.92278492,-67.9437661 -45.9226174,-67.9421139 -45.9226995,-67.9384983 -45.9223039,-67.9381764 -45.9219979,-67.9380584 -45.9212964,-67.9374897 -45.9206471,-67.9373181 -45.9201097,-67.9376721 -45.9193932,-67.9375219 -45.920244,-67.9378974 -45.9205575,-67.93749101 -45.92107433,-67.9378974 -45.9205575,-67.9375219 -45.920244,-67.9376721 -45.9193932,-67.9373181 -45.9201097,-67.9375005 -45.9207814,-67.9381657 -45.9214382,-67.9378438 -45.9222592,-67.9378653 -45.9235428,-67.9352689 -45.9230204,-67.9323292 -45.9215277,-67.9315567 -45.9216173,-67.92974857 -45.92193359,-67.9315567 -45.9216173,-67.9323292 -45.9215277,-67.9268146 -45.9178258,-67.9294968 -45.9176466,-67.9304409 -45.9174227,-67.9300117 -45.9168704,-67.9294324 -45.9165121,-67.92776392 -45.91634643,-67.9294324 -45.9165121,-67.930162 -45.916945,-67.9304409 -45.9174227,-67.9261708 -45.9179004,-67.9190469 -45.9157209,-67.9196262 -45.9152282,-67.91936766 -45.91518342,,-67.9198102 -45.91487479,-67.9231882 -45.9122723,-67.9249692 -45.9120036,-67.9255915 -45.9130038,-67.9226518 -45.9145117,-67.9209566 -45.9155119,-67.9190469 -45.9157209,-67.9196262 -45.9152282,-67.92178415 -45.91276334,-67.9250765 -45.911063,-67.9249692 -45.9120036,-67.9233384 -45.9123171,-67.92339949 -45.91107871,-67.9191971 -45.9115109,-67.9193473 -45.9122574,-67.9206347 -45.9121827,-67.9237676 -45.911287,-67.91938339 -45.91141146,-67.9221797 -45.9097492,-67.9201412 -45.9109884,-67.91924 -45.911063,-67.9191971 -45.9115109,-67.92132124 -45.90950332,-67.922008 -45.9097193,-67.9201412 -45.9109884,-67.9196906 -45.9109585,-67.9200125 -45.9097492,-67.9210854 -45.909585,-67.9227591 -45.90851,-67.9267287 -45.9077933,-67.9317927 -45.9075544,-67.9344964 -45.9080023,-67.9353762 -45.9076142,-67.93482704 -45.9074612,-67.9419637 -45.9061061,-67.9426718 -45.9047623,-67.9415345 -45.9048967,-67.938745 -45.9059568,-67.9340029 -45.9072707,-67.9353547 -45.9073006,-67.94070253 -45.90708056,-67.9417276 -45.9060912,-67.9426718 -45.9047623,-67.9416203 -45.9047773,-67.9445601 -45.9035379,-67.942543 -45.9026271,-67.94048121 -45.90255833,-67.9313636 -45.9007755,-67.9299688 -45.9015296,-67.9309559 -45.9024778,-67.931664 -45.9022687,-67.9323721 -45.9010144,-67.9335737 -45.900447,-67.9371786 -45.9012832,-67.9379082 -45.9021045,-67.9396677 -45.9026719,-67.941041 -45.9025674,-67.93028301 -45.90068278,-67.9312027 -45.9008128,-67.9299688 -45.9015296,-67.9282737 -45.9003723,-67.9263103 -45.8994316,-67.9232204 -45.8984983,-67.9221046 -45.8981623,-67.92046749 -45.89809236,-67.9221904 -45.8981548,-67.9232204 -45.8984983,-67.9230487 -45.8980652,-67.9224908 -45.89755,-67.9236388 -45.8964449,-67.92261639 -45.89612501,-67.9235637 -45.895743,-67.9241538 -45.8953249,-67.9267287 -45.8949142,-67.9271579 -45.8944961,-67.9267287 -45.8942048,-67.9257309 -45.8936448,-67.9256558 -45.8930698,-67.9268682 -45.8923604,-67.9289711 -45.8934208,-67.9293036 -45.893361,-67.92819602 -45.89300211,-67.929368 -45.8925994,-67.9296148 -45.8919423,-67.9287994 -45.8913897,-67.9285097 -45.8910014,-67.9286277 -45.8901127,-67.92758265 -45.88993498,-67.9286492 -45.8892166,-67.9288638 -45.8878724,-67.9292393 -45.8876931,-67.92838162 -45.88770662,-67.929883 -45.8876782,-67.9306018 -45.8878724,-67.9317605 -45.8883727,-67.9326189 -45.888201,-67.93184093 -45.88869985,,-67.93195275 -45.88880085,-67.9325545 -45.8880964,-67.9324257 -45.8875363,-67.933048 -45.8868642,-67.9335093 -45.8836304,-67.93297197 -45.88384007,,-67.93288041 -45.88347512,-67.9369962 -45.8822636,-67.9367441 -45.8819686,-67.9343677 -45.8832719,-67.93623372 -45.88237227,-67.9369104 -45.8822487,-67.9367441 -45.8819686,-67.9385787 -45.881274,-67.938568 -45.8809641,-67.9379243 -45.8811844,-67.93588984 -45.88149225,-67.9380155 -45.8812404,-67.938627 -45.880852,-67.9384768 -45.8805682,-67.9371035 -45.8800827,-67.9358482 -45.8797093,-67.9335737 -45.8797616,-67.934432 -45.8794255,-67.9350007 -45.8792835,-67.9357088 -45.8792686,-67.93512028 -45.8793768,-67.9308057 -45.8796645,-67.9309773 -45.8795823,-67.9308271 -45.8793582,-67.9319429 -45.8795524,-67.9332089 -45.8799333,-67.9339921 -45.8795524,-67.9349685 -45.8793358,-67.935698 -45.8793209,-67.92926139 -45.87980166,-67.9288745 -45.8790371,-67.9299796 -45.8786337,-67.9308271 -45.8793582,-67.9310632 -45.8796271,-67.9308057 -45.8796645,-67.92746283 -45.879252,-67.9288745 -45.8790371,-67.9299796 -45.8786337,-67.9304302 -45.8776552,-67.9309022 -45.8766245,-67.9306126 -45.8766543,-67.92916705 -45.87686758,-67.9305589 -45.8765722,-67.9309773 -45.8765423,-67.9323184 -45.875011,-67.9336917 -45.8726132,-67.93292309 -45.87290945,-67.9337347 -45.872531,-67.9350007 -45.8704245,-67.9346895 -45.8701032,-67.933282 -45.87018527,-67.936492 -45.8696625,-67.9362881 -45.8694234,-67.9350436 -45.8703273,-67.9347003 -45.8699986,-67.93551008 -45.87004015,-67.9383588 -45.8674437,-67.9380584 -45.8682655,-67.9363847 -45.8693786,-67.9365671 -45.8696326,-67.9400271 -45.8665472</t>
  </si>
  <si>
    <t>-67.9400271 -45.8665472,-67.9427254 -45.8635364,-67.9464859 -45.8623447,-67.9469097 -45.862016,-67.94569946 -45.86221924,-67.9469097 -45.8620944,-67.9481596 -45.8620048,-67.94727301 -45.86217176,-67.9483044 -45.861911400000004,-67.9473495 -45.8614183,-67.94655091 -45.86160389,-67.9479718 -45.8615453,-67.9493934 -45.8606973,-67.9489589 -45.8606599,-67.94780419 -45.86081977,-67.9549134 -45.858239,-67.9527032 -45.8590684,-67.9493666 -45.8607794,-67.9491198 -45.8606898,-67.9539623 -45.85805836,-67.9549778 -45.85820170000001,-67.9571986 -45.85672970000001,-67.9579175 -45.8564981,-67.9585719 -45.8567521,-67.95773843 -45.85672753,-67.9637325 -45.8577459,-67.9643655 -45.8579476,-67.9642689 -45.8583885,-67.9623485 -45.8582017,-67.9617047 -45.8578879,-67.960825 -45.8571257,-67.9587221 -45.8568418,-67.96207279 -45.85789473,-67.9637325 -45.8577459,-67.9642367 -45.8578505,-67.9642689 -45.8583885,-67.963078 -45.8585603,-67.9614151 -45.8585603,-67.95977833 -45.85857686,-67.9602885 -45.8583661,-67.9596019 -45.8583063,-67.9588509 -45.8580298,-67.95694256 -45.85847796;-67.95694256 -45.85847796,-67.9602885 -45.8583661,-67.9596019 -45.8583063,-67.9588509 -45.8580298,-67.95977833 -45.85857686,-67.9637325 -45.8577459,-67.9642367 -45.8578505,-67.9642689 -45.8583885,-67.963078 -45.8585603,-67.9614151 -45.8585603,-67.96207279 -45.85789473,-67.9637325 -45.8577459,-67.9643655 -45.8579476,-67.9642689 -45.8583885,-67.9623485 -45.8582017,-67.9617047 -45.8578879,-67.960825 -45.8571257,-67.9587221 -45.8568418,-67.95773843 -45.85672753,-67.9549778 -45.85820170000001,-67.9571986 -45.85672970000001,-67.9579175 -45.8564981,-67.9585719 -45.8567521,-67.9539623 -45.85805836,-67.9549134 -45.858239,-67.9527032 -45.8590684,-67.9493666 -45.8607794,-67.9491198 -45.8606898,-67.94780419 -45.86081977,-67.9479718 -45.8615453,-67.9493934 -45.8606973,-67.9489589 -45.8606599,-67.94655091 -45.86160389,-67.9483044 -45.861911400000004,-67.9473495 -45.8614183,-67.94727301 -45.86217176,-67.9469097 -45.8620944,-67.9481596 -45.8620048,-67.94569946 -45.86221924,-67.9427254 -45.8635364,-67.9464859 -45.8623447,-67.9469097 -45.862016,-67.9400271 -45.8665472,-67.9383588 -45.8674437,-67.9380101 -45.8666929,-67.9392922 -45.8661064,-67.93822649 -45.86645361,,-67.93820898 -45.86621382,-67.939437 -45.8659907,-67.9410034 -45.8642985,-67.9397787 -45.86446671,-67.9413575 -45.8643508,-67.94191 -45.8638801,-67.9413092 -45.8637717,-67.94026881 -45.86394522,-67.9412395 -45.8636896,-67.94085860000001 -45.8628677,-67.94016816 -45.86304785,-67.9407513 -45.863103100000004,-67.9403973 -45.8622551,-67.93757020000001 -45.8636746,-67.93638614 -45.8639203,-67.9374468 -45.8637643,-67.93648120000002 -45.8648999,-67.93542287 -45.86514387,-67.9364544 -45.8650082,-67.9343033 -45.8651128,-67.93322311 -45.86539389,-67.934196 -45.8650755,-67.9339492 -45.8648887,-67.9318678 -45.8652174,-67.93025624 -45.86524613,-67.92887450000002 -45.8655984,-67.929647 -45.8660093,-67.9311919 -45.8652622,-67.92761571 -45.86576064,-67.9284239 -45.8655835,-67.9270077 -45.8655162,-67.92568273 -45.86555172,,-67.92617947 -45.86596757,-67.9266429 -45.8657927,-67.9259992 -45.8665696,-67.92478129 -45.86687146,-67.9258382 -45.86658460000001,-67.9220402 -45.8663903,-67.92069068 -45.86664171,-67.9224908 -45.8663306,-67.9191971 -45.8656582,-67.91774956 -45.8661538,-67.9187572 -45.8661064,-67.9176843 -45.8663679,-67.9172981 -45.8656657,-67.91575239 -45.86551598,-67.9164934 -45.8652398,-67.9147875 -45.8642536,-67.9133606 -45.865322,-67.9120409 -45.8651352,-67.91093971 -45.86527418,-67.9122448 -45.8649709,-67.911129 -45.8644105,-67.9103887 -45.8645226,-67.90917641 -45.86476613,-67.9100668 -45.8647318,-67.9098523 -45.8659197,-67.9103565 -45.8661513,-67.90947109 -45.86641003,-67.9100454 -45.8663754,-67.9094982 -45.8663306,-67.909627 -45.86429100000001,-67.90869072 -45.86438156,-67.9108179 -45.86391,-67.9094768 -45.8638353,-67.9077816 -45.8657329,-67.9066443 -45.8662484,-67.90565529 -45.8665856,,-67.90629828 -45.866507;-67.90629828 -45.866507,,-67.90565529 -45.8665856,-67.9108179 -45.86391,-67.9094768 -45.8638353,-67.9077816 -45.8657329,-67.9066443 -45.8662484,-67.90869072 -45.86438156,-67.9100454 -45.8663754,-67.9094982 -45.8663306,-67.909627 -45.86429100000001,-67.90947109 -45.86641003,-67.9100668 -45.8647318,-67.9098523 -45.8659197,-67.9103565 -45.8661513,-67.90917641 -45.86476613,-67.9122448 -45.8649709,-67.911129 -45.8644105,-67.9103887 -45.8645226,-67.91093971 -45.86527418,-67.9164934 -45.8652398,-67.9147875 -45.8642536,-67.9133606 -45.865322,-67.9120409 -45.8651352,-67.91575239 -45.86551598,-67.9187572 -45.8661064,-67.9176843 -45.8663679,-67.9172981 -45.8656657,-67.91774956 -45.8661538,-67.9224908 -45.8663306,-67.9191971 -45.8656582,-67.92069068 -45.86664171,-67.9258382 -45.86658460000001,-67.9220402 -45.8663903,-67.92478129 -45.86687146,-67.9266429 -45.8657927,-67.9259992 -45.8665696,-67.92617947 -45.86596757,,-67.92568273 -45.86555172,-67.9284239 -45.8655835,-67.9270077 -45.8655162,-67.92761571 -45.86576064,-67.92887450000002 -45.8655984,-67.929647 -45.8660093,-67.9311919 -45.8652622,-67.93025624 -45.86524613,-67.934196 -45.8650755,-67.9339492 -45.8648887,-67.9318678 -45.8652174,-67.93322311 -45.86539389,-67.9364544 -45.8650082,-67.9343033 -45.8651128,-67.93542287 -45.86514387,-67.9374468 -45.8637643,-67.93648120000002 -45.8648999,-67.93638614 -45.8639203,-67.9407513 -45.863103100000004,-67.9403973 -45.8622551,-67.93757020000001 -45.8636746,-67.94016816 -45.86304785,-67.9412395 -45.8636896,-67.94085860000001 -45.8628677,-67.94026881 -45.86394522,-67.9413575 -45.8643508,-67.94191 -45.8638801,-67.9413092 -45.8637717,-67.9397787 -45.86446671,-67.939437 -45.8659907,-67.9410034 -45.8642985,-67.93820898 -45.86621382,,-67.93822649 -45.86645361,-67.9383588 -45.8674437,-67.9380101 -45.8666929,-67.9392922 -45.8661064,-67.9400271 -45.8665472</t>
  </si>
  <si>
    <t>-67.9400271 -45.8665472,-67.9383588 -45.8674437,-67.9380584 -45.8682655,-67.9363847 -45.8693786,-67.9365671 -45.8696326,-67.93551008 -45.87004015,-67.936492 -45.8696625,-67.9362881 -45.8694234,-67.9350436 -45.8703273,-67.9347003 -45.8699986,-67.933282 -45.87018527,-67.9337347 -45.872531,-67.9350007 -45.8704245,-67.9346895 -45.8701032,-67.93292309 -45.87290945,-67.9305589 -45.8765722,-67.9309773 -45.8765423,-67.9323184 -45.875011,-67.9336917 -45.8726132,-67.92916705 -45.87686758,-67.9288745 -45.8790371,-67.9299796 -45.8786337,-67.9304302 -45.8776552,-67.9309022 -45.8766245,-67.9306126 -45.8766543,-67.92746283 -45.879252,-67.9288745 -45.8790371,-67.9299045 -45.8786188,-67.929765 -45.8784918,-67.9247224 -45.8798512,-67.9241753 -45.8796943,-67.92260289 -45.87981886,-67.9231775 -45.8798138,-67.9230273 -45.8801051,-67.9220295 -45.8802022,-67.9198301 -45.8807027,-67.9191542 -45.8814645,-67.9198301 -45.8813375,-67.91930941 -45.88137118,-67.9183173 -45.8833018,-67.9179525 -45.8832943,-67.9178452 -45.8829358,-67.9186606 -45.8819873,-67.9191113 -45.8815466,-67.9197979 -45.8813898,-67.91747464 -45.88372353,-67.9166651 -45.8823159,-67.9170835 -45.8822711,-67.9178345 -45.8833989,-67.9184783 -45.8832943,-67.91541483 -45.88231338,-67.911365 -45.8831076,-67.9142618 -45.8826968,-67.9159892 -45.8825026,-67.90970498 -45.88326091,-67.9076958 -45.8841084,-67.9082644 -45.8839366,-67.9093373 -45.8833167,-67.9103136 -45.8831972,-67.90591516 -45.88446218,,-67.90594775 -45.88423937,-67.9066443 -45.8844071,-67.9062474 -45.8852585,-67.908833 -45.885968,-67.9091012 -45.8864012,-67.90705336 -45.88840606,-67.9052818 -45.8875736,-67.90654780000001 -45.8882084,-67.9074919 -45.8882756,-67.90362098 -45.8874036,-67.9022241 -45.8892913,-67.9030609 -45.889239,-67.9032218 -45.8889477,-67.9028785 -45.8877678,-67.9034686 -45.8869165,-67.9039729 -45.8871629,-67.90098858 -45.88903898,-67.9020846 -45.8894257,-67.9013014 -45.8899484,-67.8996277 -45.8906877,-67.899971 -45.8910611,-67.9025245 -45.8912403,-67.90201018 -45.89143448,-67.88692 -45.8969,-67.88699 -45.8967,-67.88813 -45.89656,-67.89097 -45.89695,-67.89245 -45.89689,-67.89426 -45.89522,-67.895143 -45.89461,-67.8961408 -45.8936821,-67.9025245 -45.8916958,-67.905325 -45.89145,-67.90461 -45.89114,-67.90381 -45.89112,-67.88552167 -45.89738087,-67.8830731 -45.8952726,-67.8847253 -45.8956385,-67.8855407 -45.8952726,-67.8875041 -45.895855,-67.8877079 -45.8965569,-67.8870857 -45.8966764,-67.8869247 -45.8969004,-67.88155956 -45.89544783,-67.8829336 -45.8947051, -67.8827405 -45.8942496, -67.8828049 -45.8923978, -67.883749 -45.8924127,-67.88335575 -45.89262218;-67.88335575 -45.89262218,-67.8829336 -45.8947051, -67.8827405 -45.8942496, -67.8828049 -45.8923978, -67.883749 -45.8924127,-67.88155956 -45.89544783;-67.88155956 -45.89544783,-67.8830731 -45.8952726,-67.8847253 -45.8956385,-67.8855407 -45.8952726,-67.8875041 -45.895855,-67.8877079 -45.8965569,-67.8870857 -45.8966764,-67.8869247 -45.8969004,-67.88552167 -45.89738087,-67.88692 -45.8969,-67.88699 -45.8967,-67.88813 -45.89656,-67.89097 -45.89695,-67.89245 -45.89689,-67.89426 -45.89522,-67.895143 -45.89461,-67.8961408 -45.8936821,-67.9025245 -45.8916958,-67.905325 -45.89145,-67.90461 -45.89114,-67.90381 -45.89112,-67.90201018 -45.89143448,-67.9020846 -45.8894257,-67.9013014 -45.8899484,-67.8996277 -45.8906877,-67.899971 -45.8910611,-67.9025245 -45.8912403,-67.90098858 -45.88903898,-67.9022241 -45.8892913,-67.9030609 -45.889239,-67.9032218 -45.8889477,-67.9028785 -45.8877678,-67.9034686 -45.8869165,-67.9039729 -45.8871629,-67.90362098 -45.8874036,-67.9039729 -45.8871629,-67.9034686 -45.8869165,-67.9041123 -45.886192,-67.9042947 -45.8847656,-67.90316820000001 -45.883637900000004,-67.90293219 -45.8836944,-67.90316820000001 -45.883637900000004,-67.9026854 -45.8831823,-67.9021275 -45.8832794,-67.900722 -45.8842279,-67.9001105 -45.8851465,-67.8995955 -45.8843175,-67.89811074 -45.88424629,-67.896452 -45.8842129,-67.8972995 -45.8841607,-67.8987801 -45.8833839,-67.8993165 -45.8836304,-67.89478887 -45.88442779,-67.895658 -45.88465360000001,-67.8955078 -45.8872675,-67.89402720000001 -45.888186,-67.89313670000001 -45.8879097,-67.8935552 -45.8866999,-67.891624 -45.8850718,-67.88986813 -45.88509226,-67.8916669 -45.8851316,-67.891463 -45.8853332,-67.8890061 -45.8855946,-67.8886521 -45.8849672,-67.88725199 -45.88498287,-67.8877938 -45.885251,-67.8862166 -45.8849523,-67.88477851 -45.88530377,-67.8863347 -45.8849448,-67.8869569 -45.8849672,-67.8874826 -45.883847,-67.8903258 -45.883570600000006,-67.88934482 -45.88367092,-67.8808522 -45.8847432,-67.8831053 -45.8843548,-67.884897 -45.8834586,-67.8876114 -45.88378720000001,-67.8901434 -45.8835856,-67.87931365 -45.88515467,-67.8775477 -45.8859232,-67.87784810000001 -45.8854153,-67.8789425 -45.8862742,-67.879554 -45.8862667,-67.8829443 -45.8844743,-67.8806055 -45.8848253,-67.87597578 -45.88674947,,-67.87630061 -45.88642699,-67.8775907 -45.885744,-67.8778374 -45.8851241,-67.8766251 -45.8844594,-67.8767002 -45.8840561,-67.8758872 -45.88413516,-67.8738034 -45.8829806,-67.8739858 -45.8834512,-67.87655 -45.8844445,-67.8765929 -45.8840262,-67.87263059 -45.88283868,-67.8737283 -45.8829508,-67.8736854 -45.8833242,-67.8730094 -45.8829134,-67.8686643 -45.8830254,-67.86703039 -45.88312685,-67.8685462 -45.8831151,-67.8700483 -45.8829059,-67.8648233 -45.8818603,-67.8628063 -45.8810537,-67.8621304 -45.8814645,-67.86071597 -45.88116865,-67.8622806 -45.8814346,-67.8628922 -45.8810985,-67.8613365 -45.8799035,-67.8605962 -45.879896,-67.85926992 -45.88036306,-67.8633642 -45.8805981,-67.8613579 -45.8799707,-67.8608108 -45.8798811,-67.86269956 -45.88077691,-67.8661644 -45.8809417,-67.8650057 -45.8806205,-67.8644371 -45.8807923,-67.86568201 -45.88111505;-67.86568201 -45.88111505,-67.8661644 -45.8809417,-67.8650057 -45.8806205,-67.8644371 -45.8807923,-67.86269956 -45.88077691,-67.8633642 -45.8805981,-67.8613579 -45.8799707,-67.8608108 -45.8798811,-67.85926992 -45.88036306,-67.8622806 -45.8814346,-67.8628922 -45.8810985,-67.8613365 -45.8799035,-67.8605962 -45.879896,-67.86071597 -45.88116865,-67.8614116 -45.8855274,-67.862978 -45.884788,-67.8635466 -45.8831599,-67.8632355 -45.8817483,-67.86391140000002 -45.8815093,-67.8628063 -45.8810537,-67.8623772 -45.8814346,-67.85908094 -45.88593849,-67.8609717 -45.8856767,-67.862817 -45.8848403,-67.8617656 -45.8854826,-67.8616369 -45.886192,-67.8618944 -45.8867671,-67.86045923 -45.88724171,-67.8618944 -45.8867671,-67.8616261 -45.8862443,-67.8603601 -45.88681940000001,-67.8594589 -45.8868119,-67.8584075 -45.8873347,-67.856369 -45.8871629,-67.8557789 -45.8865655,-67.85399644 -45.88640005,-67.8587294 -45.8888955,-67.8575063 -45.8884847,-67.8558004 -45.8866177,-67.85821176 -45.88888764,-67.8570557 -45.8887461,-67.8588152 -45.88891790000001,-67.85537987 -45.88855243,-67.8558648 -45.8883652,-67.8555107 -45.8875214,-67.8540516 -45.8893734,-67.85313424 -45.8900104;-67.85313424 -45.8900104,-67.8558648 -45.8883652,-67.8555107 -45.8875214,-67.8540516 -45.8893734,-67.85537987 -45.88855243,-67.8569698 -45.8905682,-67.8562617 -45.8905682,-67.8551674 -45.8886042,-67.8555107 -45.8875214,-67.8557789 -45.88838020000001,-67.85652652 -45.89043864,-67.8583002 -45.8906802,-67.8604245 -45.8905832,-67.85994544 -45.89074459,-67.86183 -45.8907101,-67.8635895 -45.8906578,-67.86328043 -45.89089136,-67.8652418 -45.8907101,-67.8656602 -45.890351700000004,-67.8659928 -45.88941820000001,-67.86520231 -45.88917465,-67.8674626 -45.88708080000001,-67.866658 -45.886864200000005,-67.8658855 -45.887125600000005,-67.8670657 -45.8886864,-67.86685323 -45.88712476,-67.86739830000002 -45.8868567,-67.8667223 -45.8862667,-67.8672802 -45.8848552,-67.86589689 -45.88477956,-67.8672695 -45.88491500000001,-67.867409 -45.8861099,-67.8680742 -45.8863339,-67.8686106 -45.8860875,-67.8688896 -45.8849822,-67.870338 -45.8842577,-67.8693122 -45.8842458,-67.8685462 -45.8831151,-67.869308 -45.8829582,-67.8708422 -45.883018,-67.8705847 -45.8839366,-67.86703039 -45.88312685,-67.8737283 -45.8829508,-67.8736854 -45.8833242,-67.8730094 -45.8829134,-67.8686643 -45.8830254,-67.87263059 -45.88283868,-67.8738034 -45.8829806,-67.8739858 -45.8834512,-67.87655 -45.8844445,-67.8765929 -45.8840262,-67.8758872 -45.88413516,-67.8775907 -45.885744,-67.8778374 -45.8851241,-67.8766251 -45.8844594,-67.8767002 -45.8840561,-67.87630061 -45.88642699,,-67.87597578 -45.88674947,-67.8775477 -45.8859232,-67.87784810000001 -45.8854153,-67.8789425 -45.8862742,-67.879554 -45.8862667,-67.8829443 -45.8844743,-67.8806055 -45.8848253,-67.87931365 -45.88515467,-67.8808522 -45.8847432,-67.8831053 -45.8843548,-67.884897 -45.8834586,-67.8876114 -45.88378720000001,-67.8901434 -45.8835856,-67.88934482 -45.88367092,-67.8863347 -45.8849448,-67.8869569 -45.8849672,-67.8874826 -45.883847,-67.8903258 -45.883570600000006,-67.88477851 -45.88530377,-67.8877938 -45.885251,-67.8862166 -45.8849523,-67.88725199 -45.88498287,-67.8916669 -45.8851316,-67.891463 -45.8853332,-67.8890061 -45.8855946,-67.8886521 -45.8849672,-67.88986813 -45.88509226,-67.895658 -45.88465360000001,-67.8955078 -45.8872675,-67.89402720000001 -45.888186,-67.89313670000001 -45.8879097,-67.8935552 -45.8866999,-67.891624 -45.8850718,-67.89478887 -45.88442779,-67.896452 -45.8842129,-67.8972995 -45.8841607,-67.8987801 -45.8833839,-67.8993165 -45.8836304,-67.89811074 -45.88424629,-67.90316820000001 -45.883637900000004,-67.9026854 -45.8831823,-67.9021275 -45.8832794,-67.900722 -45.8842279,-67.9001105 -45.8851465,-67.8995955 -45.8843175,-67.90293219 -45.8836944,-67.9039729 -45.8871629,-67.9034686 -45.8869165,-67.9041123 -45.886192,-67.9042947 -45.8847656,-67.90316820000001 -45.883637900000004,-67.90362098 -45.8874036,-67.9052818 -45.8875736,-67.90654780000001 -45.8882084,-67.9074919 -45.8882756,-67.90705336 -45.88840606,-67.9066443 -45.8844071,-67.9062474 -45.8852585,-67.908833 -45.885968,-67.9091012 -45.8864012,-67.90594775 -45.88423937,,-67.90591516 -45.88446218,-67.9076958 -45.8841084,-67.9082644 -45.8839366,-67.9093373 -45.8833167,-67.9103136 -45.8831972,-67.90970498 -45.88326091,-67.911365 -45.8831076,-67.9142618 -45.8826968,-67.9159892 -45.8825026,-67.91541483 -45.88231338,-67.9166651 -45.8823159,-67.9170835 -45.8822711,-67.9178345 -45.8833989,-67.9184783 -45.8832943,-67.91747464 -45.88372353,-67.9183173 -45.8833018,-67.9179525 -45.8832943,-67.9178452 -45.8829358,-67.9186606 -45.8819873,-67.9191113 -45.8815466,-67.9197979 -45.8813898,-67.91930941 -45.88137118,-67.9231775 -45.8798138,-67.9230273 -45.8801051,-67.9220295 -45.8802022,-67.9198301 -45.8807027,-67.9191542 -45.8814645,-67.9198301 -45.8813375,-67.92260289 -45.87981886,-67.9288745 -45.8790371,-67.9299045 -45.8786188,-67.929765 -45.8784918,-67.9247224 -45.8798512,-67.9241753 -45.8796943,-67.92746283 -45.879252,-67.9288745 -45.8790371,-67.9299796 -45.8786337,-67.9304302 -45.8776552,-67.9309022 -45.8766245,-67.9306126 -45.8766543,-67.92916705 -45.87686758,-67.9305589 -45.8765722,-67.9309773 -45.8765423,-67.9323184 -45.875011,-67.9336917 -45.8726132,-67.93292309 -45.87290945,-67.9337347 -45.872531,-67.9350007 -45.8704245,-67.9346895 -45.8701032,-67.933282 -45.87018527,-67.936492 -45.8696625,-67.9362881 -45.8694234,-67.9350436 -45.8703273,-67.9347003 -45.8699986,-67.93551008 -45.87004015,-67.9383588 -45.8674437,-67.9380584 -45.8682655,-67.9363847 -45.8693786,-67.9365671 -45.8696326,-67.9400271 -45.8665472</t>
  </si>
  <si>
    <t>-67.9400271 -45.8665472,-67.9383588 -45.8674437,-67.9380584 -45.8682655,-67.9363847 -45.8693786,-67.9365671 -45.8696326,-67.93551008 -45.87004015,-67.936492 -45.8696625,-67.9362881 -45.8694234,-67.9350436 -45.8703273,-67.9347003 -45.8699986,-67.933282 -45.87018527,-67.9337347 -45.872531,-67.9350007 -45.8704245,-67.9346895 -45.8701032,-67.93292309 -45.87290945,-67.9305589 -45.8765722,-67.9309773 -45.8765423,-67.9323184 -45.875011,-67.9336917 -45.8726132,-67.92916705 -45.87686758,-67.9288745 -45.8790371,-67.9299796 -45.8786337,-67.9304302 -45.8776552,-67.9309022 -45.8766245,-67.9306126 -45.8766543,-67.92746283 -45.879252,-67.9288745 -45.8790371,-67.9299796 -45.8786337,-67.9308271 -45.8793582,-67.9310632 -45.8796271,-67.9308057 -45.8796645,-67.92926139 -45.87980166,-67.9308057 -45.8796645,-67.9309773 -45.8795823,-67.9308271 -45.8793582,-67.9319429 -45.8795524,-67.9332089 -45.8799333,-67.9339921 -45.8795524,-67.9349685 -45.8793358,-67.935698 -45.8793209,-67.93512028 -45.8793768,-67.9380155 -45.8812404,-67.938627 -45.880852,-67.9384768 -45.8805682,-67.9371035 -45.8800827,-67.9358482 -45.8797093,-67.9335737 -45.8797616,-67.934432 -45.8794255,-67.9350007 -45.8792835,-67.9357088 -45.8792686,-67.93588984 -45.88149225,-67.9369104 -45.8822487,-67.9367441 -45.8819686,-67.9385787 -45.881274,-67.938568 -45.8809641,-67.9379243 -45.8811844,-67.93623372 -45.88237227,-67.9369962 -45.8822636,-67.9367441 -45.8819686,-67.9343677 -45.8832719,-67.93288041 -45.88347512,,-67.93297197 -45.88384007,-67.9325545 -45.8880964,-67.9324257 -45.8875363,-67.933048 -45.8868642,-67.9335093 -45.8836304,-67.93195275 -45.88880085,,-67.93184093 -45.88869985,-67.929883 -45.8876782,-67.9306018 -45.8878724,-67.9317605 -45.8883727,-67.9326189 -45.888201,-67.92838162 -45.88770662,-67.9286492 -45.8892166,-67.9288638 -45.8878724,-67.9292393 -45.8876931,-67.92758265 -45.88993498,-67.929368 -45.8925994,-67.9296148 -45.8919423,-67.9287994 -45.8913897,-67.9285097 -45.8910014,-67.9286277 -45.8901127,-67.92819602 -45.89300211,-67.9235637 -45.895743,-67.9241538 -45.8953249,-67.9267287 -45.8949142,-67.9271579 -45.8944961,-67.9267287 -45.8942048,-67.9257309 -45.8936448,-67.9256558 -45.8930698,-67.9268682 -45.8923604,-67.9289711 -45.8934208,-67.9293036 -45.893361,-67.92261639 -45.89612501,-67.9221904 -45.8981548,-67.9232204 -45.8984983,-67.9230487 -45.8980652,-67.9224908 -45.89755,-67.9236388 -45.8964449,-67.92046749 -45.89809236,-67.9312027 -45.9008128,-67.9299688 -45.9015296,-67.9282737 -45.9003723,-67.9263103 -45.8994316,-67.9232204 -45.8984983,-67.9221046 -45.8981623,-67.93028301 -45.90068278,-67.9313636 -45.9007755,-67.9299688 -45.9015296,-67.9309559 -45.9024778,-67.931664 -45.9022687,-67.9323721 -45.9010144,-67.9335737 -45.900447,-67.9371786 -45.9012832,-67.9379082 -45.9021045,-67.9396677 -45.9026719,-67.941041 -45.9025674,-67.94048121 -45.90255833,-67.9417276 -45.9060912,-67.9426718 -45.9047623,-67.9416203 -45.9047773,-67.9445601 -45.9035379,-67.942543 -45.9026271,-67.94070253 -45.90708056,-67.9419637 -45.9061061,-67.9426718 -45.9047623,-67.9415345 -45.9048967,-67.938745 -45.9059568,-67.9340029 -45.9072707,-67.9353547 -45.9073006,-67.93482704 -45.9074612,-67.922008 -45.9097193,-67.9201412 -45.9109884,-67.9196906 -45.9109585,-67.9200125 -45.9097492,-67.9210854 -45.909585,-67.9227591 -45.90851,-67.9267287 -45.9077933,-67.9317927 -45.9075544,-67.9344964 -45.9080023,-67.9353762 -45.9076142,-67.92132124 -45.90950332,-67.9221797 -45.9097492,-67.9201412 -45.9109884,-67.91924 -45.911063,-67.9191971 -45.9115109,-67.91938339 -45.91141146,-67.9150558 -45.9126903,-67.9162359 -45.9122126,-67.9164505 -45.9115408,-67.9181457 -45.910645,-67.9202914 -45.9111078,-67.91361731 -45.91301639,-67.9095197 -45.9178556,-67.9090691 -45.9168107,-67.9049706 -45.9149894,-67.9050565 -45.9146311,-67.908597 -45.9143027,-67.9105282 -45.9135114,-67.9126954 -45.9130636,-67.9141974 -45.9123171,-67.90949828 -45.91775832,-67.9105067 -45.9207068,-67.9081678 -45.9205276,-67.9078245 -45.9200798,-67.9065156 -45.9195574,-67.9081035 -45.9191991,-67.9097772 -45.9180049,-67.91006087 -45.92075561,-67.9102921 -45.920662,-67.908361 -45.9205575,-67.9075885 -45.9200201,-67.9060221 -45.9194977,-67.9027176 -45.9217367,-67.90106153 -45.92208325,-67.898984 -45.9215725,-67.9012799 -45.9215277,-67.9016232 -45.9217367,-67.8972875 -45.92186977;-67.8972875 -45.92186977,-67.898984 -45.9215725,-67.9012799 -45.9215277,-67.9016232 -45.9217367,-67.90106153 -45.92208325,-67.9102921 -45.920662,-67.908361 -45.9205575,-67.9075885 -45.9200201,-67.9060221 -45.9194977,-67.9027176 -45.9217367,-67.91006087 -45.92075561,-67.9009366 -45.9240205,-67.9032111 -45.9240951,-67.9045844 -45.9234831,-67.9111075 -45.9230055,-67.908361 -45.9205575,-67.9102921 -45.920662,-67.89923257 -45.9242339,-67.9032755 -45.9242593,-67.9009366 -45.9240205,-67.90260909 -45.92466322;-67.90260909 -45.92466322,-67.9032755 -45.9242593,-67.9009366 -45.9240205,-67.89923257 -45.9242339,-67.9009366 -45.9240205,-67.9032111 -45.9240951,-67.9045844 -45.9234831,-67.9111075 -45.9230055,-67.908361 -45.9205575,-67.9102921 -45.920662,-67.91006087 -45.92075561,-67.9105067 -45.9207068,-67.9081678 -45.9205276,-67.9078245 -45.9200798,-67.9065156 -45.9195574,-67.9081035 -45.9191991,-67.9097772 -45.9180049,-67.90949828 -45.91775832,-67.9095197 -45.9178556,-67.9090691 -45.9168107,-67.9049706 -45.9149894,-67.9050565 -45.9146311,-67.908597 -45.9143027,-67.9105282 -45.9135114,-67.9126954 -45.9130636,-67.9141974 -45.9123171,-67.91361731 -45.91301639,-67.9150558 -45.9126903,-67.9162359 -45.9122126,-67.9164505 -45.9115408,-67.9181457 -45.910645,-67.9202914 -45.9111078,-67.91938339 -45.91141146,-67.9221797 -45.9097492,-67.9201412 -45.9109884,-67.91924 -45.911063,-67.9191971 -45.9115109,-67.92132124 -45.90950332,-67.922008 -45.9097193,-67.9201412 -45.9109884,-67.9196906 -45.9109585,-67.9200125 -45.9097492,-67.9210854 -45.909585,-67.9227591 -45.90851,-67.9267287 -45.9077933,-67.9317927 -45.9075544,-67.9344964 -45.9080023,-67.9353762 -45.9076142,-67.93482704 -45.9074612;-67.93482704 -45.9074612,-67.9419637 -45.9061061,-67.9426718 -45.9047623,-67.9415345 -45.9048967,-67.938745 -45.9059568,-67.9340029 -45.9072707,-67.9353547 -45.9073006,-67.94070253 -45.90708056,-67.9417276 -45.9060912,-67.9426718 -45.9047623,-67.9416203 -45.9047773,-67.9445601 -45.9035379,-67.942543 -45.9026271,-67.94048121 -45.90255833,-67.9313636 -45.9007755,-67.9299688 -45.9015296,-67.9309559 -45.9024778,-67.931664 -45.9022687,-67.9323721 -45.9010144,-67.9335737 -45.900447,-67.9371786 -45.9012832,-67.9379082 -45.9021045,-67.9396677 -45.9026719,-67.941041 -45.9025674,-67.93028301 -45.90068278,-67.9312027 -45.9008128,-67.9299688 -45.9015296,-67.9282737 -45.9003723,-67.9263103 -45.8994316,-67.9232204 -45.8984983,-67.9221046 -45.8981623,-67.92046749 -45.89809236,-67.9221904 -45.8981548,-67.9232204 -45.8984983,-67.9230487 -45.8980652,-67.9224908 -45.89755,-67.9236388 -45.8964449,-67.92261639 -45.89612501,-67.9235637 -45.895743,-67.9241538 -45.8953249,-67.9267287 -45.8949142,-67.9271579 -45.8944961,-67.9267287 -45.8942048,-67.9257309 -45.8936448,-67.9256558 -45.8930698,-67.9268682 -45.8923604,-67.9289711 -45.8934208,-67.9293036 -45.893361,-67.92819602 -45.89300211,-67.929368 -45.8925994,-67.9296148 -45.8919423,-67.9287994 -45.8913897,-67.9285097 -45.8910014,-67.9286277 -45.8901127,-67.92758265 -45.88993498,-67.9286492 -45.8892166,-67.9288638 -45.8878724,-67.9292393 -45.8876931,-67.92838162 -45.88770662,-67.929883 -45.8876782,-67.9306018 -45.8878724,-67.9317605 -45.8883727,-67.9326189 -45.888201,-67.93184093 -45.88869985,,-67.93195275 -45.88880085,-67.9325545 -45.8880964,-67.9324257 -45.8875363,-67.933048 -45.8868642,-67.9335093 -45.8836304,-67.93297197 -45.88384007,,-67.93288041 -45.88347512,-67.9369962 -45.8822636,-67.9367441 -45.8819686,-67.9343677 -45.8832719,-67.93623372 -45.88237227,-67.9369104 -45.8822487,-67.9367441 -45.8819686,-67.9385787 -45.881274,-67.938568 -45.8809641,-67.9379243 -45.8811844,-67.93588984 -45.88149225,-67.9380155 -45.8812404,-67.938627 -45.880852,-67.9384768 -45.8805682,-67.9371035 -45.8800827,-67.9358482 -45.8797093,-67.9335737 -45.8797616,-67.934432 -45.8794255,-67.9350007 -45.8792835,-67.9357088 -45.8792686,-67.93512028 -45.8793768,-67.9308057 -45.8796645,-67.9309773 -45.8795823,-67.9308271 -45.8793582,-67.9319429 -45.8795524,-67.9332089 -45.8799333,-67.9339921 -45.8795524,-67.9349685 -45.8793358,-67.935698 -45.8793209,-67.92926139 -45.87980166,-67.9288745 -45.8790371,-67.9299796 -45.8786337,-67.9308271 -45.8793582,-67.9310632 -45.8796271,-67.9308057 -45.8796645,-67.92746283 -45.879252,-67.9288745 -45.8790371,-67.9299796 -45.8786337,-67.9304302 -45.8776552,-67.9309022 -45.8766245,-67.9306126 -45.8766543,-67.92916705 -45.87686758,-67.9305589 -45.8765722,-67.9309773 -45.8765423,-67.9323184 -45.875011,-67.9336917 -45.8726132,-67.93292309 -45.87290945,-67.9337347 -45.872531,-67.9350007 -45.8704245,-67.9346895 -45.8701032,-67.933282 -45.87018527,-67.936492 -45.8696625,-67.9362881 -45.8694234,-67.9350436 -45.8703273,-67.9347003 -45.8699986,-67.93551008 -45.87004015,-67.9383588 -45.8674437,-67.9380584 -45.8682655,-67.9363847 -45.8693786,-67.9365671 -45.8696326,-67.9400271 -45.8665472</t>
  </si>
  <si>
    <t>-67.9400271 -45.8665472,-67.9383588 -45.8674437,-67.9380101 -45.8666929,-67.9392922 -45.8661064,-67.93822649 -45.86645361,,-67.93820898 -45.86621382,-67.939437 -45.8659907,-67.9410034 -45.8642985,-67.9397787 -45.86446671,-67.9413575 -45.8643508,-67.94191 -45.8638801,-67.9413092 -45.8637717,-67.94026881 -45.86394522,-67.9412395 -45.8636896,-67.94085860000001 -45.8628677,-67.94016816 -45.86304785,-67.9407942 -45.8630844,-67.9403758 -45.8621878,-67.9386914 -45.8624792,-67.93749455 -45.86270022,-67.9389811 -45.8623559,-67.9389596 -45.8618329,-67.9381979 -45.8610783,-67.9390669 -45.8607794,-67.93809539 -45.86091501,-67.9388309 -45.8607794,-67.938112 -45.8611007,-67.9377472 -45.860899,-67.9362881 -45.8614743,-67.9374897 -45.8619749,-67.93652197 -45.86222667,-67.9375219 -45.8620421,-67.9357517 -45.861085800000005,-67.9346144 -45.8614519,-67.93332777 -45.86169272,-67.9343569 -45.8614145,-67.9335523 -45.861549,-67.9334021 -45.8611381,-67.9309666 -45.8609214,-67.92973166 -45.86112334,-67.9307091 -45.86097370000001,-67.9287457 -45.8609588,-67.9288423 -45.860757,-67.92827234 -45.86082887,-67.9288423 -45.860757,-67.9286063 -45.8609812,-67.9269433 -45.8608168,-67.9254305 -45.8610559,-67.9256237 -45.8606898,-67.92472033 -45.86078317,-67.9253769 -45.8604208,-67.9236388 -45.8595317,-67.9233384 -45.8597857,-67.92204432 -45.86025045,-67.9235315 -45.8601219,-67.9222655 -45.8604731,-67.92116295 -45.86077528,-67.9219651 -45.8610335,-67.9157424 -45.8609887,-67.91412974 -45.86109479,-67.9153347 -45.8605702,-67.9157317 -45.8599725,-67.9146159 -45.859457,-67.91347499 -45.85938782,-67.9145408 -45.8594047,-67.9124916 -45.858777,-67.9112792 -45.8592776,-67.91058213 -45.85962973,-67.9112792 -45.8592776,-67.9102921 -45.8588293,-67.9105067 -45.8586425,-67.90964669 -45.85881191,-67.9102653 -45.8586986,-67.9081625 -45.8581195,-67.90707943 -45.8582017,-67.90773330000002 -45.8580522,-67.9073417 -45.8579177,-67.9068965 -45.8568567,-67.9053408 -45.8563822,-67.90400196 -45.85653031,-67.904284 -45.8564084,-67.9033184 -45.8552726,-67.9019022 -45.8551232,-67.90067511 -45.8549717,,-67.90022567 -45.85540767,-67.9008508 -45.8548093,-67.8990161 -45.8545403,-67.898823 -45.8538678,-67.8965485 -45.8545553,-67.89483427 -45.85484841,-67.887429 -45.855564,-67.8894138 -45.853808,-67.8932333 -45.8533447,-67.8969455 -45.8545851,-67.8963768 -45.8546599,-67.88581092 -45.85597227,-67.887429 -45.855564,-67.8882551 -45.8548691,-67.8894138 -45.853808,-67.8920853 -45.8535689,-67.8916454 -45.8538678,-67.8897357 -45.85395,-67.88910 -45.85436,-67.8875685 -45.8562589,-67.885799 -45.8571033,-67.88544 -45.8578281,-67.88523 -45.85794,-67.88402968 -45.85834964,-67.8814316 -45.8592926,-67.8808415 -45.8591357,-67.880863 -45.8587322,-67.8817642 -45.858239,-67.8850043 -45.8580522,-67.88077392 -45.85953999,-67.8790283 -45.8588293,-67.880466 -45.8587397,-67.8813028 -45.8593598,-67.87771797 -45.85914466,-67.875917 -45.8590236,-67.8765607 -45.8587098,-67.8784597 -45.8588443,-67.87446619 -45.85953534,-67.8758311 -45.8590012,-67.8755307 -45.858777,-67.8718829 -45.8588144,-67.8721619 -45.8576637,-67.8733528 -45.857462,-67.8739536 -45.8579028,-67.87227986 -45.85836679,-67.8721619 -45.8576637,-67.8734279 -45.8573798,-67.8740823 -45.8579103,-67.87029294 -45.85782787,-67.8694689 -45.8577534,-67.8703272 -45.8578879,-67.8705525 -45.8574694,-67.8710139 -45.8575441,-67.86752908 -45.85773082,-67.8666365 -45.8577982,-67.8680527 -45.857716,-67.86509618 -45.85797591,-67.8655958 -45.85783560000001,-67.8642118 -45.8570435,-67.86269634 -45.8576934,-67.8630531 -45.8577608,-67.8618944 -45.8580074,-67.86119926 -45.8582863,-67.8617334 -45.8580597,-67.8595233 -45.8583362,-67.85800456 -45.85865306,-67.8585362 -45.8586425,-67.8567231 -45.8591431,-67.8550386 -45.8605852,-67.85325633 -45.86047853,-67.8547168 -45.8600622,-67.8545237 -45.8589862,-67.8537083 -45.858508,-67.852335 -45.8585529,-67.85051371 -45.8587379,-67.8511226 -45.8587172,-67.8489661 -45.8581942,-67.8504252 -45.8565952,-67.84992667 -45.85649082,-67.851541 -45.8561394,-67.8511119 -45.8555416,-67.8497386 -45.8553249,-67.8490841 -45.8555341,-67.84737753 -45.85568862,-67.8480864 -45.8556163,-67.846477 -45.8561992,-67.8452325 -45.8556537,-67.84359994 -45.85582912,-67.8438914 -45.8557508,-67.8414237 -45.8563262,-67.8377545 -45.8563187,-67.83653581 -45.85644197,-67.8371108 -45.8561767,-67.8326368 -45.8556313,-67.83154193 -45.85548135,-67.8319716 -45.855437,-67.8292787 -45.855108200000004,-67.82760578 -45.8552439,-67.8277767 -45.8550036,-67.8251696 -45.8547271,-67.824676 -45.8544207,-67.82322995 -45.85451391,-67.8244078 -45.8540994,-67.8225088 -45.8518801,-67.82163737 -45.8516816,-67.8223801 -45.8515886,-67.8209639 -45.8504751,-67.8196657 -45.8504079,-67.81800483 -45.85079524,-67.8185713 -45.8505798,-67.816962 -45.851073,-67.8161895 -45.8523658,-67.81497943 -45.85259887,-67.816329 -45.8519921,-67.8167796 -45.8511701,-67.8158462 -45.8513121,-67.8150415 -45.8533148,-67.8138399 -45.8541293,-67.81217316 -45.85421245,-67.809999 -45.85395,-67.81053540000002 -45.8542265,-67.8125417 -45.8543386,-67.80813131 -45.85419968,-67.8093982 -45.8548467,-67.8103423 -45.8545851,-67.808851 -45.8544506,-67.8103101 -45.854219,-67.8097093 -45.8539126,-67.8072436 -45.85498762,-67.8098595 -45.8560647,-67.809999 -45.8550036,-67.8090441 -45.8548691,-67.80907829 -45.8565264;-67.80907829 -45.8565264,-67.8125632 -45.8568492,-67.810396 -45.8571033,-67.8101599 -45.8566923,-67.81224182 -45.85671416;-67.81224182 -45.85671416,-67.8125632 -45.8568492,-67.810396 -45.8571033,-67.8101599 -45.8566923,-67.80907829 -45.8565264,-67.8098595 -45.8560647,-67.809999 -45.8550036,-67.8090441 -45.8548691,-67.8072436 -45.85498762,-67.807982 -45.8550559,-67.8067052 -45.8553548,-67.80486959 -45.85565241,-67.8067052 -45.8553548,-67.8072202 -45.8551381,-67.8064048 -45.853539,-67.80441533 -45.8533642,-67.805289 -45.8529487,-67.8034651 -45.8522612,-67.8028214 -45.85306820000001,-67.8021669 -45.8529711,-67.80053473 -45.85338776;-67.80053473 -45.85338776,-67.805289 -45.8529487,-67.8034651 -45.8522612,-67.8028214 -45.85306820000001,-67.8021669 -45.8529711,-67.80441533 -45.8533642,-67.8064048 -45.853539,-67.8089046 -45.854361,-67.8103852 -45.8542265,-67.8098702 -45.8539126,-67.80813131 -45.85419968,-67.809999 -45.85395,-67.81053540000002 -45.8542265,-67.8125417 -45.8543386,-67.81217316 -45.85421245,-67.816329 -45.8519921,-67.8167796 -45.8511701,-67.8158462 -45.8513121,-67.8150415 -45.8533148,-67.8138399 -45.8541293,-67.81497943 -45.85259887,-67.8185713 -45.8505798,-67.816962 -45.851073,-67.8161895 -45.8523658,-67.81800483 -45.85079524,-67.8223801 -45.8515886,-67.8209639 -45.8504751,-67.8196657 -45.8504079,-67.82163737 -45.8516816,-67.8244078 -45.8540994,-67.8225088 -45.8518801,-67.82322995 -45.85451391,-67.8277767 -45.8550036,-67.8251696 -45.8547271,-67.824676 -45.8544207,-67.82760578 -45.8552439,-67.8319716 -45.855437,-67.8292787 -45.855108200000004,-67.83154193 -45.85548135,-67.8371108 -45.8561767,-67.8326368 -45.8556313,-67.83653581 -45.85644197,-67.8438914 -45.8557508,-67.8414237 -45.8563262,-67.8377545 -45.8563187,-67.84359994 -45.85582912,-67.8480864 -45.8556163,-67.846477 -45.8561992,-67.8452325 -45.8556537,-67.84737753 -45.85568862,-67.851541 -45.8561394,-67.8511119 -45.8555416,-67.8497386 -45.8553249,-67.8490841 -45.8555341,-67.84992667 -45.85649082,-67.8511226 -45.8587172,-67.8489661 -45.8581942,-67.8504252 -45.8565952,-67.85051371 -45.8587379,-67.8547168 -45.8600622,-67.8545237 -45.8589862,-67.8537083 -45.858508,-67.852335 -45.8585529,-67.85325633 -45.86047853,-67.8585362 -45.8586425,-67.8567231 -45.8591431,-67.8550386 -45.8605852,-67.85800456 -45.85865306,-67.8617334 -45.8580597,-67.8595233 -45.8583362,-67.86119926 -45.8582863,-67.8630531 -45.8577608,-67.8618944 -45.8580074,-67.86269634 -45.8576934,-67.8655958 -45.85783560000001,-67.8642118 -45.8570435,-67.86509618 -45.85797591,-67.8666365 -45.8577982,-67.8680527 -45.857716,-67.86752908 -45.85773082,-67.8694689 -45.8577534,-67.8703272 -45.8578879,-67.8705525 -45.8574694,-67.8710139 -45.8575441,-67.87029294 -45.85782787,-67.8721619 -45.8576637,-67.8734279 -45.8573798,-67.8740823 -45.8579103,-67.87227986 -45.85836679;-67.87227986 -45.85836679,-67.8758311 -45.8590012,-67.8755307 -45.858777,-67.8718829 -45.8588144,-67.8721619 -45.8576637,-67.8733528 -45.857462,-67.8739536 -45.8579028,-67.87446619 -45.85953534,-67.875917 -45.8590236,-67.8765607 -45.8587098,-67.8784597 -45.8588443,-67.87771797 -45.85914466,-67.8790283 -45.8588293,-67.880466 -45.8587397,-67.8813028 -45.8593598,-67.88077392 -45.85953999,-67.8814316 -45.8592926,-67.8808415 -45.8591357,-67.880863 -45.8587322,-67.8817642 -45.858239,-67.8850043 -45.8580522,-67.88402968 -45.85834964,-67.887429 -45.855564,-67.8882551 -45.8548691,-67.8894138 -45.853808,-67.8920853 -45.8535689,-67.8916454 -45.8538678,-67.8897357 -45.85395,-67.88910 -45.85436,-67.8875685 -45.8562589,-67.885799 -45.8571033,-67.88544 -45.8578281,-67.88523 -45.85794,-67.88581092 -45.85597227,-67.887429 -45.855564,-67.8894138 -45.853808,-67.8932333 -45.8533447,-67.8969455 -45.8545851,-67.8963768 -45.8546599,-67.89483427 -45.85484841,-67.9008508 -45.8548093,-67.8990161 -45.8545403,-67.898823 -45.8538678,-67.8965485 -45.8545553,-67.90022567 -45.85540767,,-67.90067511 -45.8549717,-67.904284 -45.8564084,-67.9033184 -45.8552726,-67.9019022 -45.8551232,-67.90400196 -45.85653031,-67.90773330000002 -45.8580522,-67.9073417 -45.8579177,-67.9068965 -45.8568567,-67.9053408 -45.8563822,-67.90707943 -45.8582017,-67.9102653 -45.8586986,-67.9081625 -45.8581195,-67.90964669 -45.85881191,-67.9112792 -45.8592776,-67.9102921 -45.8588293,-67.9105067 -45.8586425,-67.91058213 -45.85962973,-67.9145408 -45.8594047,-67.9124916 -45.858777,-67.9112792 -45.8592776,-67.91347499 -45.85938782,-67.9153347 -45.8605702,-67.9157317 -45.8599725,-67.9146159 -45.859457,-67.91412974 -45.86109479,-67.9219651 -45.8610335,-67.9157424 -45.8609887,-67.92116295 -45.86077528,-67.9235315 -45.8601219,-67.9222655 -45.8604731,-67.92204432 -45.86025045,-67.9253769 -45.8604208,-67.9236388 -45.8595317,-67.9233384 -45.8597857,-67.92472033 -45.86078317,-67.9288423 -45.860757,-67.9286063 -45.8609812,-67.9269433 -45.8608168,-67.9254305 -45.8610559,-67.9256237 -45.8606898,-67.92827234 -45.86082887,-67.9307091 -45.86097370000001,-67.9287457 -45.8609588,-67.9288423 -45.860757,-67.92973166 -45.86112334,-67.9343569 -45.8614145,-67.9335523 -45.861549,-67.9334021 -45.8611381,-67.9309666 -45.8609214,-67.93332777 -45.86169272,-67.9375219 -45.8620421,-67.9357517 -45.861085800000005,-67.9346144 -45.8614519,-67.93652197 -45.86222667,-67.9388309 -45.8607794,-67.938112 -45.8611007,-67.9377472 -45.860899,-67.9362881 -45.8614743,-67.9374897 -45.8619749,-67.93809539 -45.86091501,-67.9389811 -45.8623559,-67.9389596 -45.8618329,-67.9381979 -45.8610783,-67.9390669 -45.8607794,-67.93749455 -45.86270022;-67.93749455 -45.86270022,-67.9407942 -45.8630844,-67.9403758 -45.8621878,-67.9386914 -45.8624792,-67.94016816 -45.86304785,-67.9412395 -45.8636896,-67.94085860000001 -45.8628677,-67.94026881 -45.86394522,-67.9413575 -45.8643508,-67.94191 -45.8638801,-67.9413092 -45.8637717,-67.9397787 -45.86446671,-67.939437 -45.8659907,-67.9410034 -45.8642985,-67.93820898 -45.86621382,,-67.93822649 -45.86645361,-67.9383588 -45.8674437,-67.9380101 -45.8666929,-67.9392922 -45.8661064,-67.9400271 -45.8665472</t>
  </si>
  <si>
    <t>-67.9400271 -45.8665472,-67.9383588 -45.8674437,-67.9380584 -45.8682655,-67.9363847 -45.8693786,-67.9365671 -45.8696326,-67.93551008 -45.87004015,-67.936492 -45.8696625,-67.9362881 -45.8694234,-67.9350436 -45.8703273,-67.9347003 -45.8699986,-67.933282 -45.87018527,-67.9337347 -45.872531,-67.9350007 -45.8704245,-67.9346895 -45.8701032,-67.93292309 -45.87290945,-67.9305589 -45.8765722,-67.9309773 -45.8765423,-67.9323184 -45.875011,-67.9336917 -45.8726132,-67.92916705 -45.87686758,-67.9288745 -45.8790371,-67.9299796 -45.8786337,-67.9304302 -45.8776552,-67.9309022 -45.8766245,-67.9306126 -45.8766543,-67.92746283 -45.879252,-67.9288745 -45.8790371,-67.9299045 -45.8786188,-67.929765 -45.8784918,-67.9247224 -45.8798512,-67.9241753 -45.8796943,-67.92260289 -45.87981886,-67.9231775 -45.8798138,-67.9230273 -45.8801051,-67.9220295 -45.8802022,-67.9198301 -45.8807027,-67.9191542 -45.8814645,-67.9198301 -45.8813375,-67.91930941 -45.88137118,-67.9183173 -45.8833018,-67.9179525 -45.8832943,-67.9178452 -45.8829358,-67.9186606 -45.8819873,-67.9191113 -45.8815466,-67.9197979 -45.8813898,-67.91747464 -45.88372353,-67.9166651 -45.8823159,-67.9170835 -45.8822711,-67.9178345 -45.8833989,-67.9184783 -45.8832943,-67.91541483 -45.88231338,-67.911365 -45.8831076,-67.9142618 -45.8826968,-67.9159892 -45.8825026,-67.90970498 -45.88326091,-67.9076958 -45.8841084,-67.9082644 -45.8839366,-67.9093373 -45.8833167,-67.9103136 -45.8831972,-67.90591516 -45.88446218,,-67.90594775 -45.88423937,-67.9066443 -45.8844071,-67.9062474 -45.8852585,-67.908833 -45.885968,-67.9091012 -45.8864012,-67.90705336 -45.88840606,-67.9052818 -45.8875736,-67.90654780000001 -45.8882084,-67.9074919 -45.8882756,-67.90362098 -45.8874036,-67.9039729 -45.8871629,-67.9034686 -45.8869165,-67.9041123 -45.886192,-67.9042947 -45.8847656,-67.90316820000001 -45.883637900000004,-67.90293219 -45.8836944,-67.90316820000001 -45.883637900000004,-67.9026854 -45.8831823,-67.9021275 -45.8832794,-67.900722 -45.8842279,-67.9001105 -45.8851465,-67.8995955 -45.8843175,-67.89811074 -45.88424629,-67.896452 -45.8842129,-67.8972995 -45.8841607,-67.8987801 -45.8833839,-67.8993165 -45.8836304,-67.89478887 -45.88442779,-67.895658 -45.88465360000001,-67.8955078 -45.8872675,-67.89402720000001 -45.888186,-67.89313670000001 -45.8879097,-67.8935552 -45.8866999,-67.891624 -45.8850718,-67.88986813 -45.88509226,-67.8916669 -45.8851316,-67.891463 -45.8853332,-67.8890061 -45.8855946,-67.8886521 -45.8849672,-67.88725199 -45.88498287,-67.8877938 -45.885251,-67.8862166 -45.8849523,-67.88477851 -45.88530377,-67.8847039 -45.885542300000004,-67.8854334 -45.8851465,-67.88304639 -45.88588109,-67.8838027 -45.88608,-67.882483 -45.8868716,-67.88085052 -45.88709026,-67.8783846 -45.8885519,-67.8803802 -45.8880143,-67.8826654 -45.8868044,-67.8823113 -45.8868119,-67.87661058 -45.88889945,-67.8765285 -45.89045620000001,-67.877773 -45.8901799,-67.8803802 -45.8880143,-67.8783846 -45.8885519,-67.87484305 -45.89067788,-67.8792322 -45.8901127,-67.877934 -45.8900903,-67.8765285 -45.89045620000001,-67.87813787 -45.88993585,-67.8788996 -45.8901426,-67.877934 -45.8900903,-67.8774834 -45.8904786,-67.8777945 -45.8925098,-67.8783524 -45.8919348,-67.87768072 -45.89180609,-67.8782558 -45.8919497,-67.8778267 -45.8923828,-67.8780413 -45.8938315,-67.8791893 -45.8953398,-67.87842608 -45.89585515,-67.8799939 -45.8961761,-67.8810668 -45.8968855,-67.881496 -45.8974007,-67.88049412 -45.89765426,-67.8816462 -45.8976545,-67.8819466 -45.8992972,-67.8823757 -45.8992374,-67.88283131 -45.8994995,-67.8778481 -45.8999691,-67.8795862 -45.8996556,-67.8816676 -45.8998198,-67.8823113 -45.899342,-67.87600509 -45.90013168,-67.875402 -45.9018954,-67.8762174 -45.9018506,-67.8767323 -45.9016117,-67.8774405 -45.9009995,-67.8778481 -45.8999691,-67.87401 -45.90242679,-67.8778911 -45.9022389,-67.8772688 -45.9023733,-67.8762174 -45.9020895,-67.8762174 -45.9018506,-67.875402 -45.9018954,-67.87749311 -45.90223614,-67.8877831 -45.9058523,-67.8869033 -45.9059867,-67.8840923 -45.9048668,-67.8834271 -45.9042397,-67.8832769 -45.9030601,-67.8820109 -45.9031497,-67.8811312 -45.903299,-67.8780627 -45.9027018,-67.8772688 -45.9023733,-67.8778911 -45.9022389,-67.88690397 -45.90593083,-67.8887486 -45.9139369,-67.8892422 -45.9133771,-67.889092 -45.9088982,-67.8895211 -45.9081964,-67.8884697 -45.9068527,-67.8891134 -45.9060464,-67.8899932 -45.905494,-67.890079 -45.9049863,-67.8895855 -45.9049415,-67.8884912 -45.9054641,-67.88780562 -45.91450171,-67.8846073 -45.9123171,-67.8879547 -45.9129889,-67.8887486 -45.9136607,-67.88302674 -45.91253107,-67.8890276 -45.9167659,-67.8884053 -45.9153477,-67.8880405 -45.9137055,-67.8874612 -45.9131382,-67.8845859 -45.9125112,-67.88832586 -45.91746828;-67.88832586 -45.91746828,-67.8890276 -45.9167659,-67.8884053 -45.9153477,-67.8880405 -45.9137055,-67.8874612 -45.9131382,-67.8845859 -45.9125112,-67.88302674 -45.91253107,-67.8846073 -45.9123171,-67.8879547 -45.9129889,-67.8887486 -45.9136607,-67.88780562 -45.91450171,-67.8887486 -45.9139369,-67.8892422 -45.9133771,-67.889092 -45.9088982,-67.8895211 -45.9081964,-67.8884697 -45.9068527,-67.8891134 -45.9060464,-67.8899932 -45.905494,-67.890079 -45.9049863,-67.8895855 -45.9049415,-67.8884912 -45.9054641,-67.88690397 -45.90593083,-67.8877831 -45.9058523,-67.8869033 -45.9059867,-67.8840923 -45.9048668,-67.8834271 -45.9042397,-67.8832769 -45.9030601,-67.8820109 -45.9031497,-67.8811312 -45.903299,-67.8780627 -45.9027018,-67.8772688 -45.9023733,-67.8778911 -45.9022389,-67.87749311 -45.90223614,-67.8778911 -45.9022389,-67.8772688 -45.9023733,-67.8762174 -45.9020895,-67.8762174 -45.9018506,-67.875402 -45.9018954,-67.87401 -45.90242679,-67.875402 -45.9018954,-67.8762174 -45.9018506,-67.8767323 -45.9016117,-67.8774405 -45.9009995,-67.8778481 -45.8999691,-67.87600509 -45.90013168,-67.8778481 -45.8999691,-67.8795862 -45.8996556,-67.8816676 -45.8998198,-67.8823113 -45.899342,-67.88283131 -45.8994995,-67.8816462 -45.8976545,-67.8819466 -45.8992972,-67.8823757 -45.8992374,-67.88049412 -45.89765426,-67.8799939 -45.8961761,-67.8810668 -45.8968855,-67.881496 -45.8974007,-67.87842608 -45.89585515,-67.8782558 -45.8919497,-67.8778267 -45.8923828,-67.8780413 -45.8938315,-67.8791893 -45.8953398,-67.87768072 -45.89180609,-67.8793395 -45.891315,-67.8811419 -45.8904936,-67.8816247 -45.8907997,-67.88069709 -45.8911118;-67.88069709 -45.8911118,-67.8793395 -45.891315,-67.8811419 -45.8904936,-67.8816247 -45.8907997,-67.87768072 -45.89180609,-67.8788996 -45.8901426,-67.877934 -45.8900903,-67.8774834 -45.8904786,-67.8777945 -45.8925098,-67.8783524 -45.8919348,-67.87813787 -45.88993585,-67.8789854 -45.8901127,-67.8777838 -45.8901052,-67.8751981 -45.8927935,-67.8739536 -45.8942571,-67.87230402 -45.89457162,-67.8727734 -45.8946678,-67.8694153 -45.8954742,-67.8682566 -45.89504860000001,-67.86797017 -45.89505687,-67.86816 -45.8950113,-67.8676021 -45.8944886,-67.866143 -45.8944961,-67.86504739 -45.89456671;-67.86504739 -45.89456671,-67.86816 -45.8950113,-67.8676021 -45.8944886,-67.866143 -45.8944961,-67.86797017 -45.89505687;-67.86797017 -45.89505687,-67.8727734 -45.8946678,-67.8694153 -45.8954742,-67.8682566 -45.89504860000001,-67.87230402 -45.89457162,-67.8789854 -45.8901127,-67.8777838 -45.8901052,-67.8751981 -45.8927935,-67.8739536 -45.8942571,-67.87813787 -45.88993585,-67.8788996 -45.8901426,-67.877934 -45.8900903,-67.8774834 -45.8904786,-67.8777945 -45.8925098,-67.8783524 -45.8919348,-67.87768072 -45.89180609,-67.8782558 -45.8919497,-67.8778267 -45.8923828,-67.8780413 -45.8938315,-67.8791893 -45.8953398,-67.87842608 -45.89585515,-67.8803694 -45.8936299,-67.8794038 -45.8940256,-67.8790176 -45.8951009,-67.8792751 -45.8953174,-67.8799303 -45.89359628;-67.8799303 -45.89359628,-67.8803694 -45.8936299,-67.8794038 -45.8940256,-67.8790176 -45.8951009,-67.8792751 -45.8953174,-67.87842608 -45.89585515,-67.8782558 -45.8919497,-67.8778267 -45.8923828,-67.8780413 -45.8938315,-67.8791893 -45.8953398,-67.87768072 -45.89180609,-67.8788996 -45.8901426,-67.877934 -45.8900903,-67.8774834 -45.8904786,-67.8777945 -45.8925098,-67.8783524 -45.8919348,-67.87813787 -45.88993585,-67.8789854 -45.8901127,-67.8777838 -45.8901052,-67.8751981 -45.8927935,-67.8739536 -45.8942571,-67.87230402 -45.89457162,-67.8727734 -45.8946678,-67.8698874 -45.8956236,-67.8718185 -45.8958326,-67.87162467 -45.89615328;-67.87162467 -45.89615328,-67.8727734 -45.8946678,-67.8698874 -45.8956236,-67.8718185 -45.8958326,-67.87230402 -45.89457162,-67.8789854 -45.8901127,-67.8777838 -45.8901052,-67.8751981 -45.8927935,-67.8739536 -45.8942571,-67.87813787 -45.88993585,-67.8792322 -45.8901127,-67.877934 -45.8900903,-67.8765285 -45.89045620000001,-67.87484305 -45.89067788,-67.8765285 -45.89045620000001,-67.877773 -45.8901799,-67.8803802 -45.8880143,-67.8783846 -45.8885519,-67.87661058 -45.88889945,-67.8783846 -45.8885519,-67.8803802 -45.8880143,-67.8826654 -45.8868044,-67.8823113 -45.8868119,-67.88085052 -45.88709026,-67.8838027 -45.88608,-67.882483 -45.8868716,-67.88304639 -45.88588109,-67.8847039 -45.885542300000004,-67.8854334 -45.8851465,-67.88477851 -45.88530377,-67.8877938 -45.885251,-67.8862166 -45.8849523,-67.88725199 -45.88498287,-67.8916669 -45.8851316,-67.891463 -45.8853332,-67.8890061 -45.8855946,-67.8886521 -45.8849672,-67.88986813 -45.88509226,-67.895658 -45.88465360000001,-67.8955078 -45.8872675,-67.89402720000001 -45.888186,-67.89313670000001 -45.8879097,-67.8935552 -45.8866999,-67.891624 -45.8850718,-67.89478887 -45.88442779,-67.896452 -45.8842129,-67.8972995 -45.8841607,-67.8987801 -45.8833839,-67.8993165 -45.8836304,-67.89811074 -45.88424629,-67.90316820000001 -45.883637900000004,-67.9026854 -45.8831823,-67.9021275 -45.8832794,-67.900722 -45.8842279,-67.9001105 -45.8851465,-67.8995955 -45.8843175,-67.90293219 -45.8836944,-67.9039729 -45.8871629,-67.9034686 -45.8869165,-67.9041123 -45.886192,-67.9042947 -45.8847656,-67.90316820000001 -45.883637900000004,-67.90362098 -45.8874036,-67.9052818 -45.8875736,-67.90654780000001 -45.8882084,-67.9074919 -45.8882756,-67.90705336 -45.88840606,-67.9066443 -45.8844071,-67.9062474 -45.8852585,-67.908833 -45.885968,-67.9091012 -45.8864012,-67.90594775 -45.88423937,,-67.90591516 -45.88446218,-67.9076958 -45.8841084,-67.9082644 -45.8839366,-67.9093373 -45.8833167,-67.9103136 -45.8831972,-67.90970498 -45.88326091,-67.911365 -45.8831076,-67.9142618 -45.8826968,-67.9159892 -45.8825026,-67.91541483 -45.88231338,-67.9166651 -45.8823159,-67.9170835 -45.8822711,-67.9178345 -45.8833989,-67.9184783 -45.8832943,-67.91747464 -45.88372353,-67.9183173 -45.8833018,-67.9179525 -45.8832943,-67.9178452 -45.8829358,-67.9186606 -45.8819873,-67.9191113 -45.8815466,-67.9197979 -45.8813898,-67.91930941 -45.88137118,-67.9231775 -45.8798138,-67.9230273 -45.8801051,-67.9220295 -45.8802022,-67.9198301 -45.8807027,-67.9191542 -45.8814645,-67.9198301 -45.8813375,-67.92260289 -45.87981886,-67.9288745 -45.8790371,-67.9299045 -45.8786188,-67.929765 -45.8784918,-67.9247224 -45.8798512,-67.9241753 -45.8796943,-67.92746283 -45.879252,-67.9288745 -45.8790371,-67.9299796 -45.8786337,-67.9304302 -45.8776552,-67.9309022 -45.8766245,-67.9306126 -45.8766543,-67.92916705 -45.87686758,-67.9305589 -45.8765722,-67.9309773 -45.8765423,-67.9323184 -45.875011,-67.9336917 -45.8726132,-67.93292309 -45.87290945,-67.9337347 -45.872531,-67.9350007 -45.8704245,-67.9346895 -45.8701032,-67.933282 -45.87018527,-67.936492 -45.8696625,-67.9362881 -45.8694234,-67.9350436 -45.8703273,-67.9347003 -45.8699986,-67.93551008 -45.87004015,-67.9383588 -45.8674437,-67.9380584 -45.8682655,-67.9363847 -45.8693786,-67.9365671 -45.8696326,-67.9400271 -45.8665472</t>
  </si>
  <si>
    <t>-67.9400271 -45.8665472,-67.9427254 -45.8635364,-67.9464859 -45.8623447,-67.9469097 -45.862016,-67.94569946 -45.86221924,-67.9469097 -45.8620944,-67.9481596 -45.8620048,-67.94727301 -45.86217176,-67.9483044 -45.861911400000004,-67.9473495 -45.8614183,-67.94655091 -45.86160389,-67.9479718 -45.8615453,-67.9493934 -45.8606973,-67.9489589 -45.8606599,-67.94780419 -45.86081977,-67.9549134 -45.858239,-67.9527032 -45.8590684,-67.9493666 -45.8607794,-67.9491198 -45.8606898,-67.9539623 -45.85805836,-67.9549778 -45.85820170000001,-67.9571986 -45.85672970000001,-67.9579175 -45.8564981,-67.9585719 -45.8567521,-67.95773843 -45.85672753,-67.9586148 -45.8568044,-67.9579926 -45.8564383,-67.9605138 -45.8553847,-67.9615545 -45.8546374,-67.963078 -45.8525451,-67.9633892 -45.8522836,-67.9675841 -45.8512224,-67.9699767 -45.8512598,-67.9700732 -45.8515064,-67.9697835 -45.8517381,-67.96836168 -45.85192469,-67.9697835 -45.8517381,-67.9700947 -45.8517082,-67.9702342 -45.8514018,-67.9710817 -45.8516335,-67.97135 -45.8516633,-67.97067338 -45.85178783,-67.9748797 -45.8534568,-67.9738176 -45.8522612,-67.9730666 -45.8517007,-67.9728305 -45.8516858,-67.9720902 -45.8515438,-67.97404757 -45.85313584,-67.9750836 -45.8543983,-67.9752016 -45.8534194,-67.97353981 -45.85482131,-67.9721439 -45.8564532,-67.9723585 -45.855833,-67.9728305 -45.8549363,-67.9739249 -45.8544805,-67.9741395 -45.8540023,-67.9740536 -45.853539,-67.9744184 -45.8538977,-67.9746437 -45.8541517,-67.9750943 -45.8540247,-67.9749548 -45.854488,-67.97079424 -45.85669528,-67.9761672 -45.8586351,-67.9759634 -45.858508,-67.9757595 -45.8578206,-67.9751909 -45.8575143,-67.9723477 -45.8568567,-67.9721653 -45.8565802,-67.97543611 -45.85876585,-67.976253 -45.8586351,-67.9776263 -45.8591207,-67.978034 -45.8588891,-67.9775727 -45.8582166,-67.9771328 -45.8571631,-67.9770899 -45.8562589,-67.97627935 -45.8561703,-67.977401 -45.8546748,-67.9777014 -45.8555042,-67.97657227 -45.85465436,-67.977916 -45.8542115,-67.9775351 -45.8540621,-67.9782486 -45.8535577,-67.97739898 -45.85391408;-67.97739898 -45.85391408,-67.977916 -45.8542115,-67.9775351 -45.8540621,-67.9782486 -45.8535577,-67.97657227 -45.85465436,-67.977401 -45.8546748,-67.9777014 -45.8555042,-67.97627935 -45.8561703,-67.976253 -45.8586351,-67.9776263 -45.8591207,-67.978034 -45.8588891,-67.9775727 -45.8582166,-67.9771328 -45.8571631,-67.9770899 -45.8562589,-67.97543611 -45.85876585,-67.9762101 -45.8587172,-67.9768431 -45.8590385,-67.9774976 -45.8593075,-67.9783773 -45.8600024,-67.9787743 -45.859569,-67.97805617 -45.85962835,-67.9787743 -45.859569,-67.9784095 -45.8600622,-67.9786134 -45.860249,-67.9797721 -45.8603909,-67.9814243 -45.8607346,-67.98085648 -45.8609192,-67.9840422 -45.8594345,-67.9846001 -45.8591805,-67.9853618 -45.8588742,-67.9842031 -45.8589414,-67.9834092 -45.8591431,-67.9824221 -45.8597185,-67.9820251 -45.8604432,-67.98252887 -45.85998837,-67.9863274 -45.8592029,-67.9874325 -45.8590161,-67.9853618 -45.8588742,-67.9839349 -45.859442,-67.98485316 -45.85947976,-67.9892135 -45.8580672,-67.9890418 -45.8588742,-67.9885483 -45.8590684,-67.9874325 -45.8590161,-67.9863274 -45.8592627,-67.98816032 -45.8579739,-67.9891598 -45.8574097,-67.989471 -45.8568044,-67.9900932 -45.8564383,-67.9923999 -45.8559003,-67.9930544 -45.8553697,-67.9934084 -45.8544955,-67.99257609 -45.85442377,-67.9942131 -45.8542489,-67.9949319 -45.8537856,-67.9959404 -45.8535315,-67.99541214 -45.85331974,-67.9973888 -45.8529038,-67.9979253 -45.8530757,-67.998054 -45.8531654,-67.998848 -45.8531654,-67.9993522 -45.853808,-67.99882481 -45.85386089;-67.99882481 -45.85386089,-67.9973888 -45.8529038,-67.9979253 -45.8530757,-67.998054 -45.8531654,-67.998848 -45.8531654,-67.9993522 -45.853808,-67.99541214 -45.85331974,-67.9942131 -45.8542489,-67.9949319 -45.8537856,-67.9959404 -45.8535315,-67.99257609 -45.85442377,-67.9891598 -45.8574097,-67.989471 -45.8568044,-67.9900932 -45.8564383,-67.9923999 -45.8559003,-67.9930544 -45.8553697,-67.9934084 -45.8544955,-67.98816032 -45.8579739,-67.9892135 -45.8580672,-67.9890418 -45.8588742,-67.9885483 -45.8590684,-67.9874325 -45.8590161,-67.9863274 -45.8592627,-67.98485316 -45.85947976,-67.9863274 -45.8592029,-67.9874325 -45.8590161,-67.9853618 -45.8588742,-67.9839349 -45.859442,-67.98252887 -45.85998837,-67.9840422 -45.8594345,-67.9846001 -45.8591805,-67.9853618 -45.8588742,-67.9842031 -45.8589414,-67.9834092 -45.8591431,-67.9824221 -45.8597185,-67.9820251 -45.8604432,-67.98085648 -45.8609192,-67.9787743 -45.859569,-67.9784095 -45.8600622,-67.9786134 -45.860249,-67.9797721 -45.8603909,-67.9814243 -45.8607346,-67.97805617 -45.85962835,-67.9762101 -45.8587172,-67.9768431 -45.8590385,-67.9774976 -45.8593075,-67.9783773 -45.8600024,-67.9787743 -45.859569,-67.97543611 -45.85876585,-67.9761672 -45.8586351,-67.9759634 -45.858508,-67.9757595 -45.8578206,-67.9751909 -45.8575143,-67.9723477 -45.8568567,-67.9721653 -45.8565802,-67.97079424 -45.85669528,-67.9721439 -45.8564532,-67.9723585 -45.855833,-67.9728305 -45.8549363,-67.9739249 -45.8544805,-67.9741395 -45.8540023,-67.9740536 -45.853539,-67.9744184 -45.8538977,-67.9746437 -45.8541517,-67.9750943 -45.8540247,-67.9749548 -45.854488,-67.97353981 -45.85482131,-67.9750836 -45.8543983,-67.9752016 -45.8534194,-67.97404757 -45.85313584,-67.9748797 -45.8534568,-67.9738176 -45.8522612,-67.9730666 -45.8517007,-67.9728305 -45.8516858,-67.9720902 -45.8515438,-67.97067338 -45.85178783,-67.9697835 -45.8517381,-67.9700947 -45.8517082,-67.9702342 -45.8514018,-67.9710817 -45.8516335,-67.97135 -45.8516633,-67.96836168 -45.85192469,-67.9657495 -45.8527319,-67.9690433 -45.8515438,-67.96454201 -45.85308005,,-67.96402882 -45.85314926,-67.9651701 -45.8532326,-67.9648376 -45.8537034,-67.961694 -45.85531,-67.9612434 -45.8559825,-67.96127805 -45.85636175;-67.96127805 -45.85636175,-67.9651701 -45.8532326,-67.9648376 -45.8537034,-67.961694 -45.85531,-67.9612434 -45.8559825,-67.96402882 -45.85314926,,-67.96454201 -45.85308005,-67.9657495 -45.8527319,-67.9690433 -45.8515438,-67.96836168 -45.85192469,-67.9697835 -45.8517381,-67.9700947 -45.8517082,-67.9702342 -45.8514018,-67.9710817 -45.8516335,-67.97135 -45.8516633,-67.97067338 -45.85178783,-67.9748797 -45.8534568,-67.9738176 -45.8522612,-67.9730666 -45.8517007,-67.9728305 -45.8516858,-67.9720902 -45.8515438,-67.97404757 -45.85313584,,-67.97397058 -45.85339515;-67.97397058 -45.85339515,,-67.97404757 -45.85313584,-67.9748797 -45.8534568,-67.9738176 -45.8522612,-67.9730666 -45.8517007,-67.9728305 -45.8516858,-67.9720902 -45.8515438,-67.97067338 -45.85178783,-67.9697835 -45.8517381,-67.9700947 -45.8517082,-67.9702342 -45.8514018,-67.9710817 -45.8516335,-67.97135 -45.8516633,-67.96836168 -45.85192469,-67.9586148 -45.8568044,-67.9579926 -45.8564383,-67.9605138 -45.8553847,-67.9615545 -45.8546374,-67.963078 -45.8525451,-67.9633892 -45.8522836,-67.9675841 -45.8512224,-67.9699767 -45.8512598,-67.9700732 -45.8515064,-67.9697835 -45.8517381,-67.95773843 -45.85672753,-67.9549778 -45.85820170000001,-67.9571986 -45.85672970000001,-67.9579175 -45.8564981,-67.9585719 -45.8567521,-67.9539623 -45.85805836,-67.9549134 -45.858239,-67.9527032 -45.8590684,-67.9493666 -45.8607794,-67.9491198 -45.8606898,-67.94780419 -45.86081977,-67.9479718 -45.8615453,-67.9493934 -45.8606973,-67.9489589 -45.8606599,-67.94655091 -45.86160389,-67.9483044 -45.861911400000004,-67.9473495 -45.8614183,-67.94727301 -45.86217176,-67.9469097 -45.8620944,-67.9481596 -45.8620048,-67.94569946 -45.86221924,-67.9427254 -45.8635364,-67.9464859 -45.8623447,-67.9469097 -45.862016,-67.9400271 -45.8665472</t>
  </si>
  <si>
    <t>-67.9400271 -45.8665472,-67.9383588 -45.8674437,-67.9380584 -45.8682655,-67.9363847 -45.8693786,-67.9365671 -45.8696326,-67.93551008 -45.87004015,-67.936492 -45.8696625,-67.9362881 -45.8694234,-67.9350436 -45.8703273,-67.9347003 -45.8699986,-67.933282 -45.87018527,-67.9337347 -45.872531,-67.9350007 -45.8704245,-67.9346895 -45.8701032,-67.93292309 -45.87290945,-67.9305589 -45.8765722,-67.9309773 -45.8765423,-67.9323184 -45.875011,-67.9336917 -45.8726132,-67.92916705 -45.87686758,-67.9288745 -45.8790371,-67.9299796 -45.8786337,-67.9304302 -45.8776552,-67.9309022 -45.8766245,-67.9306126 -45.8766543,-67.92746283 -45.879252,-67.9288745 -45.8790371,-67.9299796 -45.8786337,-67.9308271 -45.8793582,-67.9310632 -45.8796271,-67.9308057 -45.8796645,-67.92926139 -45.87980166,-67.9308057 -45.8796645,-67.9309773 -45.8795823,-67.9308271 -45.8793582,-67.9319429 -45.8795524,-67.9332089 -45.8799333,-67.9339921 -45.8795524,-67.9349685 -45.8793358,-67.935698 -45.8793209,-67.93512028 -45.8793768,-67.9364383 -45.8791566,-67.9368889 -45.8790371,-67.9370821 -45.878798,-67.939657 -45.8787906,-67.9398179 -45.8784246,-67.93938002 -45.87863178,-67.9433799 -45.8793582,-67.9425859 -45.8792462,-67.9414809 -45.8788951,-67.9399574 -45.8788802,-67.9395819 -45.8785889,-67.9398179 -45.8784246,-67.94258106 -45.87928487,-67.9468131 -45.8799931,-67.9464698 -45.8794927,-67.9443026 -45.8791491,-67.9459034 -45.88040255,-67.9472744 -45.8827118,-67.9475963 -45.8819051,-67.9476392 -45.8807475,-67.9472208 -45.8805159,-67.94607409 -45.88311995,-67.9472744 -45.8852212,-67.9470921 -45.8844967,-67.9472423 -45.883959,-67.9472315 -45.8831823,-67.94628753 -45.88560005,-67.9487872 -45.8868418,-67.9495382 -45.8874766,-67.9496884 -45.88726,-67.9485726 -45.886095,-67.9476714 -45.8855871,-67.94746568 -45.88694764,-67.948755 -45.886894,-67.9494202 -45.887484,-67.9503751 -45.8875587,-67.9509008 -45.8873571,-67.9508793 -45.8868716,-67.94972726 -45.88693813,-67.951051 -45.8868418,-67.9516089 -45.886207,-67.952832 -45.8866028,-67.95178221 -45.88666191;-67.95178221 -45.88666191,-67.957381 -45.8868268,-67.9566729 -45.8866327,-67.953701 -45.8868791,-67.9533148 -45.8869911,-67.9529393 -45.8866103,-67.95650174 -45.8868325,-67.9563618 -45.8869613,-67.9570055 -45.8870583,-67.9568553 -45.8866028,-67.957381 -45.8868268,-67.95495587 -45.8875866,-67.9576063 -45.8896124,-67.9577136 -45.888888,-67.9572308 -45.8876483,-67.9565012 -45.8869986,-67.95602222 -45.88970885,-67.958647 -45.8921289,-67.9580784 -45.8917854,-67.958411 -45.8907699,-67.9588509 -45.8902397,-67.9578209 -45.8896422,-67.95792371 -45.89252328,-67.958411 -45.8946678,-67.9585934 -45.8938464,-67.9590118 -45.8934581,-67.9594839 -45.8932714,-67.9597199 -45.892913,-67.9595053 -45.8926741,-67.95753705 -45.89518861,-67.9602778 -45.8973559,-67.959677 -45.8974604,-67.9590976 -45.897326,-67.9587114 -45.8968257,-67.95928 -45.896094,-67.9591405 -45.8953548,-67.95956637 -45.89743693,-67.9642367 -45.8983564,-67.9643333 -45.8976993,-67.9650199 -45.8970721,-67.9652989 -45.8964076,-67.9613721 -45.8972065,-67.96354703 -45.89869944,-67.9693437 -45.9027914,-67.9659963 -45.8987297,-67.965138 -45.8986401,-67.96793825 -45.90348141,-67.9685926 -45.9034484,-67.9653096 -45.9044488,-67.9600525 -45.9049564,-67.9584861 -45.9041651,-67.9576707 -45.9040606,-67.95594313 -45.90408308,-67.9577565 -45.9038664,-67.9585826 -45.9036126,-67.9585826 -45.9031348,-67.9576492 -45.90253,-67.9561365 -45.9021343,-67.9558575 -45.9012832,-67.95417314 -45.90131869,-67.9551601 -45.9008651,-67.9546666 -45.8996481,-67.9538405 -45.8990284,-67.95251927 -45.89886364,-67.9566944 -45.8986327,-67.9550421 -45.8986849,-67.9549778 -45.9007158,-67.9546666 -45.8996481,-67.953701 -45.898991,-67.95625453 -45.89884007,-67.9566944 -45.8986327,-67.9549992 -45.8986252,-67.9545057 -45.8976097,-67.9539156 -45.8971991,-67.953068 -45.8970721,-67.9531431 -45.8968855,-67.9546881 -45.8965943,-67.95408006 -45.89657201;-67.95408006 -45.89657201,-67.9566944 -45.8986327,-67.9549992 -45.8986252,-67.9545057 -45.8976097,-67.9539156 -45.8971991,-67.953068 -45.8970721,-67.9531431 -45.8968855,-67.9546881 -45.8965943,-67.95625453 -45.89884007,-67.9566944 -45.8986327,-67.9550421 -45.8986849,-67.9549778 -45.9007158,-67.9546666 -45.8996481,-67.953701 -45.898991,-67.95251927 -45.89886364,-67.9551601 -45.9008651,-67.9546666 -45.8996481,-67.9538405 -45.8990284,-67.95417314 -45.90131869,-67.9577565 -45.9038664,-67.9585826 -45.9036126,-67.9585826 -45.9031348,-67.9576492 -45.90253,-67.9561365 -45.9021343,-67.9558575 -45.9012832,-67.95594313 -45.90408308,-67.9576063 -45.9040904, -67.9586792 -45.9041949, -67.9598594 -45.9049266, -67.9530573 -45.9053894, -67.948916 -45.9068676,-67.9477358 -45.9069124,-67.9420066 -45.9072707, -67.9449141 -45.9072931, -67.9463518 -45.9076291,-67.94070253 -45.90708056,-67.9419637 -45.9061061,-67.9426718 -45.9047623,-67.9415345 -45.9048967,-67.938745 -45.9059568,-67.9340029 -45.9072707,-67.9353547 -45.9073006,-67.93482704 -45.9074612,-67.922008 -45.9097193,-67.9201412 -45.9109884,-67.9196906 -45.9109585,-67.9200125 -45.9097492,-67.9210854 -45.909585,-67.9227591 -45.90851,-67.9267287 -45.9077933,-67.9317927 -45.9075544,-67.9344964 -45.9080023,-67.9353762 -45.9076142,-67.92132124 -45.90950332,-67.9221797 -45.9097492,-67.9201412 -45.9109884,-67.91924 -45.911063,-67.9191971 -45.9115109,-67.91938339 -45.91141146,-67.9150558 -45.9126903,-67.9162359 -45.9122126,-67.9164505 -45.9115408,-67.9181457 -45.910645,-67.9202914 -45.9111078,-67.91361731 -45.91301639,-67.9115582 -45.9126157,-67.9142189 -45.9121827,-67.9144764 -45.9124216,-67.91006671 -45.91285318;-67.91006671 -45.91285318,-67.9106355 -45.9125261,-67.9076529 -45.9123768,-67.9041553 -45.9118991,-67.9033184 -45.9115706,-67.9007006 -45.9119737,-67.8999066 -45.9124515,-67.89855752 -45.91238198;-67.89855752 -45.91238198,-67.9106355 -45.9125261,-67.9076529 -45.9123768,-67.9041553 -45.9118991,-67.9033184 -45.9115706,-67.9007006 -45.9119737,-67.8999066 -45.9124515,-67.91006671 -45.91285318,-67.9115582 -45.9126157,-67.9142189 -45.9121827,-67.9144764 -45.9124216,-67.91361731 -45.91301639,-67.9150558 -45.9126903,-67.9162359 -45.9122126,-67.9164505 -45.9115408,-67.9181457 -45.910645,-67.9202914 -45.9111078,-67.91938339 -45.91141146,-67.9221797 -45.9097492,-67.9201412 -45.9109884,-67.91924 -45.911063,-67.9191971 -45.9115109,-67.92132124 -45.90950332,-67.922008 -45.9097193,-67.9201412 -45.9109884,-67.9196906 -45.9109585,-67.9200125 -45.9097492,-67.9210854 -45.909585,-67.9227591 -45.90851,-67.9267287 -45.9077933,-67.9317927 -45.9075544,-67.9344964 -45.9080023,-67.9353762 -45.9076142,-67.93482704 -45.9074612,-67.9419637 -45.9061061,-67.9426718 -45.9047623,-67.9415345 -45.9048967,-67.938745 -45.9059568,-67.9340029 -45.9072707,-67.9353547 -45.9073006,-67.94070253 -45.90708056,-67.9417276 -45.9060912,-67.9426718 -45.9047623,-67.9416203 -45.9047773,-67.9445601 -45.9035379,-67.942543 -45.9026271,-67.94048121 -45.90255833,-67.9313636 -45.9007755,-67.9299688 -45.9015296,-67.9309559 -45.9024778,-67.931664 -45.9022687,-67.9323721 -45.9010144,-67.9335737 -45.900447,-67.9371786 -45.9012832,-67.9379082 -45.9021045,-67.9396677 -45.9026719,-67.941041 -45.9025674,-67.93028301 -45.90068278,-67.9312027 -45.9008128,-67.9299688 -45.9015296,-67.9282737 -45.9003723,-67.9263103 -45.8994316,-67.9232204 -45.8984983,-67.9221046 -45.8981623,-67.92046749 -45.89809236,-67.9221904 -45.8981548,-67.9233706 -45.8984385,-67.9223728 -45.8974903,-67.9203773 -45.8967212,-67.9203129 -45.8957953,-67.91895387 -45.89557581,-67.9198515 -45.8952876,-67.9187465 -45.8950934,-67.9171157 -45.8950187,-67.9165041 -45.8955564,-67.91506756 -45.89602857,-67.9165363 -45.8956086,-67.9175019 -45.8947275,-67.9165041 -45.893712,-67.9164827 -45.892689,-67.9183388 -45.8916958,-67.9195189 -45.8908296,-67.9196799 -45.8909341,-67.9177058 -45.8929802,-67.91657701 -45.89351753,-67.9177594 -45.8928831,-67.9196584 -45.8908744,-67.9194117 -45.8909267,-67.9188323 -45.8915241,-67.9170513 -45.8923754,-67.9181993 -45.8910014,-67.918961 -45.8905234,-67.91840225 -45.89042054,-67.9200876 -45.8901874,-67.9206669 -45.8896646,-67.9178774 -45.8882906,-67.9172873 -45.8905981,-67.9169333 -45.8902621,-67.9169869 -45.889239,-67.9164076 -45.8886266,-67.91497939 -45.88844903;-67.91497939 -45.88844903,-67.9200876 -45.8901874,-67.9206669 -45.8896646,-67.9178774 -45.8882906,-67.9172873 -45.8905981,-67.9169333 -45.8902621,-67.9169869 -45.889239,-67.9164076 -45.8886266,-67.91840225 -45.89042054,-67.9201949 -45.8901426,-67.920785 -45.8896646,-67.9178774 -45.8882906,-67.9180706 -45.8870061,-67.9186499 -45.8868642,-67.918961 -45.8857962,-67.91833856 -45.88592331,-67.9183924 -45.8832943,-67.9178345 -45.8833989,-67.9181349 -45.883832,-67.9182851 -45.8847656,-67.9179955 -45.8868492,-67.9182959 -45.887021,-67.918725 -45.8867895,-67.9189289 -45.8859232,-67.91747464 -45.88372353,-67.9183173 -45.8833018,-67.9179525 -45.8832943,-67.9178452 -45.8829358,-67.9186606 -45.8819873,-67.9191113 -45.8815466,-67.9197979 -45.8813898,-67.91930941 -45.88137118,-67.9231775 -45.8798138,-67.9230273 -45.8801051,-67.9220295 -45.8802022,-67.9198301 -45.8807027,-67.9191542 -45.8814645,-67.9198301 -45.8813375,-67.92260289 -45.87981886,-67.9288745 -45.8790371,-67.9299045 -45.8786188,-67.929765 -45.8784918,-67.9247224 -45.8798512,-67.9241753 -45.8796943,-67.92746283 -45.879252,-67.9288745 -45.8790371,-67.9299796 -45.8786337,-67.9304302 -45.8776552,-67.9309022 -45.8766245,-67.9306126 -45.8766543,-67.92916705 -45.87686758,-67.9305589 -45.8765722,-67.9309773 -45.8765423,-67.9323184 -45.875011,-67.9336917 -45.8726132,-67.93292309 -45.87290945,-67.9337347 -45.872531,-67.9350007 -45.8704245,-67.9346895 -45.8701032,-67.933282 -45.87018527,-67.936492 -45.8696625,-67.9362881 -45.8694234,-67.9350436 -45.8703273,-67.9347003 -45.8699986,-67.93551008 -45.87004015,-67.9383588 -45.8674437,-67.9380584 -45.8682655,-67.9363847 -45.8693786,-67.9365671 -45.8696326,-67.9400271 -45.8665472</t>
  </si>
  <si>
    <t>-67.9400271 -45.8665472,-67.9383588 -45.8674437,-67.9380101 -45.8666929,-67.9392922 -45.8661064,-67.93822649 -45.86645361,,-67.93820898 -45.86621382,-67.939437 -45.8659907,-67.9410034 -45.8642985,-67.9397787 -45.86446671,-67.9413575 -45.8643508,-67.94191 -45.8638801,-67.9413092 -45.8637717,-67.94026881 -45.86394522,-67.9412395 -45.8636896,-67.94085860000001 -45.8628677,-67.94016816 -45.86304785,-67.9407942 -45.8630844,-67.9403758 -45.8621878,-67.9386914 -45.8624792,-67.93749455 -45.86270022,-67.9389811 -45.8623559,-67.9389596 -45.8618329,-67.9381979 -45.8610783,-67.9390669 -45.8607794,-67.93809539 -45.86091501,-67.9388309 -45.8607794,-67.938112 -45.8611007,-67.9377472 -45.860899,-67.9362881 -45.8614743,-67.9374897 -45.8619749,-67.93652197 -45.86222667,-67.9375219 -45.8620421,-67.9357517 -45.861085800000005,-67.9346144 -45.8614519,-67.93332777 -45.86169272,-67.9343569 -45.8614145,-67.9335523 -45.861549,-67.9334021 -45.8611381,-67.9309666 -45.8609214,-67.92973166 -45.86112334,-67.9307091 -45.86097370000001,-67.9287457 -45.8609588,-67.9288423 -45.860757,-67.92827234 -45.86082887,-67.9288423 -45.860757,-67.9286063 -45.8609812,-67.9269433 -45.8608168,-67.9254305 -45.8610559,-67.9256237 -45.8606898,-67.92472033 -45.86078317,-67.9253769 -45.8604208,-67.9236388 -45.8595317,-67.9233384 -45.8597857,-67.92204432 -45.86025045,-67.9235315 -45.8601219,-67.9222655 -45.8604731,-67.92116295 -45.86077528,-67.9219651 -45.8610335,-67.9157424 -45.8609887,-67.91412974 -45.86109479,-67.9153347 -45.8605702,-67.9157317 -45.8599725,-67.9146159 -45.859457,-67.91347499 -45.85938782,-67.9145408 -45.8594047,-67.9124916 -45.858777,-67.9112792 -45.8592776,-67.91058213 -45.85962973,-67.9112792 -45.8592776,-67.9102921 -45.8588293,-67.9105067 -45.8586425,-67.90964669 -45.85881191,-67.9102653 -45.8586986,-67.9081625 -45.8581195,-67.90707943 -45.8582017,-67.90773330000002 -45.8580522,-67.9073417 -45.8579177,-67.9068965 -45.8568567,-67.9053408 -45.8563822,-67.90400196 -45.85653031,-67.904284 -45.8564084,-67.9033184 -45.8552726,-67.9019022 -45.8551232,-67.90067511 -45.8549717,,-67.90022567 -45.85540767,-67.9008508 -45.8548093,-67.8990161 -45.8545403,-67.898823 -45.8538678,-67.8965485 -45.8545553,-67.89483427 -45.85484841,-67.887429 -45.855564,-67.8894138 -45.853808,-67.8932333 -45.8533447,-67.8969455 -45.8545851,-67.8963768 -45.8546599,-67.88581092 -45.85597227,-67.887429 -45.855564,-67.8882551 -45.8548691,-67.8894138 -45.853808,-67.8920853 -45.8535689,-67.8916454 -45.8538678,-67.8897357 -45.85395,-67.88910 -45.85436,-67.8875685 -45.8562589,-67.885799 -45.8571033,-67.88544 -45.8578281,-67.88523 -45.85794,-67.88402968 -45.85834964,-67.8814316 -45.8592926,-67.8808415 -45.8591357,-67.880863 -45.8587322,-67.8817642 -45.858239,-67.8850043 -45.8580522,-67.88077392 -45.85953999,-67.8790283 -45.8588293,-67.880466 -45.8587397,-67.8813028 -45.8593598,-67.87771797 -45.85914466,-67.875917 -45.8590236,-67.8765607 -45.8587098,-67.8784597 -45.8588443,-67.87446619 -45.85953534,-67.8758311 -45.8590012,-67.8755307 -45.858777,-67.8718829 -45.8588144,-67.8721619 -45.8576637,-67.8733528 -45.857462,-67.8739536 -45.8579028,-67.87227986 -45.85836679,-67.8721619 -45.8576637,-67.8734279 -45.8573798,-67.8740823 -45.8579103,-67.87029294 -45.85782787,-67.8710139 -45.8575441,-67.8706169 -45.8573573,-67.8709602 -45.8560348,-67.86919632 -45.85619455,-67.8696942 -45.8557434,-67.86828880000002 -45.8556612,-67.86649364 -45.8559971;-67.86649364 -45.8559971,-67.8669798 -45.8557135,-67.865231 -45.8550708,-67.8632243 -45.85544803,-67.8622591 -45.8563038,-67.8636539 -45.8551829,-67.86075305 -45.85668169,-67.8618944 -45.8580074,-67.8614438 -45.8568642,-67.86119926 -45.8582863,-67.8617334 -45.8580597,-67.8595233 -45.8583362,-67.85800456 -45.85865306,-67.8585362 -45.8586425,-67.8567231 -45.8591431,-67.8550386 -45.8605852,-67.85325633 -45.86047853,-67.8547168 -45.8600622,-67.8545237 -45.8589862,-67.8537083 -45.858508,-67.852335 -45.8585529,-67.85051371 -45.8587379,-67.8511226 -45.8587172,-67.8489661 -45.8581942,-67.8504252 -45.8565952,-67.84992667 -45.85649082,-67.851541 -45.8561394,-67.8511119 -45.8555416,-67.8497386 -45.8553249,-67.8490841 -45.8555341,-67.84737753 -45.85568862,-67.8480864 -45.8556163,-67.846477 -45.8561992,-67.8452325 -45.8556537,-67.84359994 -45.85582912,-67.8438914 -45.8557508,-67.8414237 -45.8563262,-67.8377545 -45.8563187,-67.83653581 -45.85644197,-67.8371108 -45.8561767,-67.8326368 -45.8556313,-67.83154193 -45.85548135,-67.8319716 -45.855437,-67.8292787 -45.855108200000004,-67.82760578 -45.8552439,-67.8277767 -45.8550036,-67.8251696 -45.8547271,-67.824676 -45.8544207,-67.82322995 -45.85451391,-67.824043 -45.8544731,-67.8235924 -45.8545553,-67.8224766 -45.8545702,-67.82073586 -45.8548351;-67.82073586 -45.8548351,-67.824043 -45.8544731,-67.8235924 -45.8545553,-67.8224766 -45.8545702,-67.82322995 -45.85451391,-67.8277767 -45.8550036,-67.8251696 -45.8547271,-67.824676 -45.8544207,-67.82760578 -45.8552439,-67.8319716 -45.855437,-67.8292787 -45.855108200000004,-67.83154193 -45.85548135,-67.8371108 -45.8561767,-67.8326368 -45.8556313,-67.83653581 -45.85644197,-67.8438914 -45.8557508,-67.8414237 -45.8563262,-67.8377545 -45.8563187,-67.84359994 -45.85582912,-67.8480864 -45.8556163,-67.846477 -45.8561992,-67.8452325 -45.8556537,-67.84737753 -45.85568862,-67.851541 -45.8561394,-67.8511119 -45.8555416,-67.8497386 -45.8553249,-67.8490841 -45.8555341,-67.84992667 -45.85649082,-67.8511226 -45.8587172,-67.8489661 -45.8581942,-67.8504252 -45.8565952,-67.85051371 -45.8587379,-67.8547168 -45.8600622,-67.8545237 -45.8589862,-67.8537083 -45.858508,-67.852335 -45.8585529,-67.85325633 -45.86047853,-67.8585362 -45.8586425,-67.8567231 -45.8591431,-67.8550386 -45.8605852,-67.85800456 -45.85865306,-67.8617334 -45.8580597,-67.8595233 -45.8583362,-67.86119926 -45.8582863,-67.8630531 -45.8577608,-67.8618944 -45.8580074,-67.86269634 -45.8576934,-67.8655958 -45.85783560000001,-67.8642118 -45.8570435,-67.86509618 -45.85797591,-67.8666258 -45.8579551,-67.8677523 -45.8588443,-67.8689218 -45.8588293,-67.8688896 -45.8591954,-67.86821501 -45.85959306,-67.8688037 -45.8592029,-67.8687608 -45.8588144,-67.8664434 -45.858963800000005,-67.8654027 -45.859457,-67.8655529 -45.8602116,-67.86513556 -45.86046435,-67.8701234 -45.8635663,-67.8698123 -45.86132490000001,-67.8679776 -45.8603237,-67.8670549 -45.8588966,-67.8654027 -45.859457,-67.8654563 -45.8601518,-67.8656709 -45.8602639,-67.86895092 -45.86422008,-67.8682029 -45.8666817,-67.8692436 -45.8661961,-67.8702307 -45.8647318,-67.8701663 -45.8642088,-67.86635342 -45.86702056,-67.8668725 -45.8688706,-67.8667974 -45.868646500000004,-67.8676665 -45.8677127,-67.867012 -45.86727940000001,-67.86653014 -45.86909111,-67.8665292 -45.8705589,-67.866143 -45.8710594,-67.8657889 -45.8704767,-67.8668725 -45.8688706,-67.86552841 -45.87071955,-67.8687286 -45.87223970000001,-67.8671408 -45.8717542,-67.8661752 -45.8712611,-67.8662395 -45.8705888,-67.86803091 -45.87230485,-67.8686213 -45.87223970000001,-67.8679776 -45.8725012,-67.867173 -45.87342,-67.86601994 -45.87390747;-67.86601994 -45.87390747,-67.8661001 -45.8724788,-67.8660786 -45.8739279,-67.8666043 -45.8740773,-67.86537325 -45.87244509;-67.86537325 -45.87244509,-67.8661001 -45.8724788,-67.8660786 -45.8739279,-67.8666043 -45.8740773,-67.86601994 -45.87390747,-67.8686213 -45.87223970000001,-67.8679776 -45.8725012,-67.867173 -45.87342,-67.86803091 -45.87230485,-67.8687286 -45.87223970000001,-67.8671408 -45.8717542,-67.8661752 -45.8712611,-67.8662395 -45.8705888,-67.86552841 -45.87071955,-67.8665292 -45.8704394,-67.8664756 -45.8701107,-67.8674197 -45.8697073,-67.8698659 -45.8700883,-67.8700376 -45.8699389,-67.8700268 -45.8692964,-67.86891343 -45.86940172,-67.8699839 -45.8693413,-67.8700376 -45.8699389,-67.8703916 -45.8701929,-67.8709173 -45.8699239,-67.8707349 -45.8692815,-67.8712177 -45.8686166,-67.8731596 -45.8681236,-67.8729107 -45.86822856,-67.8735942 -45.8680488,-67.8724301 -45.8682281,-67.8724086 -45.8686689,-67.8764427 -45.8695952,-67.87545792 -45.87007243,-67.8773439 -45.8681385,-67.878288 -45.8679816,-67.8767216 -45.8696102,-67.87529512 -45.86884053,-67.8773224 -45.8682132,-67.8784168 -45.867951700000006,-67.8792751 -45.866988,-67.87841593 -45.86693979,-67.8794253 -45.8652025,-67.8813779 -45.8643508,-67.8805947 -45.8648065,-67.8801227 -45.8652622,-67.8801119 -45.8658151,-67.8798544 -45.8661513,-67.87816911 -45.86559299,-67.8800154 -45.8627071,-67.880863 -45.8635887,-67.8814101 -45.8638502,-67.881496 -45.8643508,-67.8795862 -45.8651352,-67.87889297 -45.8626014,-67.8809917 -45.8619301,-67.8822792 -45.8616611,-67.8835666 -45.8617507,-67.8845859 -45.8612277,-67.8843284 -45.8612427,-67.88286864 -45.86153258,-67.8855836 -45.8605329,-67.8847253 -45.8611754,-67.8843284 -45.8612427,-67.88485253 -45.86038085,-67.8862917 -45.8600846,-67.8869355 -45.8600547,-67.8873861 -45.8596438,-67.8876221 -45.8588667,-67.8886843 -45.8579999,-67.8905296 -45.8572453,-67.8915596 -45.8569165,-67.8910661 -45.8570435,-67.89119881 -45.85678635,-67.8960952 -45.8598436,-67.8959692 -45.8585678,-67.8961945 -45.8583138,-67.8955936 -45.8581419,-67.8949177 -45.8572976,-67.8950787 -45.8562589,-67.894907 -45.8558629,-67.8937376 -45.8558928,-67.8932869 -45.8566101,-67.8928149 -45.8568492,-67.8926003 -45.8566998,-67.89506126 -45.86022417,-67.8961086 -45.8601668,-67.8949714 -45.8618927,-67.89369378 -45.862107,-67.8961945 -45.8632674,-67.8952932 -45.8629985,-67.8948426 -45.8620347,-67.8946526 -45.86372426,-67.8962696 -45.8632899,-67.8974175 -45.8625203,-67.8984583 -45.8622177,-67.89779792 -45.86312838,,-67.8975525 -45.86346654,-67.8993487 -45.8636634,-67.8988981 -45.8636933,-67.89861920000001 -45.8635215,-67.89867893 -45.86374335,-67.9039943 -45.8644255,-67.9028034 -45.8637381,-67.8999174 -45.8635812,-67.90314798 -45.8648888,-67.906419 -45.86626330000001,-67.9050887 -45.8652025,-67.9043591 -45.864814,-67.90565529 -45.8665856,-67.9108179 -45.86391,-67.9094768 -45.8638353,-67.9077816 -45.8657329,-67.9066443 -45.8662484,-67.90869072 -45.86438156,-67.9100454 -45.8663754,-67.9094982 -45.8663306,-67.909627 -45.86429100000001,-67.90947109 -45.86641003,-67.9100668 -45.8647318,-67.9098523 -45.8659197,-67.9103565 -45.8661513,-67.90917641 -45.86476613,-67.9122448 -45.8649709,-67.911129 -45.8644105,-67.9103887 -45.8645226,-67.91093971 -45.86527418,-67.9164934 -45.8652398,-67.9147875 -45.8642536,-67.9133606 -45.865322,-67.9120409 -45.8651352,-67.91575239 -45.86551598,-67.9187572 -45.8661064,-67.9176843 -45.8663679,-67.9172981 -45.8656657,-67.91774956 -45.8661538,-67.9224908 -45.8663306,-67.9191971 -45.8656582,-67.92069068 -45.86664171,-67.9258382 -45.86658460000001,-67.9220402 -45.8663903,-67.92478129 -45.86687146,-67.9266429 -45.8657927,-67.9259992 -45.8665696,-67.92617947 -45.86596757,,-67.92568273 -45.86555172,-67.9284239 -45.8655835,-67.9270077 -45.8655162,-67.92761571 -45.86576064,-67.92887450000002 -45.8655984,-67.929647 -45.8660093,-67.9311919 -45.8652622,-67.93025624 -45.86524613,-67.934196 -45.8650755,-67.9339492 -45.8648887,-67.9318678 -45.8652174,-67.93322311 -45.86539389,-67.9364544 -45.8650082,-67.9343033 -45.8651128,-67.93542287 -45.86514387,-67.9374468 -45.8637643,-67.93648120000002 -45.8648999,-67.93638614 -45.8639203,-67.9407513 -45.863103100000004,-67.9403973 -45.8622551,-67.93757020000001 -45.8636746,-67.94016816 -45.86304785,-67.9412395 -45.8636896,-67.94085860000001 -45.8628677,-67.94026881 -45.86394522,-67.9413575 -45.8643508,-67.94191 -45.8638801,-67.9413092 -45.8637717,-67.9397787 -45.86446671,-67.939437 -45.8659907,-67.9410034 -45.8642985,-67.93820898 -45.86621382,,-67.93822649 -45.86645361,-67.9383588 -45.8674437,-67.9380101 -45.8666929,-67.9392922 -45.8661064,-67.9400271 -45.8665472</t>
  </si>
  <si>
    <t>-67.9400271 -45.8665472,-67.9383588 -45.8674437,-67.9380584 -45.8682655,-67.9363847 -45.8693786,-67.9365671 -45.8696326,-67.93551008 -45.87004015,-67.936492 -45.8696625,-67.9362881 -45.8694234,-67.9350436 -45.8703273,-67.9347003 -45.8699986,-67.933282 -45.87018527,-67.9337347 -45.872531,-67.9350007 -45.8704245,-67.9346895 -45.8701032,-67.93292309 -45.87290945,-67.9305589 -45.8765722,-67.9309773 -45.8765423,-67.9323184 -45.875011,-67.9336917 -45.8726132,-67.92916705 -45.87686758,-67.9288745 -45.8790371,-67.9299796 -45.8786337,-67.9304302 -45.8776552,-67.9309022 -45.8766245,-67.9306126 -45.8766543,-67.92746283 -45.879252,-67.9288745 -45.8790371,-67.9299045 -45.8786188,-67.929765 -45.8784918,-67.9247224 -45.8798512,-67.9241753 -45.8796943,-67.92260289 -45.87981886,-67.9231775 -45.8798138,-67.9230273 -45.8801051,-67.9220295 -45.8802022,-67.9198301 -45.8807027,-67.9191542 -45.8814645,-67.9198301 -45.8813375,-67.91930941 -45.88137118,-67.9183173 -45.8833018,-67.9179525 -45.8832943,-67.9178452 -45.8829358,-67.9186606 -45.8819873,-67.9191113 -45.8815466,-67.9197979 -45.8813898,-67.91747464 -45.88372353,-67.9166651 -45.8823159,-67.9170835 -45.8822711,-67.9178345 -45.8833989,-67.9184783 -45.8832943,-67.91541483 -45.88231338,-67.911365 -45.8831076,-67.9142618 -45.8826968,-67.9159892 -45.8825026,-67.90970498 -45.88326091,-67.9076958 -45.8841084,-67.9082644 -45.8839366,-67.9093373 -45.8833167,-67.9103136 -45.8831972,-67.90591516 -45.88446218,,-67.90594775 -45.88423937,-67.9066443 -45.8844071,-67.9062474 -45.8852585,-67.908833 -45.885968,-67.9091012 -45.8864012,-67.90705336 -45.88840606,-67.9052818 -45.8875736,-67.90654780000001 -45.8882084,-67.9074919 -45.8882756,-67.90362098 -45.8874036,-67.9039729 -45.8871629,-67.9034686 -45.8869165,-67.9041123 -45.886192,-67.9042947 -45.8847656,-67.90316820000001 -45.883637900000004,-67.90293219 -45.8836944,-67.90316820000001 -45.883637900000004,-67.9026854 -45.8831823,-67.9021275 -45.8832794,-67.900722 -45.8842279,-67.9001105 -45.8851465,-67.8995955 -45.8843175,-67.89811074 -45.88424629,-67.896452 -45.8842129,-67.8972995 -45.8841607,-67.8987801 -45.8833839,-67.8993165 -45.8836304,-67.89478887 -45.88442779,-67.895658 -45.88465360000001,-67.8955078 -45.8872675,-67.89402720000001 -45.888186,-67.89313670000001 -45.8879097,-67.8935552 -45.8866999,-67.891624 -45.8850718,-67.88986813 -45.88509226,-67.8916669 -45.8851316,-67.891463 -45.8853332,-67.8890061 -45.8855946,-67.8886521 -45.8849672,-67.88725199 -45.88498287,-67.8877938 -45.885251,-67.8862166 -45.8849523,-67.88477851 -45.88530377,-67.8863347 -45.8849448,-67.8869569 -45.8849672,-67.8874826 -45.883847,-67.8903258 -45.883570600000006,-67.88934482 -45.88367092,-67.8808522 -45.8847432,-67.8831053 -45.8843548,-67.884897 -45.8834586,-67.8876114 -45.88378720000001,-67.8901434 -45.8835856,-67.87931365 -45.88515467,-67.8775477 -45.8859232,-67.87784810000001 -45.8854153,-67.8789425 -45.8862742,-67.879554 -45.8862667,-67.8829443 -45.8844743,-67.8806055 -45.8848253,-67.87597578 -45.88674947,,-67.87630061 -45.88642699,-67.8775907 -45.885744,-67.8778374 -45.8851241,-67.8766251 -45.8844594,-67.8767002 -45.8840561,-67.8758872 -45.88413516,-67.8738034 -45.8829806,-67.8739858 -45.8834512,-67.87655 -45.8844445,-67.8765929 -45.8840262,-67.87263059 -45.88283868,-67.8737283 -45.8829508,-67.8736854 -45.8833242,-67.8730094 -45.8829134,-67.8686643 -45.8830254,-67.86703039 -45.88312685,-67.8685462 -45.8831151,-67.869308 -45.8829582,-67.8708422 -45.883018,-67.8705847 -45.8839366,-67.8693122 -45.8842458,-67.8672695 -45.88491500000001,-67.867409 -45.8861099,-67.8680742 -45.8863339,-67.8686106 -45.8860875,-67.8688896 -45.8849822,-67.870338 -45.8842577,-67.86589689 -45.88477956,-67.86739830000002 -45.8868567,-67.8667223 -45.8862667,-67.8672802 -45.8848552,-67.86685323 -45.88712476,-67.8674626 -45.88708080000001,-67.866658 -45.886864200000005,-67.8658855 -45.887125600000005,-67.8670657 -45.8886864,-67.86520231 -45.88917465;-67.86520231 -45.88917465,-67.8674626 -45.88708080000001,-67.866658 -45.886864200000005,-67.8658855 -45.887125600000005,-67.8670657 -45.8886864,-67.86685323 -45.88712476,-67.86739830000002 -45.8868567,-67.8667223 -45.8862667,-67.8672802 -45.8848552,-67.86589689 -45.88477956,-67.8672695 -45.88491500000001,-67.867409 -45.8861099,-67.8680742 -45.8863339,-67.8686106 -45.8860875,-67.8688896 -45.8849822,-67.870338 -45.8842577,-67.8693122 -45.8842458,-67.8685462 -45.8831151,-67.869308 -45.8829582,-67.8708422 -45.883018,-67.8705847 -45.8839366,-67.86703039 -45.88312685,-67.8726017 -45.880389,-67.8697157 -45.8828462,-67.8706813 -45.8831001,-67.8686643 -45.8830254,-67.8724445 -45.87988188,-67.8772688 -45.8789101,-67.8749835 -45.8790146,-67.87362100000001 -45.8797765,-67.87684672 -45.87887091,-67.8785026 -45.8788802,-67.8798115 -45.8793806,-67.87875862 -45.87975391,-67.8797901 -45.8776627,-67.8792536 -45.87817810000001,-67.8798115 -45.8793806,-67.87897854 -45.87766371,-67.8836739 -45.8759821,-67.8838027 -45.8758402,-67.883234 -45.875631,-67.8816783 -45.8762734,-67.8803587 -45.8772818,-67.88220216 -45.87628794,-67.8856909 -45.8773042,-67.88382410000001 -45.8758999,-67.8835773 -45.8759821,-67.88515558 -45.87764642,-67.8866458 -45.877476,-67.8866458 -45.8780437,-67.8858411 -45.8780212,-67.8857124 -45.8785142,-67.88533919 -45.87880887,-67.8864312 -45.8790146,-67.8847039 -45.8811657,-67.8828692 -45.8823084,-67.8824294 -45.8835632,-67.881732 -45.8839964,-67.87992186 -45.88445386,-67.881732 -45.8839964,-67.8825152 -45.883593100000006,-67.8827727 -45.8823981,-67.8807878 -45.8819649,-67.8819788 -45.8813674,-67.88159325 -45.88135603;-67.88159325 -45.88135603,-67.881732 -45.8839964,-67.8825152 -45.883593100000006,-67.8827727 -45.8823981,-67.8807878 -45.8819649,-67.8819788 -45.8813674,-67.87992186 -45.88445386,-67.8864312 -45.8790146,-67.8847039 -45.8811657,-67.8828692 -45.8823084,-67.8824294 -45.8835632,-67.881732 -45.8839964,-67.88533919 -45.87880887,-67.8866458 -45.877476,-67.8866458 -45.8780437,-67.8858411 -45.8780212,-67.8857124 -45.8785142,-67.88515558 -45.87764642,-67.8856909 -45.8773042,-67.88382410000001 -45.8758999,-67.8835773 -45.8759821,-67.88220216 -45.87628794,-67.8836739 -45.8759821,-67.8838027 -45.8758402,-67.883234 -45.875631,-67.8816783 -45.8762734,-67.8803587 -45.8772818,-67.87897854 -45.87766371,-67.8803158 -45.8771847,-67.8813779 -45.8760792,-67.8823113 -45.875519,-67.8828478 -45.87486160000001,-67.88196942 -45.87464989,-67.8836632 -45.8741296,-67.884264 -45.8734723,-67.8839421 -45.8733229,-67.8833306 -45.8736515,-67.8822899 -45.87404,-67.8816032 -45.8749737,-67.8808522 -45.875153,-67.8791678 -45.8762809,-67.8782129 -45.8766021,-67.8774083 -45.8765572,-67.87580898 -45.87623664,-67.8772473 -45.875646,-67.87714 -45.874899,-67.8760457 -45.8739578,-67.8750265 -45.8733005,-67.8741574 -45.8732108,-67.8737283 -45.8741819,-67.87226293 -45.87472228,-67.8721726 -45.8748019,-67.868793 -45.8753024,-67.8683639 -45.8750633,-67.8691471 -45.8759522,-67.86877282 -45.87598303,-67.8690398 -45.8759074,-67.8681815 -45.8748691,-67.8664434 -45.8762585,-67.86520975 -45.8764158,-67.8666043 -45.8740773,-67.8655958 -45.8758999,-67.8658319 -45.8761464,-67.86601994 -45.87390747,-67.8686213 -45.87223970000001,-67.8679776 -45.8725012,-67.867173 -45.87342,-67.86803091 -45.87230485,-67.8687286 -45.87223970000001,-67.8671408 -45.8717542,-67.8661752 -45.8712611,-67.8662395 -45.8705888,-67.86552841 -45.87071955,-67.8665292 -45.8704394,-67.8664756 -45.8701107,-67.8674197 -45.8697073,-67.8698659 -45.8700883,-67.8700376 -45.8699389,-67.8700268 -45.8692964,-67.86891343 -45.86940172,-67.8699839 -45.8693413,-67.8700376 -45.8699389,-67.8703916 -45.8701929,-67.8709173 -45.8699239,-67.8707349 -45.8692815,-67.8712177 -45.8686166,-67.8731596 -45.8681236,-67.8729107 -45.86822856,-67.8740609 -45.8679218,-67.8740501 -45.8676828,-67.8730416 -45.867115,-67.8732347 -45.8667639,-67.8746724 -45.8662783,-67.8754556 -45.865591,-67.876035 -45.8638054,-67.8748977 -45.8643134,-67.87319628 -45.86441938,-67.8776658 -45.8646496,-67.876035 -45.8642312,-67.8759491 -45.8638278,-67.8749514 -45.864380600000004,-67.87711554 -45.86436098,-67.87849190000001 -45.8641416,-67.8785133 -45.863499,-67.8778052 -45.8630732,-67.87624464 -45.86324951,-67.8765821 -45.8616835,-67.8769684 -45.861803,-67.877183 -45.8627295,-67.87598229 -45.86175617,-67.8761101 -45.86104100000001,-67.8766465 -45.8610185,-67.8767216 -45.8614071,-67.87444477 -45.86135588,-67.8759491 -45.8590983,-67.8764319 -45.8599501,-67.87655 -45.8609588,-67.8760779 -45.8611231,-67.87446619 -45.85953534,-67.875917 -45.8590236,-67.876507 -45.8586575,-67.8763676 -45.8580597,-67.87463577 -45.85800361,-67.8743291 -45.8564159,-67.8760457 -45.8568941,-67.8756917 -45.8576936,-67.87242565 -45.85686269;-67.87242565 -45.85686269,-67.8743291 -45.8564159,-67.8760457 -45.8568941,-67.8756917 -45.8576936,-67.87463577 -45.85800361,-67.875917 -45.8590236,-67.876507 -45.8586575,-67.8763676 -45.8580597,-67.87446619 -45.85953534,-67.8758311 -45.8590012,-67.8755307 -45.858777,-67.8718829 -45.8588144,-67.8721619 -45.8576637,-67.8733528 -45.857462,-67.8739536 -45.8579028,-67.87227986 -45.85836679,-67.8721619 -45.8576637,-67.8734279 -45.8573798,-67.8740823 -45.8579103,-67.87029294 -45.85782787,-67.8694689 -45.8577534,-67.8703272 -45.8578879,-67.8705525 -45.8574694,-67.8710139 -45.8575441,-67.86752908 -45.85773082,-67.8666365 -45.8577982,-67.8680527 -45.857716,-67.86509618 -45.85797591,-67.8655958 -45.85783560000001,-67.8642118 -45.8570435,-67.86269634 -45.8576934,-67.8630531 -45.8577608,-67.8618944 -45.8580074,-67.86119926 -45.8582863,-67.8617334 -45.8580597,-67.8595233 -45.8583362,-67.85800456 -45.85865306,-67.8602314 -45.85924030000001,-67.8568411 -45.8591506,-67.8585362 -45.8586425,-67.85979998 -45.85959279,-67.8623772 -45.8601145,-67.8619158 -45.8597185,-67.86181930000001 -45.8591954,-67.8608966 -45.8592179,-67.8613425 -45.86055445,-67.8632784 -45.8615042,-67.863096 -45.86128,-67.8622055 -45.8610559,-67.861948 -45.8605105,-67.86252974 -45.86187269;-67.86252974 -45.86187269,-67.8632784 -45.8615042,-67.863096 -45.86128,-67.8622055 -45.8610559,-67.861948 -45.8605105,-67.8613425 -45.86055445,-67.8623772 -45.8601145,-67.8619158 -45.8597185,-67.86181930000001 -45.8591954,-67.8608966 -45.8592179,-67.85979998 -45.85959279;-67.85979998 -45.85959279,-67.8602314 -45.85924030000001,-67.8568411 -45.8591506,-67.8585362 -45.8586425,-67.85800456 -45.85865306,-67.8617334 -45.8580597,-67.8595233 -45.8583362,-67.86119926 -45.8582863,-67.8630531 -45.8577608,-67.8618944 -45.8580074,-67.86269634 -45.8576934,-67.8655958 -45.85783560000001,-67.8642118 -45.8570435,-67.86509618 -45.85797591,-67.8666365 -45.8577982,-67.8680527 -45.857716,-67.86752908 -45.85773082,-67.8694689 -45.8577534,-67.8703272 -45.8578879,-67.8705525 -45.8574694,-67.8710139 -45.8575441,-67.87029294 -45.85782787,-67.8721619 -45.8576637,-67.8734279 -45.8573798,-67.8740823 -45.8579103,-67.87227986 -45.85836679,-67.8758311 -45.8590012,-67.8755307 -45.858777,-67.8718829 -45.8588144,-67.8721619 -45.8576637,-67.8733528 -45.857462,-67.8739536 -45.8579028,-67.87446619 -45.85953534,-67.875917 -45.8590236,-67.8765607 -45.8587098,-67.8784597 -45.8588443,-67.87771797 -45.85914466,-67.8790283 -45.8588293,-67.880466 -45.8587397,-67.8813028 -45.8593598,-67.88077392 -45.85953999,-67.8814316 -45.8592926,-67.8808415 -45.8591357,-67.880863 -45.8587322,-67.8817642 -45.858239,-67.8850043 -45.8580522,-67.88402968 -45.85834964,-67.887429 -45.855564,-67.8882551 -45.8548691,-67.8894138 -45.853808,-67.8920853 -45.8535689,-67.8916454 -45.8538678,-67.8897357 -45.85395,-67.88910 -45.85436,-67.8875685 -45.8562589,-67.885799 -45.8571033,-67.88544 -45.8578281,-67.88523 -45.85794,-67.88581092 -45.85597227,-67.887429 -45.855564,-67.8894138 -45.853808,-67.8932333 -45.8533447,-67.8969455 -45.8545851,-67.8963768 -45.8546599,-67.89483427 -45.85484841,-67.9008508 -45.8548093,-67.8990161 -45.8545403,-67.898823 -45.8538678,-67.8965485 -45.8545553,-67.90022567 -45.85540767,,-67.90067511 -45.8549717,-67.904284 -45.8564084,-67.9033184 -45.8552726,-67.9019022 -45.8551232,-67.90400196 -45.85653031,-67.90773330000002 -45.8580522,-67.9073417 -45.8579177,-67.9068965 -45.8568567,-67.9053408 -45.8563822,-67.90707943 -45.8582017,-67.9102653 -45.8586986,-67.9081625 -45.8581195,-67.90964669 -45.85881191,-67.9112792 -45.8592776,-67.9102921 -45.8588293,-67.9105067 -45.8586425,-67.91058213 -45.85962973,-67.9145408 -45.8594047,-67.9124916 -45.858777,-67.9112792 -45.8592776,-67.91347499 -45.85938782,-67.9153347 -45.8605702,-67.9157317 -45.8599725,-67.9146159 -45.859457,-67.91412974 -45.86109479,-67.9219651 -45.8610335,-67.9157424 -45.8609887,-67.92116295 -45.86077528,-67.9235315 -45.8601219,-67.9222655 -45.8604731,-67.92204432 -45.86025045,-67.9253769 -45.8604208,-67.9236388 -45.8595317,-67.9233384 -45.8597857,-67.92472033 -45.86078317,-67.9288423 -45.860757,-67.9286063 -45.8609812,-67.9269433 -45.8608168,-67.9254305 -45.8610559,-67.9256237 -45.8606898,-67.92827234 -45.86082887,-67.9307091 -45.86097370000001,-67.9287457 -45.8609588,-67.9288423 -45.860757,-67.92973166 -45.86112334,-67.9343569 -45.8614145,-67.9335523 -45.861549,-67.9334021 -45.8611381,-67.9309666 -45.8609214,-67.93332777 -45.86169272,-67.9375219 -45.8620421,-67.9357517 -45.861085800000005,-67.9346144 -45.8614519,-67.93652197 -45.86222667,-67.9388309 -45.8607794,-67.938112 -45.8611007,-67.9377472 -45.860899,-67.9362881 -45.8614743,-67.9374897 -45.8619749,-67.93809539 -45.86091501,-67.9389811 -45.8623559,-67.9389596 -45.8618329,-67.9381979 -45.8610783,-67.9390669 -45.8607794,-67.93749455 -45.86270022,-67.9407942 -45.8630844,-67.9403758 -45.8621878,-67.9386914 -45.8624792,-67.94016816 -45.86304785,-67.9412395 -45.8636896,-67.94085860000001 -45.8628677,-67.94026881 -45.86394522,-67.9413575 -45.8643508,-67.94191 -45.8638801,-67.9413092 -45.8637717,-67.9397787 -45.86446671,-67.939437 -45.8659907,-67.9410034 -45.8642985,-67.93820898 -45.86621382,,-67.93822649 -45.86645361,-67.9383588 -45.8674437,-67.9380101 -45.8666929,-67.9392922 -45.8661064,-67.9400271 -45.8665472</t>
  </si>
  <si>
    <t>-67.9400271 -45.8665472,-67.9452038 -45.8642219,-67.9464403 -45.8647635,-67.9454304 -45.86503525,,-67.94551194 -45.86495899,-67.949152 -45.8670029,-67.9489589 -45.866338,-67.9464805 -45.8656358,-67.946502 -45.8652099,-67.94827454 -45.86749255,-67.9513514 -45.867951700000006,-67.9506004 -45.8681534,-67.9493558 -45.8665622,-67.9490876 -45.8664576,-67.9492164 -45.8668461,-67.95075242 -45.86791677,-67.9511476 -45.8693039,-67.95089010000001 -45.8697222,-67.9506433 -45.8681011,-67.9512978 -45.867892,-67.95011093 -45.86936834,-67.9526013 -45.869965,-67.9517484 -45.8700734,-67.9508901 -45.8697222,-67.9511476 -45.8693039,-67.95188123 -45.87007275,-67.9518449 -45.870925,-67.9516733 -45.8706037,-67.9509866 -45.870275,-67.95089010000001 -45.8697222,-67.9517484 -45.8700734,-67.9526281 -45.8699912,-67.95082673 -45.87123588,-67.9510081 -45.87218,-67.9515123 -45.8715599,-67.9518449 -45.870925,-67.94974928 -45.87213834,-67.9508579 -45.8736739,-67.9509115 -45.8721426,-67.94983615 -45.87396079,-67.9521346 -45.8759746,-67.951448 -45.8759597,-67.9509008 -45.8738383,-67.95155064 -45.87647635,-67.9521346 -45.8759746,-67.9517162 -45.8759074,-67.9513943 -45.8758999,-67.9525959 -45.87702780000001,-67.95337920000001 -45.8774162,-67.95259842 -45.87763583,-67.9538298 -45.8776104,-67.9575419 -45.8788205,-67.9596341 -45.8789624,-67.9602242 -45.8794852,-67.95937836 -45.87978501,-67.967391 -45.8796271,-67.9660606 -45.879657,-67.9619408 -45.879179,-67.959795 -45.8789997,-67.9602242 -45.8794852,-67.96661757 -45.87943084,-67.9708028 -45.8792686,-67.9686999 -45.8795524,-67.9682064 -45.8792238,-67.96993071 -45.87922522,-67.9739785 -45.8781632,-67.9745579 -45.8782677,-67.9740644 -45.8788802,-67.9710174 -45.8792537,-67.97210325 -45.8786421,-67.9764569 -45.8790072,-67.9757595 -45.8787084,-67.9755771 -45.8785142,-67.9742253 -45.8787756,-67.974236 -45.878222900000004,-67.9757414 -45.87911165,-67.9764569 -45.8790072,-67.9757595 -45.8787084,-67.9756951 -45.8784321,-67.9790318 -45.877588,-67.9792678 -45.8765199,-67.9792786 -45.8747272,-67.9798257 -45.8760045,-67.9801154 -45.8760643,-67.97932522 -45.87631183,-67.9801047 -45.8737412,-67.9795146 -45.8726879,-67.9791605 -45.8735694,-67.9792249 -45.8748467,-67.9793966 -45.8748467,-67.9797721 -45.8758476,-67.9800725 -45.876012,-67.97905112 -45.87422359;-67.97905112 -45.87422359,-67.9800725 -45.873800900000006,-67.9795146 -45.8726879,-67.9796112 -45.8723816,-67.9792464 -45.872165,-67.9787529 -45.8722173,-67.9783773 -45.8729942,-67.9778409 -45.873195900000006,-67.9771113 -45.8730315,-67.97564136 -45.8729339,-67.977519 -45.8745479,-67.9775083 -45.8737262,-67.9769719 -45.8730166,-67.97664473 -45.87540708,,-67.97634703 -45.87537427;-67.97634703 -45.87537427,,-67.97664473 -45.87540708,-67.977519 -45.8745479,-67.9775083 -45.8737262,-67.9769719 -45.8730166,-67.97564136 -45.8729339,-67.9800725 -45.873800900000006,-67.9795146 -45.8726879,-67.9796112 -45.8723816,-67.9792464 -45.872165,-67.9787529 -45.8722173,-67.9783773 -45.8729942,-67.9778409 -45.873195900000006,-67.9771113 -45.8730315,-67.97905112 -45.87422359,-67.9799759 -45.8737337,-67.9795146 -45.8726879,-67.9809093 -45.8709474,-67.980845 -45.8716421,-67.97987219 -45.87199291,-67.9807377 -45.8716645,-67.9809952 -45.8709175,-67.9819071 -45.8698567,-67.9830122 -45.8690947,-67.9832804 -45.8686614,-67.9840744 -45.8683402,-67.98364252 -45.86827111,-67.9875398 -45.8692665,-67.988205 -45.8691993,-67.9883659 -45.8686465,-67.9866493 -45.8686017,-67.9853296 -45.8685195,-67.9839349 -45.868766,-67.9830122 -45.8690947,-67.9832804 -45.8686614,-67.9841065 -45.8682057,-67.98595749 -45.86942688,,-67.98621539 -45.86906201,-67.9901361 -45.8674661,-67.9900289 -45.8678098,-67.9882801 -45.8686838,-67.9882801 -45.8691246,-67.9875398 -45.8692665,-67.98895281 -45.86742251,-67.9929042 -45.8670777,-67.9928398 -45.8661064,-67.9924321 -45.8655835,-67.9918849 -45.8652398,-67.9909408 -45.867115,-67.9902434 -45.8675334,-67.99174523 -45.8677107,-67.9914558 -45.8692516,-67.9914558 -45.8690499,-67.9925716 -45.8679293,-67.99024475 -45.86974641,-67.9910052 -45.8707457,-67.9910266 -45.8705664,-67.99163820000001 -45.8700883,-67.9915524 -45.8697073,-67.9900866 -45.8710699,-67.9903615 -45.8718289,-67.9906189 -45.8717616,-67.9914665 -45.8719409,-67.9915845 -45.8711565,-67.9914451 -45.871037,-67.98943394 -45.8722328,-67.9905438 -45.871724300000004,-67.989943 -45.8713209,-67.9886019 -45.8709623,-67.9877007 -45.87093990000001,-67.9877007 -45.8708577,-67.9868367 -45.87077375;-67.9868367 -45.87077375,-67.9905438 -45.871724300000004,-67.989943 -45.8713209,-67.9886019 -45.8709623,-67.9877007 -45.87093990000001,-67.9877007 -45.8708577,-67.98943394 -45.8722328,-67.9903615 -45.8718289,-67.9906189 -45.8717616,-67.9914665 -45.8719409,-67.9915845 -45.8711565,-67.9914451 -45.871037,-67.9900866 -45.8710699,-67.9930758 -45.87218,-67.992754 -45.8724788,-67.9914343 -45.8718886,-67.9915845 -45.8711565,-67.9912734 -45.8710071,-67.99156523 -45.87210921,-67.9929739 -45.8721949,-67.9927379 -45.872546,-67.993784 -45.8729494,-67.9957634 -45.8725273,-67.9964232 -45.8722024,-67.99553288 -45.87226112,-67.9971957 -45.8714031,-67.9989982 -45.8712611,-67.9998028 -45.8710071,-67.99921407 -45.87121751,,-67.99960904 -45.87080973,-68.0035579 -45.8703423,-68.0025816 -45.8706859,-68.0014014 -45.8705066,-68.00284674 -45.87040916,-68.0041587 -45.8700285,-68.0051243 -45.8686091,-68.00449906 -45.86852742,-68.0070448 -45.8686241,-68.0060685 -45.868385,-68.00620422 -45.86892139,-68.0070448 -45.8686241,-68.0067122 -45.8683028,-68.0066907 -45.8679293,-68.0047274 -45.8681086,-68.0029786 -45.8686316,-68.0021524 -45.8685344,-68.0022383 -45.8682132,-68.00126819 -45.86832361,,-68.00080119 -45.86808139,-67.9980218 -45.8692665,-68.0000389 -45.8684074,-68.0017662 -45.8680339,-67.99627751 -45.86960923,-67.9969811 -45.8694981,-67.9958439 -45.8695654,-67.99512510000001 -45.8693413,-67.99505 -45.8690499,-67.99439359 -45.86914058,-67.99505 -45.8690499,-67.9947495 -45.8687287,-67.9952323 -45.8676529,-67.99437986 -45.8677879,-67.9954576 -45.8672868,-67.9960907 -45.8666518,-67.9968202 -45.8663306,-67.99554948 -45.86642106,-67.9970026 -45.8663754,-68.0035257 -45.8657777,-68.003397 -45.8661662,-68.00288598 -45.86648631;-68.00288598 -45.86648631,-67.9970026 -45.8663754,-68.0035257 -45.8657777,-68.003397 -45.8661662,-67.99554948 -45.86642106,-67.9954576 -45.8672868,-67.9960907 -45.8666518,-67.9968202 -45.8663306,-67.99437986 -45.8677879,-67.99505 -45.8690499,-67.9947495 -45.8687287,-67.9952323 -45.8676529,-67.99439359 -45.86914058,-67.9969811 -45.8694981,-67.9958439 -45.8695654,-67.99512510000001 -45.8693413,-67.99505 -45.8690499,-67.99627751 -45.86960923,-67.9980218 -45.8692665,-68.0000389 -45.8684074,-68.0017662 -45.8680339,-68.00080119 -45.86808139,,-68.00126819 -45.86832361,-68.0070448 -45.8686241,-68.0067122 -45.8683028,-68.0066907 -45.8679293,-68.0047274 -45.8681086,-68.0029786 -45.8686316,-68.0021524 -45.8685344,-68.0022383 -45.8682132,-68.00620422 -45.86892139,-68.0070448 -45.8686241,-68.0060685 -45.868385,-68.00449906 -45.86852742,-68.0041587 -45.8700285,-68.0051243 -45.8686091,-68.00284674 -45.87040916,-68.0035579 -45.8703423,-68.0025816 -45.8706859,-68.0014014 -45.8705066,-67.99960904 -45.87080973,,-67.99921407 -45.87121751,-67.9971957 -45.8714031,-67.9989982 -45.8712611,-67.9998028 -45.8710071,-67.99553288 -45.87226112,-67.9929739 -45.8721949,-67.9927379 -45.872546,-67.993784 -45.8729494,-67.9957634 -45.8725273,-67.9964232 -45.8722024,-67.99156523 -45.87210921,-67.9930758 -45.87218,-67.992754 -45.8724788,-67.9914343 -45.8718886,-67.9915845 -45.8711565,-67.9912734 -45.8710071,-67.9900866 -45.8710699,-67.9910052 -45.8707457,-67.9910266 -45.8705664,-67.99163820000001 -45.8700883,-67.9915524 -45.8697073,-67.99024475 -45.86974641;-67.99024475 -45.86974641,-67.9914558 -45.8692516,-67.9914558 -45.8690499,-67.9925716 -45.8679293,-67.99174523 -45.8677107,-67.9929042 -45.8670777,-67.9928398 -45.8661064,-67.9924321 -45.8655835,-67.9918849 -45.8652398,-67.9909408 -45.867115,-67.9902434 -45.8675334,-67.98895281 -45.86742251,-67.9901361 -45.8674661,-67.9900289 -45.8678098,-67.9882801 -45.8686838,-67.9882801 -45.8691246,-67.9875398 -45.8692665,-67.98621539 -45.86906201,,-67.98595749 -45.86942688,-67.9875398 -45.8692665,-67.988205 -45.8691993,-67.9883659 -45.8686465,-67.9866493 -45.8686017,-67.9853296 -45.8685195,-67.9839349 -45.868766,-67.9830122 -45.8690947,-67.9832804 -45.8686614,-67.9841065 -45.8682057,-67.98364252 -45.86827111,-67.9807377 -45.8716645,-67.9809952 -45.8709175,-67.9819071 -45.8698567,-67.9830122 -45.8690947,-67.9832804 -45.8686614,-67.9840744 -45.8683402,-67.97987219 -45.87199291,-67.9799759 -45.8737337,-67.9795146 -45.8726879,-67.9809093 -45.8709474,-67.980845 -45.8716421,-67.97905112 -45.87422359,-67.9801047 -45.8737412,-67.9795146 -45.8726879,-67.9791605 -45.8735694,-67.9792249 -45.8748467,-67.9793966 -45.8748467,-67.9797721 -45.8758476,-67.9800725 -45.876012,-67.97932522 -45.87631183,-67.9801154 -45.8760643,-67.9798043 -45.8759522,-67.979418 -45.8747869,-67.9791927 -45.874772,-67.9793322 -45.8767141,-67.9789352 -45.8795823,-67.97764389 -45.88001208,-67.9836452 -45.880628,-67.9827011 -45.8809865,-67.9772079 -45.8809641,-67.9786885 -45.8806504,-67.9790211 -45.8800977,-67.98281025 -45.88038134,-67.9814887 -45.8817558,-67.9819179 -45.8816512,-67.9821432 -45.8813076,-67.9828405 -45.8810462,-67.9829264 -45.8808968,-67.9836452 -45.880628,-67.98000949 -45.88192468,-67.9813814 -45.881808,-67.9819071 -45.8817483,-67.9820681 -45.881345,-67.981478 -45.8815466,-67.980212 -45.881345,-67.9783578 -45.88149778;-67.9783578 -45.88149778,-67.9813814 -45.881808,-67.9819071 -45.8817483,-67.9820681 -45.881345,-67.981478 -45.8815466,-67.980212 -45.881345,-67.98000949 -45.88192468,-67.9814887 -45.8817558,-67.9819179 -45.8816512,-67.9821432 -45.8813076,-67.9828405 -45.8810462,-67.9829264 -45.8808968,-67.9836452 -45.880628,-67.98281025 -45.88038134,-67.9836452 -45.880628,-67.9827011 -45.8809865,-67.9772079 -45.8809641,-67.9786885 -45.8806504,-67.9790211 -45.8800977,-67.97764389 -45.88001208,-67.9789352 -45.8795823,-67.9791069 -45.8776627,-67.9756737 -45.8784769,-67.9758239 -45.8787234,-67.9765105 -45.8789474,-67.9757414 -45.87911165,-67.9764569 -45.8790072,-67.9757595 -45.8787084,-67.9755771 -45.8785142,-67.9742253 -45.8787756,-67.974236 -45.878222900000004,-67.97210325 -45.8786421,-67.9739785 -45.8781632,-67.9745579 -45.8782677,-67.9740644 -45.8788802,-67.9710174 -45.8792537,-67.96993071 -45.87922522,-67.9708028 -45.8792686,-67.9686999 -45.8795524,-67.9682064 -45.8792238,-67.96661757 -45.87943084,-67.967391 -45.8796271,-67.9660606 -45.879657,-67.9619408 -45.879179,-67.959795 -45.8789997,-67.9602242 -45.8794852,-67.95937836 -45.87978501,-67.9538298 -45.8776104,-67.9575419 -45.8788205,-67.9596341 -45.8789624,-67.9602242 -45.8794852,-67.95259842 -45.87763583,-67.9521346 -45.8759746,-67.9517162 -45.8759074,-67.9513943 -45.8758999,-67.9525959 -45.87702780000001,-67.95337920000001 -45.8774162,-67.95155064 -45.87647635,-67.9521346 -45.8759746,-67.951448 -45.8759597,-67.9509008 -45.8738383,-67.94983615 -45.87396079,-67.9508579 -45.8736739,-67.9509115 -45.8721426,-67.94974928 -45.87213834,-67.9510081 -45.87218,-67.9515123 -45.8715599,-67.9518449 -45.870925,-67.95082673 -45.87123588,-67.9518449 -45.870925,-67.9516733 -45.8706037,-67.9509866 -45.870275,-67.95089010000001 -45.8697222,-67.9517484 -45.8700734,-67.9526281 -45.8699912,-67.95188123 -45.87007275,-67.9526013 -45.869965,-67.9517484 -45.8700734,-67.9508901 -45.8697222,-67.9511476 -45.8693039,-67.95011093 -45.86936834,-67.9511476 -45.8693039,-67.95089010000001 -45.8697222,-67.9506433 -45.8681011,-67.9512978 -45.867892,-67.95075242 -45.86791677,-67.9513514 -45.867951700000006,-67.9506004 -45.8681534,-67.9493558 -45.8665622,-67.9490876 -45.8664576,-67.9492164 -45.8668461,-67.94827454 -45.86749255,-67.949152 -45.8670029,-67.9489589 -45.866338,-67.9464805 -45.8656358,-67.946502 -45.8652099,-67.94551194 -45.86495899,,-67.9454304 -45.86503525,-67.9452038 -45.8642219,-67.9464403 -45.8647635,-67.9400271 -45.8665472</t>
  </si>
  <si>
    <t>-67.9400271 -45.8665472,-67.9452038 -45.8642219,-67.9464403 -45.8647635,-67.9454304 -45.86503525,,-67.94551194 -45.86495899,-67.949152 -45.8670029,-67.9489589 -45.866338,-67.9464805 -45.8656358,-67.946502 -45.8652099,-67.94827454 -45.86749255,-67.9513514 -45.867951700000006,-67.9506004 -45.8681534,-67.9493558 -45.8665622,-67.9490876 -45.8664576,-67.9492164 -45.8668461,-67.95075242 -45.86791677,-67.9511476 -45.8693039,-67.95089010000001 -45.8697222,-67.9506433 -45.8681011,-67.9512978 -45.867892,-67.95011093 -45.86936834,-67.9526013 -45.869965,-67.9517484 -45.8700734,-67.9508901 -45.8697222,-67.9511476 -45.8693039,-67.95188123 -45.87007275,-67.9518449 -45.870925,-67.9516733 -45.8706037,-67.9509866 -45.870275,-67.95089010000001 -45.8697222,-67.9517484 -45.8700734,-67.9526281 -45.8699912,-67.95082673 -45.87123588,-67.9510081 -45.87218,-67.9515123 -45.8715599,-67.9518449 -45.870925,-67.94974928 -45.87213834,-67.9508579 -45.8736739,-67.9509115 -45.8721426,-67.94983615 -45.87396079,-67.9521346 -45.8759746,-67.951448 -45.8759597,-67.9509008 -45.8738383,-67.95155064 -45.87647635,-67.9521346 -45.8759746,-67.9517162 -45.8759074,-67.9513943 -45.8758999,-67.9525959 -45.87702780000001,-67.95337920000001 -45.8774162,-67.95259842 -45.87763583,-67.9538298 -45.8776104,-67.9575419 -45.8788205,-67.9596341 -45.8789624,-67.9602242 -45.8794852,-67.95937836 -45.87978501,-67.967391 -45.8796271,-67.9660606 -45.879657,-67.9619408 -45.879179,-67.959795 -45.8789997,-67.9602242 -45.8794852,-67.96661757 -45.87943084,-67.9708028 -45.8792686,-67.9686999 -45.8795524,-67.9682064 -45.8792238,-67.96993071 -45.87922522,-67.9739785 -45.8781632,-67.9745579 -45.8782677,-67.9740644 -45.8788802,-67.9710174 -45.8792537,-67.97210325 -45.8786421,-67.9764569 -45.8790072,-67.9757595 -45.8787084,-67.9755771 -45.8785142,-67.9742253 -45.8787756,-67.974236 -45.878222900000004,-67.9757414 -45.87911165,-67.9789352 -45.8795823,-67.9791069 -45.8776627,-67.9756737 -45.8784769,-67.9758239 -45.8787234,-67.9765105 -45.8789474,-67.97764389 -45.88001208,-67.9789352 -45.8795823,-67.9789889 -45.8790669,-67.9799759 -45.8791491,-67.97934342 -45.87920812,-67.9797721 -45.879179,-67.9789889 -45.8790669,-67.9792571 -45.8776403,-67.9831409 -45.876744,-67.9844499 -45.8766842,-67.9838705 -45.8772892,-67.98257485 -45.87765379,-67.9838705 -45.8772892,-67.9842675 -45.8766469,-67.9854584 -45.876617,-67.9846001 -45.8763854,-67.98281428 -45.87644776,-67.9865313 -45.8763033,-67.9853833 -45.8764975,-67.98469660000002 -45.8764303,-67.98563419 -45.87640922,-67.9896748 -45.8771548,-67.9892349 -45.8767216,-67.985158 -45.8765946,-67.9863167 -45.8762734,-67.98904006 -45.87741924,-67.9909623 -45.8768411,-67.9909086 -45.8766394,-67.9893529 -45.876729,-67.9896641 -45.8770726,-67.98995293 -45.87688436,-67.9932904 -45.8760792,-67.9926252 -45.8763556,-67.9912949 -45.8766319,-67.99230343 -45.87612978,-67.9940093 -45.875758,-67.9942882 -45.875646,-67.9944921 -45.8759223,-67.9952216 -45.8756385,-67.9962945 -45.874899,-67.99575168 -45.87505796,-67.9970562 -45.8749065,-67.998054 -45.8746002,-67.9989874 -45.8742865,-67.9998994 -45.8736889,-67.99900055 -45.87377745,-68.0009079 -45.8733901,-68.0017447 -45.8731436,-68.0013478 -45.8728149,-68.0005753 -45.8728074,-67.9998672 -45.8727327,-67.9986441 -45.8728074,-67.99707801 -45.87306235,-67.9984939 -45.8727327,-67.9986763 -45.8725609,-67.9987407 -45.872292,-67.99743076 -45.87213204,-68.0036652 -45.8703498,-68.0024529 -45.8706934,-68.0012727 -45.8709175,-68.0001891 -45.8713881,-67.9995775 -45.8718363,-68.00284674 -45.87040916,-68.0041587 -45.8700285,-68.0051243 -45.8686091,-68.00449906 -45.86852742,-68.0070448 -45.8686241,-68.0060685 -45.868385,-68.00620422 -45.86892139,-68.0070448 -45.8686241,-68.0067122 -45.8683028,-68.0066907 -45.8679293,-68.0047274 -45.8681086,-68.0029786 -45.8686316,-68.0021524 -45.8685344,-68.0022383 -45.8682132,-68.00126819 -45.86832361,,-68.00080119 -45.86808139,-67.9980218 -45.8692665,-68.0000389 -45.8684074,-68.0017662 -45.8680339,-67.99627751 -45.86960923,-67.9969811 -45.8694981,-67.9958439 -45.8695654,-67.99512510000001 -45.8693413,-67.99505 -45.8690499,-67.99439359 -45.86914058,-67.99505 -45.8690499,-67.9947495 -45.8687287,-67.9952323 -45.8676529,-67.99437986 -45.8677879,-67.9954576 -45.8672868,-67.9960907 -45.8666518,-67.9968202 -45.8663306,-67.99554948 -45.86642106,-67.9970026 -45.8663754,-68.0035257 -45.8657777,-68.003397 -45.8661662,-68.00288598 -45.86648631,-68.0048561 -45.8661961,-68.0066156 -45.864941,-68.00601835 -45.8652672,-68.0066907 -45.8648887,-68.0076134 -45.8646197,-68.0077314 -45.8640818,-68.0066907 -45.862595,-68.0065084 -45.8626847,-68.00524993 -45.86266209,-68.0066907 -45.862595,-68.0062294 -45.8616088,-68.0054569 -45.8608467,-68.004663 -45.8610185,-68.00290781 -45.86119572,-68.0032039 -45.861564,-68.0037832 -45.8611157,-68.0040193 -45.8610858,-68.00170055 -45.8618692,-68.0024529 -45.8617881,-68.0025601 -45.862341,-68.0002105 -45.8608467,-68.0004787 -45.8601219,-67.99931829 -45.86009184,-67.9994917 -45.8615789,-68.0002105 -45.8608467,-68.0004895 -45.8600099,-67.99771431 -45.86216142;-67.99771431 -45.86216142,-67.9994917 -45.8615789,-68.0002105 -45.8608467,-68.0004895 -45.8600099,-67.99931829 -45.86009184,-68.0024529 -45.8617881,-68.0025601 -45.862341,-68.0002105 -45.8608467,-68.0004787 -45.8601219,-68.00170055 -45.8618692,-68.0032039 -45.861564,-68.0037832 -45.8611157,-68.0040193 -45.8610858,-68.00290781 -45.86119572,-68.0066907 -45.862595,-68.0062294 -45.8616088,-68.0054569 -45.8608467,-68.004663 -45.8610185,-68.00524993 -45.86266209,-68.0066907 -45.8648887,-68.0076134 -45.8646197,-68.0077314 -45.8640818,-68.0066907 -45.862595,-68.0065084 -45.8626847,-68.00601835 -45.8652672,-68.0048561 -45.8661961,-68.0066156 -45.864941,-68.00288598 -45.86648631,-67.9970026 -45.8663754,-68.0035257 -45.8657777,-68.003397 -45.8661662,-67.99554948 -45.86642106,-67.9954576 -45.8672868,-67.9960907 -45.8666518,-67.9968202 -45.8663306,-67.99437986 -45.8677879,-67.99505 -45.8690499,-67.9947495 -45.8687287,-67.9952323 -45.8676529,-67.99439359 -45.86914058,-67.9969811 -45.8694981,-67.9958439 -45.8695654,-67.99512510000001 -45.8693413,-67.99505 -45.8690499,-67.99627751 -45.86960923,-67.9980218 -45.8692665,-68.0000389 -45.8684074,-68.0017662 -45.8680339,-68.00080119 -45.86808139,,-68.00126819 -45.86832361,-68.0070448 -45.8686241,-68.0067122 -45.8683028,-68.0066907 -45.8679293,-68.0047274 -45.8681086,-68.0029786 -45.8686316,-68.0021524 -45.8685344,-68.0022383 -45.8682132,-68.00620422 -45.86892139,-68.0070448 -45.8686241,-68.0060685 -45.868385,-68.00449906 -45.86852742,-68.0041587 -45.8700285,-68.0051243 -45.8686091,-68.00284674 -45.87040916,-68.0036652 -45.8703498,-68.0024529 -45.8706934,-68.0012727 -45.8709175,-68.0001891 -45.8713881,-67.9995775 -45.8718363,-67.99743076 -45.87213204,-67.9984939 -45.8727327,-67.9986763 -45.8725609,-67.9987407 -45.872292,-67.99707801 -45.87306235,-68.0009079 -45.8733901,-68.0017447 -45.8731436,-68.0013478 -45.8728149,-68.0005753 -45.8728074,-67.9998672 -45.8727327,-67.9986441 -45.8728074,-67.99900055 -45.87377745,-67.9970562 -45.8749065,-67.998054 -45.8746002,-67.9989874 -45.8742865,-67.9998994 -45.8736889,-67.99575168 -45.87505796,-67.9940093 -45.875758,-67.9942882 -45.875646,-67.9944921 -45.8759223,-67.9952216 -45.8756385,-67.9962945 -45.874899,-67.99230343 -45.87612978,-67.9932904 -45.8760792,-67.9926252 -45.8763556,-67.9912949 -45.8766319,-67.98995293 -45.87688436,-67.9909623 -45.8768411,-67.9909086 -45.8766394,-67.9893529 -45.876729,-67.9896641 -45.8770726,-67.98904006 -45.87741924,-67.9896748 -45.8771548,-67.9892349 -45.8767216,-67.985158 -45.8765946,-67.9863167 -45.8762734,-67.98563419 -45.87640922,-67.9865313 -45.8763033,-67.9853833 -45.8764975,-67.98469660000002 -45.8764303,-67.98281428 -45.87644776,-67.9838705 -45.8772892,-67.9842675 -45.8766469,-67.9854584 -45.876617,-67.9846001 -45.8763854,-67.98257485 -45.87765379,-67.9797721 -45.879179,-67.9789889 -45.8790669,-67.9792571 -45.8776403,-67.9831409 -45.876744,-67.9844499 -45.8766842,-67.9838705 -45.8772892,-67.97934342 -45.87920812,-67.9789352 -45.8795823,-67.9789889 -45.8790669,-67.9799759 -45.8791491,-67.97764389 -45.88001208,-67.9789352 -45.8795823,-67.9791069 -45.8776627,-67.9756737 -45.8784769,-67.9758239 -45.8787234,-67.9765105 -45.8789474,-67.9757414 -45.87911165,-67.9764569 -45.8790072,-67.9757595 -45.8787084,-67.9755771 -45.8785142,-67.9742253 -45.8787756,-67.974236 -45.878222900000004,-67.97210325 -45.8786421,-67.9739785 -45.8781632,-67.9745579 -45.8782677,-67.9740644 -45.8788802,-67.9710174 -45.8792537,-67.96993071 -45.87922522,-67.9708028 -45.8792686,-67.9686999 -45.8795524,-67.9682064 -45.8792238,-67.96661757 -45.87943084,-67.967391 -45.8796271,-67.9660606 -45.879657,-67.9619408 -45.879179,-67.959795 -45.8789997,-67.9602242 -45.8794852,-67.95937836 -45.87978501,-67.9538298 -45.8776104,-67.9575419 -45.8788205,-67.9596341 -45.8789624,-67.9602242 -45.8794852,-67.95259842 -45.87763583,-67.9534543 -45.8773565,-67.9526925 -45.87711,-67.9530144 -45.8775731,-67.9524779 -45.878813,-67.9512334 -45.8789325,-67.94944114 -45.87896309,-67.9512119 -45.8788877,-67.952435 -45.8787607,-67.9518127 -45.8800454,-67.9474354 -45.8786785,-67.9441524 -45.8779764,-67.9427791 -45.8776328,-67.940805 -45.8776926,-67.93921257 -45.87804782,,-67.93938002 -45.87863178,-67.9433799 -45.8793582,-67.9425859 -45.8792462,-67.9414809 -45.8788951,-67.9399574 -45.8788802,-67.9395819 -45.8785889,-67.9398179 -45.8784246,-67.94258106 -45.87928487,-67.9468131 -45.8799931,-67.9464698 -45.8794927,-67.9443026 -45.8791491,-67.9459034 -45.88040255,-67.9472744 -45.8827118,-67.9475963 -45.8819051,-67.9476392 -45.8807475,-67.9472208 -45.8805159,-67.94607409 -45.88311995,-67.9472744 -45.8852212,-67.9470921 -45.8844967,-67.9472423 -45.883959,-67.9472315 -45.8831823,-67.94628753 -45.88560005,-67.9487872 -45.8868418,-67.9495382 -45.8874766,-67.9496884 -45.88726,-67.9485726 -45.886095,-67.9476714 -45.8855871,-67.94746568 -45.88694764,-67.948755 -45.886894,-67.9494202 -45.887484,-67.9503751 -45.8875587,-67.9509008 -45.8873571,-67.9508793 -45.8868716,-67.94972726 -45.88693813,-67.951051 -45.8868418,-67.9516089 -45.886207,-67.952832 -45.8866028,-67.95178221 -45.88666191,-67.957381 -45.8868268,-67.9566729 -45.8866327,-67.953701 -45.8868791,-67.9533148 -45.8869911,-67.9529393 -45.8866103,-67.95650174 -45.8868325,-67.9573059 -45.8868268,-67.956748 -45.8864908,-67.9563725 -45.8857215,-67.9556644 -45.8849971,-67.9546167 -45.88506443,-67.960428 -45.8852436,-67.9597843 -45.8853855,-67.9578102 -45.8852959,-67.9558897 -45.8849448,-67.95958113 -45.88533853,-67.9643977 -45.8867746,-67.9641402 -45.8867895,-67.9629064 -45.8855274,-67.9625845 -45.8842055,-67.9620588 -45.8840412,-67.9608893 -45.8848926,-67.96291589 -45.88644251,-67.9642582 -45.8866849,-67.9660714 -45.8869613,-67.9663503 -45.8865505,-67.9662859 -45.88549,-67.9665112 -45.8837798,-67.9671657 -45.8837275,-67.9670477 -45.8843548,-67.96615149 -45.88487087,-67.9689896 -45.8855572,-67.9684317 -45.8850942,-67.9680133 -45.8843399,-67.9672301 -45.8837872,-67.9670477 -45.8843548,-67.96828667 -45.88589528,-67.9702342 -45.8858709,-67.9697192 -45.8860352,-67.9691613 -45.8857589,-67.96952973 -45.8860392,-67.9752874 -45.8886341,-67.9738069 -45.8884922,-67.9698479 -45.8860651,-67.9702234 -45.8859307,-67.97417558 -45.88870119,-67.9753625 -45.8886192,-67.9764462 -45.8884623,-67.9771543 -45.8881561,-67.9769289 -45.888649,-67.97595558 -45.88889979,-67.9770148 -45.8886117,-67.9772186 -45.8879396,-67.9777443 -45.8870285,-67.97698555 -45.88678202,-67.98136 -45.8871704,-67.9796433 -45.8867148,-67.9789674 -45.8862518,-67.9784203 -45.8865057,-67.98086798 -45.88739413;-67.98086798 -45.88739413,-67.98136 -45.8871704,-67.9796433 -45.8867148,-67.9789674 -45.8862518,-67.9784203 -45.8865057,-67.97698555 -45.88678202,-67.9770148 -45.8886117,-67.9772186 -45.8879396,-67.9777443 -45.8870285,-67.97595558 -45.88889979,-67.9753625 -45.8886192,-67.9764462 -45.8884623,-67.9771543 -45.8881561,-67.9769289 -45.888649,-67.97417558 -45.88870119,-67.9752123 -45.8886192,-67.9738176 -45.8885743,-67.972852 -45.8880068,-67.9716182 -45.8889776,-67.9710495 -45.8890672,-67.96941864 -45.88923867,-67.9726589 -45.8893435,-67.9721224 -45.889478,-67.9718435 -45.8887909,-67.9712427 -45.8890149,-67.97210028 -45.88946166;-67.97210028 -45.88946166,-67.9726589 -45.8893435,-67.9721224 -45.889478,-67.9718435 -45.8887909,-67.9712427 -45.8890149,-67.96941864 -45.88923867,-67.9752123 -45.8886192,-67.9738176 -45.8885743,-67.972852 -45.8880068,-67.9716182 -45.8889776,-67.9710495 -45.8890672,-67.97417558 -45.88870119,-67.9752874 -45.8886341,-67.9738069 -45.8884922,-67.9698479 -45.8860651,-67.9702234 -45.8859307,-67.96952973 -45.8860392,-67.9702342 -45.8858709,-67.9697192 -45.8860352,-67.9691613 -45.8857589,-67.96828667 -45.88589528,-67.9689896 -45.8855572,-67.9684317 -45.8850942,-67.9680133 -45.8843399,-67.9672301 -45.8837872,-67.9670477 -45.8843548,-67.96615149 -45.88487087,-67.9642582 -45.8866849,-67.9660714 -45.8869613,-67.9663503 -45.8865505,-67.9662859 -45.88549,-67.9665112 -45.8837798,-67.9671657 -45.8837275,-67.9670477 -45.8843548,-67.96291589 -45.88644251,-67.9577458 -45.889687,-67.9589152 -45.8901575,-67.9578638 -45.8892315,-67.9582071 -45.8887536,-67.9595053 -45.8884474,-67.9607284 -45.889,-67.9613507 -45.8890224,-67.9625523 -45.8881561,-67.9630458 -45.8861696,-67.9629171 -45.8856469,-67.9631639 -45.8856543,-67.96399 -45.8867447,-67.9643333 -45.8867223,-67.95602222 -45.88970885,-67.9555678 -45.8902546,-67.9566729 -45.8896124,-67.95416096 -45.89058835,-67.9546666 -45.8908595,-67.9532504 -45.8922185,-67.9515231 -45.8917406,-67.95045121 -45.89176951;-67.95045121 -45.89176951,-67.9546666 -45.8908595,-67.9532504 -45.8922185,-67.9515231 -45.8917406,-67.95416096 -45.89058835,-67.9555678 -45.8902546,-67.9566729 -45.8896124,-67.95602222 -45.88970885,-67.9576063 -45.8896124,-67.9577136 -45.888888,-67.9572308 -45.8876483,-67.9565012 -45.8869986,-67.95495587 -45.8875866,-67.9563618 -45.8869613,-67.9570055 -45.8870583,-67.9568553 -45.8866028,-67.957381 -45.8868268,-67.95650174 -45.8868325,-67.957381 -45.8868268,-67.9566729 -45.8866327,-67.953701 -45.8868791,-67.9533148 -45.8869911,-67.9529393 -45.8866103,-67.95178221 -45.88666191,-67.951051 -45.8868418,-67.9516089 -45.886207,-67.952832 -45.8866028,-67.94972726 -45.88693813,-67.948755 -45.886894,-67.9494202 -45.887484,-67.9503751 -45.8875587,-67.9509008 -45.8873571,-67.9508793 -45.8868716,-67.94746568 -45.88694764,-67.9487872 -45.8868418,-67.9495382 -45.8874766,-67.9496884 -45.88726,-67.9485726 -45.886095,-67.9476714 -45.8855871,-67.94628753 -45.88560005,-67.9472744 -45.8852212,-67.9470921 -45.8844967,-67.9472423 -45.883959,-67.9472315 -45.8831823,-67.94607409 -45.88311995,-67.9472744 -45.8827118,-67.9475963 -45.8819051,-67.9476392 -45.8807475,-67.9472208 -45.8805159,-67.9459034 -45.88040255,-67.9468131 -45.8799931,-67.9464698 -45.8794927,-67.9443026 -45.8791491,-67.94258106 -45.87928487,-67.9433799 -45.8793582,-67.9425859 -45.8792462,-67.9414809 -45.8788951,-67.9399574 -45.8788802,-67.9395819 -45.8785889,-67.9398179 -45.8784246,-67.93938002 -45.87863178,-67.9364383 -45.8791566,-67.9368889 -45.8790371,-67.9370821 -45.878798,-67.939657 -45.8787906,-67.9398179 -45.8784246,-67.93512028 -45.8793768,-67.9308057 -45.8796645,-67.9309773 -45.8795823,-67.9308271 -45.8793582,-67.9319429 -45.8795524,-67.9332089 -45.8799333,-67.9339921 -45.8795524,-67.9349685 -45.8793358,-67.935698 -45.8793209,-67.92926139 -45.87980166,-67.9288745 -45.8790371,-67.9299796 -45.8786337,-67.9308271 -45.8793582,-67.9310632 -45.8796271,-67.9308057 -45.8796645,-67.92746283 -45.879252,-67.9288745 -45.8790371,-67.9299796 -45.8786337,-67.9304302 -45.8776552,-67.9309022 -45.8766245,-67.9306126 -45.8766543,-67.92916705 -45.87686758,-67.9305589 -45.8765722,-67.9309773 -45.8765423,-67.9323184 -45.875011,-67.9336917 -45.8726132,-67.93292309 -45.87290945,-67.9337347 -45.872531,-67.9350007 -45.8704245,-67.9346895 -45.8701032,-67.933282 -45.87018527,-67.936492 -45.8696625,-67.9362881 -45.8694234,-67.9350436 -45.8703273,-67.9347003 -45.8699986,-67.93551008 -45.87004015,-67.9383588 -45.8674437,-67.9380584 -45.8682655,-67.9363847 -45.8693786,-67.9365671 -45.8696326,-67.9400271 -45.8665472</t>
  </si>
  <si>
    <t>-67.9400271 -45.8665472,-67.9383588 -45.8674437,-67.9380101 -45.8666929,-67.9392922 -45.8661064,-67.93822649 -45.86645361,,-67.93820898 -45.86621382,-67.939437 -45.8659907,-67.9410034 -45.8642985,-67.9397787 -45.86446671,-67.9413575 -45.8643508,-67.94191 -45.8638801,-67.9413092 -45.8637717,-67.94026881 -45.86394522,-67.9412395 -45.8636896,-67.94085860000001 -45.8628677,-67.94016816 -45.86304785,-67.9407513 -45.863103100000004,-67.9403973 -45.8622551,-67.93757020000001 -45.8636746,-67.93638614 -45.8639203,-67.9374468 -45.8637643,-67.93648120000002 -45.8648999,-67.93542287 -45.86514387,-67.9364544 -45.8650082,-67.9343033 -45.8651128,-67.93322311 -45.86539389,-67.934196 -45.8650755,-67.9339492 -45.8648887,-67.9318678 -45.8652174,-67.93025624 -45.86524613,-67.92887450000002 -45.8655984,-67.929647 -45.8660093,-67.9311919 -45.8652622,-67.92761571 -45.86576064,-67.9284239 -45.8655835,-67.9270077 -45.8655162,-67.92568273 -45.86555172,,-67.92617947 -45.86596757,-67.9266429 -45.8657927,-67.9259992 -45.8665696,-67.92478129 -45.86687146,-67.9258382 -45.86658460000001,-67.9220402 -45.8663903,-67.92069068 -45.86664171,-67.9224908 -45.8663306,-67.9191971 -45.8656582,-67.91774956 -45.8661538,-67.9187572 -45.8661064,-67.9176843 -45.8663679,-67.9172981 -45.8656657,-67.91575239 -45.86551598,-67.9164934 -45.8652398,-67.9147875 -45.8642536,-67.9133606 -45.865322,-67.9120409 -45.8651352,-67.91093971 -45.86527418,-67.9122448 -45.8649709,-67.911129 -45.8644105,-67.9103887 -45.8645226,-67.90917641 -45.86476613,-67.9100668 -45.8647318,-67.9098523 -45.8659197,-67.9103565 -45.8661513,-67.90947109 -45.86641003,-67.9100454 -45.8663754,-67.9094982 -45.8663306,-67.909627 -45.86429100000001,-67.90869072 -45.86438156;-67.90869072 -45.86438156,-67.9108179 -45.86391,-67.9094768 -45.8638353,-67.9077816 -45.8657329,-67.9066443 -45.8662484,-67.90565529 -45.8665856,-67.906419 -45.86626330000001,-67.9050887 -45.8652025,-67.9043591 -45.864814,-67.90314798 -45.8648888,-67.9039943 -45.8644255,-67.9028034 -45.8637381,-67.8999174 -45.8635812,-67.89867893 -45.86374335,-67.8993487 -45.8636634,-67.8988981 -45.8636933,-67.89861920000001 -45.8635215,-67.8975525 -45.86346654,,-67.89779792 -45.86312838,-67.8962696 -45.8632899,-67.8974175 -45.8625203,-67.8984583 -45.8622177,-67.8946526 -45.86372426,-67.8961945 -45.8632674,-67.8952932 -45.8629985,-67.8948426 -45.8620347,-67.89369378 -45.862107,-67.8961086 -45.8601668,-67.8949714 -45.8618927,-67.89506126 -45.86022417,-67.8960952 -45.8598436,-67.8959692 -45.8585678,-67.8961945 -45.8583138,-67.8955936 -45.8581419,-67.8949177 -45.8572976,-67.8950787 -45.8562589,-67.894907 -45.8558629,-67.8937376 -45.8558928,-67.8932869 -45.8566101,-67.8928149 -45.8568492,-67.8926003 -45.8566998,-67.89119881 -45.85678635,-67.8915596 -45.8569165,-67.8910661 -45.8570435,-67.8905296 -45.8572453,-67.8862917 -45.8600846,-67.8869355 -45.8600547,-67.8873861 -45.8596438,-67.8876221 -45.8588667,-67.8886843 -45.8579999,-67.88485253 -45.86038085,-67.8855836 -45.8605329,-67.8847253 -45.8611754,-67.8843284 -45.8612427,-67.88286864 -45.86153258,-67.8809917 -45.8619301,-67.8822792 -45.8616611,-67.8835666 -45.8617507,-67.8845859 -45.8612277,-67.8843284 -45.8612427,-67.87889297 -45.8626014,-67.8800154 -45.8627071,-67.880863 -45.8635887,-67.8814101 -45.8638502,-67.881496 -45.8643508,-67.8795862 -45.8651352,-67.87816911 -45.86559299,-67.8794253 -45.8652025,-67.8813779 -45.8643508,-67.8805947 -45.8648065,-67.8801227 -45.8652622,-67.8801119 -45.8658151,-67.8798544 -45.8661513,-67.87841593 -45.86693979,-67.8773224 -45.8682132,-67.8784168 -45.867951700000006,-67.8792751 -45.866988,-67.87529512 -45.86884053,-67.8755951 -45.8690125,-67.8751016 -45.8692815,-67.8764427 -45.8695952,-67.87545792 -45.87007243,-67.8735942 -45.8680488,-67.8724301 -45.8682281,-67.8724086 -45.8686689,-67.8764427 -45.8695952,-67.8729107 -45.86822856,-67.8699839 -45.8693413,-67.8700376 -45.8699389,-67.8703916 -45.8701929,-67.8709173 -45.8699239,-67.8707349 -45.8692815,-67.8712177 -45.8686166,-67.8731596 -45.8681236,-67.86891343 -45.86940172,-67.8665292 -45.8704394,-67.8664756 -45.8701107,-67.8674197 -45.8697073,-67.8698659 -45.8700883,-67.8700376 -45.8699389,-67.8700268 -45.8692964,-67.86552841 -45.87071955,-67.8665292 -45.8705589,-67.866143 -45.8710594,-67.8657889 -45.8704767,-67.8668725 -45.8688706,-67.86653014 -45.86909111,-67.8668725 -45.8688706,-67.8667974 -45.868646500000004,-67.8676665 -45.8677127,-67.867012 -45.86727940000001,-67.86635342 -45.86702056,-67.8668189 -45.8667639,-67.8664005 -45.866988,-67.8663254 -45.8676305,-67.86498939 -45.86808329,-67.8639972 -45.8691171,-67.8657031 -45.8680713,-67.86235431 -45.86962035,-67.8593409 -45.8716048,-67.85971640000001 -45.8705365,-67.8614008 -45.870529,-67.861948 -45.8698268,-67.8630531 -45.8694832,-67.85882935 -45.87179542,-67.857635 -45.8744807,-67.8541696 -45.874152,-67.8588581 -45.8727103,-67.8593409 -45.8716048,-67.857019 -45.87438052,-67.84873010000001 -45.87312860000001,-67.8543305 -45.8741595,-67.857635 -45.8744807,-67.84711722 -45.87310355,-67.8489339 -45.8731324,-67.8501302 -45.8733565,-67.8485316 -45.8736739,-67.8459191 -45.8729942,-67.84549 -45.8723406,-67.8449106 -45.8726842,-67.84336962 -45.87289033,-67.8464448 -45.8713396,-67.8465736 -45.871657000000006,-67.84484620000002 -45.8726692,-67.84458226 -45.87132178,-67.8433174 -45.8702414,-67.8424054 -45.8705701,-67.8442401 -45.8712014,-67.8457582 -45.8705029,-67.8468794 -45.8714778,-67.8465736 -45.871657000000006,-67.8464073 -45.8713396,-67.84266503 -45.8702826,-67.8403401 -45.8715002,-67.8396213 -45.8713059,-67.8401256 -45.8706859,-67.8424323 -45.8705216,-67.8432369 -45.8702153,-67.83999726 -45.87142467,-67.8404045 -45.871440400000004,-67.8396642 -45.8713657,-67.8393745 -45.8705216,-67.8371751 -45.8699314,-67.8344822 -45.8697969,-67.8345251 -45.8700584,-67.8363597 -45.8707606,-67.83598551 -45.8713908,-67.8363276 -45.8710445,-67.8348899 -45.87091,-67.8336024 -45.8710221,-67.83204724 -45.87132308,-67.8326046 -45.8712686,-67.8287637 -45.8718438,-67.8266931 -45.8718811,-67.8259957 -45.8715076,-67.82435527 -45.87146335,-67.8233564 -45.8708503,-67.8244293 -45.8708652,-67.8251266 -45.8711117,-67.82148856 -45.87077309;-67.82148856 -45.87077309,-67.8233564 -45.8708503,-67.8244293 -45.8708652,-67.8251266 -45.8711117,-67.82435527 -45.87146335,-67.8326046 -45.8712686,-67.8287637 -45.8718438,-67.8266931 -45.8718811,-67.8259957 -45.8715076,-67.83204724 -45.87132308,-67.8363276 -45.8710445,-67.8348899 -45.87091,-67.8336024 -45.8710221,-67.83598551 -45.8713908,-67.8404045 -45.871440400000004,-67.8396642 -45.8713657,-67.8393745 -45.8705216,-67.8371751 -45.8699314,-67.8344822 -45.8697969,-67.8345251 -45.8700584,-67.8363597 -45.8707606,-67.83999726 -45.87142467,-67.8403401 -45.8715002,-67.8396213 -45.8713059,-67.8401256 -45.8706859,-67.8424323 -45.8705216,-67.8432369 -45.8702153,-67.84266503 -45.8702826,-67.8433174 -45.8702414,-67.8424054 -45.8705701,-67.8442401 -45.8712014,-67.8457582 -45.8705029,-67.8468794 -45.8714778,-67.8465736 -45.871657000000006,-67.8464073 -45.8713396,-67.84458226 -45.87132178,-67.8464448 -45.8713396,-67.8465736 -45.871657000000006,-67.84484620000002 -45.8726692,-67.84336962 -45.87289033,-67.8489339 -45.8731324,-67.8501302 -45.8733565,-67.8485316 -45.8736739,-67.8459191 -45.8729942,-67.84549 -45.8723406,-67.8449106 -45.8726842,-67.84711722 -45.87310355,-67.847904 -45.8759074,-67.8490949 -45.8742491,-67.8510368 -45.8734349,-67.8488266 -45.8731585,-67.84644226 -45.87649326,-67.8467667 -45.8780212,-67.846477 -45.87698300000001,-67.8477967 -45.8764751,-67.84627973 -45.87829114,-67.8467989 -45.878081,-67.8463697 -45.8770502,-67.8443956 -45.8768859,-67.84286672 -45.87711998,-67.842561 -45.8794628,-67.8420246 -45.8792462,-67.8431511 -45.8775283,-67.8462946 -45.877095,-67.8445137 -45.8768261,-67.84221298 -45.87973382,-67.8455973 -45.8806504,-67.8449214 -45.8812852,-67.8420246 -45.8795972,-67.8425181 -45.87953,-67.84518194 -45.88032275,-67.8467023 -45.8799558,-67.849052 -45.8790819,-67.84840449 -45.87890923;-67.84840449 -45.87890923,-67.8467023 -45.8799558,-67.849052 -45.8790819,-67.84518194 -45.88032275,-67.8455973 -45.8806504,-67.8449214 -45.8812852,-67.8420246 -45.8795972,-67.8425181 -45.87953,-67.84221298 -45.87973382,-67.842561 -45.8794628,-67.8420246 -45.8792462,-67.8431511 -45.8775283,-67.8462946 -45.877095,-67.8445137 -45.8768261,-67.84286672 -45.87711998,-67.8467989 -45.878081,-67.8463697 -45.8770502,-67.8443956 -45.8768859,-67.84627973 -45.87829114,-67.8467667 -45.8780212,-67.846477 -45.87698300000001,-67.8477967 -45.8764751,-67.84644226 -45.87649326,-67.847904 -45.8759074,-67.8490949 -45.8742491,-67.8510368 -45.8734349,-67.8488266 -45.8731585,-67.84711722 -45.87310355,-67.84873010000001 -45.87312860000001,-67.8543305 -45.8741595,-67.857635 -45.8744807,-67.857019 -45.87438052,-67.857635 -45.8744807,-67.8541696 -45.874152,-67.8588581 -45.8727103,-67.8593409 -45.8716048,-67.85882935 -45.87179542,-67.8593409 -45.8716048,-67.85971640000001 -45.8705365,-67.8614008 -45.870529,-67.861948 -45.8698268,-67.8630531 -45.8694832,-67.86235431 -45.86962035,-67.8639972 -45.8691171,-67.8657031 -45.8680713,-67.86498939 -45.86808329,-67.8668189 -45.8667639,-67.8664005 -45.866988,-67.8663254 -45.8676305,-67.86635342 -45.86702056,-67.8682029 -45.8666817,-67.8692436 -45.8661961,-67.8702307 -45.8647318,-67.8701663 -45.8642088,-67.86895092 -45.86422008,-67.8701234 -45.8635663,-67.8698123 -45.86132490000001,-67.8679776 -45.8603237,-67.8670549 -45.8588966,-67.8654027 -45.859457,-67.8654563 -45.8601518,-67.8656709 -45.8602639,-67.86513556 -45.86046435,-67.8688037 -45.8592029,-67.8687608 -45.8588144,-67.8664434 -45.858963800000005,-67.8654027 -45.859457,-67.8655529 -45.8602116,-67.86821501 -45.85959306,-67.87273050000002 -45.8603909,-67.8713894 -45.86060760000001,-67.8696728 -45.8603312,-67.8687501 -45.8600248,-67.868396 -45.859329900000006,-67.8688145 -45.8588667,-67.8688037 -45.8592029,-67.87238238 -45.86053745,-67.8762281 -45.861026,-67.8764856 -45.8608841,-67.8761208 -45.8599501,-67.8737497 -45.8604133,-67.87444477 -45.86135588,-67.8759491 -45.8590983,-67.8764319 -45.8599501,-67.87655 -45.8609588,-67.8760779 -45.8611231,-67.87446619 -45.85953534,-67.875917 -45.8590236,-67.8765607 -45.8587098,-67.8784597 -45.8588443,-67.87771797 -45.85914466,-67.8790283 -45.8588293,-67.880466 -45.8587397,-67.8813028 -45.8593598,-67.88077392 -45.85953999,-67.8814316 -45.8592926,-67.8808415 -45.8591357,-67.880863 -45.8587322,-67.8817642 -45.858239,-67.8850043 -45.8580522,-67.88402968 -45.85834964,-67.887429 -45.855564,-67.8882551 -45.8548691,-67.8894138 -45.853808,-67.8920853 -45.8535689,-67.8916454 -45.8538678,-67.8897357 -45.85395,-67.88910 -45.85436,-67.8875685 -45.8562589,-67.885799 -45.8571033,-67.88544 -45.8578281,-67.88523 -45.85794,-67.88581092 -45.85597227,-67.887429 -45.855564,-67.8894138 -45.853808,-67.8932333 -45.8533447,-67.8969455 -45.8545851,-67.8963768 -45.8546599,-67.89483427 -45.85484841,-67.9008508 -45.8548093,-67.8990161 -45.8545403,-67.898823 -45.8538678,-67.8965485 -45.8545553,-67.90022567 -45.85540767,,-67.90067511 -45.8549717,-67.904284 -45.8564084,-67.9033184 -45.8552726,-67.9019022 -45.8551232,-67.90400196 -45.85653031,-67.90773330000002 -45.8580522,-67.9073417 -45.8579177,-67.9068965 -45.8568567,-67.9053408 -45.8563822,-67.90707943 -45.8582017,-67.9079533 -45.8582615,-67.9074919 -45.8604283,-67.90669842 -45.86068564,-67.934314 -45.8614668,-67.9336488 -45.8615341,-67.93349860000001 -45.8611979,-67.9346895 -45.8607645,-67.93353649 -45.86088532,-67.9345179 -45.8607346,-67.9318786 -45.8609662,-67.9327154 -45.86017420000001,-67.9316989 -45.86033267;-67.9316989 -45.86033267,-67.9345179 -45.8607346,-67.9318786 -45.8609662,-67.9327154 -45.86017420000001,-67.93353649 -45.86088532,-67.934314 -45.8614668,-67.9336488 -45.8615341,-67.93349860000001 -45.8611979,-67.9346895 -45.8607645,-67.90669842 -45.86068564,-67.9079533 -45.8582615,-67.9074919 -45.8604283,-67.90707943 -45.8582017,-67.9102653 -45.8586986,-67.9081625 -45.8581195,-67.90964669 -45.85881191,-67.9112792 -45.8592776,-67.9102921 -45.8588293,-67.9105067 -45.8586425,-67.91058213 -45.85962973,-67.9145408 -45.8594047,-67.9124916 -45.858777,-67.9112792 -45.8592776,-67.91347499 -45.85938782,-67.9153347 -45.8605702,-67.9157317 -45.8599725,-67.9146159 -45.859457,-67.91412974 -45.86109479,-67.9219651 -45.8610335,-67.9157424 -45.8609887,-67.92116295 -45.86077528,-67.9235315 -45.8601219,-67.9222655 -45.8604731,-67.92204432 -45.86025045,-67.9253769 -45.8604208,-67.9236388 -45.8595317,-67.9233384 -45.8597857,-67.92472033 -45.86078317,-67.9288423 -45.860757,-67.9286063 -45.8609812,-67.9269433 -45.8608168,-67.9254305 -45.8610559,-67.9256237 -45.8606898,-67.92827234 -45.86082887,-67.9307091 -45.86097370000001,-67.9287457 -45.8609588,-67.9288423 -45.860757,-67.92973166 -45.86112334,-67.9343569 -45.8614145,-67.9335523 -45.861549,-67.9334021 -45.8611381,-67.9309666 -45.8609214,-67.93332777 -45.86169272,-67.9375219 -45.8620421,-67.9357517 -45.861085800000005,-67.9346144 -45.8614519,-67.93652197 -45.86222667,-67.9388309 -45.8607794,-67.938112 -45.8611007,-67.9377472 -45.860899,-67.9362881 -45.8614743,-67.9374897 -45.8619749,-67.93809539 -45.86091501,-67.9404509 -45.8607122,-67.93858410000001 -45.8598305,-67.9376185 -45.8606001,-67.9381227 -45.8610185,-67.9388309 -45.8607794,-67.93965509 -45.86091672,-67.9406118 -45.8607346,-67.9402256 -45.8595616,-67.9415345 -45.8588592,-67.94031229 -45.85896585;-67.94031229 -45.85896585,-67.9406118 -45.8607346,-67.9402256 -45.8595616,-67.9415345 -45.8588592,-67.93965509 -45.86091672,-67.94085860000001 -45.8628677,-67.9404294 -45.860772,-67.94016816 -45.86304785,-67.9412395 -45.8636896,-67.94085860000001 -45.8628677,-67.94026881 -45.86394522,-67.9413575 -45.8643508,-67.94191 -45.8638801,-67.9413092 -45.8637717,-67.9397787 -45.86446671,-67.939437 -45.8659907,-67.9410034 -45.8642985,-67.93820898 -45.86621382,,-67.93822649 -45.86645361,-67.9383588 -45.8674437,-67.9380101 -45.8666929,-67.9392922 -45.8661064,-67.9400271 -45.8665472</t>
  </si>
  <si>
    <t>-67.9400271 -45.8665472,-67.9383588 -45.8674437,-67.9380101 -45.8666929,-67.9392922 -45.8661064,-67.93822649 -45.86645361,,-67.93820898 -45.86621382,-67.939437 -45.8659907,-67.9410034 -45.8642985,-67.9397787 -45.86446671,-67.9413575 -45.8643508,-67.94191 -45.8638801,-67.9413092 -45.8637717,-67.94026881 -45.86394522,-67.9412395 -45.8636896,-67.94085860000001 -45.8628677,-67.94016816 -45.86304785,-67.9407513 -45.863103100000004,-67.9403973 -45.8622551,-67.93757020000001 -45.8636746,-67.93638614 -45.8639203,-67.9374468 -45.8637643,-67.93648120000002 -45.8648999,-67.93542287 -45.86514387,-67.9364544 -45.8650082,-67.9343033 -45.8651128,-67.93322311 -45.86539389,-67.934196 -45.8650755,-67.9339492 -45.8648887,-67.9318678 -45.8652174,-67.93025624 -45.86524613,-67.92887450000002 -45.8655984,-67.929647 -45.8660093,-67.9311919 -45.8652622,-67.92761571 -45.86576064,-67.9284239 -45.8655835,-67.9270077 -45.8655162,-67.92568273 -45.86555172,,-67.92617947 -45.86596757,-67.9266429 -45.8657927,-67.9259992 -45.8665696,-67.92478129 -45.86687146,-67.9258382 -45.86658460000001,-67.9220402 -45.8663903,-67.92069068 -45.86664171,-67.9224908 -45.8663306,-67.9191971 -45.8656582,-67.91774956 -45.8661538,-67.9187572 -45.8661064,-67.9176843 -45.8663679,-67.9172981 -45.8656657,-67.91575239 -45.86551598,-67.9164934 -45.8652398,-67.9147875 -45.8642536,-67.9133606 -45.865322,-67.9120409 -45.8651352,-67.91093971 -45.86527418,-67.9122448 -45.8649709,-67.911129 -45.8644105,-67.9103887 -45.8645226,-67.90917641 -45.86476613,-67.9100668 -45.8647318,-67.9098523 -45.8659197,-67.9103565 -45.8661513,-67.90947109 -45.86641003,-67.9100454 -45.8663754,-67.9094982 -45.8663306,-67.909627 -45.86429100000001,-67.90869072 -45.86438156,-67.9108179 -45.86391,-67.9094768 -45.8638353,-67.9077816 -45.8657329,-67.9066443 -45.8662484,-67.90565529 -45.8665856,-67.906419 -45.86626330000001,-67.9050887 -45.8652025,-67.9043591 -45.864814,-67.90314798 -45.8648888,-67.9039943 -45.8644255,-67.9028034 -45.8637381,-67.8999174 -45.8635812,-67.89867893 -45.86374335,-67.8993487 -45.8636634,-67.8988981 -45.8636933,-67.89861920000001 -45.8635215,-67.8975525 -45.86346654,,-67.89779792 -45.86312838,-67.8962696 -45.8632899,-67.8974175 -45.8625203,-67.8984583 -45.8622177,-67.8946526 -45.86372426,-67.8957546 -45.8637157,-67.8955936 -45.8639772,-67.894392 -45.8641192,-67.8938127 -45.8632973,-67.8930938 -45.8633795,-67.8930295 -45.8638502,-67.89177843 -45.86436433,-67.8931367 -45.8638427,-67.892611 -45.8618778,-67.8922999 -45.8618479,-67.89062946 -45.86210121,,-67.89073352 -45.8622881;-67.89073352 -45.8622881,,-67.89062946 -45.86210121,-67.8922999 -45.8618479,-67.8926861 -45.8618553,-67.8926969 -45.8608019,-67.892493 -45.8607271,-67.89112374 -45.86105529,-67.892493 -45.8607271, -67.8927398 -45.8607346, -67.8935337 -45.859584, -67.8939092 -45.8579925, -67.8936625 -45.8569015, -67.8923857 -45.8572154,-67.8905296 -45.8572453,-67.8862917 -45.8600846,-67.8869355 -45.8600547,-67.8873861 -45.8596438,-67.8876221 -45.8588667,-67.8886843 -45.8579999,-67.88485253 -45.86038085,-67.8855836 -45.8605329,-67.8847253 -45.8611754,-67.8843284 -45.8612427,-67.88286864 -45.86153258,-67.8809917 -45.8619301,-67.8822792 -45.8616611,-67.8835666 -45.8617507,-67.8845859 -45.8612277,-67.8843284 -45.8612427,-67.87889297 -45.8626014,-67.8800154 -45.8627071,-67.880863 -45.8635887,-67.8814101 -45.8638502,-67.881496 -45.8643508,-67.8795862 -45.8651352,-67.87816911 -45.86559299,-67.8794253 -45.8652025,-67.8813779 -45.8643508,-67.8805947 -45.8648065,-67.8801227 -45.8652622,-67.8801119 -45.8658151,-67.8798544 -45.8661513,-67.87841593 -45.86693979,-67.8773224 -45.8682132,-67.8784168 -45.867951700000006,-67.8792751 -45.866988,-67.87529512 -45.86884053,-67.8755951 -45.8690125,-67.8751016 -45.8692815,-67.8764427 -45.8695952,-67.87545792 -45.87007243,-67.8735942 -45.8680488,-67.8724301 -45.8682281,-67.8724086 -45.8686689,-67.8764427 -45.8695952,-67.8729107 -45.86822856,-67.8699839 -45.8693413,-67.8700376 -45.8699389,-67.8703916 -45.8701929,-67.8709173 -45.8699239,-67.8707349 -45.8692815,-67.8712177 -45.8686166,-67.8731596 -45.8681236,-67.86891343 -45.86940172,-67.8665292 -45.8704394,-67.8664756 -45.8701107,-67.8674197 -45.8697073,-67.8698659 -45.8700883,-67.8700376 -45.8699389,-67.8700268 -45.8692964,-67.86552841 -45.87071955,-67.8665292 -45.8705589,-67.866143 -45.8710594,-67.8657889 -45.8704767,-67.8668725 -45.8688706,-67.86653014 -45.86909111,-67.8668725 -45.8688706,-67.8667974 -45.868646500000004,-67.8676665 -45.8677127,-67.867012 -45.86727940000001,-67.86635342 -45.86702056,-67.8668189 -45.8667639,-67.8664005 -45.866988,-67.8663254 -45.8676305,-67.86498939 -45.86808329,-67.8639972 -45.8691171,-67.8657031 -45.8680713,-67.86235431 -45.86962035,-67.8640509 -45.869035,-67.8651345 -45.867384,-67.8649521 -45.8657329,-67.8658748 -45.8655237,-67.86542164 -45.86561862,-67.8659713 -45.8654266,-67.8650701 -45.8654864,-67.864598 -45.8658599,-67.86331328 -45.86669187,-67.8642762 -45.866988,-67.8632355 -45.8676828,-67.86164041 -45.86812078,-67.8622591 -45.8680488,-67.8610682 -45.868273,-67.860167 -45.8680414,-67.8590083 -45.8671897,-67.8573239 -45.8674587,-67.8566694 -45.868885600000006,-67.85510089 -45.86964857;-67.85510089 -45.86964857,-67.8622591 -45.8680488,-67.8610682 -45.868273,-67.860167 -45.8680414,-67.8590083 -45.8671897,-67.8573239 -45.8674587,-67.8566694 -45.868885600000006,-67.86164041 -45.86812078,-67.8642762 -45.866988,-67.8632355 -45.8676828,-67.86331328 -45.86669187,-67.8639328 -45.8659271,-67.8645658 -45.8647542,-67.8655207 -45.8635513,-67.864423 -45.86337238,-67.8653276 -45.8635663,-67.8648341 -45.8637904,-67.8645015 -45.8630059,-67.8653491 -45.8606898,-67.8640616 -45.8614295,-67.86252974 -45.86187269,-67.8632784 -45.8615042,-67.863096 -45.86128,-67.8622055 -45.8610559,-67.861948 -45.8605105,-67.8613425 -45.86055445,-67.8623772 -45.8601145,-67.8619158 -45.8597185,-67.86181930000001 -45.8591954,-67.8608966 -45.8592179,-67.85979998 -45.85959279,-67.8602314 -45.85924030000001,-67.8568411 -45.8591506,-67.8585362 -45.8586425,-67.85800456 -45.85865306,-67.8585362 -45.8586425,-67.8567231 -45.8591431,-67.8550386 -45.8605852,-67.85325633 -45.86047853,-67.8547168 -45.8600622,-67.8545237 -45.8589862,-67.8537083 -45.858508,-67.852335 -45.8585529,-67.85051371 -45.8587379,-67.8511226 -45.8587172,-67.8489661 -45.8581942,-67.8504252 -45.8565952,-67.84992667 -45.85649082,-67.851541 -45.8561394,-67.8511119 -45.8555416,-67.8497386 -45.8553249,-67.8490841 -45.8555341,-67.84737753 -45.85568862,-67.8480864 -45.8556163,-67.846477 -45.8561992,-67.8452325 -45.8556537,-67.84359994 -45.85582912,-67.8438914 -45.8557508,-67.8414237 -45.8563262,-67.8377545 -45.8563187,-67.83653581 -45.85644197,-67.8371108 -45.8561767,-67.8326368 -45.8556313,-67.83154193 -45.85548135,-67.8319716 -45.855437,-67.8292787 -45.855108200000004,-67.82760578 -45.8552439,-67.8277767 -45.8550036,-67.8251696 -45.8547271,-67.824676 -45.8544207,-67.82322995 -45.85451391,-67.8244078 -45.8540994,-67.8225088 -45.8518801,-67.82163737 -45.8516816,-67.8223801 -45.8515886,-67.8209639 -45.8504751,-67.8196657 -45.8504079,-67.81800483 -45.85079524,-67.8185713 -45.8505798,-67.816962 -45.851073,-67.8161895 -45.8523658,-67.81497943 -45.85259887,-67.816329 -45.8519921,-67.8167796 -45.8511701,-67.8158462 -45.8513121,-67.8150415 -45.8533148,-67.8138399 -45.8541293,-67.81217316 -45.85421245,-67.809999 -45.85395,-67.81053540000002 -45.8542265,-67.8125417 -45.8543386,-67.80813131 -45.85419968,-67.8064048 -45.853539,-67.8089046 -45.854361,-67.8103852 -45.8542265,-67.8098702 -45.8539126,-67.80441533 -45.8533642,-67.8110075 -45.8532999,-67.8095913 -45.8534045,-67.8081751 -45.8532849,-67.8063512 -45.8536436,-67.81033656 -45.85331184,-67.8119838 -45.8516783,-67.8118229 -45.8524256,-67.8138614 -45.8534792,-67.8134108 -45.8536361,-67.8115761 -45.85313550000001,-67.81172912 -45.8516909,-67.8118765 -45.8513943,-67.8110504 -45.8507367,-67.80982730000001 -45.8504453,-67.8095698 -45.8499147,-67.80810998 -45.84984063;-67.80810998 -45.84984063,-67.8118765 -45.8513943,-67.8110504 -45.8507367,-67.80982730000001 -45.8504453,-67.8095698 -45.8499147,-67.81172912 -45.8516909,-67.8119838 -45.8516783,-67.8118229 -45.8524256,-67.8138614 -45.8534792,-67.8134108 -45.8536361,-67.8115761 -45.85313550000001,-67.81033656 -45.85331184,-67.8110075 -45.8532999,-67.8095913 -45.8534045,-67.8081751 -45.8532849,-67.8063512 -45.8536436,-67.80441533 -45.8533642,-67.8064048 -45.853539,-67.8089046 -45.854361,-67.8103852 -45.8542265,-67.8098702 -45.8539126,-67.80813131 -45.85419968,-67.809999 -45.85395,-67.81053540000002 -45.8542265,-67.8125417 -45.8543386,-67.81217316 -45.85421245,-67.816329 -45.8519921,-67.8167796 -45.8511701,-67.8158462 -45.8513121,-67.8150415 -45.8533148,-67.8138399 -45.8541293,-67.81497943 -45.85259887,-67.8185713 -45.8505798,-67.816962 -45.851073,-67.8161895 -45.8523658,-67.81800483 -45.85079524,-67.8223801 -45.8515886,-67.8209639 -45.8504751,-67.8196657 -45.8504079,-67.82163737 -45.8516816,-67.8244078 -45.8540994,-67.8225088 -45.8518801,-67.82322995 -45.85451391,-67.8277767 -45.8550036,-67.8251696 -45.8547271,-67.824676 -45.8544207,-67.82760578 -45.8552439,-67.8319716 -45.855437,-67.8292787 -45.855108200000004,-67.83154193 -45.85548135,-67.8371108 -45.8561767,-67.8326368 -45.8556313,-67.83653581 -45.85644197,-67.8438914 -45.8557508,-67.8414237 -45.8563262,-67.8377545 -45.8563187,-67.84359994 -45.85582912,-67.8480864 -45.8556163,-67.846477 -45.8561992,-67.8452325 -45.8556537,-67.84737753 -45.85568862,-67.851541 -45.8561394,-67.8511119 -45.8555416,-67.8497386 -45.8553249,-67.8490841 -45.8555341,-67.84992667 -45.85649082,-67.8511226 -45.8587172,-67.8489661 -45.8581942,-67.8504252 -45.8565952,-67.85051371 -45.8587379,-67.8547168 -45.8600622,-67.8545237 -45.8589862,-67.8537083 -45.858508,-67.852335 -45.8585529,-67.85325633 -45.86047853,-67.8585362 -45.8586425,-67.8567231 -45.8591431,-67.8550386 -45.8605852,-67.85800456 -45.85865306,-67.8617334 -45.8580597,-67.8595233 -45.8583362,-67.86119926 -45.8582863,-67.8630531 -45.8577608,-67.8618944 -45.8580074,-67.86269634 -45.8576934,-67.8655958 -45.85783560000001,-67.8642118 -45.8570435,-67.86509618 -45.85797591,-67.8666365 -45.8577982,-67.8680527 -45.857716,-67.86752908 -45.85773082,-67.8694689 -45.8577534,-67.8703272 -45.8578879,-67.8705525 -45.8574694,-67.8710139 -45.8575441,-67.87029294 -45.85782787,-67.8721619 -45.8576637,-67.8734279 -45.8573798,-67.8740823 -45.8579103,-67.87227986 -45.85836679,-67.8758311 -45.8590012,-67.8755307 -45.858777,-67.8718829 -45.8588144,-67.8721619 -45.8576637,-67.8733528 -45.857462,-67.8739536 -45.8579028,-67.87446619 -45.85953534,-67.875917 -45.8590236,-67.8765607 -45.8587098,-67.8784597 -45.8588443,-67.87771797 -45.85914466,-67.8790283 -45.8588293,-67.880466 -45.8587397,-67.8813028 -45.8593598,-67.88077392 -45.85953999,-67.8814316 -45.8592926,-67.8808415 -45.8591357,-67.880863 -45.8587322,-67.8817642 -45.858239,-67.8850043 -45.8580522,-67.88402968 -45.85834964,-67.887429 -45.855564,-67.8882551 -45.8548691,-67.8894138 -45.853808,-67.8920853 -45.8535689,-67.8916454 -45.8538678,-67.8897357 -45.85395,-67.88910 -45.85436,-67.8875685 -45.8562589,-67.885799 -45.8571033,-67.88544 -45.8578281,-67.88523 -45.85794,-67.88581092 -45.85597227,-67.887429 -45.855564,-67.8894138 -45.853808,-67.8932333 -45.8533447,-67.8969455 -45.8545851,-67.8963768 -45.8546599,-67.89483427 -45.85484841,-67.9008508 -45.8548093,-67.8990161 -45.8545403,-67.898823 -45.8538678,-67.8965485 -45.8545553,-67.90022567 -45.85540767,,-67.90067511 -45.8549717,-67.904284 -45.8564084,-67.9033184 -45.8552726,-67.9019022 -45.8551232,-67.90400196 -45.85653031,-67.90773330000002 -45.8580522,-67.9073417 -45.8579177,-67.9068965 -45.8568567,-67.9053408 -45.8563822,-67.90707943 -45.8582017,-67.9102653 -45.8586986,-67.9081625 -45.8581195,-67.90964669 -45.85881191,-67.9112792 -45.8592776,-67.9102921 -45.8588293,-67.9105067 -45.8586425,-67.91058213 -45.85962973,-67.9145408 -45.8594047,-67.9124916 -45.858777,-67.9112792 -45.8592776,-67.91347499 -45.85938782,-67.9153347 -45.8605702,-67.9157317 -45.8599725,-67.9146159 -45.859457,-67.91412974 -45.86109479,-67.9219651 -45.8610335,-67.9157424 -45.8609887,-67.92116295 -45.86077528,-67.9235315 -45.8601219,-67.9222655 -45.8604731,-67.92204432 -45.86025045,-67.9253769 -45.8604208,-67.9236388 -45.8595317,-67.9233384 -45.8597857,-67.92472033 -45.86078317,-67.9288423 -45.860757,-67.9286063 -45.8609812,-67.9269433 -45.8608168,-67.9254305 -45.8610559,-67.9256237 -45.8606898,-67.92827234 -45.86082887,-67.9307091 -45.86097370000001,-67.9287457 -45.8609588,-67.9288423 -45.860757,-67.92973166 -45.86112334,-67.9343569 -45.8614145,-67.9335523 -45.861549,-67.9334021 -45.8611381,-67.9309666 -45.8609214,-67.93332777 -45.86169272,-67.9375219 -45.8620421,-67.9357517 -45.861085800000005,-67.9346144 -45.8614519,-67.93652197 -45.86222667,-67.9388309 -45.8607794,-67.938112 -45.8611007,-67.9377472 -45.860899,-67.9362881 -45.8614743,-67.9374897 -45.8619749,-67.93809539 -45.86091501,-67.9389811 -45.8623559,-67.9389596 -45.8618329,-67.9381979 -45.8610783,-67.9390669 -45.8607794,-67.93749455 -45.86270022,-67.9407942 -45.8630844,-67.9403758 -45.8621878,-67.9386914 -45.8624792,-67.94016816 -45.86304785,-67.9412395 -45.8636896,-67.94085860000001 -45.8628677,-67.94026881 -45.86394522,-67.9413575 -45.8643508,-67.94191 -45.8638801,-67.9413092 -45.8637717,-67.9397787 -45.86446671,-67.939437 -45.8659907,-67.9410034 -45.8642985,-67.93820898 -45.86621382,,-67.93822649 -45.86645361,-67.9383588 -45.8674437,-67.9380101 -45.8666929,-67.9392922 -45.8661064,-67.9400271 -45.8665472</t>
  </si>
  <si>
    <t>-67.9400271 -45.8665472,-67.9383588 -45.8674437,-67.9380584 -45.8682655,-67.9363847 -45.8693786,-67.9365671 -45.8696326,-67.93551008 -45.87004015,-67.936492 -45.8696625,-67.9362881 -45.8694234,-67.9350436 -45.8703273,-67.9347003 -45.8699986,-67.933282 -45.87018527,-67.9337347 -45.872531,-67.9350007 -45.8704245,-67.9346895 -45.8701032,-67.93292309 -45.87290945,-67.9305589 -45.8765722,-67.9309773 -45.8765423,-67.9323184 -45.875011,-67.9336917 -45.8726132,-67.92916705 -45.87686758,-67.9288745 -45.8790371,-67.9299796 -45.8786337,-67.9304302 -45.8776552,-67.9309022 -45.8766245,-67.9306126 -45.8766543,-67.92746283 -45.879252,-67.9288745 -45.8790371,-67.9299796 -45.8786337,-67.9308271 -45.8793582,-67.9310632 -45.8796271,-67.9308057 -45.8796645,-67.92926139 -45.87980166,-67.9308057 -45.8796645,-67.9309773 -45.8795823,-67.9308271 -45.8793582,-67.9319429 -45.8795524,-67.9332089 -45.8799333,-67.9339921 -45.8795524,-67.9349685 -45.8793358,-67.935698 -45.8793209,-67.93512028 -45.8793768,-67.9380155 -45.8812404,-67.938627 -45.880852,-67.9384768 -45.8805682,-67.9371035 -45.8800827,-67.9358482 -45.8797093,-67.9335737 -45.8797616,-67.934432 -45.8794255,-67.9350007 -45.8792835,-67.9357088 -45.8792686,-67.93588984 -45.88149225,-67.9369104 -45.8822487,-67.9367441 -45.8819686,-67.9385787 -45.881274,-67.938568 -45.8809641,-67.9379243 -45.8811844,-67.93623372 -45.88237227,-67.9369962 -45.8822636,-67.9367441 -45.8819686,-67.9343677 -45.8832719,-67.93288041 -45.88347512,,-67.93297197 -45.88384007,-67.9325545 -45.8880964,-67.9324257 -45.8875363,-67.933048 -45.8868642,-67.9335093 -45.8836304,-67.93195275 -45.88880085,,-67.93184093 -45.88869985,-67.929883 -45.8876782,-67.9306018 -45.8878724,-67.9317605 -45.8883727,-67.9326189 -45.888201,-67.92838162 -45.88770662;-67.92838162 -45.88770662,-67.9286492 -45.8892166,-67.9288638 -45.8878724,-67.9292393 -45.8876931,-67.92758265 -45.88993498;-67.92758265 -45.88993498,-67.929368 -45.8925994,-67.9296148 -45.8919423,-67.9287994 -45.8913897,-67.9285097 -45.8910014,-67.9286277 -45.8901127,-67.92819602 -45.89300211,-67.9235637 -45.895743,-67.9241538 -45.8953249,-67.9267287 -45.8949142,-67.9271579 -45.8944961,-67.9267287 -45.8942048,-67.9257309 -45.8936448,-67.9256558 -45.8930698,-67.9268682 -45.8923604,-67.9289711 -45.8934208,-67.9293036 -45.893361,-67.92261639 -45.89612501,-67.9236388 -45.8957654,-67.9239929 -45.8954518,-67.9248619 -45.8951606,-67.9265141 -45.8948918,-67.9267073 -45.8945707,-67.9261279 -45.89416,-67.9250765 -45.8933685,-67.92384314 -45.89325701,-67.925173 -45.8927786,-67.9257953 -45.8919049,-67.92510847 -45.89172158;-67.92510847 -45.89172158,-67.925173 -45.8927786,-67.9257953 -45.8919049,-67.92384314 -45.89325701,-67.9236388 -45.8957654,-67.9239929 -45.8954518,-67.9248619 -45.8951606,-67.9265141 -45.8948918,-67.9267073 -45.8945707,-67.9261279 -45.89416,-67.9250765 -45.8933685,-67.92261639 -45.89612501,-67.9235637 -45.895743,-67.9241538 -45.8953249,-67.9267287 -45.8949142,-67.9271579 -45.8944961,-67.9267287 -45.8942048,-67.9257309 -45.8936448,-67.9256558 -45.8930698,-67.9268682 -45.8923604,-67.9289711 -45.8934208,-67.9293036 -45.893361,-67.92819602 -45.89300211,-67.9292285 -45.8926143,-67.9297435 -45.8916137,-67.930634 -45.8913523,-67.9310846 -45.8915241,-67.9320288 -45.8924127,-67.9322755 -45.8923231,-67.9316425 -45.8910014,-67.93002857 -45.89099999,-67.9326725 -45.8927039,-67.9321253 -45.8924276,-67.9320502 -45.8919796,-67.9315674 -45.8910163,-67.93203261 -45.89325144,-67.9325116 -45.8927189,-67.9321575 -45.8923754,-67.9320073 -45.8911582,-67.9324365 -45.8909939,-67.9336274 -45.8912403,-67.9348075 -45.8908669,-67.93404442 -45.8909633,-67.9351616 -45.890628,-67.9353011 -45.8903069,-67.9351509 -45.889702,-67.9356337 -45.8888283,-67.9361594 -45.8882682,-67.9367387 -45.8882607,-67.93581454 -45.88863383,-67.9410625 -45.888776,-67.9401827 -45.8890747,-67.9375863 -45.8886341,-67.93992923 -45.88854577;-67.93992923 -45.88854577,-67.9414594 -45.88785,-67.9417813 -45.8871554,-67.9419315 -45.8865879,-67.9423285 -45.8863414,-67.94198922 -45.88653728;-67.94198922 -45.88653728,-67.9423177 -45.8861323,-67.9425859 -45.8852137,-67.9431438 -45.8846088,-67.9432619 -45.8842802,-67.94255555 -45.88454697,-67.9459763 -45.8845415,-67.9446459 -45.8841607,-67.9436696 -45.8842353,-67.94483649 -45.8845247,-67.9471672 -45.8852884,-67.9470921 -45.8848627,-67.9461265 -45.8845565,-67.94628753 -45.88560005,-67.9472744 -45.8852212,-67.9470921 -45.8844967,-67.9472423 -45.883959,-67.9472315 -45.8831823,-67.94607409 -45.88311995,-67.9472744 -45.8827118,-67.9475963 -45.8819051,-67.9476392 -45.8807475,-67.9472208 -45.8805159,-67.9459034 -45.88040255,-67.9468131 -45.8799931,-67.9464698 -45.8794927,-67.9443026 -45.8791491,-67.94258106 -45.87928487,-67.9433799 -45.8793582,-67.9425859 -45.8792462,-67.9414809 -45.8788951,-67.9399574 -45.8788802,-67.9395819 -45.8785889,-67.9398179 -45.8784246,-67.93938002 -45.87863178,-67.9364383 -45.8791566,-67.9368889 -45.8790371,-67.9370821 -45.878798,-67.939657 -45.8787906,-67.9398179 -45.8784246,-67.93512028 -45.8793768,-67.9308057 -45.8796645,-67.9309773 -45.8795823,-67.9308271 -45.8793582,-67.9319429 -45.8795524,-67.9332089 -45.8799333,-67.9339921 -45.8795524,-67.9349685 -45.8793358,-67.935698 -45.8793209,-67.92926139 -45.87980166,-67.9288745 -45.8790371,-67.9299796 -45.8786337,-67.9308271 -45.8793582,-67.9310632 -45.8796271,-67.9308057 -45.8796645,-67.92746283 -45.879252,-67.9288745 -45.8790371,-67.9299796 -45.8786337,-67.9304302 -45.8776552,-67.9309022 -45.8766245,-67.9306126 -45.8766543,-67.92916705 -45.87686758,-67.9305589 -45.8765722,-67.9309773 -45.8765423,-67.9323184 -45.875011,-67.9336917 -45.8726132,-67.93292309 -45.87290945,-67.9337347 -45.872531,-67.9350007 -45.8704245,-67.9346895 -45.8701032,-67.933282 -45.87018527,-67.936492 -45.8696625,-67.9362881 -45.8694234,-67.9350436 -45.8703273,-67.9347003 -45.8699986,-67.93551008 -45.87004015;-67.93551008 -45.87004015,-67.9383588 -45.8674437,-67.9380584 -45.8682655,-67.9363847 -45.8693786,-67.9365671 -45.8696326,-67.9400271 -45.8665472</t>
  </si>
  <si>
    <t>-67.9400271 -45.8665472,-67.9452038 -45.8642219,-67.9464403 -45.8647635,-67.9454304 -45.86503525,,-67.94551194 -45.86495899,-67.949152 -45.8670029,-67.9489589 -45.866338,-67.9464805 -45.8656358,-67.946502 -45.8652099,-67.94827454 -45.86749255,-67.9581213 -45.8673466,-67.9581428 -45.8669731,-67.9568553 -45.866226,-67.9523492 -45.8659869,-67.9491305 -45.866226,-67.9489803 -45.8668834,-67.95709848 -45.86769228,-67.9570484 -45.8711267,-67.9574454 -45.8693637,-67.9580891 -45.8675707,-67.95610675 -45.87170205,-67.9571235 -45.8715898,-67.9572952 -45.8723443,-67.9570484 -45.87342,-67.95743470000001 -45.8736217,-67.95650202 -45.87386891,-67.9575098 -45.8735619,-67.9580784 -45.8727253,-67.95720623 -45.87256309,-67.9630244 -45.8733005,-67.9618549 -45.87156740000001,-67.9611683 -45.8714553,-67.9596126 -45.871724300000004,-67.95881870000001 -45.8720007,-67.96214261 -45.87344787,-67.9666829 -45.8734274,-67.9651701 -45.87286720000001,-67.9644513 -45.8730315,-67.9638612 -45.8733752,-67.9632068 -45.8733901,-67.96572509 -45.87368099,-67.96696190000002 -45.8736067,-67.9677129 -45.8742267,-67.9679918 -45.8746077,-67.9672039 -45.87497495;-67.9672039 -45.87497495,-67.9711676 -45.8706262,-67.9712427 -45.8723667,-67.9717791 -45.8732033,-67.9711139 -45.8738906,-67.9693866 -45.8740474,-67.9686463 -45.874533,-67.96992116 -45.87035971,-67.9710925 -45.8705739,-67.9709744 -45.8714329,-67.9711354 -45.8722173,-67.9706633 -45.8714479,-67.9697943 -45.8691545,-67.9688479 -45.86924263,-67.96972990000002 -45.8689453,-67.96923640000001 -45.8685867,-67.9698372 -45.8679667,-67.96898996 -45.86789944,-67.9704916 -45.8675259,-67.9713821 -45.8670777,-67.9725838 -45.8673092,-67.97170451 -45.86764851,-67.9784846 -45.8638128,-67.9773581 -45.8639025,-67.9769611 -45.8641416,-67.9760814 -45.864545,-67.975781 -45.8649709,-67.9756951 -45.8656806,-67.9747403 -45.8664725,-67.9738927 -45.8666518,-67.9742575 -45.8674213,-67.9730237 -45.867369,-67.97781889 -45.86412305,-67.9785061 -45.863768,-67.977562 -45.8638502,-67.9780233 -45.8634692,-67.9789352 -45.8631031,-67.9785919 -45.8629686,-67.97692655 -45.86298292,-67.9785919 -45.8629686,-67.9789352 -45.8631031,-67.9796863 -45.8629088,-67.9804587 -45.8629985,-67.9811132 -45.8627967,-67.98026531 -45.86300386,-67.9835165 -45.8632226,-67.9838812 -45.8630209,-67.9841387 -45.8625502,-67.9836881 -45.862991,-67.9831409 -45.8631255,-67.9816282 -45.862737,-67.98206338 -45.86352335,-67.9887307 -45.8607944,-67.9889238 -45.8604806,-67.9867244 -45.8607421,-67.9861665 -45.8609737,-67.9860163 -45.8616088,-67.9854047 -45.8619674,-67.9846215 -45.8621617,-67.9841387 -45.862468,-67.9838812 -45.8630209,-67.9834414 -45.8631927,-67.98715669 -45.86146692,-67.9928935 -45.8605404,-67.9914236 -45.8609588,-67.98931 -45.8614369,-67.9889023 -45.8613323,-67.99220337 -45.86057361,-67.9911339 -45.8618479,-67.9904687 -45.8619002,-67.9910696 -45.8615117,-67.9918849 -45.861295,-67.9930007 -45.8606151,-67.99023202 -45.86204363,-67.9886341 -45.8629088,-67.9906297 -45.8618479,-67.9911232 -45.8617956,-67.98677491 -45.86342245,-67.9859948 -45.8647094,-67.9874003 -45.863783,-67.98422803 -45.86529103,-67.9920459 -45.8642163,-67.9910159 -45.864672,-67.9903078 -45.8650157,-67.9890847 -45.8656208,-67.9855978 -45.8654415,-67.9855227 -45.865322,-67.99158422 -45.86437969,-67.9929578 -45.8671225,-67.9928398 -45.8662783,-67.9924321 -45.8655835,-67.9919815 -45.8652548,-67.992121 -45.8648663,-67.9910159 -45.864672,-67.9918528 -45.8642238,-67.99174523 -45.8677107;-67.99174523 -45.8677107,-67.9929578 -45.8671225,-67.9928398 -45.8662783,-67.9924321 -45.8655835,-67.9919815 -45.8652548,-67.992121 -45.8648663,-67.9910159 -45.864672,-67.9918528 -45.8642238,-67.99158422 -45.86437969,-67.9920459 -45.8642163,-67.9910159 -45.864672,-67.9903078 -45.8650157,-67.9890847 -45.8656208,-67.9855978 -45.8654415,-67.9855227 -45.865322,-67.98422803 -45.86529103;-67.98422803 -45.86529103,-67.9859948 -45.8647094,-67.9874003 -45.863783,-67.98677491 -45.86342245,-67.9886341 -45.8629088,-67.9906297 -45.8618479,-67.9911232 -45.8617956,-67.99023202 -45.86204363,-67.9952538 -45.8605927,-67.9947281 -45.8608168,-67.9940629 -45.8615789,-67.9931509 -45.862087,-67.9937303 -45.8615714,-67.9916918 -45.8619226,-67.99496681 -45.86045139;-67.99496681 -45.86045139,-67.9952538 -45.8605927,-67.9947281 -45.8608168,-67.9940629 -45.8615789,-67.9931509 -45.862087,-67.9937303 -45.8615714,-67.9916918 -45.8619226,-67.99023202 -45.86204363,-67.9911339 -45.8618479,-67.9904687 -45.8619002,-67.9910696 -45.8615117,-67.9918849 -45.861295,-67.9930007 -45.8606151,-67.99220337 -45.86057361,-67.9928935 -45.8605404,-67.9914236 -45.8609588,-67.98931 -45.8614369,-67.9889023 -45.8613323,-67.98715669 -45.86146692,-67.9887307 -45.8607944,-67.9889238 -45.8604806,-67.9867244 -45.8607421,-67.9861665 -45.8609737,-67.9860163 -45.8616088,-67.9854047 -45.8619674,-67.9846215 -45.8621617,-67.9841387 -45.862468,-67.9838812 -45.8630209,-67.9834414 -45.8631927,-67.98206338 -45.86352335,-67.9835165 -45.8632226,-67.9838812 -45.8630209,-67.9841387 -45.8625502,-67.9836881 -45.862991,-67.9831409 -45.8631255,-67.9816282 -45.862737,-67.98026531 -45.86300386;-67.98026531 -45.86300386,-67.9785919 -45.8629686,-67.9789352 -45.8631031,-67.9796863 -45.8629088,-67.9804587 -45.8629985,-67.9811132 -45.8627967,-67.97692655 -45.86298292,-67.9777443 -45.8626249,-67.9774654 -45.8621692,-67.9766178 -45.8616013,-67.9764462 -45.8607421,-67.9758561 -45.860772,-67.97410575 -45.86125796,,-67.97432341 -45.86124202;-67.97432341 -45.86124202,,-67.97410575 -45.86125796,-67.9777443 -45.8626249,-67.9774654 -45.8621692,-67.9766178 -45.8616013,-67.9764462 -45.8607421,-67.9758561 -45.860772,-67.97692655 -45.86298292,-67.9785061 -45.863768,-67.977562 -45.8638502,-67.9780233 -45.8634692,-67.9789352 -45.8631031,-67.9785919 -45.8629686,-67.97781889 -45.86412305,-67.9784846 -45.8638128,-67.9773581 -45.8639025,-67.9769611 -45.8641416,-67.9760814 -45.864545,-67.975781 -45.8649709,-67.9756951 -45.8656806,-67.9747403 -45.8664725,-67.9738927 -45.8666518,-67.9742575 -45.8674213,-67.9730237 -45.867369,-67.97170451 -45.86764851,-67.9704916 -45.8675259,-67.9713821 -45.8670777,-67.9725838 -45.8673092,-67.96898996 -45.86789944,-67.96972990000002 -45.8689453,-67.96923640000001 -45.8685867,-67.9698372 -45.8679667,-67.9688479 -45.86924263,-67.9710925 -45.8705739,-67.9709744 -45.8714329,-67.9711354 -45.8722173,-67.9706633 -45.8714479,-67.9697943 -45.8691545,-67.96992116 -45.87035971,-67.9711676 -45.8706262,-67.9712427 -45.8723667,-67.9717791 -45.8732033,-67.9711139 -45.8738906,-67.9693866 -45.8740474,-67.9686463 -45.874533,-67.9672039 -45.87497495,-67.96696190000002 -45.8736067,-67.9677129 -45.8742267,-67.9679918 -45.8746077,-67.96572509 -45.87368099,-67.9666829 -45.8734274,-67.9651701 -45.87286720000001,-67.9644513 -45.8730315,-67.9638612 -45.8733752,-67.9632068 -45.8733901,-67.96214261 -45.87344787,-67.9630244 -45.8733005,-67.9618549 -45.87156740000001,-67.9611683 -45.8714553,-67.9596126 -45.871724300000004,-67.95881870000001 -45.8720007,-67.95720623 -45.87256309,-67.9575098 -45.8735619,-67.9580784 -45.8727253,-67.95650202 -45.87386891,-67.9571235 -45.8715898,-67.9572952 -45.8723443,-67.9570484 -45.87342,-67.95743470000001 -45.8736217,-67.95610675 -45.87170205,-67.9570484 -45.8711267,-67.9574454 -45.8693637,-67.9580891 -45.8675707,-67.95709848 -45.86769228,-67.9581213 -45.8673466,-67.9581428 -45.8669731,-67.9568553 -45.866226,-67.9523492 -45.8659869,-67.9491305 -45.866226,-67.9489803 -45.8668834,-67.94827454 -45.86749255,-67.949152 -45.8670029,-67.9489589 -45.866338,-67.9464805 -45.8656358,-67.946502 -45.8652099,-67.94551194 -45.86495899,,-67.9454304 -45.86503525,-67.9452038 -45.8642219,-67.9464403 -45.8647635,-67.9400271 -45.8665472</t>
  </si>
  <si>
    <t>-67.9400271 -45.8665472,-67.9383588 -45.8674437,-67.9380101 -45.8666929,-67.9392922 -45.8661064,-67.93822649 -45.86645361,,-67.93820898 -45.86621382,-67.939437 -45.8659907,-67.9410034 -45.8642985,-67.9397787 -45.86446671,-67.9413575 -45.8643508,-67.94191 -45.8638801,-67.9413092 -45.8637717,-67.94026881 -45.86394522,-67.9412395 -45.8636896,-67.94085860000001 -45.8628677,-67.94016816 -45.86304785,-67.9407942 -45.8630844,-67.9403758 -45.8621878,-67.9386914 -45.8624792,-67.93749455 -45.86270022,-67.9389811 -45.8623559,-67.9389596 -45.8618329,-67.9381979 -45.8610783,-67.9390669 -45.8607794,-67.93809539 -45.86091501,-67.9388309 -45.8607794,-67.938112 -45.8611007,-67.9377472 -45.860899,-67.9362881 -45.8614743,-67.9374897 -45.8619749,-67.93652197 -45.86222667,-67.9375219 -45.8620421,-67.9357517 -45.861085800000005,-67.9346144 -45.8614519,-67.93332777 -45.86169272,-67.9343569 -45.8614145,-67.9335523 -45.861549,-67.9334021 -45.8611381,-67.9309666 -45.8609214,-67.92973166 -45.86112334,-67.9307091 -45.86097370000001,-67.9287457 -45.8609588,-67.9288423 -45.860757,-67.92827234 -45.86082887,-67.9288423 -45.860757,-67.9286063 -45.8609812,-67.9269433 -45.8608168,-67.9254305 -45.8610559,-67.9256237 -45.8606898,-67.92472033 -45.86078317,-67.9253769 -45.8604208,-67.9236388 -45.8595317,-67.9233384 -45.8597857,-67.92204432 -45.86025045,-67.9235315 -45.8601219,-67.9222655 -45.8604731,-67.92116295 -45.86077528,-67.9219651 -45.8610335,-67.9157424 -45.8609887,-67.91412974 -45.86109479,-67.9153347 -45.8605702,-67.9157317 -45.8599725,-67.9146159 -45.859457,-67.91347499 -45.85938782,-67.9145408 -45.8594047,-67.9124916 -45.858777,-67.9112792 -45.8592776,-67.91058213 -45.85962973,-67.9112792 -45.8592776,-67.9102921 -45.8588293,-67.9105067 -45.8586425,-67.90964669 -45.85881191,-67.9102653 -45.8586986,-67.9081625 -45.8581195,-67.90707943 -45.8582017,-67.90773330000002 -45.8580522,-67.9073417 -45.8579177,-67.9068965 -45.8568567,-67.9053408 -45.8563822,-67.90400196 -45.85653031,-67.904284 -45.8564084,-67.9033184 -45.8552726,-67.9019022 -45.8551232,-67.90067511 -45.8549717,,-67.90022567 -45.85540767,-67.9008508 -45.8548093,-67.8990161 -45.8545403,-67.898823 -45.8538678,-67.8965485 -45.8545553,-67.89483427 -45.85484841,-67.887429 -45.855564,-67.8894138 -45.853808,-67.8932333 -45.8533447,-67.8969455 -45.8545851,-67.8963768 -45.8546599,-67.88581092 -45.85597227,-67.887429 -45.855564,-67.8882551 -45.8548691,-67.8894138 -45.853808,-67.8920853 -45.8535689,-67.8916454 -45.8538678,-67.8897357 -45.85395,-67.88910 -45.85436,-67.8875685 -45.8562589,-67.885799 -45.8571033,-67.88544 -45.8578281,-67.88523 -45.85794,-67.88402968 -45.85834964,-67.8814316 -45.8592926,-67.8808415 -45.8591357,-67.880863 -45.8587322,-67.8817642 -45.858239,-67.8850043 -45.8580522,-67.88077392 -45.85953999,-67.8790283 -45.8588293,-67.880466 -45.8587397,-67.8813028 -45.8593598,-67.87771797 -45.85914466,-67.875917 -45.8590236,-67.8765607 -45.8587098,-67.8784597 -45.8588443,-67.87446619 -45.85953534,-67.8758311 -45.8590012,-67.8755307 -45.858777,-67.8718829 -45.8588144,-67.8721619 -45.8576637,-67.8733528 -45.857462,-67.8739536 -45.8579028,-67.87227986 -45.85836679,-67.8721619 -45.8576637,-67.8734279 -45.8573798,-67.8740823 -45.8579103,-67.87029294 -45.85782787,-67.8694689 -45.8577534,-67.8703272 -45.8578879,-67.8705525 -45.8574694,-67.8710139 -45.8575441,-67.86752908 -45.85773082,-67.8666365 -45.8577982,-67.8680527 -45.857716,-67.86509618 -45.85797591,-67.8655958 -45.85783560000001,-67.8642118 -45.8570435,-67.86269634 -45.8576934,-67.8630531 -45.8577608,-67.8618944 -45.8580074,-67.86119926 -45.8582863,-67.8617334 -45.8580597,-67.8595233 -45.8583362,-67.85800456 -45.85865306,-67.8585362 -45.8586425,-67.8567231 -45.8591431,-67.8550386 -45.8605852,-67.85325633 -45.86047853,-67.8547168 -45.8600622,-67.8545237 -45.8589862,-67.8537083 -45.858508,-67.852335 -45.8585529,-67.85051371 -45.8587379,-67.8511226 -45.8587172,-67.8489661 -45.8581942,-67.8504252 -45.8565952,-67.84992667 -45.85649082,-67.851541 -45.8561394,-67.8511119 -45.8555416,-67.8497386 -45.8553249,-67.8490841 -45.8555341,-67.84737753 -45.85568862,-67.8480864 -45.8556163,-67.846477 -45.8561992,-67.8452325 -45.8556537,-67.84359994 -45.85582912,-67.8438914 -45.8557508,-67.8414237 -45.8563262,-67.8377545 -45.8563187,-67.83653581 -45.85644197,-67.8371108 -45.8561767,-67.8326368 -45.8556313,-67.83154193 -45.85548135,-67.8319716 -45.855437,-67.8292787 -45.855108200000004,-67.82760578 -45.8552439,-67.8277767 -45.8550036,-67.8251696 -45.8547271,-67.824676 -45.8544207,-67.82322995 -45.85451391,-67.8244078 -45.8540994,-67.8225088 -45.8518801,-67.82163737 -45.8516816,-67.8223801 -45.8515886,-67.8209639 -45.8504751,-67.8196657 -45.8504079,-67.81800483 -45.85079524,-67.8185713 -45.8505798,-67.816962 -45.851073,-67.8161895 -45.8523658,-67.81497943 -45.85259887,-67.816329 -45.8519921,-67.8167796 -45.8511701,-67.8158462 -45.8513121,-67.8150415 -45.8533148,-67.8138399 -45.8541293,-67.81217316 -45.85421245,-67.809999 -45.85395,-67.81053540000002 -45.8542265,-67.8125417 -45.8543386,-67.80813131 -45.85419968,-67.8093982 -45.8548467,-67.8103423 -45.8545851,-67.808851 -45.8544506,-67.8103101 -45.854219,-67.8097093 -45.8539126,-67.8072436 -45.85498762,-67.8098595 -45.8560647,-67.809999 -45.8550036,-67.8090441 -45.8548691,-67.80907829 -45.8565264,-67.8125632 -45.8568492,-67.810396 -45.8571033,-67.8101599 -45.8566923,-67.81224182 -45.85671416,-67.8138077 -45.8564532,-67.814548 -45.8566699,-67.813561 -45.8597484,-67.8137219 -45.8605777,-67.81282229 -45.86107452,-67.8186142 -45.8634617,-67.8183568 -45.8624605,-67.8160179 -45.8615565,-67.8143764 -45.8610559,-67.81720169 -45.86444747,-67.8182173 -45.868004,-67.8160286 -45.8663455,-67.8181314 -45.8648065,-67.8182173 -45.864545,-67.81633269 -45.86814359,-67.8222084 -45.867638,-67.8207171 -45.86819080000001,-67.8187966 -45.8682506,-67.81829240000002 -45.8680713,-67.82151826 -45.86746063,-67.8236783 -45.8675633,-67.8205454 -45.8682207,-67.8219295 -45.8676529,-67.82310921 -45.86764419,-67.8240538 -45.8675707,-67.8247404 -45.8675782,-67.82420567 -45.8676006,-67.8260171 -45.8673092,-67.8273904 -45.8671897,-67.8286672 -45.8675334,-67.82802493 -45.86737435,-67.8295791 -45.8671673,-67.8291285 -45.8657628,-67.8280771 -45.86528460000001,-67.82626659 -45.86542128,-67.8280449 -45.8651352,-67.8276157 -45.8646197,-67.8262317 -45.8647766,-67.8248799 -45.8653145,-67.82303608 -45.86543176;-67.82303608 -45.86543176,-67.8280449 -45.8651352,-67.8276157 -45.8646197,-67.8262317 -45.8647766,-67.8248799 -45.8653145,-67.82626659 -45.86542128,-67.8295791 -45.8671673,-67.8291285 -45.8657628,-67.8280771 -45.86528460000001,-67.82802493 -45.86737435,-67.8260171 -45.8673092,-67.8273904 -45.8671897,-67.8286672 -45.8675334,-67.82420567 -45.8676006,-67.8240538 -45.8675707,-67.8247404 -45.8675782,-67.82310921 -45.86764419,-67.8236783 -45.8675633,-67.8205454 -45.8682207,-67.8219295 -45.8676529,-67.82151826 -45.86746063,-67.8222084 -45.867638,-67.8207171 -45.86819080000001,-67.8187966 -45.8682506,-67.81829240000002 -45.8680713,-67.81633269 -45.86814359,-67.819097 -45.8668461,-67.8186357 -45.8670552,-67.8192151 -45.868385,-67.81829240000002 -45.8680713,-67.8187144 -45.86699435,-67.8260922 -45.8716048,-67.8258884 -45.8718886,-67.8219509 -45.871657,-67.8194082 -45.8687287,-67.8185391 -45.8670926,-67.8190756 -45.8667788,-67.82435527 -45.87146335,-67.8326046 -45.8712686,-67.8287637 -45.8718438,-67.8266931 -45.8718811,-67.8259957 -45.8715076,-67.83204724 -45.87132308,-67.8347504 -45.8724041,-67.8345788 -45.8717915,-67.8335381 -45.8712686,-67.8339131 -45.87269245,-67.8368962 -45.8743761,-67.8363168 -45.8740101,-67.8365743 -45.8734723,-67.8358126 -45.8726879,-67.8366923 -45.875026,-67.8362739 -45.8749812,-67.8353405 -45.875362100000004,-67.8336787 -45.87548722,-67.8340852 -45.8751231,-67.8342354 -45.8742566,-67.8322077 -45.8732855,-67.8288817 -45.8737262,-67.82716871 -45.873948,-67.821511 -45.878081,-67.8234959 -45.8768037,-67.8260922 -45.8734274,-67.8288066 -45.8736889,-67.82018891 -45.8787842,-67.826339 -45.88047110000001,-67.8268754 -45.8811284,-67.8273153 -45.8802321,-67.8244936 -45.8781408,-67.8228843 -45.8780212,-67.8223586 -45.8783947,-67.8233027 -45.8768411,-67.8215861 -45.8781258,-67.82495492 -45.88019856;-67.82495492 -45.88019856,-67.826339 -45.88047110000001,-67.8268003 -45.8811956,-67.8233886 -45.8829433,-67.8221127 -45.88349304,-67.8419 -45.8843,-67.84199 -45.88554,-67.8396535 -45.88699,-67.83912 -45.88937,-67.83802 -45.8905,-67.83603 -45.89096,-67.83455 -45.89131,-67.8337097 -45.8907848,-67.83354 -45.88813,-67.82783 -45.88844,-67.824097 -45.88562,-67.82332 -45.88365,-67.8408227 -45.88408969,-67.8418744 -45.8837275,-67.8411126 -45.8830703,-67.839793 -45.8826221,-67.8392565 -45.8819126,-67.8402436 -45.8815616,-67.83977572 -45.88161766,-67.842443 -45.8796122,-67.8389347 -45.8810612,-67.8383017 -45.8819499,-67.8395998 -45.8826445,-67.8392565 -45.8820246,-67.8403294 -45.8816064,-67.84221298 -45.87973382,-67.8455973 -45.8806504,-67.8449214 -45.8812852,-67.8420246 -45.8795972,-67.8425181 -45.87953,-67.84518194 -45.88032275,-67.8494382 -45.880628,-67.84873010000001 -45.8802396,-67.8461766 -45.8806653,-67.8457046 -45.880515900000006,-67.8485758 -45.88086765,-67.8493631 -45.8856319,-67.8480864 -45.8853183,-67.8494918 -45.8833541,-67.849642 -45.8827043,-67.8493738 -45.8815317,-67.8484726 -45.8806578,-67.8487837 -45.8803516,-67.8495455 -45.8807549,-67.84894709 -45.88576073,-67.84983520000002 -45.8848851,-67.8485048 -45.8854826,-67.849406 -45.8856842,-67.84921346 -45.88477072,-67.8525496 -45.8855871,-67.8516698 -45.8851988,-67.8510153 -45.885027,-67.84983520000002 -45.8848851,-67.85159293 -45.88612644,-67.8530109 -45.886319,-67.8539872 -45.8868567,-67.8555858 -45.8874168,-67.8559721 -45.8882756,-67.85537987 -45.88855243,-67.8569698 -45.8905682,-67.8562617 -45.8905682,-67.8551674 -45.8886042,-67.8555107 -45.8875214,-67.8557789 -45.88838020000001,-67.85652652 -45.89043864,-67.8583002 -45.8906802,-67.8604245 -45.8905832,-67.85994544 -45.89074459,-67.86183 -45.8907101,-67.8635895 -45.8906578,-67.86328043 -45.89089136;-67.86328043 -45.89089136,-67.8652418 -45.8907101,-67.8656602 -45.890351700000004,-67.8659928 -45.88941820000001,-67.86520231 -45.88917465,-67.8674626 -45.88708080000001,-67.866658 -45.886864200000005,-67.8658855 -45.887125600000005,-67.8670657 -45.8886864,-67.86685323 -45.88712476,-67.86739830000002 -45.8868567,-67.8667223 -45.8862667,-67.8672802 -45.8848552,-67.86589689 -45.88477956,-67.8672695 -45.88491500000001,-67.867409 -45.8861099,-67.8680742 -45.8863339,-67.8686106 -45.8860875,-67.8688896 -45.8849822,-67.870338 -45.8842577,-67.8693122 -45.8842458,-67.8685462 -45.8831151,-67.869308 -45.8829582,-67.8708422 -45.883018,-67.8705847 -45.8839366,-67.86703039 -45.88312685,-67.8726017 -45.880389,-67.8697157 -45.8828462,-67.8706813 -45.8831001,-67.8686643 -45.8830254,-67.8724445 -45.87988188,-67.8772688 -45.8789101,-67.8749835 -45.8790146,-67.87362100000001 -45.8797765,-67.87684672 -45.87887091,-67.8785026 -45.8788802,-67.8798115 -45.8793806,-67.87875862 -45.87975391,-67.8797901 -45.8776627,-67.8792536 -45.87817810000001,-67.8798115 -45.8793806,-67.87897854 -45.87766371,-67.8803158 -45.8771847,-67.8813779 -45.8760792,-67.8823113 -45.875519,-67.8828478 -45.87486160000001,-67.88196942 -45.87464989,-67.8855407 -45.8747869,-67.8848219 -45.8745703,-67.8843713 -45.8743089,-67.8840923 -45.8735395,-67.8836632 -45.8741296,-67.88511415 -45.8749264,-67.88980010000002 -45.8758999,-67.8896391 -45.8754592,-67.8868389 -45.87464500000001,-67.8887044 -45.87631529,-67.8926647 -45.877827,-67.8914523 -45.8771996,-67.8902185 -45.8770054,-67.8897464 -45.8764377,-67.89202706 -45.87769743;-67.89202706 -45.87769743,-67.8926647 -45.877827,-67.8914523 -45.8771996,-67.8902185 -45.8770054,-67.8897464 -45.8764377,-67.8887044 -45.87631529,-67.88980010000002 -45.8758999,-67.8903151 -45.875578700000005,-67.89009239 -45.87601642;-67.89009239 -45.87601642,-67.88980010000002 -45.8758999,-67.8903151 -45.875578700000005,-67.8887044 -45.87631529,-67.88980010000002 -45.8758999,-67.8896391 -45.8754592,-67.8868389 -45.87464500000001,-67.88511415 -45.8749264,-67.8855407 -45.8747869,-67.8848219 -45.8745703,-67.8843713 -45.8743089,-67.8840923 -45.8735395,-67.8836632 -45.8741296,-67.88196942 -45.87464989,-67.8803158 -45.8771847,-67.8813779 -45.8760792,-67.8823113 -45.875519,-67.8828478 -45.87486160000001,-67.87897854 -45.87766371,-67.8797901 -45.8776627,-67.8792536 -45.87817810000001,-67.8798115 -45.8793806,-67.87875862 -45.87975391,-67.8785026 -45.8788802,-67.8798115 -45.8793806,-67.87684672 -45.87887091,-67.8772688 -45.8789101,-67.8749835 -45.8790146,-67.87362100000001 -45.8797765,-67.8724445 -45.87988188,-67.8726017 -45.880389,-67.8697157 -45.8828462,-67.8706813 -45.8831001,-67.8686643 -45.8830254,-67.86703039 -45.88312685,-67.8737283 -45.8829508,-67.8736854 -45.8833242,-67.8730094 -45.8829134,-67.8686643 -45.8830254,-67.87263059 -45.88283868,-67.8738034 -45.8829806,-67.8739858 -45.8834512,-67.87655 -45.8844445,-67.8765929 -45.8840262,-67.8758872 -45.88413516,-67.8775907 -45.885744,-67.8778374 -45.8851241,-67.8766251 -45.8844594,-67.8767002 -45.8840561,-67.87630061 -45.88642699,,-67.87597578 -45.88674947,-67.8775477 -45.8859232,-67.87784810000001 -45.8854153,-67.8789425 -45.8862742,-67.879554 -45.8862667,-67.8829443 -45.8844743,-67.8806055 -45.8848253,-67.87931365 -45.88515467,-67.8808522 -45.8847432,-67.8831053 -45.8843548,-67.884897 -45.8834586,-67.8876114 -45.88378720000001,-67.8901434 -45.8835856,-67.88934482 -45.88367092,-67.8863347 -45.8849448,-67.8869569 -45.8849672,-67.8874826 -45.883847,-67.8903258 -45.883570600000006,-67.88477851 -45.88530377,-67.8877938 -45.885251,-67.8862166 -45.8849523,-67.88725199 -45.88498287,-67.8916669 -45.8851316,-67.891463 -45.8853332,-67.8890061 -45.8855946,-67.8886521 -45.8849672,-67.88986813 -45.88509226,-67.895658 -45.88465360000001,-67.8955078 -45.8872675,-67.89402720000001 -45.888186,-67.89313670000001 -45.8879097,-67.8935552 -45.8866999,-67.891624 -45.8850718,-67.89478887 -45.88442779,-67.896452 -45.8842129,-67.8972995 -45.8841607,-67.8987801 -45.8833839,-67.8993165 -45.8836304,-67.89811074 -45.88424629,-67.90316820000001 -45.883637900000004,-67.9026854 -45.8831823,-67.9021275 -45.8832794,-67.900722 -45.8842279,-67.9001105 -45.8851465,-67.8995955 -45.8843175,-67.90293219 -45.8836944,-67.9039729 -45.8871629,-67.9034686 -45.8869165,-67.9041123 -45.886192,-67.9042947 -45.8847656,-67.90316820000001 -45.883637900000004,-67.90362098 -45.8874036,-67.9052818 -45.8875736,-67.90654780000001 -45.8882084,-67.9074919 -45.8882756,-67.90705336 -45.88840606,-67.9066443 -45.8844071,-67.9062474 -45.8852585,-67.908833 -45.885968,-67.9091012 -45.8864012,-67.90594775 -45.88423937,,-67.90591516 -45.88446218,-67.9076958 -45.8841084,-67.9082644 -45.8839366,-67.9093373 -45.8833167,-67.9103136 -45.8831972,-67.90970498 -45.88326091,-67.911365 -45.8831076,-67.9142618 -45.8826968,-67.9159892 -45.8825026,-67.91541483 -45.88231338,-67.9166651 -45.8823159,-67.9170835 -45.8822711,-67.9178345 -45.8833989,-67.9184783 -45.8832943,-67.91747464 -45.88372353,-67.9183173 -45.8833018,-67.9179525 -45.8832943,-67.9178452 -45.8829358,-67.9186606 -45.8819873,-67.9191113 -45.8815466,-67.9197979 -45.8813898,-67.91930941 -45.88137118,-67.9231775 -45.8798138,-67.9230273 -45.8801051,-67.9220295 -45.8802022,-67.9198301 -45.8807027,-67.9191542 -45.8814645,-67.9198301 -45.8813375,-67.92260289 -45.87981886,-67.9288745 -45.8790371,-67.9299045 -45.8786188,-67.929765 -45.8784918,-67.9247224 -45.8798512,-67.9241753 -45.8796943,-67.92746283 -45.879252,-67.9288745 -45.8790371,-67.9299796 -45.8786337,-67.9304302 -45.8776552,-67.9309022 -45.8766245,-67.9306126 -45.8766543,-67.92916705 -45.87686758,-67.9305589 -45.8765722,-67.9309773 -45.8765423,-67.9323184 -45.875011,-67.9336917 -45.8726132,-67.93292309 -45.87290945,-67.9337347 -45.872531,-67.9350007 -45.8704245,-67.9346895 -45.8701032,-67.933282 -45.87018527,-67.936492 -45.8696625,-67.9362881 -45.8694234,-67.9350436 -45.8703273,-67.9347003 -45.8699986,-67.93551008 -45.87004015,-67.9383588 -45.8674437,-67.9380584 -45.8682655,-67.9363847 -45.8693786,-67.9365671 -45.8696326,-67.9400271 -45.8665472</t>
  </si>
  <si>
    <t>-67.9400271 -45.8665472,-67.9383588 -45.8674437,-67.9380101 -45.8666929,-67.9392922 -45.8661064,-67.93822649 -45.86645361,,-67.93820898 -45.86621382,-67.939437 -45.8659907,-67.9410034 -45.8642985,-67.9397787 -45.86446671,-67.9413575 -45.8643508,-67.94191 -45.8638801,-67.9413092 -45.8637717,-67.94026881 -45.86394522,-67.9412395 -45.8636896,-67.94085860000001 -45.8628677,-67.94016816 -45.86304785,-67.9407942 -45.8630844,-67.9403758 -45.8621878,-67.9386914 -45.8624792,-67.93749455 -45.86270022,-67.9389811 -45.8623559,-67.9389596 -45.8618329,-67.9381979 -45.8610783,-67.9390669 -45.8607794,-67.93809539 -45.86091501,-67.9388309 -45.8607794,-67.938112 -45.8611007,-67.9377472 -45.860899,-67.9362881 -45.8614743,-67.9374897 -45.8619749,-67.93652197 -45.86222667,-67.9375219 -45.8620421,-67.9357517 -45.861085800000005,-67.9346144 -45.8614519,-67.93332777 -45.86169272,-67.9343569 -45.8614145,-67.9335523 -45.861549,-67.9334021 -45.8611381,-67.9309666 -45.8609214,-67.92973166 -45.86112334,-67.9307091 -45.86097370000001,-67.9287457 -45.8609588,-67.9288423 -45.860757,-67.92827234 -45.86082887,-67.9288423 -45.860757,-67.9286063 -45.8609812,-67.9269433 -45.8608168,-67.9254305 -45.8610559,-67.9256237 -45.8606898,-67.92472033 -45.86078317,-67.9253769 -45.8604208,-67.9236388 -45.8595317,-67.9233384 -45.8597857,-67.92204432 -45.86025045,-67.9235315 -45.8601219,-67.9222655 -45.8604731,-67.92116295 -45.86077528,-67.9219651 -45.8610335,-67.9157424 -45.8609887,-67.91412974 -45.86109479,-67.9153347 -45.8605702,-67.9157317 -45.8599725,-67.9146159 -45.859457,-67.91347499 -45.85938782,-67.9145408 -45.8594047,-67.9124916 -45.858777,-67.9112792 -45.8592776,-67.91058213 -45.85962973,-67.9112792 -45.8592776,-67.9102921 -45.8588293,-67.9105067 -45.8586425,-67.90964669 -45.85881191,-67.9102653 -45.8586986,-67.9081625 -45.8581195,-67.90707943 -45.8582017,-67.90773330000002 -45.8580522,-67.9073417 -45.8579177,-67.9068965 -45.8568567,-67.9053408 -45.8563822,-67.90400196 -45.85653031,-67.904284 -45.8564084,-67.9033184 -45.8552726,-67.9019022 -45.8551232,-67.90067511 -45.8549717,,-67.90022567 -45.85540767,-67.9008508 -45.8548093,-67.8990161 -45.8545403,-67.898823 -45.8538678,-67.8965485 -45.8545553,-67.89483427 -45.85484841,-67.887429 -45.855564,-67.8894138 -45.853808,-67.8932333 -45.8533447,-67.8969455 -45.8545851,-67.8963768 -45.8546599,-67.88581092 -45.85597227,-67.887429 -45.855564,-67.8882551 -45.8548691,-67.8894138 -45.853808,-67.8920853 -45.8535689,-67.8916454 -45.8538678,-67.8897357 -45.85395,-67.88910 -45.85436,-67.8875685 -45.8562589,-67.885799 -45.8571033,-67.88544 -45.8578281,-67.88523 -45.85794,-67.88402968 -45.85834964,-67.8814316 -45.8592926,-67.8808415 -45.8591357,-67.880863 -45.8587322,-67.8817642 -45.858239,-67.8850043 -45.8580522,-67.88077392 -45.85953999,-67.8790283 -45.8588293,-67.880466 -45.8587397,-67.8813028 -45.8593598,-67.87771797 -45.85914466,-67.875917 -45.8590236,-67.8765607 -45.8587098,-67.8784597 -45.8588443,-67.87446619 -45.85953534,-67.8758311 -45.8590012,-67.8755307 -45.858777,-67.8718829 -45.8588144,-67.8721619 -45.8576637,-67.8733528 -45.857462,-67.8739536 -45.8579028,-67.87227986 -45.85836679,-67.8721619 -45.8576637,-67.8734279 -45.8573798,-67.8740823 -45.8579103,-67.87029294 -45.85782787,-67.8694689 -45.8577534,-67.8703272 -45.8578879,-67.8705525 -45.8574694,-67.8710139 -45.8575441,-67.86752908 -45.85773082,-67.8666365 -45.8577982,-67.8680527 -45.857716,-67.86509618 -45.85797591,-67.8655958 -45.85783560000001,-67.8642118 -45.8570435,-67.86269634 -45.8576934,-67.8630531 -45.8577608,-67.8618944 -45.8580074,-67.86119926 -45.8582863,-67.8617334 -45.8580597,-67.8595233 -45.8583362,-67.85800456 -45.85865306,-67.8585362 -45.8586425,-67.8567231 -45.8591431,-67.8550386 -45.8605852,-67.85325633 -45.86047853,-67.8547168 -45.8600622,-67.8545237 -45.8589862,-67.8537083 -45.858508,-67.852335 -45.8585529,-67.85051371 -45.8587379,-67.8511226 -45.8587172,-67.8489661 -45.8581942,-67.8504252 -45.8565952,-67.84992667 -45.85649082,-67.851541 -45.8561394,-67.8511119 -45.8555416,-67.8497386 -45.8553249,-67.8490841 -45.8555341,-67.84737753 -45.85568862,-67.8480864 -45.8556163,-67.846477 -45.8561992,-67.8452325 -45.8556537,-67.84359994 -45.85582912,-67.8438914 -45.8557508,-67.8414237 -45.8563262,-67.8377545 -45.8563187,-67.83653581 -45.85644197,-67.8371108 -45.8561767,-67.8326368 -45.8556313,-67.83154193 -45.85548135,-67.8319716 -45.855437,-67.8292787 -45.855108200000004,-67.82760578 -45.8552439,-67.8277767 -45.8550036,-67.8251696 -45.8547271,-67.824676 -45.8544207,-67.82322995 -45.85451391,-67.8239679 -45.8545553,-67.8218329 -45.8556089,-67.8208029 -45.8559227,-67.81902598 -45.85622201,-67.8170907 -45.857589,-67.8185821 -45.8575068,-67.821908 -45.8556462,-67.8207815 -45.8559825,-67.81540703 -45.85832712;-67.81540703 -45.85832712,-67.8170907 -45.857589,-67.8185821 -45.8575068,-67.8190112 -45.8571556,-67.8180671 -45.857036,-67.8183889 -45.8550783,-67.8170156 -45.8536137,-67.8172088 -45.8525526,-67.818346 -45.8509086,-67.81800483 -45.85079524,-67.8185713 -45.8505798,-67.816962 -45.851073,-67.8161895 -45.8523658,-67.81497943 -45.85259887,-67.816329 -45.8519921,-67.8167796 -45.8511701,-67.8158462 -45.8513121,-67.8150415 -45.8533148,-67.8138399 -45.8541293,-67.81217316 -45.85421245,-67.809999 -45.85395,-67.81053540000002 -45.8542265,-67.8125417 -45.8543386,-67.80813131 -45.85419968,-67.8064048 -45.853539,-67.8089046 -45.854361,-67.8103852 -45.8542265,-67.8098702 -45.8539126,-67.80441533 -45.8533642,-67.805289 -45.8529487,-67.8034651 -45.8522612,-67.8028214 -45.85306820000001,-67.8021669 -45.8529711,-67.80053473 -45.85338776,-67.8017056 -45.8526423,-67.8015232 -45.8523658,-67.79962420000001 -45.8525451,-67.7978754 -45.8519772,-67.7946138 -45.8521416,-67.79294152 -45.85225742,-67.7932727 -45.8519249,-67.790097 -45.851768,-67.7882087 -45.8523583,-67.7874362 -45.8529785,-67.78639604 -45.85350214,-67.7872217 -45.8538753,-67.7837884 -45.8561618,-67.7830803 -45.8561095,-67.78170238 -45.85610146,-67.7824903 -45.8564233,-67.7802157 -45.8580149,-67.7796257 -45.8571108,-67.7786064 -45.8565802,-67.7779841 -45.85664,-67.7787888 -45.8561394,-67.77831934 -45.85627828,-67.7786493 -45.8561767,-67.7760208 -45.8575666,-67.7736604 -45.8573723,-67.7729845 -45.8565877,-67.7733386 -45.8538528,-67.77191639 -45.85370252,-67.7767611 -45.8515811,-67.7748406 -45.85155120000001,-67.7744758 -45.8503855,-67.7750123 -45.8494887,-67.7702379 -45.8498848,-67.7723086 -45.8511776,-67.7737248 -45.8528216,-67.7731884 -45.8531878,-67.77612134 -45.8514783,-67.7803338 -45.8509385,-67.777555 -45.8505499,-67.7752268 -45.8494812,-67.77437930000002 -45.8504154,-67.7747762 -45.851484,-67.7768147 -45.8515139,-67.77982732 -45.85094494;-67.77982732 -45.85094494,-67.7803338 -45.8509385,-67.777555 -45.8505499,-67.7752268 -45.8494812,-67.77437930000002 -45.8504154,-67.7747762 -45.851484,-67.7768147 -45.8515139,-67.77612134 -45.8514783,-67.7767611 -45.8515811,-67.7748406 -45.85155120000001,-67.7744758 -45.8503855,-67.7750123 -45.8494887,-67.7702379 -45.8498848,-67.7723086 -45.8511776,-67.7737248 -45.8528216,-67.7731884 -45.8531878,-67.77191639 -45.85370252,-67.7786493 -45.8561767,-67.7760208 -45.8575666,-67.7736604 -45.8573723,-67.7729845 -45.8565877,-67.7733386 -45.8538528,-67.77831934 -45.85627828,-67.7824903 -45.8564233,-67.7802157 -45.8580149,-67.7796257 -45.8571108,-67.7786064 -45.8565802,-67.7779841 -45.85664,-67.7787888 -45.8561394,-67.78170238 -45.85610146,-67.7872217 -45.8538753,-67.7837884 -45.8561618,-67.7830803 -45.8561095,-67.78639604 -45.85350214,-67.7932727 -45.8519249,-67.790097 -45.851768,-67.7882087 -45.8523583,-67.7874362 -45.8529785,-67.79294152 -45.85225742,-67.8017056 -45.8526423,-67.8015232 -45.8523658,-67.79962420000001 -45.8525451,-67.7978754 -45.8519772,-67.7946138 -45.8521416,-67.80053473 -45.85338776,-67.8014696 -45.8535315,-67.7997422 -45.8537482,-67.7984655 -45.8529038,-67.79656279 -45.85297829;-67.79656279 -45.85297829,-67.8014696 -45.8535315,-67.7997422 -45.8537482,-67.7984655 -45.8529038,-67.80053473 -45.85338776,-67.805289 -45.8529487,-67.8034651 -45.8522612,-67.8028214 -45.85306820000001,-67.8021669 -45.8529711,-67.80441533 -45.8533642,-67.8064048 -45.853539,-67.8089046 -45.854361,-67.8103852 -45.8542265,-67.8098702 -45.8539126,-67.80813131 -45.85419968,-67.809999 -45.85395,-67.81053540000002 -45.8542265,-67.8125417 -45.8543386,-67.81217316 -45.85421245,-67.816329 -45.8519921,-67.8167796 -45.8511701,-67.8158462 -45.8513121,-67.8150415 -45.8533148,-67.8138399 -45.8541293,-67.81497943 -45.85259887,-67.8185713 -45.8505798,-67.816962 -45.851073,-67.8161895 -45.8523658,-67.81800483 -45.85079524,-67.8223801 -45.8515886,-67.8209639 -45.8504751,-67.8196657 -45.8504079,-67.82163737 -45.8516816,-67.8244078 -45.8540994,-67.8225088 -45.8518801,-67.82322995 -45.85451391,-67.8277767 -45.8550036,-67.8251696 -45.8547271,-67.824676 -45.8544207,-67.82760578 -45.8552439,-67.8319716 -45.855437,-67.8292787 -45.855108200000004,-67.83154193 -45.85548135,-67.8371108 -45.8561767,-67.8326368 -45.8556313,-67.83653581 -45.85644197,-67.8438914 -45.8557508,-67.8414237 -45.8563262,-67.8377545 -45.8563187,-67.84359994 -45.85582912,-67.8480864 -45.8556163,-67.846477 -45.8561992,-67.8452325 -45.8556537,-67.84737753 -45.85568862;-67.84737753 -45.85568862,-67.851541 -45.8561394,-67.8511119 -45.8555416,-67.8497386 -45.8553249,-67.8490841 -45.8555341,-67.84992667 -45.85649082,-67.8511226 -45.8587172,-67.8489661 -45.8581942,-67.8504252 -45.8565952,-67.85051371 -45.8587379,-67.8547168 -45.8600622,-67.8545237 -45.8589862,-67.8537083 -45.858508,-67.852335 -45.8585529,-67.85325633 -45.86047853,-67.8585362 -45.8586425,-67.8567231 -45.8591431,-67.8550386 -45.8605852,-67.85800456 -45.85865306,-67.8617334 -45.8580597,-67.8595233 -45.8583362,-67.86119926 -45.8582863,-67.8630531 -45.8577608,-67.8618944 -45.8580074,-67.86269634 -45.8576934,-67.8655958 -45.85783560000001,-67.8642118 -45.8570435,-67.86509618 -45.85797591,-67.8666365 -45.8577982,-67.8680527 -45.857716,-67.86752908 -45.85773082,-67.8694689 -45.8577534,-67.8703272 -45.8578879,-67.8705525 -45.8574694,-67.8710139 -45.8575441,-67.87029294 -45.85782787,-67.8721619 -45.8576637,-67.8734279 -45.8573798,-67.8740823 -45.8579103,-67.87227986 -45.85836679,-67.8758311 -45.8590012,-67.8755307 -45.858777,-67.8718829 -45.8588144,-67.8721619 -45.8576637,-67.8733528 -45.857462,-67.8739536 -45.8579028,-67.87446619 -45.85953534,-67.875917 -45.8590236,-67.8765607 -45.8587098,-67.8784597 -45.8588443,-67.87771797 -45.85914466,-67.8790283 -45.8588293,-67.880466 -45.8587397,-67.8813028 -45.8593598,-67.88077392 -45.85953999,-67.8814316 -45.8592926,-67.8808415 -45.8591357,-67.880863 -45.8587322,-67.8817642 -45.858239,-67.8850043 -45.8580522,-67.88402968 -45.85834964,-67.887429 -45.855564,-67.8882551 -45.8548691,-67.8894138 -45.853808,-67.8920853 -45.8535689,-67.8916454 -45.8538678,-67.8897357 -45.85395,-67.88910 -45.85436,-67.8875685 -45.8562589,-67.885799 -45.8571033,-67.88544 -45.8578281,-67.88523 -45.85794,-67.88581092 -45.85597227,-67.887429 -45.855564,-67.8894138 -45.853808,-67.8932333 -45.8533447,-67.8969455 -45.8545851,-67.8963768 -45.8546599,-67.89483427 -45.85484841,-67.9008508 -45.8548093,-67.8990161 -45.8545403,-67.898823 -45.8538678,-67.8965485 -45.8545553,-67.90022567 -45.85540767,,-67.90067511 -45.8549717,-67.904284 -45.8564084,-67.9033184 -45.8552726,-67.9019022 -45.8551232,-67.90400196 -45.85653031,-67.90773330000002 -45.8580522,-67.9073417 -45.8579177,-67.9068965 -45.8568567,-67.9053408 -45.8563822,-67.90707943 -45.8582017,-67.9102653 -45.8586986,-67.9081625 -45.8581195,-67.90964669 -45.85881191,-67.9112792 -45.8592776,-67.9102921 -45.8588293,-67.9105067 -45.8586425,-67.91058213 -45.85962973,-67.9145408 -45.8594047,-67.9124916 -45.858777,-67.9112792 -45.8592776,-67.91347499 -45.85938782,-67.9153347 -45.8605702,-67.9157317 -45.8599725,-67.9146159 -45.859457,-67.91412974 -45.86109479,-67.9219651 -45.8610335,-67.9157424 -45.8609887,-67.92116295 -45.86077528,-67.9235315 -45.8601219,-67.9222655 -45.8604731,-67.92204432 -45.86025045,-67.9253769 -45.8604208,-67.9236388 -45.8595317,-67.9233384 -45.8597857,-67.92472033 -45.86078317,-67.9288423 -45.860757,-67.9286063 -45.8609812,-67.9269433 -45.8608168,-67.9254305 -45.8610559,-67.9256237 -45.8606898,-67.92827234 -45.86082887,-67.9307091 -45.86097370000001,-67.9287457 -45.8609588,-67.9288423 -45.860757,-67.92973166 -45.86112334,-67.9343569 -45.8614145,-67.9335523 -45.861549,-67.9334021 -45.8611381,-67.9309666 -45.8609214,-67.93332777 -45.86169272,-67.9375219 -45.8620421,-67.9357517 -45.861085800000005,-67.9346144 -45.8614519,-67.93652197 -45.86222667,-67.9388309 -45.8607794,-67.938112 -45.8611007,-67.9377472 -45.860899,-67.9362881 -45.8614743,-67.9374897 -45.8619749,-67.93809539 -45.86091501,-67.9389811 -45.8623559,-67.9389596 -45.8618329,-67.9381979 -45.8610783,-67.9390669 -45.8607794,-67.93749455 -45.86270022,-67.9407942 -45.8630844,-67.9403758 -45.8621878,-67.9386914 -45.8624792,-67.94016816 -45.86304785,-67.9412395 -45.8636896,-67.94085860000001 -45.8628677,-67.94026881 -45.86394522,-67.9413575 -45.8643508,-67.94191 -45.8638801,-67.9413092 -45.8637717,-67.9397787 -45.86446671,-67.939437 -45.8659907,-67.9410034 -45.8642985,-67.93820898 -45.86621382,,-67.93822649 -45.86645361,-67.9383588 -45.8674437,-67.9380101 -45.8666929,-67.9392922 -45.8661064,-67.9400271 -45.8665472</t>
  </si>
  <si>
    <t>-67.9400271 -45.8665472,-67.9383588 -45.8674437,-67.9380584 -45.8682655,-67.9363847 -45.8693786,-67.9365671 -45.8696326,-67.93551008 -45.87004015,-67.936492 -45.8696625,-67.9362881 -45.8694234,-67.9350436 -45.8703273,-67.9347003 -45.8699986,-67.933282 -45.87018527,-67.9337347 -45.872531,-67.9350007 -45.8704245,-67.9346895 -45.8701032,-67.93292309 -45.87290945,-67.9305589 -45.8765722,-67.9309773 -45.8765423,-67.9323184 -45.875011,-67.9336917 -45.8726132,-67.92916705 -45.87686758,-67.9288745 -45.8790371,-67.9299796 -45.8786337,-67.9304302 -45.8776552,-67.9309022 -45.8766245,-67.9306126 -45.8766543,-67.92746283 -45.879252,-67.9288745 -45.8790371,-67.9299045 -45.8786188,-67.929765 -45.8784918,-67.9247224 -45.8798512,-67.9241753 -45.8796943,-67.92260289 -45.87981886,-67.9231775 -45.8798138,-67.9230273 -45.8801051,-67.9220295 -45.8802022,-67.9198301 -45.8807027,-67.9191542 -45.8814645,-67.9198301 -45.8813375,-67.91930941 -45.88137118,-67.9183173 -45.8833018,-67.9179525 -45.8832943,-67.9178452 -45.8829358,-67.9186606 -45.8819873,-67.9191113 -45.8815466,-67.9197979 -45.8813898,-67.91747464 -45.88372353,-67.9166651 -45.8823159,-67.9170835 -45.8822711,-67.9178345 -45.8833989,-67.9184783 -45.8832943,-67.91541483 -45.88231338,-67.911365 -45.8831076,-67.9142618 -45.8826968,-67.9159892 -45.8825026,-67.90970498 -45.88326091,-67.9076958 -45.8841084,-67.9082644 -45.8839366,-67.9093373 -45.8833167,-67.9103136 -45.8831972,-67.90591516 -45.88446218,,-67.90594775 -45.88423937,-67.9066443 -45.8844071,-67.9062474 -45.8852585,-67.908833 -45.885968,-67.9091012 -45.8864012,-67.90705336 -45.88840606,-67.9052818 -45.8875736,-67.90654780000001 -45.8882084,-67.9074919 -45.8882756,-67.90362098 -45.8874036,-67.9039729 -45.8871629,-67.9034686 -45.8869165,-67.9041123 -45.886192,-67.9042947 -45.8847656,-67.90316820000001 -45.883637900000004,-67.90293219 -45.8836944,-67.90316820000001 -45.883637900000004,-67.9026854 -45.8831823,-67.9021275 -45.8832794,-67.900722 -45.8842279,-67.9001105 -45.8851465,-67.8995955 -45.8843175,-67.89811074 -45.88424629,-67.896452 -45.8842129,-67.8972995 -45.8841607,-67.8987801 -45.8833839,-67.8993165 -45.8836304,-67.89478887 -45.88442779,-67.895658 -45.88465360000001,-67.8955078 -45.8872675,-67.89402720000001 -45.888186,-67.89313670000001 -45.8879097,-67.8935552 -45.8866999,-67.891624 -45.8850718,-67.88986813 -45.88509226,-67.8916669 -45.8851316,-67.891463 -45.8853332,-67.8890061 -45.8855946,-67.8886521 -45.8849672,-67.88725199 -45.88498287,-67.8877938 -45.885251,-67.8862166 -45.8849523,-67.88477851 -45.88530377,-67.8863347 -45.8849448,-67.8869569 -45.8849672,-67.8874826 -45.883847,-67.8903258 -45.883570600000006,-67.88934482 -45.88367092,-67.8808522 -45.8847432,-67.8831053 -45.8843548,-67.884897 -45.8834586,-67.8876114 -45.88378720000001,-67.8901434 -45.8835856,-67.87931365 -45.88515467,-67.8775477 -45.8859232,-67.87784810000001 -45.8854153,-67.8789425 -45.8862742,-67.879554 -45.8862667,-67.8829443 -45.8844743,-67.8806055 -45.8848253,-67.87597578 -45.88674947,,-67.87630061 -45.88642699,-67.8775907 -45.885744,-67.8778374 -45.8851241,-67.8766251 -45.8844594,-67.8767002 -45.8840561,-67.8758872 -45.88413516,-67.8738034 -45.8829806,-67.8739858 -45.8834512,-67.87655 -45.8844445,-67.8765929 -45.8840262,-67.87263059 -45.88283868,-67.8737283 -45.8829508,-67.8736854 -45.8833242,-67.8730094 -45.8829134,-67.8686643 -45.8830254,-67.86703039 -45.88312685,-67.8685462 -45.8831151,-67.869308 -45.8829582,-67.8708422 -45.883018,-67.8705847 -45.8839366,-67.8693122 -45.8842458,-67.8672695 -45.88491500000001,-67.867409 -45.8861099,-67.8680742 -45.8863339,-67.8686106 -45.8860875,-67.8688896 -45.8849822,-67.870338 -45.8842577,-67.86589689 -45.88477956,-67.86739830000002 -45.8868567,-67.8667223 -45.8862667,-67.8672802 -45.8848552,-67.86685323 -45.88712476,-67.8674626 -45.88708080000001,-67.866658 -45.886864200000005,-67.8658855 -45.887125600000005,-67.8670657 -45.8886864,-67.86520231 -45.88917465,-67.8652418 -45.8907101,-67.8656602 -45.890351700000004,-67.8659928 -45.88941820000001,-67.86328043 -45.89089136,-67.86183 -45.8907101,-67.8635895 -45.8906578,-67.85994544 -45.89074459,-67.8583002 -45.8906802,-67.8604245 -45.8905832,-67.85652652 -45.89043864,-67.8569698 -45.8905682,-67.8562617 -45.8905682,-67.8551674 -45.8886042,-67.8555107 -45.8875214,-67.8557789 -45.88838020000001,-67.85537987 -45.88855243,-67.8570557 -45.8887461,-67.8588152 -45.88891790000001,-67.85821176 -45.88888764,-67.8587294 -45.8888955,-67.8575063 -45.8884847,-67.8571844 -45.8880441,-67.8625596 -45.8886864,-67.86188362 -45.88914946;-67.86188362 -45.88914946,-67.8587294 -45.8888955,-67.8575063 -45.8884847,-67.8571844 -45.8880441,-67.8625596 -45.8886864,-67.85821176 -45.88888764,-67.8570557 -45.8887461,-67.8588152 -45.88891790000001,-67.85537987 -45.88855243,-67.8569698 -45.8905682,-67.8562617 -45.8905682,-67.8551674 -45.8886042,-67.8555107 -45.8875214,-67.8557789 -45.88838020000001,-67.85652652 -45.89043864,-67.8583002 -45.8906802,-67.8604245 -45.8905832,-67.85994544 -45.89074459,-67.86183 -45.8907101,-67.8635895 -45.8906578,-67.86328043 -45.89089136,-67.8652418 -45.8907101,-67.8656602 -45.890351700000004,-67.8659928 -45.88941820000001,-67.86520231 -45.88917465,-67.8674626 -45.88708080000001,-67.866658 -45.886864200000005,-67.8658855 -45.887125600000005,-67.8670657 -45.8886864,-67.86685323 -45.88712476,-67.86739830000002 -45.8868567,-67.8667223 -45.8862667,-67.8672802 -45.8848552,-67.86589689 -45.88477956,-67.8672695 -45.88491500000001,-67.867409 -45.8861099,-67.8680742 -45.8863339,-67.8686106 -45.8860875,-67.8688896 -45.8849822,-67.870338 -45.8842577,-67.8693122 -45.8842458,-67.8685462 -45.8831151,-67.869308 -45.8829582,-67.8708422 -45.883018,-67.8705847 -45.8839366,-67.86703039 -45.88312685,-67.8737283 -45.8829508,-67.8736854 -45.8833242,-67.8730094 -45.8829134,-67.8686643 -45.8830254,-67.87263059 -45.88283868,-67.8738034 -45.8829806,-67.8739858 -45.8834512,-67.87655 -45.8844445,-67.8765929 -45.8840262,-67.8758872 -45.88413516,-67.8775907 -45.885744,-67.8778374 -45.8851241,-67.8766251 -45.8844594,-67.8767002 -45.8840561,-67.87630061 -45.88642699,,-67.87597578 -45.88674947,-67.8775477 -45.8859232,-67.87784810000001 -45.8854153,-67.8789425 -45.8862742,-67.879554 -45.8862667,-67.8829443 -45.8844743,-67.8806055 -45.8848253,-67.87931365 -45.88515467,-67.8808522 -45.8847432,-67.8831053 -45.8843548,-67.884897 -45.8834586,-67.8876114 -45.88378720000001,-67.8901434 -45.8835856,-67.88934482 -45.88367092,-67.8863347 -45.8849448,-67.8869569 -45.8849672,-67.8874826 -45.883847,-67.8903258 -45.883570600000006,-67.88477851 -45.88530377,-67.8877938 -45.885251,-67.8862166 -45.8849523,-67.88725199 -45.88498287,-67.8916669 -45.8851316,-67.891463 -45.8853332,-67.8890061 -45.8855946,-67.8886521 -45.8849672,-67.88986813 -45.88509226,-67.895658 -45.88465360000001,-67.8955078 -45.8872675,-67.89402720000001 -45.888186,-67.89313670000001 -45.8879097,-67.8935552 -45.8866999,-67.891624 -45.8850718,-67.89478887 -45.88442779,-67.896452 -45.8842129,-67.8972995 -45.8841607,-67.8987801 -45.8833839,-67.8993165 -45.8836304,-67.89811074 -45.88424629,-67.90316820000001 -45.883637900000004,-67.9026854 -45.8831823,-67.9021275 -45.8832794,-67.900722 -45.8842279,-67.9001105 -45.8851465,-67.8995955 -45.8843175,-67.90293219 -45.8836944,-67.9039729 -45.8871629,-67.9034686 -45.8869165,-67.9041123 -45.886192,-67.9042947 -45.8847656,-67.90316820000001 -45.883637900000004,-67.90362098 -45.8874036,-67.9022241 -45.8892913,-67.9030609 -45.889239,-67.9032218 -45.8889477,-67.9028785 -45.8877678,-67.9034686 -45.8869165,-67.9039729 -45.8871629,-67.90098858 -45.88903898,-67.9020846 -45.8894257,-67.9013014 -45.8899484,-67.8996277 -45.8906877,-67.899971 -45.8910611,-67.9025245 -45.8912403,-67.90201018 -45.89143448,-67.9100668 -45.8930624,-67.90882230000001 -45.8924799,-67.9064727 -45.8916734,-67.9044127 -45.8911507,-67.9037046 -45.8911806,-67.9095676 -45.89358013,-67.9101956 -45.899678,-67.9090798 -45.9005739,-67.9091763 -45.9006934,-67.9097128 -45.9003873,-67.9113436 -45.8999841,-67.9123521 -45.9008128,-67.9124165 -45.9004769,-67.9120195 -45.899566,-67.9120624 -45.8986177,-67.9110324 -45.8972513,-67.9111183 -45.8939286,-67.90953741 -45.89946636,-67.9101312 -45.899663,-67.9090261 -45.9007008,-67.9088652 -45.9010443,-67.9077709 -45.901328,-67.907331 -45.9009771,-67.9077816 -45.9005441,-67.9070628 -45.8999318,-67.90575154 -45.89995116,-67.9070628 -45.8999318,-67.9078245 -45.9006112,-67.9073203 -45.9009024,-67.9057217 -45.8997078,-67.904563 -45.8992225,-67.9035115 -45.8990209,-67.90181467 -45.89910477;-67.90181467 -45.89910477,-67.9070628 -45.8999318,-67.9078245 -45.9006112,-67.9073203 -45.9009024,-67.9057217 -45.8997078,-67.904563 -45.8992225,-67.9035115 -45.8990209,-67.90575154 -45.89995116,-67.9101312 -45.899663,-67.9090261 -45.9007008,-67.9088652 -45.9010443,-67.9077709 -45.901328,-67.907331 -45.9009771,-67.9077816 -45.9005441,-67.9070628 -45.8999318,-67.90953741 -45.89946636,-67.9101956 -45.899678,-67.9090798 -45.9005739,-67.9091763 -45.9006934,-67.9097128 -45.9003873,-67.9113436 -45.8999841,-67.9123521 -45.9008128,-67.9124165 -45.9004769,-67.9120195 -45.899566,-67.9120624 -45.8986177,-67.9110324 -45.8972513,-67.9111183 -45.8939286,-67.9095676 -45.89358013,-67.9100668 -45.8930624,-67.90882230000001 -45.8924799,-67.9064727 -45.8916734,-67.9044127 -45.8911507,-67.9037046 -45.8911806,-67.90201018 -45.89143448,-67.9020846 -45.8894257,-67.9013014 -45.8899484,-67.8996277 -45.8906877,-67.899971 -45.8910611,-67.9025245 -45.8912403,-67.90098858 -45.88903898,-67.9022241 -45.8892913,-67.9030609 -45.889239,-67.9032218 -45.8889477,-67.9028785 -45.8877678,-67.9034686 -45.8869165,-67.9039729 -45.8871629,-67.90362098 -45.8874036,-67.9052818 -45.8875736,-67.90654780000001 -45.8882084,-67.9074919 -45.8882756,-67.90705336 -45.88840606,-67.9066443 -45.8844071,-67.9062474 -45.8852585,-67.908833 -45.885968,-67.9091012 -45.8864012,-67.90594775 -45.88423937,,-67.90591516 -45.88446218,-67.9076958 -45.8841084,-67.9082644 -45.8839366,-67.9093373 -45.8833167,-67.9103136 -45.8831972,-67.90970498 -45.88326091,-67.911365 -45.8831076,-67.9142618 -45.8826968,-67.9159892 -45.8825026,-67.91541483 -45.88231338,-67.9166651 -45.8823159,-67.9170835 -45.8822711,-67.9178345 -45.8833989,-67.9184783 -45.8832943,-67.91747464 -45.88372353,-67.9183173 -45.8833018,-67.9179525 -45.8832943,-67.9178452 -45.8829358,-67.9186606 -45.8819873,-67.9191113 -45.8815466,-67.9197979 -45.8813898,-67.91930941 -45.88137118,-67.9231775 -45.8798138,-67.9230273 -45.8801051,-67.9220295 -45.8802022,-67.9198301 -45.8807027,-67.9191542 -45.8814645,-67.9198301 -45.8813375,-67.92260289 -45.87981886,-67.9288745 -45.8790371,-67.9299045 -45.8786188,-67.929765 -45.8784918,-67.9247224 -45.8798512,-67.9241753 -45.8796943,-67.92746283 -45.879252,-67.9288745 -45.8790371,-67.9299796 -45.8786337,-67.9304302 -45.8776552,-67.9309022 -45.8766245,-67.9306126 -45.8766543,-67.92916705 -45.87686758,-67.9305589 -45.8765722,-67.9309773 -45.8765423,-67.9323184 -45.875011,-67.9336917 -45.8726132,-67.93292309 -45.87290945,-67.9337347 -45.872531,-67.9350007 -45.8704245,-67.9346895 -45.8701032,-67.933282 -45.87018527,-67.936492 -45.8696625,-67.9362881 -45.8694234,-67.9350436 -45.8703273,-67.9347003 -45.8699986,-67.93551008 -45.87004015,-67.9383588 -45.8674437,-67.9380584 -45.8682655,-67.9363847 -45.8693786,-67.9365671 -45.8696326,-67.9400271 -45.8665472</t>
  </si>
  <si>
    <t>-67.9400271 -45.8665472,-67.9383588 -45.8674437,-67.9380584 -45.8682655,-67.9363847 -45.8693786,-67.9365671 -45.8696326,-67.93551008 -45.87004015,-67.936492 -45.8696625,-67.9362881 -45.8694234,-67.9350436 -45.8703273,-67.9347003 -45.8699986,-67.933282 -45.87018527,-67.9337347 -45.872531,-67.9350007 -45.8704245,-67.9346895 -45.8701032,-67.93292309 -45.87290945,-67.9305589 -45.8765722,-67.9309773 -45.8765423,-67.9323184 -45.875011,-67.9336917 -45.8726132,-67.92916705 -45.87686758,-67.9288745 -45.8790371,-67.9299796 -45.8786337,-67.9304302 -45.8776552,-67.9309022 -45.8766245,-67.9306126 -45.8766543,-67.92746283 -45.879252,-67.9288745 -45.8790371,-67.9299796 -45.8786337,-67.9308271 -45.8793582,-67.9310632 -45.8796271,-67.9308057 -45.8796645,-67.92926139 -45.87980166,-67.9308057 -45.8796645,-67.9309773 -45.8795823,-67.9308271 -45.8793582,-67.9319429 -45.8795524,-67.9332089 -45.8799333,-67.9339921 -45.8795524,-67.9349685 -45.8793358,-67.935698 -45.8793209,-67.93512028 -45.8793768,-67.9364383 -45.8791566,-67.9368889 -45.8790371,-67.9370821 -45.878798,-67.939657 -45.8787906,-67.9398179 -45.8784246,-67.93938002 -45.87863178,-67.9433799 -45.8793582,-67.9425859 -45.8792462,-67.9414809 -45.8788951,-67.9399574 -45.8788802,-67.9395819 -45.8785889,-67.9398179 -45.8784246,-67.94258106 -45.87928487,-67.9468131 -45.8799931,-67.9464698 -45.8794927,-67.9443026 -45.8791491,-67.9459034 -45.88040255,-67.9472744 -45.8827118,-67.9475963 -45.8819051,-67.9476392 -45.8807475,-67.9472208 -45.8805159,-67.94607409 -45.88311995,-67.9472744 -45.8852212,-67.9470921 -45.8844967,-67.9472423 -45.883959,-67.9472315 -45.8831823,-67.94628753 -45.88560005,-67.9487872 -45.8868418,-67.9495382 -45.8874766,-67.9496884 -45.88726,-67.9485726 -45.886095,-67.9476714 -45.8855871,-67.94746568 -45.88694764,-67.948755 -45.886894,-67.9494202 -45.887484,-67.9503751 -45.8875587,-67.9509008 -45.8873571,-67.9508793 -45.8868716,-67.94972726 -45.88693813,-67.951051 -45.8868418,-67.9516089 -45.886207,-67.952832 -45.8866028,-67.95178221 -45.88666191,-67.9531646 -45.88667,-67.9533255 -45.8870733,-67.9523599 -45.8875064,-67.9523385 -45.888074,-67.9529393 -45.8886416,-67.95220821 -45.8890951;-67.95220821 -45.8890951,-67.9531646 -45.88667,-67.9533255 -45.8870733,-67.9523599 -45.8875064,-67.9523385 -45.888074,-67.9529393 -45.8886416,-67.95178221 -45.88666191,-67.951051 -45.8868418,-67.9516089 -45.886207,-67.952832 -45.8866028,-67.94972726 -45.88693813,-67.948755 -45.886894,-67.9494202 -45.887484,-67.9503751 -45.8875587,-67.9509008 -45.8873571,-67.9508793 -45.8868716,-67.94746568 -45.88694764,-67.9487872 -45.8868418,-67.9495382 -45.8874766,-67.9496884 -45.88726,-67.9485726 -45.886095,-67.9476714 -45.8855871,-67.94628753 -45.88560005,-67.9472744 -45.8852212,-67.9470921 -45.8844967,-67.9472423 -45.883959,-67.9472315 -45.8831823,-67.94607409 -45.88311995,-67.9472744 -45.8827118,-67.9475963 -45.8819051,-67.9476392 -45.8807475,-67.9472208 -45.8805159,-67.9459034 -45.88040255,-67.9468131 -45.8799931,-67.9464698 -45.8794927,-67.9443026 -45.8791491,-67.94258106 -45.87928487,-67.9433799 -45.8793582,-67.9425859 -45.8792462,-67.9414809 -45.8788951,-67.9399574 -45.8788802,-67.9395819 -45.8785889,-67.9398179 -45.8784246,-67.93938002 -45.87863178,-67.9364383 -45.8791566,-67.9368889 -45.8790371,-67.9370821 -45.878798,-67.939657 -45.8787906,-67.9398179 -45.8784246,-67.93512028 -45.8793768,-67.9308057 -45.8796645,-67.9309773 -45.8795823,-67.9308271 -45.8793582,-67.9319429 -45.8795524,-67.9332089 -45.8799333,-67.9339921 -45.8795524,-67.9349685 -45.8793358,-67.935698 -45.8793209,-67.92926139 -45.87980166,-67.9288745 -45.8790371,-67.9299796 -45.8786337,-67.9308271 -45.8793582,-67.9310632 -45.8796271,-67.9308057 -45.8796645,-67.92746283 -45.879252,-67.9288745 -45.8790371,-67.9299045 -45.8786188,-67.929765 -45.8784918,-67.9247224 -45.8798512,-67.9241753 -45.8796943,-67.92260289 -45.87981886,-67.9231775 -45.8798138,-67.9230273 -45.8801051,-67.9220295 -45.8802022,-67.9198301 -45.8807027,-67.9191542 -45.8814645,-67.9198301 -45.8813375,-67.91930941 -45.88137118,-67.9183173 -45.8833018,-67.9179525 -45.8832943,-67.9178452 -45.8829358,-67.9186606 -45.8819873,-67.9191113 -45.8815466,-67.9197979 -45.8813898,-67.91747464 -45.88372353,-67.9166651 -45.8823159,-67.9170835 -45.8822711,-67.9178345 -45.8833989,-67.9184783 -45.8832943,-67.91541483 -45.88231338,-67.911365 -45.8831076,-67.9142618 -45.8826968,-67.9159892 -45.8825026,-67.90970498 -45.88326091,-67.9076958 -45.8841084,-67.9082644 -45.8839366,-67.9093373 -45.8833167,-67.9103136 -45.8831972,-67.90591516 -45.88446218,,-67.90594775 -45.88423937,-67.9066443 -45.8844071,-67.9062474 -45.8852585,-67.908833 -45.885968,-67.9091012 -45.8864012,-67.90705336 -45.88840606,-67.9052818 -45.8875736,-67.90654780000001 -45.8882084,-67.9074919 -45.8882756,-67.90362098 -45.8874036,-67.9039729 -45.8871629,-67.9034686 -45.8869165,-67.9041123 -45.886192,-67.9042947 -45.8847656,-67.90316820000001 -45.883637900000004,-67.90293219 -45.8836944,-67.90316820000001 -45.883637900000004,-67.9026854 -45.8831823,-67.9021275 -45.8832794,-67.900722 -45.8842279,-67.9001105 -45.8851465,-67.8995955 -45.8843175,-67.89811074 -45.88424629,-67.896452 -45.8842129,-67.8972995 -45.8841607,-67.8987801 -45.8833839,-67.8993165 -45.8836304,-67.89478887 -45.88442779,-67.895658 -45.88465360000001,-67.8955078 -45.8872675,-67.89402720000001 -45.888186,-67.89313670000001 -45.8879097,-67.8935552 -45.8866999,-67.891624 -45.8850718,-67.88986813 -45.88509226,-67.8916669 -45.8851316,-67.891463 -45.8853332,-67.8890061 -45.8855946,-67.8886521 -45.8849672,-67.88725199 -45.88498287,-67.8877938 -45.885251,-67.8862166 -45.8849523,-67.88477851 -45.88530377,-67.8847039 -45.885542300000004,-67.8854334 -45.8851465,-67.88304639 -45.88588109,-67.8838027 -45.88608,-67.882483 -45.8868716,-67.88085052 -45.88709026,-67.8783846 -45.8885519,-67.8803802 -45.8880143,-67.8826654 -45.8868044,-67.8823113 -45.8868119,-67.87661058 -45.88889945,-67.8765285 -45.89045620000001,-67.877773 -45.8901799,-67.8803802 -45.8880143,-67.8783846 -45.8885519,-67.87484305 -45.89067788,-67.8792322 -45.8901127,-67.877934 -45.8900903,-67.8765285 -45.89045620000001,-67.87813787 -45.88993585,-67.8788996 -45.8901426,-67.877934 -45.8900903,-67.8774834 -45.8904786,-67.8777945 -45.8925098,-67.8783524 -45.8919348,-67.87768072 -45.89180609,-67.877419 -45.893361,-67.8777194 -45.8924724,-67.8782558 -45.8919497,-67.87597121 -45.89385401,-67.8765607 -45.8939958,-67.8749728 -45.8950561,-67.8745329 -45.895832600000006,-67.8753376 -45.896079,-67.87484942 -45.89595746,-67.8758526 -45.8962209,-67.8745222 -45.8968183,-67.87714 -45.8974753,-67.87660436 -45.89789111;-67.87660436 -45.89789111,-67.8758526 -45.8962209,-67.8745222 -45.8968183,-67.87714 -45.8974753,-67.87484942 -45.89595746,-67.8765607 -45.8939958,-67.8749728 -45.8950561,-67.8745329 -45.895832600000006,-67.8753376 -45.896079,-67.87597121 -45.89385401;-67.87597121 -45.89385401,-67.877419 -45.893361,-67.8777194 -45.8924724,-67.8782558 -45.8919497,-67.87768072 -45.89180609,-67.8788996 -45.8901426,-67.877934 -45.8900903,-67.8774834 -45.8904786,-67.8777945 -45.8925098,-67.8783524 -45.8919348,-67.87813787 -45.88993585,-67.8792322 -45.8901127,-67.877934 -45.8900903,-67.8765285 -45.89045620000001,-67.87484305 -45.89067788,-67.8765285 -45.89045620000001,-67.877773 -45.8901799,-67.8803802 -45.8880143,-67.8783846 -45.8885519,-67.87661058 -45.88889945,-67.8783846 -45.8885519,-67.8803802 -45.8880143,-67.8826654 -45.8868044,-67.8823113 -45.8868119,-67.88085052 -45.88709026,-67.8838027 -45.88608,-67.882483 -45.8868716,-67.88304639 -45.88588109,-67.8847039 -45.885542300000004,-67.8854334 -45.8851465,-67.88477851 -45.88530377,-67.8877938 -45.885251,-67.8862166 -45.8849523,-67.88725199 -45.88498287,-67.8916669 -45.8851316,-67.891463 -45.8853332,-67.8890061 -45.8855946,-67.8886521 -45.8849672,-67.88986813 -45.88509226,-67.895658 -45.88465360000001,-67.8955078 -45.8872675,-67.89402720000001 -45.888186,-67.89313670000001 -45.8879097,-67.8935552 -45.8866999,-67.891624 -45.8850718,-67.89478887 -45.88442779,-67.896452 -45.8842129,-67.8972995 -45.8841607,-67.8987801 -45.8833839,-67.8993165 -45.8836304,-67.89811074 -45.88424629,-67.90316820000001 -45.883637900000004,-67.9026854 -45.8831823,-67.9021275 -45.8832794,-67.900722 -45.8842279,-67.9001105 -45.8851465,-67.8995955 -45.8843175,-67.90293219 -45.8836944,-67.9039729 -45.8871629,-67.9034686 -45.8869165,-67.9041123 -45.886192,-67.9042947 -45.8847656,-67.90316820000001 -45.883637900000004,-67.90362098 -45.8874036,-67.9052818 -45.8875736,-67.90654780000001 -45.8882084,-67.9074919 -45.8882756,-67.90705336 -45.88840606,-67.9066443 -45.8844071,-67.9062474 -45.8852585,-67.908833 -45.885968,-67.9091012 -45.8864012,-67.90594775 -45.88423937,,-67.90591516 -45.88446218,-67.9076958 -45.8841084,-67.9082644 -45.8839366,-67.9093373 -45.8833167,-67.9103136 -45.8831972,-67.90970498 -45.88326091,-67.911365 -45.8831076,-67.9142618 -45.8826968,-67.9159892 -45.8825026,-67.91541483 -45.88231338,-67.9166651 -45.8823159,-67.9170835 -45.8822711,-67.9178345 -45.8833989,-67.9184783 -45.8832943,-67.91747464 -45.88372353,-67.9183173 -45.8833018,-67.9179525 -45.8832943,-67.9178452 -45.8829358,-67.9186606 -45.8819873,-67.9191113 -45.8815466,-67.9197979 -45.8813898,-67.91930941 -45.88137118,-67.9231775 -45.8798138,-67.9230273 -45.8801051,-67.9220295 -45.8802022,-67.9198301 -45.8807027,-67.9191542 -45.8814645,-67.9198301 -45.8813375,-67.92260289 -45.87981886,-67.9288745 -45.8790371,-67.9299045 -45.8786188,-67.929765 -45.8784918,-67.9247224 -45.8798512,-67.9241753 -45.8796943,-67.92746283 -45.879252,-67.9288745 -45.8790371,-67.9299796 -45.8786337,-67.9304302 -45.8776552,-67.9309022 -45.8766245,-67.9306126 -45.8766543,-67.92916705 -45.87686758,-67.9305589 -45.8765722,-67.9309773 -45.8765423,-67.9323184 -45.875011,-67.9336917 -45.8726132,-67.93292309 -45.87290945,-67.9337347 -45.872531,-67.9350007 -45.8704245,-67.9346895 -45.8701032,-67.933282 -45.87018527,-67.936492 -45.8696625,-67.9362881 -45.8694234,-67.9350436 -45.8703273,-67.9347003 -45.8699986,-67.93551008 -45.87004015,-67.9383588 -45.8674437,-67.9380584 -45.8682655,-67.9363847 -45.8693786,-67.9365671 -45.8696326,-67.9400271 -45.8665472</t>
  </si>
  <si>
    <t>-67.9400271 -45.8665472,-67.9383588 -45.8674437,-67.9380101 -45.8666929,-67.9392922 -45.8661064,-67.93822649 -45.86645361,,-67.93820898 -45.86621382,-67.939437 -45.8659907,-67.9410034 -45.8642985,-67.9397787 -45.86446671,-67.9413575 -45.8643508,-67.94191 -45.8638801,-67.9413092 -45.8637717,-67.94026881 -45.86394522,-67.9412395 -45.8636896,-67.94085860000001 -45.8628677,-67.94016816 -45.86304785,-67.9407513 -45.863103100000004,-67.9403973 -45.8622551,-67.93757020000001 -45.8636746,-67.93638614 -45.8639203,-67.9374468 -45.8637643,-67.93648120000002 -45.8648999,-67.93542287 -45.86514387,-67.9364544 -45.8650082,-67.9343033 -45.8651128,-67.93322311 -45.86539389,-67.934196 -45.8650755,-67.9339492 -45.8648887,-67.9318678 -45.8652174,-67.93025624 -45.86524613,-67.92887450000002 -45.8655984,-67.929647 -45.8660093,-67.9311919 -45.8652622,-67.92761571 -45.86576064,-67.9284239 -45.8655835,-67.9270077 -45.8655162,-67.92568273 -45.86555172,,-67.92617947 -45.86596757,-67.9266429 -45.8657927,-67.9259992 -45.8665696,-67.92478129 -45.86687146,-67.9258382 -45.86658460000001,-67.9220402 -45.8663903,-67.92069068 -45.86664171,-67.9224908 -45.8663306,-67.9191971 -45.8656582,-67.91774956 -45.8661538,-67.9187572 -45.8661064,-67.9176843 -45.8663679,-67.9172981 -45.8656657,-67.91575239 -45.86551598,-67.9164934 -45.8652398,-67.9147875 -45.8642536,-67.9133606 -45.865322,-67.9120409 -45.8651352,-67.91093971 -45.86527418,-67.9122448 -45.8649709,-67.911129 -45.8644105,-67.9103887 -45.8645226,-67.90917641 -45.86476613,-67.9100668 -45.8647318,-67.9098523 -45.8659197,-67.9103565 -45.8661513,-67.90947109 -45.86641003,-67.9100454 -45.8663754,-67.9094982 -45.8663306,-67.909627 -45.86429100000001,-67.90869072 -45.86438156,-67.9108179 -45.86391,-67.9094768 -45.8638353,-67.9077816 -45.8657329,-67.9066443 -45.8662484,-67.90565529 -45.8665856,-67.9061723 -45.8665771,-67.905035 -45.8664202,-67.9036188 -45.866734,-67.90238643 -45.86679139,-67.903533 -45.8667116,-67.9017627 -45.8675035,-67.9002507 -45.8689297,-67.89914372 -45.86914198,-67.8994882 -45.8693338,-67.8977072 -45.8699986,-67.8991663 -45.8716197,-67.89860307 -45.87190083,-67.8970957 -45.8693338,-67.8969562 -45.8699688,-67.8972459 -45.8707905,-67.898823 -45.87161220000001,-67.89665012 -45.86917164,-67.8979433 -45.8688258,-67.8980505 -45.8673541,-67.89633441 -45.86762629,-67.9010761 -45.8657478,-67.9006255 -45.8656731,-67.8978789 -45.8672495,-67.90019361 -45.86598642;-67.90019361 -45.86598642,-67.9010761 -45.8657478,-67.9006255 -45.8656731,-67.8978789 -45.8672495,-67.89633441 -45.86762629,-67.8971064 -45.8687063,-67.897085 -45.8680787,-67.8974926 -45.8676155,-67.89593684 -45.869071,-67.8968167 -45.8732108,-67.8973424 -45.8716645,-67.8965807 -45.8705066,-67.89683820000002 -45.8692143,-67.8963447 -45.8685942,-67.895268 -45.8734552,-67.8968275 -45.8739055,-67.8966451 -45.8731809,-67.89611117 -45.87416671;-67.89611117 -45.87416671,-67.8992522 -45.8749438,-67.8973424 -45.8751455,-67.8970528 -45.8743089,-67.89863672 -45.87485225,-67.8992522 -45.8749438,-67.8973424 -45.8751455,-67.8966451 -45.875362100000004,-67.8955722 -45.8745031,-67.89489679 -45.87455424,-67.8954864 -45.8744359,-67.8949392 -45.8739429,-67.895143 -45.8733378,-67.8949499 -45.8727701,-67.89420174 -45.8725767,-67.8951538 -45.8720604,-67.8954649 -45.8713209,-67.8950679 -45.870671,-67.8955185 -45.8706112,-67.89468537 -45.87097799,-67.8955185 -45.8706112,-67.895025 -45.8705813,-67.8944993 -45.8697073,-67.89334262 -45.86982277,-67.8929329 -45.86721210000001,-67.894392 -45.8695056,-67.89194102 -45.86726393,-67.8926647 -45.8667714,-67.8914416 -45.865972,-67.88982897 -45.86617984,-67.8899288 -45.8678098,-67.8895211 -45.8675184,-67.8886414 -45.8671001,-67.8869569 -45.8665398,-67.8880835 -45.86621850000001,-67.8924072 -45.8666593,-67.8915596 -45.865957,-67.88880717 -45.86815467,,-67.88877281 -45.86858617,-67.8896284 -45.868654,-67.8885341 -45.8711117,-67.889092 -45.8708652,-67.88842641 -45.87090404,-67.8895426 -45.8722024,-67.888298 -45.8715525,-67.8881264 -45.8713806,-67.8885341 -45.8711117,-67.8891778 -45.8709175,-67.88809317 -45.872722,-67.888577 -45.8727551,-67.887826 -45.8726879,-67.8874612 -45.8724265,-67.8859162 -45.87245630000001,-67.88421848 -45.87259067;-67.88421848 -45.87259067,-67.8848326 -45.8722098,-67.8848219 -45.8712163,-67.8845108 -45.87091,-67.8840923 -45.870671,-67.883395 -45.8705216,-67.8816957 -45.8704776,,-67.88103676 -45.87046125;-67.88103676 -45.87046125,,-67.8816957 -45.8704776,-67.8848326 -45.8722098,-67.8848219 -45.8712163,-67.8845108 -45.87091,-67.8840923 -45.870671,-67.883395 -45.8705216,-67.88421848 -45.87259067,-67.888577 -45.8727551,-67.887826 -45.8726879,-67.8874612 -45.8724265,-67.8859162 -45.87245630000001,-67.88809317 -45.872722,-67.8895426 -45.8722024,-67.888298 -45.8715525,-67.8881264 -45.8713806,-67.8885341 -45.8711117,-67.8891778 -45.8709175,-67.88842641 -45.87090404,-67.8896284 -45.868654,-67.8885341 -45.8711117,-67.889092 -45.8708652,-67.88877281 -45.86858617,,-67.88880717 -45.86815467,-67.8899288 -45.8678098,-67.8895211 -45.8675184,-67.8886414 -45.8671001,-67.8869569 -45.8665398,-67.8880835 -45.86621850000001,-67.8924072 -45.8666593,-67.8915596 -45.865957,-67.88982897 -45.86617984,-67.8914094 -45.8658749,-67.893244 -45.8652249,-67.8924736 -45.86523062,,-67.89265327 -45.86524891;-67.89265327 -45.86524891,,-67.8924736 -45.86523062,-67.8942311 -45.8647841,-67.8944886 -45.8644778,-67.8944886 -45.8640444,-67.8955936 -45.8639772,-67.8958511 -45.8637307,-67.8946526 -45.86372426,-67.8962696 -45.8632899,-67.8974175 -45.8625203,-67.8984583 -45.8622177,-67.89779792 -45.86312838,,-67.8975525 -45.86346654,-67.8993487 -45.8636634,-67.8988981 -45.8636933,-67.89861920000001 -45.8635215,-67.89867893 -45.86374335,-67.9039943 -45.8644255,-67.9028034 -45.8637381,-67.8999174 -45.8635812,-67.90314798 -45.8648888,-67.906419 -45.86626330000001,-67.9050887 -45.8652025,-67.9043591 -45.864814,-67.90565529 -45.8665856,-67.9108179 -45.86391,-67.9094768 -45.8638353,-67.9077816 -45.8657329,-67.9066443 -45.8662484,-67.90869072 -45.86438156,-67.9100454 -45.8663754,-67.9094982 -45.8663306,-67.909627 -45.86429100000001,-67.90947109 -45.86641003,-67.9100668 -45.8647318,-67.9098523 -45.8659197,-67.9103565 -45.8661513,-67.90917641 -45.86476613,-67.9122448 -45.8649709,-67.911129 -45.8644105,-67.9103887 -45.8645226,-67.91093971 -45.86527418,-67.9164934 -45.8652398,-67.9147875 -45.8642536,-67.9133606 -45.865322,-67.9120409 -45.8651352,-67.91575239 -45.86551598,-67.9187572 -45.8661064,-67.9176843 -45.8663679,-67.9172981 -45.8656657,-67.91774956 -45.8661538,-67.9224908 -45.8663306,-67.9191971 -45.8656582,-67.92069068 -45.86664171,-67.9258382 -45.86658460000001,-67.9220402 -45.8663903,-67.92478129 -45.86687146,-67.9266429 -45.8657927,-67.9259992 -45.8665696,-67.92617947 -45.86596757,,-67.92568273 -45.86555172,-67.9284239 -45.8655835,-67.9270077 -45.8655162,-67.92761571 -45.86576064,-67.92887450000002 -45.8655984,-67.929647 -45.8660093,-67.9311919 -45.8652622,-67.93025624 -45.86524613,-67.934196 -45.8650755,-67.9339492 -45.8648887,-67.9318678 -45.8652174,-67.93322311 -45.86539389,-67.9364544 -45.8650082,-67.9343033 -45.8651128,-67.93542287 -45.86514387,-67.9374468 -45.8637643,-67.93648120000002 -45.8648999,-67.93638614 -45.8639203,-67.9407513 -45.863103100000004,-67.9403973 -45.8622551,-67.93757020000001 -45.8636746,-67.94016816 -45.86304785,-67.9412395 -45.8636896,-67.94085860000001 -45.8628677,-67.94026881 -45.86394522,-67.9413575 -45.8643508,-67.94191 -45.8638801,-67.9413092 -45.8637717,-67.9397787 -45.86446671,-67.939437 -45.8659907,-67.9410034 -45.8642985,-67.93820898 -45.86621382,,-67.93822649 -45.86645361,-67.9383588 -45.8674437,-67.9380101 -45.8666929,-67.9392922 -45.8661064,-67.9400271 -45.8665472</t>
  </si>
  <si>
    <t>-67.9400271 -45.8665472,-67.9383588 -45.8674437,-67.9380584 -45.8682655,-67.9363847 -45.8693786,-67.9365671 -45.8696326,-67.93551008 -45.87004015,-67.936492 -45.8696625,-67.9362881 -45.8694234,-67.9350436 -45.8703273,-67.9347003 -45.8699986,-67.933282 -45.87018527,-67.9337347 -45.872531,-67.9350007 -45.8704245,-67.9346895 -45.8701032,-67.93292309 -45.87290945,-67.9305589 -45.8765722,-67.9309773 -45.8765423,-67.9323184 -45.875011,-67.9336917 -45.8726132,-67.92916705 -45.87686758,-67.9288745 -45.8790371,-67.9299796 -45.8786337,-67.9304302 -45.8776552,-67.9309022 -45.8766245,-67.9306126 -45.8766543,-67.92746283 -45.879252,-67.9288745 -45.8790371,-67.9299045 -45.8786188,-67.929765 -45.8784918,-67.9247224 -45.8798512,-67.9241753 -45.8796943,-67.92260289 -45.87981886,-67.9231775 -45.8798138,-67.9230273 -45.8801051,-67.9220295 -45.8802022,-67.9198301 -45.8807027,-67.9191542 -45.8814645,-67.9198301 -45.8813375,-67.91930941 -45.88137118,-67.9183173 -45.8833018,-67.9179525 -45.8832943,-67.9178452 -45.8829358,-67.9186606 -45.8819873,-67.9191113 -45.8815466,-67.9197979 -45.8813898,-67.91747464 -45.88372353,-67.9183924 -45.8832943,-67.9178345 -45.8833989,-67.9181349 -45.883832,-67.9182851 -45.8847656,-67.9179955 -45.8868492,-67.9182959 -45.887021,-67.918725 -45.8867895,-67.9189289 -45.8859232,-67.91833856 -45.88592331,-67.9201949 -45.8901426,-67.920785 -45.8896646,-67.9178774 -45.8882906,-67.9180706 -45.8870061,-67.9186499 -45.8868642,-67.918961 -45.8857962,-67.91840225 -45.89042054,-67.9217613 -45.8923082,-67.9222977 -45.8918228,-67.9222763 -45.8910238,-67.921139 -45.8899783,-67.9201734 -45.8900156,-67.92052611 -45.89317192;-67.92052611 -45.89317192,-67.9211497 -45.8932565,-67.9207635 -45.8937941,-67.9185104 -45.8933685,-67.9182851 -45.8928831,-67.9197979 -45.8909565,-67.9196584 -45.8908744,-67.919358 -45.8912851,-67.917856 -45.8928831,-67.91657701 -45.89351753,-67.9165363 -45.8956086,-67.9175019 -45.8947275,-67.9165041 -45.893712,-67.9164827 -45.892689,-67.9183388 -45.8916958,-67.9195189 -45.8908296,-67.9196799 -45.8909341,-67.9177058 -45.8929802,-67.91506756 -45.89602857,-67.9198515 -45.8952876,-67.9187465 -45.8950934,-67.9171157 -45.8950187,-67.9165041 -45.8955564,-67.91895387 -45.89557581,-67.9221904 -45.8981548,-67.9233706 -45.8984385,-67.9223728 -45.8974903,-67.9203773 -45.8967212,-67.9203129 -45.8957953,-67.92046749 -45.89809236,-67.9312027 -45.9008128,-67.9299688 -45.9015296,-67.9282737 -45.9003723,-67.9263103 -45.8994316,-67.9232204 -45.8984983,-67.9221046 -45.8981623,-67.93028301 -45.90068278,-67.9313636 -45.9007755,-67.9299688 -45.9015296,-67.9309559 -45.9024778,-67.931664 -45.9022687,-67.9323721 -45.9010144,-67.9335737 -45.900447,-67.9371786 -45.9012832,-67.9379082 -45.9021045,-67.9396677 -45.9026719,-67.941041 -45.9025674,-67.94048121 -45.90255833,-67.9417276 -45.9060912,-67.9426718 -45.9047623,-67.9416203 -45.9047773,-67.9445601 -45.9035379,-67.942543 -45.9026271,-67.94070253 -45.90708056,-67.9419637 -45.9061061,-67.9426718 -45.9047623,-67.9415345 -45.9048967,-67.938745 -45.9059568,-67.9340029 -45.9072707,-67.9353547 -45.9073006,-67.93482704 -45.9074612,-67.922008 -45.9097193,-67.9201412 -45.9109884,-67.9196906 -45.9109585,-67.9200125 -45.9097492,-67.9210854 -45.909585,-67.9227591 -45.90851,-67.9267287 -45.9077933,-67.9317927 -45.9075544,-67.9344964 -45.9080023,-67.9353762 -45.9076142,-67.92132124 -45.90950332,-67.9221797 -45.9097492,-67.9201412 -45.9109884,-67.91924 -45.911063,-67.9191971 -45.9115109,-67.91938339 -45.91141146,-67.9191971 -45.9115109,-67.9193473 -45.9122574,-67.9206347 -45.9121827,-67.9237676 -45.911287,-67.92339949 -45.91107871,-67.9250765 -45.911063,-67.9249692 -45.9120036,-67.9233384 -45.9123171,-67.92178415 -45.91276334,-67.9231882 -45.9122723,-67.9249692 -45.9120036,-67.9255915 -45.9130038,-67.9226518 -45.9145117,-67.9209566 -45.9155119,-67.9190469 -45.9157209,-67.9196262 -45.9152282,-67.9198102 -45.91487479,,-67.91936766 -45.91518342,-67.9294324 -45.9165121,-67.930162 -45.916945,-67.9304409 -45.9174227,-67.9261708 -45.9179004,-67.9190469 -45.9157209,-67.9196262 -45.9152282,-67.92776392 -45.91634643,-67.9315567 -45.9216173,-67.9323292 -45.9215277,-67.9268146 -45.9178258,-67.9294968 -45.9176466,-67.9304409 -45.9174227,-67.9300117 -45.9168704,-67.9294324 -45.9165121,-67.92974857 -45.92193359,-67.9378974 -45.9205575,-67.9375219 -45.920244,-67.9376721 -45.9193932,-67.9373181 -45.9201097,-67.9375005 -45.9207814,-67.9381657 -45.9214382,-67.9378438 -45.9222592,-67.9378653 -45.9235428,-67.9352689 -45.9230204,-67.9323292 -45.9215277,-67.9315567 -45.9216173,-67.93749101 -45.92107433,-67.9473066 -45.9191991,-67.9491735 -45.9182736,-67.9488516 -45.9169151,-67.9491198 -45.9161986,-67.9481864 -45.9168405,-67.9482937 -45.9178556,-67.947135 -45.9184079,-67.94559 -45.9178407,-67.9453111 -45.9174227,-67.9465771 -45.9168554,-67.9420924 -45.9173033,-67.9408264 -45.9169002,-67.9406118 -45.9177959,-67.9378867 -45.9191842,-67.9375434 -45.9200649,-67.9378974 -45.9205575,-67.94586231 -45.91962676,-67.9510295 -45.9188259,-67.949667 -45.9168704,-67.9491198 -45.9161986,-67.9486799 -45.916833,-67.9491198 -45.9181243,-67.9471564 -45.9191543,-67.95055552 -45.91916669,-67.9587436 -45.920871,-67.9575205 -45.9200947,-67.9542375 -45.9190946,-67.9514909 -45.9187513,-67.95749776 -45.92122866;-67.95749776 -45.92122866,-67.9587436 -45.920871,-67.9575205 -45.9200947,-67.9542375 -45.9190946,-67.9514909 -45.9187513,-67.95055552 -45.91916669,-67.958014 -45.9182139,-67.9570055 -45.9184677,-67.9553103 -45.9181691,-67.9540443 -45.919229,-67.95192 -45.9189752,-67.95789863 -45.9184072;-67.95789863 -45.9184072,-67.958014 -45.9182139,-67.9570055 -45.9184677,-67.9553103 -45.9181691,-67.9540443 -45.919229,-67.95192 -45.9189752,-67.95055552 -45.91916669,-67.9510295 -45.9188259,-67.949667 -45.9168704,-67.9491198 -45.9161986,-67.9486799 -45.916833,-67.9491198 -45.9181243,-67.9471564 -45.9191543,-67.94586231 -45.91962676,-67.9473066 -45.9191991,-67.9491735 -45.9182736,-67.9488516 -45.9169151,-67.9491198 -45.9161986,-67.9481864 -45.9168405,-67.9482937 -45.9178556,-67.947135 -45.9184079,-67.94559 -45.9178407,-67.9453111 -45.9174227,-67.9465771 -45.9168554,-67.9420924 -45.9173033,-67.9408264 -45.9169002,-67.9406118 -45.9177959,-67.9378867 -45.9191842,-67.9375434 -45.9200649,-67.9378974 -45.9205575,-67.93749101 -45.92107433,-67.9378974 -45.9205575,-67.9375219 -45.920244,-67.9376721 -45.9193932,-67.9373181 -45.9201097,-67.9375005 -45.9207814,-67.9381657 -45.9214382,-67.9378438 -45.9222592,-67.9378653 -45.9235428,-67.9352689 -45.9230204,-67.9323292 -45.9215277,-67.9315567 -45.9216173,-67.92974857 -45.92193359,-67.9315567 -45.9216173,-67.9323292 -45.9215277,-67.9268146 -45.9178258,-67.9294968 -45.9176466,-67.9304409 -45.9174227,-67.9300117 -45.9168704,-67.9294324 -45.9165121,-67.92776392 -45.91634643,-67.9294324 -45.9165121,-67.930162 -45.916945,-67.9304409 -45.9174227,-67.9261708 -45.9179004,-67.9190469 -45.9157209,-67.9196262 -45.9152282,-67.91936766 -45.91518342,,-67.9198102 -45.91487479,-67.9231882 -45.9122723,-67.9249692 -45.9120036,-67.9255915 -45.9130038,-67.9226518 -45.9145117,-67.9209566 -45.9155119,-67.9190469 -45.9157209,-67.9196262 -45.9152282,-67.92178415 -45.91276334,-67.9250765 -45.911063,-67.9249692 -45.9120036,-67.9233384 -45.9123171,-67.92339949 -45.91107871,-67.9191971 -45.9115109,-67.9193473 -45.9122574,-67.9206347 -45.9121827,-67.9237676 -45.911287,-67.91938339 -45.91141146,-67.9221797 -45.9097492,-67.9201412 -45.9109884,-67.91924 -45.911063,-67.9191971 -45.9115109,-67.92132124 -45.90950332,-67.922008 -45.9097193,-67.9201412 -45.9109884,-67.9196906 -45.9109585,-67.9200125 -45.9097492,-67.9210854 -45.909585,-67.9227591 -45.90851,-67.9267287 -45.9077933,-67.9317927 -45.9075544,-67.9344964 -45.9080023,-67.9353762 -45.9076142,-67.93482704 -45.9074612,-67.9419637 -45.9061061,-67.9426718 -45.9047623,-67.9415345 -45.9048967,-67.938745 -45.9059568,-67.9340029 -45.9072707,-67.9353547 -45.9073006,-67.94070253 -45.90708056,-67.9417276 -45.9060912,-67.9426718 -45.9047623,-67.9416203 -45.9047773,-67.9445601 -45.9035379,-67.942543 -45.9026271,-67.94048121 -45.90255833,-67.9313636 -45.9007755,-67.9299688 -45.9015296,-67.9309559 -45.9024778,-67.931664 -45.9022687,-67.9323721 -45.9010144,-67.9335737 -45.900447,-67.9371786 -45.9012832,-67.9379082 -45.9021045,-67.9396677 -45.9026719,-67.941041 -45.9025674,-67.93028301 -45.90068278,-67.9312027 -45.9008128,-67.9299688 -45.9015296,-67.9282737 -45.9003723,-67.9263103 -45.8994316,-67.9232204 -45.8984983,-67.9221046 -45.8981623,-67.92046749 -45.89809236,-67.9196155 -45.9003499,-67.9192078 -45.9000214,-67.9200554 -45.8997825,-67.9231131 -45.8985207,-67.9222226 -45.8982295,-67.91900661 -45.90044035,-67.9163861 -45.9059195,-67.9159999 -45.9055014,-67.9150128 -45.9052252,-67.9152274 -45.9042696,-67.9163969 -45.9024479,-67.9179418 -45.9021418,-67.9190683 -45.9011936,-67.9189825 -45.9003723,-67.9191971 -45.9000886,-67.9196155 -45.9003499,-67.91573771 -45.90642661,-67.9164612 -45.9058822,-67.9158711 -45.905479,-67.9148841 -45.9052252,-67.9124272 -45.9007456,-67.9111719 -45.9011339,-67.9084682 -45.9027914,-67.9066489 -45.9028322;-67.9066489 -45.9028322,-67.9164612 -45.9058822,-67.9158711 -45.905479,-67.9148841 -45.9052252,-67.9124272 -45.9007456,-67.9111719 -45.9011339,-67.9084682 -45.9027914,-67.91573771 -45.90642661,-67.9163861 -45.9059195,-67.9159999 -45.9055014,-67.9150128 -45.9052252,-67.9152274 -45.9042696,-67.9163969 -45.9024479,-67.9179418 -45.9021418,-67.9190683 -45.9011936,-67.9189825 -45.9003723,-67.9191971 -45.9000886,-67.9196155 -45.9003499,-67.91900661 -45.90044035,-67.9196155 -45.9003499,-67.9192078 -45.9000214,-67.9200554 -45.8997825,-67.9231131 -45.8985207,-67.9222226 -45.8982295,-67.92046749 -45.89809236,-67.9221904 -45.8981548,-67.9232204 -45.8984983,-67.9230487 -45.8980652,-67.9224908 -45.89755,-67.9236388 -45.8964449,-67.92261639 -45.89612501,-67.9235637 -45.895743,-67.9241538 -45.8953249,-67.9267287 -45.8949142,-67.9271579 -45.8944961,-67.9267287 -45.8942048,-67.9257309 -45.8936448,-67.9256558 -45.8930698,-67.9268682 -45.8923604,-67.9289711 -45.8934208,-67.9293036 -45.893361,-67.92819602 -45.89300211,-67.9292285 -45.8926143,-67.9297435 -45.8916137,-67.930634 -45.8913523,-67.9310846 -45.8915241,-67.9320288 -45.8924127,-67.9322755 -45.8923231,-67.9316425 -45.8910014,-67.93002857 -45.89099999,-67.9326725 -45.8927039,-67.9321253 -45.8924276,-67.9320502 -45.8919796,-67.9315674 -45.8910163,-67.93203261 -45.89325144,-67.9325116 -45.8927189,-67.9321575 -45.8923754,-67.9320073 -45.8911582,-67.9324365 -45.8909939,-67.9336274 -45.8912403,-67.9348075 -45.8908669,-67.93404442 -45.8909633,-67.9351616 -45.890628,-67.9353011 -45.8903069,-67.9351509 -45.889702,-67.9356337 -45.8888283,-67.9361594 -45.8882682,-67.9367387 -45.8882607,-67.93581454 -45.88863383,-67.9410625 -45.888776,-67.9401827 -45.8890747,-67.9375863 -45.8886341,-67.93992923 -45.88854577,-67.9414594 -45.88785,-67.9417813 -45.8871554,-67.9419315 -45.8865879,-67.9423285 -45.8863414,-67.94198922 -45.88653728,-67.9423177 -45.8861323,-67.9425859 -45.8852137,-67.9431438 -45.8846088,-67.9432619 -45.8842802,-67.94255555 -45.88454697,-67.9484117 -45.88667,-67.947489 -45.8864908,-67.9468238 -45.8864609,-67.9463196 -45.8856021,-67.9456758 -45.8850643,-67.945118 -45.8847581,-67.9446459 -45.8841607,-67.9440129 -45.8842652,-67.94746568 -45.88694764;-67.94746568 -45.88694764,-67.9487872 -45.8868418,-67.9495382 -45.8874766,-67.9496884 -45.88726,-67.9485726 -45.886095,-67.9476714 -45.8855871,-67.94628753 -45.88560005,-67.9472744 -45.8852212,-67.9470921 -45.8844967,-67.9472423 -45.883959,-67.9472315 -45.8831823,-67.94607409 -45.88311995,-67.9472744 -45.8827118,-67.9475963 -45.8819051,-67.9476392 -45.8807475,-67.9472208 -45.8805159,-67.9459034 -45.88040255,-67.9468131 -45.8799931,-67.9464698 -45.8794927,-67.9443026 -45.8791491,-67.94258106 -45.87928487,-67.9433799 -45.8793582,-67.9425859 -45.8792462,-67.9414809 -45.8788951,-67.9399574 -45.8788802,-67.9395819 -45.8785889,-67.9398179 -45.8784246,-67.93938002 -45.87863178,-67.9364383 -45.8791566,-67.9368889 -45.8790371,-67.9370821 -45.878798,-67.939657 -45.8787906,-67.9398179 -45.8784246,-67.93512028 -45.8793768,-67.9308057 -45.8796645,-67.9309773 -45.8795823,-67.9308271 -45.8793582,-67.9319429 -45.8795524,-67.9332089 -45.8799333,-67.9339921 -45.8795524,-67.9349685 -45.8793358,-67.935698 -45.8793209,-67.92926139 -45.87980166,-67.9288745 -45.8790371,-67.9299796 -45.8786337,-67.9308271 -45.8793582,-67.9310632 -45.8796271,-67.9308057 -45.8796645,-67.92746283 -45.879252,-67.9288745 -45.8790371,-67.9299796 -45.8786337,-67.9304302 -45.8776552,-67.9309022 -45.8766245,-67.9306126 -45.8766543,-67.92916705 -45.87686758,-67.9305589 -45.8765722,-67.9309773 -45.8765423,-67.9323184 -45.875011,-67.9336917 -45.8726132,-67.93292309 -45.87290945,-67.9337347 -45.872531,-67.9350007 -45.8704245,-67.9346895 -45.8701032,-67.933282 -45.87018527,-67.936492 -45.8696625,-67.9362881 -45.8694234,-67.9350436 -45.8703273,-67.9347003 -45.8699986,-67.93551008 -45.87004015,-67.9383588 -45.8674437,-67.9380584 -45.8682655,-67.9363847 -45.8693786,-67.9365671 -45.8696326,-67.9400271 -45.8665472</t>
  </si>
  <si>
    <t>-67.9400271 -45.8665472,-67.9383588 -45.8674437,-67.9380101 -45.8666929,-67.9392922 -45.8661064,-67.93822649 -45.86645361,,-67.93820898 -45.86621382,-67.939437 -45.8659907,-67.9410034 -45.8642985,-67.9397787 -45.86446671,-67.9413575 -45.8643508,-67.94191 -45.8638801,-67.9413092 -45.8637717,-67.94026881 -45.86394522,-67.9412395 -45.8636896,-67.94085860000001 -45.8628677,-67.94016816 -45.86304785,-67.9407513 -45.863103100000004,-67.9403973 -45.8622551,-67.93757020000001 -45.8636746,-67.93638614 -45.8639203,-67.9374468 -45.8637643,-67.93648120000002 -45.8648999,-67.93542287 -45.86514387,-67.9364544 -45.8650082,-67.9343033 -45.8651128,-67.93322311 -45.86539389,-67.934196 -45.8650755,-67.9339492 -45.8648887,-67.9318678 -45.8652174,-67.93025624 -45.86524613,-67.92887450000002 -45.8655984,-67.929647 -45.8660093,-67.9311919 -45.8652622,-67.92761571 -45.86576064,-67.9284239 -45.8655835,-67.9270077 -45.8655162,-67.92568273 -45.86555172,,-67.92617947 -45.86596757,-67.9266429 -45.8657927,-67.9259992 -45.8665696,-67.92478129 -45.86687146,-67.9258382 -45.86658460000001,-67.9220402 -45.8663903,-67.92069068 -45.86664171,-67.9224908 -45.8663306,-67.9191971 -45.8656582,-67.91774956 -45.8661538,-67.9187572 -45.8661064,-67.9176843 -45.8663679,-67.9172981 -45.8656657,-67.91575239 -45.86551598,-67.9164934 -45.8652398,-67.9147875 -45.8642536,-67.9133606 -45.865322,-67.9120409 -45.8651352,-67.91093971 -45.86527418,-67.9122448 -45.8649709,-67.911129 -45.8644105,-67.9103887 -45.8645226,-67.90917641 -45.86476613,-67.9100668 -45.8647318,-67.9098523 -45.8659197,-67.9103565 -45.8661513,-67.90947109 -45.86641003,-67.9100454 -45.8663754,-67.9094982 -45.8663306,-67.909627 -45.86429100000001,-67.90869072 -45.86438156,-67.9108179 -45.86391,-67.9094768 -45.8638353,-67.9077816 -45.8657329,-67.9066443 -45.8662484,-67.90565529 -45.8665856,-67.906419 -45.86626330000001,-67.9050887 -45.8652025,-67.9043591 -45.864814,-67.90314798 -45.8648888,-67.9039943 -45.8644255,-67.9028034 -45.8637381,-67.8999174 -45.8635812,-67.89867893 -45.86374335,-67.8993487 -45.8636634,-67.8988981 -45.8636933,-67.89861920000001 -45.8635215,-67.8975525 -45.86346654,,-67.89779792 -45.86312838,-67.8962696 -45.8632899,-67.8974175 -45.8625203,-67.8984583 -45.8622177,-67.8946526 -45.86372426,-67.8942311 -45.8647841,-67.8944886 -45.8644778,-67.8944886 -45.8640444,-67.8955936 -45.8639772,-67.8958511 -45.8637307,-67.8924736 -45.86523062,-67.8914094 -45.8658749,-67.893244 -45.8652249,-67.88982897 -45.86617984,-67.8926647 -45.8667714,-67.8914416 -45.865972,-67.89194102 -45.86726393,-67.8929329 -45.86721210000001,-67.894392 -45.8695056,-67.89334262 -45.86982277,-67.8955185 -45.8706112,-67.895025 -45.8705813,-67.8944993 -45.8697073,-67.89468537 -45.87097799,-67.8951538 -45.8720604,-67.8954649 -45.8713209,-67.8950679 -45.870671,-67.8955185 -45.8706112,-67.89420174 -45.8725767;-67.89420174 -45.8725767,-67.8954864 -45.8744359,-67.8949392 -45.8739429,-67.895143 -45.8733378,-67.8949499 -45.8727701,-67.89489679 -45.87455424,-67.8992522 -45.8749438,-67.8973424 -45.8751455,-67.8966451 -45.875362100000004,-67.8955722 -45.8745031,-67.89863672 -45.87485225,-67.8996062 -45.8756758,-67.8981364 -45.8751081,-67.8992522 -45.8749438,-67.89781334 -45.87614703,,-67.89805175 -45.8762384,-67.8998315 -45.8761838,-67.9001212 -45.8769457,-67.900883 -45.8771399,-67.9025674 -45.8764527,-67.90200809 -45.87637167,-67.9027498 -45.8764153,-67.9023206 -45.8766319,-67.9053462 -45.8764079,-67.9049706 -45.8759672,-67.90388535 -45.87594679;-67.90388535 -45.87594679,-67.9065692 -45.87642280000001,-67.9066443 -45.8758626,-67.9054427 -45.876363,-67.9050243 -45.8759149,-67.90493501 -45.87690763;-67.90493501 -45.87690763,-67.9065907 -45.8763481,-67.9067516 -45.8757356,-67.9067945 -45.8747496,-67.90587404 -45.87465377,,-67.90528029 -45.87486338;-67.90528029 -45.87486338,,-67.90587404 -45.87465377,-67.9065907 -45.8763481,-67.9067516 -45.8757356,-67.9067945 -45.8747496,-67.90493501 -45.87690763,-67.9108071 -45.880613,-67.9116762 -45.8803665,-67.9099488 -45.8795972,-67.9089832 -45.8795748,-67.908479 -45.879291,-67.9081464 -45.8778345,-67.9075241 -45.8768784,-67.9078567 -45.8763107,-67.9075456 -45.8753322,-67.9072452 -45.8752799,-67.9064727 -45.8764004,-67.90902811 -45.88062544,-67.9128993 -45.8770876,-67.9123092 -45.8779241,-67.9113972 -45.8784843,-67.9096162 -45.8795599,-67.9116762 -45.8803665,-67.9107749 -45.88068770000001,-67.91188203 -45.87683257,-67.915163 -45.8739802,-67.9151952 -45.8744657,-67.9132426 -45.8763929,-67.91362407 -45.87400466;-67.91362407 -45.87400466,-67.9147124 -45.8735918,-67.9146481 -45.8732631,-67.9165041 -45.8723592,-67.917223 -45.8722696,-67.9172659 -45.8726356,-67.91546223 -45.87287307,-67.9221582 -45.8723966,-67.9212999 -45.8721351,-67.917105 -45.8727327,-67.92142151 -45.87273947;-67.92142151 -45.87273947,-67.9212248 -45.8733378,-67.9216969 -45.8732033,-67.9219866 -45.8726954,-67.91957453 -45.87370778,,-67.91979942 -45.8736741,-67.9206347 -45.8733602,-67.9204845 -45.8732108,-67.9220188 -45.8711565,-67.92053462 -45.87127057,-67.9235101 -45.8711267,-67.9226303 -45.8711043,-67.9216754 -45.8713134,-67.92270363 -45.87121385,-67.9239607 -45.87091,-67.9254735 -45.8690648,-67.92477777 -45.86902425,-67.9271686 -45.8677052,-67.926718 -45.8677948,-67.925849 -45.8687063,-67.92759808 -45.86788307,-67.9312563 -45.8666892,-67.9306877 -45.8669805,-67.9292071 -45.866338,-67.9283273 -45.867257,-67.93029002 -45.86668754,-67.9317927 -45.8665099,-67.9313958 -45.8663156,-67.9318678 -45.8652174,-67.93025624 -45.86524613,-67.934196 -45.8650755,-67.9339492 -45.8648887,-67.9318678 -45.8652174,-67.93322311 -45.86539389,-67.9364544 -45.8650082,-67.9343033 -45.8651128,-67.93542287 -45.86514387,-67.9374468 -45.8637643,-67.93648120000002 -45.8648999,-67.93638614 -45.8639203,-67.9407513 -45.863103100000004,-67.9403973 -45.8622551,-67.93757020000001 -45.8636746,-67.94016816 -45.86304785,-67.9412395 -45.8636896,-67.94085860000001 -45.8628677,-67.94026881 -45.86394522,-67.9413575 -45.8643508,-67.94191 -45.8638801,-67.9413092 -45.8637717,-67.9397787 -45.86446671,-67.939437 -45.8659907,-67.9410034 -45.8642985,-67.93820898 -45.86621382,,-67.93822649 -45.86645361,-67.9383588 -45.8674437,-67.9380101 -45.8666929,-67.9392922 -45.8661064,-67.9400271 -45.8665472</t>
  </si>
  <si>
    <t>-67.9400271 -45.8665472,-67.9383588 -45.8674437,-67.9380584 -45.8682655,-67.9363847 -45.8693786,-67.9365671 -45.8696326,-67.93551008 -45.87004015,-67.936492 -45.8696625,-67.9362881 -45.8694234,-67.9350436 -45.8703273,-67.9347003 -45.8699986,-67.933282 -45.87018527,-67.9337347 -45.872531,-67.9350007 -45.8704245,-67.9346895 -45.8701032,-67.93292309 -45.87290945,-67.9305589 -45.8765722,-67.9309773 -45.8765423,-67.9323184 -45.875011,-67.9336917 -45.8726132,-67.92916705 -45.87686758,-67.9288745 -45.8790371,-67.9299796 -45.8786337,-67.9304302 -45.8776552,-67.9309022 -45.8766245,-67.9306126 -45.8766543,-67.92746283 -45.879252,-67.9288745 -45.8790371,-67.9299045 -45.8786188,-67.929765 -45.8784918,-67.9247224 -45.8798512,-67.9241753 -45.8796943,-67.92260289 -45.87981886,-67.9231775 -45.8798138,-67.9230273 -45.8801051,-67.9220295 -45.8802022,-67.9198301 -45.8807027,-67.9191542 -45.8814645,-67.9198301 -45.8813375,-67.91930941 -45.88137118,-67.9183173 -45.8833018,-67.9179525 -45.8832943,-67.9178452 -45.8829358,-67.9186606 -45.8819873,-67.9191113 -45.8815466,-67.9197979 -45.8813898,-67.91747464 -45.88372353,-67.9166651 -45.8823159,-67.9170835 -45.8822711,-67.9178345 -45.8833989,-67.9184783 -45.8832943,-67.91541483 -45.88231338,-67.9166651 -45.8823159,-67.9169762 -45.8821367,-67.9166543 -45.8815466,-67.913146 -45.8824205,-67.9128242 -45.8814645,-67.91214619 -45.88124859,,-67.91210808 -45.8814063,-67.9107428 -45.880501,-67.9119766 -45.880389,-67.9123414 -45.8806952,-67.9129958 -45.8809193,-67.90891537 -45.88072557,,-67.90902811 -45.88062544,-67.9108071 -45.880613,-67.9116762 -45.8803665,-67.9099488 -45.8795972,-67.9089832 -45.8795748,-67.908479 -45.879291,-67.9081464 -45.8778345,-67.9075241 -45.8768784,-67.9078567 -45.8763107,-67.9075456 -45.8753322,-67.9072452 -45.8752799,-67.9064727 -45.8764004,-67.90493501 -45.87690763,-67.9065692 -45.87642280000001,-67.9066443 -45.8758626,-67.9054427 -45.876363,-67.9050243 -45.8759149,-67.90388535 -45.87594679,-67.9027498 -45.8764153,-67.9023206 -45.8766319,-67.9053462 -45.8764079,-67.9049706 -45.8759672,-67.90200809 -45.87637167,-67.8998315 -45.8761838,-67.9001212 -45.8769457,-67.900883 -45.8771399,-67.9025674 -45.8764527,-67.89805175 -45.8762384,,-67.89781334 -45.87614703,-67.8996062 -45.8756758,-67.8981364 -45.8751081,-67.8992522 -45.8749438,-67.89863672 -45.87485225,-67.9000354 -45.874518,-67.9006147 -45.8744433,-67.9023528 -45.8744882,-67.90201967 -45.87467843;-67.90201967 -45.87467843,-67.9000354 -45.874518,-67.9006147 -45.8744433,-67.9023528 -45.8744882,-67.89863672 -45.87485225,-67.8996062 -45.8756758,-67.8981364 -45.8751081,-67.8992522 -45.8749438,-67.89781334 -45.87614703,,-67.89805175 -45.8762384,-67.8998315 -45.8761838,-67.9001212 -45.8769457,-67.900883 -45.8771399,-67.9025674 -45.8764527,-67.90200809 -45.87637167,-67.9027498 -45.8764153,-67.9023206 -45.8766319,-67.9053462 -45.8764079,-67.9049706 -45.8759672,-67.90388535 -45.87594679,-67.9065692 -45.87642280000001,-67.9066443 -45.8758626,-67.9054427 -45.876363,-67.9050243 -45.8759149,-67.90493501 -45.87690763,-67.9108071 -45.880613,-67.9116762 -45.8803665,-67.9099488 -45.8795972,-67.9089832 -45.8795748,-67.908479 -45.879291,-67.9081464 -45.8778345,-67.9075241 -45.8768784,-67.9078567 -45.8763107,-67.9075456 -45.8753322,-67.9072452 -45.8752799,-67.9064727 -45.8764004,-67.90902811 -45.88062544,,-67.90891537 -45.88072557,-67.9107428 -45.880501,-67.9119766 -45.880389,-67.9123414 -45.8806952,-67.9129958 -45.8809193,-67.91210808 -45.8814063,,-67.91214619 -45.88124859,-67.9166651 -45.8823159,-67.9169762 -45.8821367,-67.9166543 -45.8815466,-67.913146 -45.8824205,-67.9128242 -45.8814645,-67.91541483 -45.88231338,-67.9166651 -45.8823159,-67.9170835 -45.8822711,-67.9178345 -45.8833989,-67.9184783 -45.8832943,-67.91747464 -45.88372353,-67.9183173 -45.8833018,-67.9179525 -45.8832943,-67.9178452 -45.8829358,-67.9186606 -45.8819873,-67.9191113 -45.8815466,-67.9197979 -45.8813898,-67.91930941 -45.88137118,-67.9231775 -45.8798138,-67.9230273 -45.8801051,-67.9220295 -45.8802022,-67.9198301 -45.8807027,-67.9191542 -45.8814645,-67.9198301 -45.8813375,-67.92260289 -45.87981886,-67.9288745 -45.8790371,-67.9299045 -45.8786188,-67.929765 -45.8784918,-67.9247224 -45.8798512,-67.9241753 -45.8796943,-67.92746283 -45.879252,-67.9288745 -45.8790371,-67.9299796 -45.8786337,-67.9304302 -45.8776552,-67.9309022 -45.8766245,-67.9306126 -45.8766543,-67.92916705 -45.87686758,-67.9305589 -45.8765722,-67.9309773 -45.8765423,-67.9323184 -45.875011,-67.9336917 -45.8726132,-67.93292309 -45.87290945,-67.9337347 -45.872531,-67.9350007 -45.8704245,-67.9346895 -45.8701032,-67.933282 -45.87018527,-67.936492 -45.8696625,-67.9362881 -45.8694234,-67.9350436 -45.8703273,-67.9347003 -45.8699986,-67.93551008 -45.87004015,-67.9383588 -45.8674437,-67.9380584 -45.8682655,-67.9363847 -45.8693786,-67.9365671 -45.8696326,-67.9400271 -45.8665472,-67.9452038 -45.8642219,-67.9464403 -45.8647635,-67.9454304 -45.86503525,,-67.94551194 -45.86495899,-67.949152 -45.8670029,-67.9489589 -45.866338,-67.9464805 -45.8656358,-67.946502 -45.8652099,-67.94827454 -45.86749255,-67.9581213 -45.8673466,-67.9581428 -45.8669731,-67.9568553 -45.866226,-67.9523492 -45.8659869,-67.9491305 -45.866226,-67.9489803 -45.8668834,-67.95709848 -45.86769228,-67.9570484 -45.8711267,-67.9574454 -45.8693637,-67.9580891 -45.8675707,-67.95610675 -45.87170205,-67.9571235 -45.8715898,-67.9572952 -45.8723443,-67.9570484 -45.87342,-67.95743470000001 -45.8736217,-67.95650202 -45.87386891,-67.9575098 -45.8735619,-67.9580784 -45.8727253,-67.95720623 -45.87256309,-67.9578531 -45.8725273,-67.9577994 -45.8722659,-67.9585719 -45.8716197,-67.9589689 -45.871291,-67.9592746 -45.8712275,-67.958393 -45.87134586,-67.9597306 -45.8712088,-67.9617476 -45.871029500000006,-67.96108026 -45.87118338,-67.9624021 -45.871029500000006,-67.9628313 -45.8711117,-67.9631317 -45.8718438,-67.9635072 -45.8717915,-67.96250387 -45.87218883;-67.96250387 -45.87218883,-67.9624021 -45.871029500000006,-67.9628313 -45.8711117,-67.9631317 -45.8718438,-67.9635072 -45.8717915,-67.96108026 -45.87118338,-67.9597306 -45.8712088,-67.9617476 -45.871029500000006,-67.958393 -45.87134586,-67.9578531 -45.8725273,-67.9577994 -45.8722659,-67.9585719 -45.8716197,-67.9589689 -45.871291,-67.9592746 -45.8712275,-67.95720623 -45.87256309,-67.9575098 -45.8735619,-67.9580784 -45.8727253,-67.95650202 -45.87386891,-67.9571235 -45.8715898,-67.9572952 -45.8723443,-67.9570484 -45.87342,-67.95743470000001 -45.8736217,-67.95610675 -45.87170205,-67.9570484 -45.8711267,-67.9574454 -45.8693637,-67.9580891 -45.8675707,-67.95709848 -45.86769228,-67.9581213 -45.8673466,-67.9581428 -45.8669731,-67.9568553 -45.866226,-67.9523492 -45.8659869,-67.9491305 -45.866226,-67.9489803 -45.8668834,-67.94827454 -45.86749255,-67.949152 -45.8670029,-67.9489589 -45.866338,-67.9464805 -45.8656358,-67.946502 -45.8652099,-67.94551194 -45.86495899,,-67.9454304 -45.86503525,-67.9452038 -45.8642219,-67.9464403 -45.8647635,-67.9400271 -45.8665472</t>
  </si>
  <si>
    <t>-67.9400271 -45.8665472,-67.9383588 -45.8674437,-67.9380101 -45.8666929,-67.9392922 -45.8661064,-67.93822649 -45.86645361,,-67.93820898 -45.86621382,-67.939437 -45.8659907,-67.9410034 -45.8642985,-67.9397787 -45.86446671,-67.9413575 -45.8643508,-67.94191 -45.8638801,-67.9413092 -45.8637717,-67.94026881 -45.86394522,-67.9412395 -45.8636896,-67.94085860000001 -45.8628677,-67.94016816 -45.86304785,-67.9407942 -45.8630844,-67.9403758 -45.8621878,-67.9386914 -45.8624792,-67.93749455 -45.86270022,-67.9389811 -45.8623559,-67.9389596 -45.8618329,-67.9381979 -45.8610783,-67.9390669 -45.8607794,-67.93809539 -45.86091501,-67.9388309 -45.8607794,-67.938112 -45.8611007,-67.9377472 -45.860899,-67.9362881 -45.8614743,-67.9374897 -45.8619749,-67.93652197 -45.86222667,-67.9375219 -45.8620421,-67.9357517 -45.861085800000005,-67.9346144 -45.8614519,-67.93332777 -45.86169272,-67.9343569 -45.8614145,-67.9335523 -45.861549,-67.9334021 -45.8611381,-67.9309666 -45.8609214,-67.92973166 -45.86112334,-67.9307091 -45.86097370000001,-67.9287457 -45.8609588,-67.9288423 -45.860757,-67.92827234 -45.86082887,-67.9288423 -45.860757,-67.9286063 -45.8609812,-67.9269433 -45.8608168,-67.9254305 -45.8610559,-67.9256237 -45.8606898,-67.92472033 -45.86078317,-67.9253769 -45.8604208,-67.9236388 -45.8595317,-67.9233384 -45.8597857,-67.92204432 -45.86025045,-67.9235315 -45.8601219,-67.9222655 -45.8604731,-67.92116295 -45.86077528,-67.9219651 -45.8610335,-67.9157424 -45.8609887,-67.91412974 -45.86109479,-67.9153347 -45.8605702,-67.9157317 -45.8599725,-67.9146159 -45.859457,-67.91347499 -45.85938782,-67.9145408 -45.8594047,-67.9124916 -45.858777,-67.9112792 -45.8592776,-67.91058213 -45.85962973,-67.9112792 -45.8592776,-67.9102921 -45.8588293,-67.9105067 -45.8586425,-67.90964669 -45.85881191,-67.9102653 -45.8586986,-67.9081625 -45.8581195,-67.90707943 -45.8582017,-67.90773330000002 -45.8580522,-67.9073417 -45.8579177,-67.9068965 -45.8568567,-67.9053408 -45.8563822,-67.90400196 -45.85653031,-67.904284 -45.8564084,-67.9033184 -45.8552726,-67.9019022 -45.8551232,-67.90067511 -45.8549717,,-67.90022567 -45.85540767,-67.9008508 -45.8548093,-67.8990161 -45.8545403,-67.898823 -45.8538678,-67.8965485 -45.8545553,-67.89483427 -45.85484841,-67.887429 -45.855564,-67.8894138 -45.853808,-67.8932333 -45.8533447,-67.8969455 -45.8545851,-67.8963768 -45.8546599,-67.88581092 -45.85597227,-67.887429 -45.855564,-67.8882551 -45.8548691,-67.8894138 -45.853808,-67.8920853 -45.8535689,-67.8916454 -45.8538678,-67.8897357 -45.85395,-67.88910 -45.85436,-67.8875685 -45.8562589,-67.885799 -45.8571033,-67.88544 -45.8578281,-67.88523 -45.85794,-67.88402968 -45.85834964,-67.8814316 -45.8592926,-67.8808415 -45.8591357,-67.880863 -45.8587322,-67.8817642 -45.858239,-67.8850043 -45.8580522,-67.88077392 -45.85953999,-67.8790283 -45.8588293,-67.880466 -45.8587397,-67.8813028 -45.8593598,-67.87771797 -45.85914466,-67.875917 -45.8590236,-67.8765607 -45.8587098,-67.8784597 -45.8588443,-67.87446619 -45.85953534,-67.8758311 -45.8590012,-67.8755307 -45.858777,-67.8718829 -45.8588144,-67.8721619 -45.8576637,-67.8733528 -45.857462,-67.8739536 -45.8579028,-67.87227986 -45.85836679,-67.8721619 -45.8576637,-67.8734279 -45.8573798,-67.8740823 -45.8579103,-67.87029294 -45.85782787,-67.8694689 -45.8577534,-67.8703272 -45.8578879,-67.8705525 -45.8574694,-67.8710139 -45.8575441,-67.86752908 -45.85773082,-67.8666365 -45.8577982,-67.8680527 -45.857716,-67.86509618 -45.85797591,-67.8655958 -45.85783560000001,-67.8642118 -45.8570435,-67.86269634 -45.8576934,-67.8630531 -45.8577608,-67.8618944 -45.8580074,-67.86119926 -45.8582863,-67.8617334 -45.8580597,-67.8595233 -45.8583362,-67.85800456 -45.85865306,-67.8585362 -45.8586425,-67.8567231 -45.8591431,-67.8550386 -45.8605852,-67.85325633 -45.86047853,-67.8547168 -45.8600622,-67.8545237 -45.8589862,-67.8537083 -45.858508,-67.852335 -45.8585529,-67.85051371 -45.8587379,-67.8511226 -45.8587172,-67.8489661 -45.8581942,-67.8504252 -45.8565952,-67.84992667 -45.85649082,-67.851541 -45.8561394,-67.8511119 -45.8555416,-67.8497386 -45.8553249,-67.8490841 -45.8555341,-67.84737753 -45.85568862,-67.8480864 -45.8556163,-67.846477 -45.8561992,-67.8452325 -45.8556537,-67.84359994 -45.85582912,-67.8438914 -45.8557508,-67.8414237 -45.8563262,-67.8377545 -45.8563187,-67.83653581 -45.85644197,-67.8371108 -45.8561767,-67.8326368 -45.8556313,-67.83154193 -45.85548135,-67.8319716 -45.855437,-67.8292787 -45.855108200000004,-67.82760578 -45.8552439,-67.8277767 -45.8550036,-67.8251696 -45.8547271,-67.824676 -45.8544207,-67.82322995 -45.85451391,-67.8244078 -45.8540994,-67.8225088 -45.8518801,-67.82163737 -45.8516816,-67.8223801 -45.8515886,-67.8209639 -45.8504751,-67.8196657 -45.8504079,-67.81800483 -45.85079524,-67.8185713 -45.8505798,-67.816962 -45.851073,-67.8161895 -45.8523658,-67.81497943 -45.85259887,-67.816329 -45.8519921,-67.8167796 -45.8511701,-67.8158462 -45.8513121,-67.8150415 -45.8533148,-67.8138399 -45.8541293,-67.81217316 -45.85421245,-67.809999 -45.85395,-67.81053540000002 -45.8542265,-67.8125417 -45.8543386,-67.80813131 -45.85419968,-67.8064048 -45.853539,-67.8089046 -45.854361,-67.8103852 -45.8542265,-67.8098702 -45.8539126,-67.80441533 -45.8533642,-67.8110075 -45.8532999,-67.8095913 -45.8534045,-67.8081751 -45.8532849,-67.8063512 -45.8536436,-67.81033656 -45.85331184,-67.8119838 -45.8516783,-67.8118229 -45.8524256,-67.8138614 -45.8534792,-67.8134108 -45.8536361,-67.8115761 -45.85313550000001,-67.81172912 -45.8516909;-67.81172912 -45.8516909,-67.8119838 -45.8516783,-67.8118229 -45.8524256,-67.8138614 -45.8534792,-67.8134108 -45.8536361,-67.8115761 -45.85313550000001,-67.81033656 -45.85331184,-67.8110075 -45.8532999,-67.8095913 -45.8534045,-67.8081751 -45.8532849,-67.8063512 -45.8536436,-67.80441533 -45.8533642,-67.8067052 -45.8553548,-67.8072202 -45.8551381,-67.8064048 -45.853539,-67.80486959 -45.85565241,-67.807982 -45.8550559,-67.8067052 -45.8553548,-67.8072436 -45.85498762,-67.8098595 -45.8560647,-67.809999 -45.8550036,-67.8090441 -45.8548691,-67.80907829 -45.8565264,-67.8125632 -45.8568492,-67.810396 -45.8571033,-67.8101599 -45.8566923,-67.81224182 -45.85671416,-67.8138077 -45.8564532,-67.814548 -45.8566699,-67.813561 -45.8597484,-67.8137219 -45.8605777,-67.81282229 -45.86107452,-67.8186142 -45.8634617,-67.8183568 -45.8624605,-67.8160179 -45.8615565,-67.8143764 -45.8610559,-67.81720169 -45.86444747,-67.8182173 -45.868004,-67.8160286 -45.8663455,-67.8181314 -45.8648065,-67.8182173 -45.864545,-67.81633269 -45.86814359,-67.819097 -45.8668461,-67.8186357 -45.8670552,-67.8192151 -45.868385,-67.81829240000002 -45.8680713,-67.8187144 -45.86699435,-67.8260922 -45.8716048,-67.8258884 -45.8718886,-67.8219509 -45.871657,-67.8194082 -45.8687287,-67.8185391 -45.8670926,-67.8190756 -45.8667788,-67.82435527 -45.87146335,-67.8326046 -45.8712686,-67.8287637 -45.8718438,-67.8266931 -45.8718811,-67.8259957 -45.8715076,-67.83204724 -45.87132308,-67.8363276 -45.8710445,-67.8348899 -45.87091,-67.8336024 -45.8710221,-67.83598551 -45.8713908,-67.8404045 -45.871440400000004,-67.8396642 -45.8713657,-67.8393745 -45.8705216,-67.8371751 -45.8699314,-67.8344822 -45.8697969,-67.8345251 -45.8700584,-67.8363597 -45.8707606,-67.83999726 -45.87142467,-67.8403401 -45.8715002,-67.8396213 -45.8713059,-67.8401256 -45.8706859,-67.8424323 -45.8705216,-67.8432369 -45.8702153,-67.84266503 -45.8702826,-67.8433174 -45.8702414,-67.8424054 -45.8705701,-67.8442401 -45.8712014,-67.8457582 -45.8705029,-67.8468794 -45.8714778,-67.8465736 -45.871657000000006,-67.8464073 -45.8713396,-67.84458226 -45.87132178,-67.8464448 -45.8713396,-67.8465736 -45.871657000000006,-67.84484620000002 -45.8726692,-67.84336962 -45.87289033,-67.8489339 -45.8731324,-67.8501302 -45.8733565,-67.8485316 -45.8736739,-67.8459191 -45.8729942,-67.84549 -45.8723406,-67.8449106 -45.8726842,-67.84711722 -45.87310355,-67.847904 -45.8759074,-67.8490949 -45.8742491,-67.8510368 -45.8734349,-67.8488266 -45.8731585,-67.84644226 -45.87649326,-67.8467667 -45.8780212,-67.846477 -45.87698300000001,-67.8477967 -45.8764751,-67.84627973 -45.87829114,-67.8467989 -45.878081,-67.8463697 -45.8770502,-67.8443956 -45.8768859,-67.84286672 -45.87711998,-67.842561 -45.8794628,-67.8420246 -45.8792462,-67.8431511 -45.8775283,-67.8462946 -45.877095,-67.8445137 -45.8768261,-67.84221298 -45.87973382,-67.8455973 -45.8806504,-67.8449214 -45.8812852,-67.8420246 -45.8795972,-67.8425181 -45.87953,-67.84518194 -45.88032275,-67.8494382 -45.880628,-67.84873010000001 -45.8802396,-67.8461766 -45.8806653,-67.8457046 -45.880515900000006,-67.8485758 -45.88086765,-67.8493631 -45.8856319,-67.8480864 -45.8853183,-67.8494918 -45.8833541,-67.849642 -45.8827043,-67.8493738 -45.8815317,-67.8484726 -45.8806578,-67.8487837 -45.8803516,-67.8495455 -45.8807549,-67.84894709 -45.88576073,-67.84983520000002 -45.8848851,-67.8485048 -45.8854826,-67.849406 -45.8856842,-67.84921346 -45.88477072,-67.8525496 -45.8855871,-67.8516698 -45.8851988,-67.8510153 -45.885027,-67.84983520000002 -45.8848851,-67.85159293 -45.88612644,-67.8530109 -45.886319,-67.8539872 -45.8868567,-67.8555858 -45.8874168,-67.8559721 -45.8882756,-67.85537987 -45.88855243,-67.8569698 -45.8905682,-67.8562617 -45.8905682,-67.8551674 -45.8886042,-67.8555107 -45.8875214,-67.8557789 -45.88838020000001,-67.85652652 -45.89043864,-67.8583002 -45.8906802,-67.8604245 -45.8905832,-67.85994544 -45.89074459;-67.85994544 -45.89074459,-67.8583002 -45.8906802,-67.8604245 -45.8905832,-67.85652652 -45.89043864,-67.8569698 -45.8905682,-67.8562617 -45.8905682,-67.8551674 -45.8886042,-67.8555107 -45.8875214,-67.8557789 -45.88838020000001,-67.85537987 -45.88855243,-67.8530109 -45.886319,-67.8539872 -45.8868567,-67.8555858 -45.8874168,-67.8559721 -45.8882756,-67.85159293 -45.88612644,-67.8525496 -45.8855871,-67.851584 -45.885251,-67.8524101 -45.8868119,-67.8533113 -45.8874616,-67.85259134 -45.88819644;-67.85259134 -45.88819644,-67.8525496 -45.8855871,-67.851584 -45.885251,-67.8524101 -45.8868119,-67.8533113 -45.8874616,-67.85159293 -45.88612644,-67.8530109 -45.886319,-67.8539872 -45.8868567,-67.8555858 -45.8874168,-67.8559721 -45.8882756,-67.85537987 -45.88855243,-67.8569698 -45.8905682,-67.8562617 -45.8905682,-67.8551674 -45.8886042,-67.8555107 -45.8875214,-67.8557789 -45.88838020000001,-67.85652652 -45.89043864,-67.8583002 -45.8906802,-67.8604245 -45.8905832,-67.85994544 -45.89074459,-67.86183 -45.8907101,-67.8635895 -45.8906578,-67.86328043 -45.89089136,-67.8652418 -45.8907101,-67.8656602 -45.890351700000004,-67.8659928 -45.88941820000001,-67.86520231 -45.88917465,-67.8674626 -45.88708080000001,-67.866658 -45.886864200000005,-67.8658855 -45.887125600000005,-67.8670657 -45.8886864,-67.86685323 -45.88712476,-67.86739830000002 -45.8868567,-67.8667223 -45.8862667,-67.8672802 -45.8848552,-67.86589689 -45.88477956,-67.8672695 -45.88491500000001,-67.867409 -45.8861099,-67.8680742 -45.8863339,-67.8686106 -45.8860875,-67.8688896 -45.8849822,-67.870338 -45.8842577,-67.8693122 -45.8842458,-67.8685462 -45.8831151,-67.869308 -45.8829582,-67.8708422 -45.883018,-67.8705847 -45.8839366,-67.86703039 -45.88312685,-67.8737283 -45.8829508,-67.8736854 -45.8833242,-67.8730094 -45.8829134,-67.8686643 -45.8830254,-67.87263059 -45.88283868,-67.8738034 -45.8829806,-67.8739858 -45.8834512,-67.87655 -45.8844445,-67.8765929 -45.8840262,-67.8758872 -45.88413516,-67.8775907 -45.885744,-67.8778374 -45.8851241,-67.8766251 -45.8844594,-67.8767002 -45.8840561,-67.87630061 -45.88642699,,-67.87597578 -45.88674947,-67.8775477 -45.8859232,-67.87784810000001 -45.8854153,-67.8789425 -45.8862742,-67.879554 -45.8862667,-67.8829443 -45.8844743,-67.8806055 -45.8848253,-67.87931365 -45.88515467,-67.8808522 -45.8847432,-67.8831053 -45.8843548,-67.884897 -45.8834586,-67.8876114 -45.88378720000001,-67.8901434 -45.8835856,-67.88934482 -45.88367092,-67.8863347 -45.8849448,-67.8869569 -45.8849672,-67.8874826 -45.883847,-67.8903258 -45.883570600000006,-67.88477851 -45.88530377,-67.8877938 -45.885251,-67.8862166 -45.8849523,-67.88725199 -45.88498287,-67.8916669 -45.8851316,-67.891463 -45.8853332,-67.8890061 -45.8855946,-67.8886521 -45.8849672,-67.88986813 -45.88509226,-67.895658 -45.88465360000001,-67.8955078 -45.8872675,-67.89402720000001 -45.888186,-67.89313670000001 -45.8879097,-67.8935552 -45.8866999,-67.891624 -45.8850718,-67.89478887 -45.88442779,-67.896452 -45.8842129,-67.8972995 -45.8841607,-67.8987801 -45.8833839,-67.8993165 -45.8836304,-67.89811074 -45.88424629,-67.90316820000001 -45.883637900000004,-67.9026854 -45.8831823,-67.9021275 -45.8832794,-67.900722 -45.8842279,-67.9001105 -45.8851465,-67.8995955 -45.8843175,-67.90293219 -45.8836944,-67.9039729 -45.8871629,-67.9034686 -45.8869165,-67.9041123 -45.886192,-67.9042947 -45.8847656,-67.90316820000001 -45.883637900000004,-67.90362098 -45.8874036,-67.9052818 -45.8875736,-67.90654780000001 -45.8882084,-67.9074919 -45.8882756,-67.90705336 -45.88840606,-67.9066443 -45.8844071,-67.9062474 -45.8852585,-67.908833 -45.885968,-67.9091012 -45.8864012,-67.90594775 -45.88423937,,-67.90591516 -45.88446218,-67.9076958 -45.8841084,-67.9082644 -45.8839366,-67.9093373 -45.8833167,-67.9103136 -45.8831972,-67.90970498 -45.88326091,-67.911365 -45.8831076,-67.9142618 -45.8826968,-67.9159892 -45.8825026,-67.91541483 -45.88231338,-67.9166651 -45.8823159,-67.9170835 -45.8822711,-67.9178345 -45.8833989,-67.9184783 -45.8832943,-67.91747464 -45.88372353,-67.9183173 -45.8833018,-67.9179525 -45.8832943,-67.9178452 -45.8829358,-67.9186606 -45.8819873,-67.9191113 -45.8815466,-67.9197979 -45.8813898,-67.91930941 -45.88137118,-67.9231775 -45.8798138,-67.9230273 -45.8801051,-67.9220295 -45.8802022,-67.9198301 -45.8807027,-67.9191542 -45.8814645,-67.9198301 -45.8813375,-67.92260289 -45.87981886,-67.9288745 -45.8790371,-67.9299045 -45.8786188,-67.929765 -45.8784918,-67.9247224 -45.8798512,-67.9241753 -45.8796943,-67.92746283 -45.879252,-67.9288745 -45.8790371,-67.9299796 -45.8786337,-67.9308271 -45.8793582,-67.9310632 -45.8796271,-67.9308057 -45.8796645,-67.92926139 -45.87980166,-67.9308057 -45.8796645,-67.9309773 -45.8795823,-67.9308271 -45.8793582,-67.9319429 -45.8795524,-67.9332089 -45.8799333,-67.9339921 -45.8795524,-67.9349685 -45.8793358,-67.935698 -45.8793209,-67.93512028 -45.8793768,-67.9364383 -45.8791566,-67.9368889 -45.8790371,-67.9370821 -45.878798,-67.939657 -45.8787906,-67.9398179 -45.8784246,-67.93938002 -45.87863178,,-67.93921257 -45.87804782,-67.9512119 -45.8788877,-67.952435 -45.8787607,-67.9518127 -45.8800454,-67.9474354 -45.8786785,-67.9441524 -45.8779764,-67.9427791 -45.8776328,-67.940805 -45.8776926,-67.94944114 -45.87896309,-67.9534543 -45.8773565,-67.9526925 -45.87711,-67.9530144 -45.8775731,-67.9524779 -45.878813,-67.9512334 -45.8789325,-67.95259842 -45.87763583,-67.95394780000001 -45.8775432,-67.9556751 -45.8774162,-67.9568982 -45.8769083,-67.9582715 -45.8767813,-67.95749384 -45.8768117,-67.9582286 -45.8768411,-67.9568982 -45.8769083,-67.9591405 -45.8758775,-67.95866674 -45.87595626,-67.9605675 -45.8757281,-67.9607499 -45.8763556,-67.960943 -45.8763182,-67.96020228 -45.87662649,-67.9618549 -45.8754667,-67.9605675 -45.8757281,-67.9612454 -45.87560985;-67.9612454 -45.87560985,-67.9618549 -45.8754667,-67.9605675 -45.8757281,-67.96020228 -45.87662649,-67.9605675 -45.8757281,-67.9607499 -45.8763556,-67.960943 -45.8763182,-67.95866674 -45.87595626,-67.9582286 -45.8768411,-67.9568982 -45.8769083,-67.9591405 -45.8758775,-67.95749384 -45.8768117,-67.95394780000001 -45.8775432,-67.9556751 -45.8774162,-67.9568982 -45.8769083,-67.9582715 -45.8767813,-67.95259842 -45.87763583;-67.95259842 -45.87763583,-67.9521346 -45.8759746,-67.9517162 -45.8759074,-67.9513943 -45.8758999,-67.9525959 -45.87702780000001,-67.95337920000001 -45.8774162,-67.95155064 -45.87647635,-67.9521346 -45.8759746,-67.951448 -45.8759597,-67.9509008 -45.8738383,-67.94983615 -45.87396079,-67.9508579 -45.8736739,-67.9509115 -45.8721426,-67.94974928 -45.87213834,-67.9510081 -45.87218,-67.9515123 -45.8715599,-67.9518449 -45.870925,-67.95082673 -45.87123588,-67.9518449 -45.870925,-67.9516733 -45.8706037,-67.9509866 -45.870275,-67.95089010000001 -45.8697222,-67.9517484 -45.8700734,-67.9526281 -45.8699912,-67.95188123 -45.87007275,-67.9526013 -45.869965,-67.9517484 -45.8700734,-67.9508901 -45.8697222,-67.9511476 -45.8693039,-67.95011093 -45.86936834,-67.9511476 -45.8693039,-67.95089010000001 -45.8697222,-67.9506433 -45.8681011,-67.9512978 -45.867892,-67.95075242 -45.86791677,-67.9513514 -45.867951700000006,-67.9506004 -45.8681534,-67.9493558 -45.8665622,-67.9490876 -45.8664576,-67.9492164 -45.8668461,-67.94827454 -45.86749255,-67.949152 -45.8670029,-67.9489589 -45.866338,-67.9464805 -45.8656358,-67.946502 -45.8652099,-67.94551194 -45.86495899,,-67.9454304 -45.86503525,-67.9452038 -45.8642219,-67.9464403 -45.8647635,-67.9400271 -45.8665472</t>
  </si>
  <si>
    <t>-67.9400271 -45.8665472,-67.9383588 -45.8674437,-67.9380101 -45.8666929,-67.9392922 -45.8661064,-67.93822649 -45.86645361,,-67.93820898 -45.86621382,-67.939437 -45.8659907,-67.9410034 -45.8642985,-67.9397787 -45.86446671,-67.9413575 -45.8643508,-67.94191 -45.8638801,-67.9413092 -45.8637717,-67.94026881 -45.86394522,-67.9412395 -45.8636896,-67.94085860000001 -45.8628677,-67.94016816 -45.86304785,-67.9407942 -45.8630844,-67.9403758 -45.8621878,-67.9386914 -45.8624792,-67.93749455 -45.86270022,-67.9389811 -45.8623559,-67.9389596 -45.8618329,-67.9381979 -45.8610783,-67.9390669 -45.8607794,-67.93809539 -45.86091501,-67.9388309 -45.8607794,-67.938112 -45.8611007,-67.9377472 -45.860899,-67.9362881 -45.8614743,-67.9374897 -45.8619749,-67.93652197 -45.86222667,-67.9375219 -45.8620421,-67.9357517 -45.861085800000005,-67.9346144 -45.8614519,-67.93332777 -45.86169272,-67.9343569 -45.8614145,-67.9335523 -45.861549,-67.9334021 -45.8611381,-67.9309666 -45.8609214,-67.92973166 -45.86112334,-67.9307091 -45.86097370000001,-67.9287457 -45.8609588,-67.9288423 -45.860757,-67.92827234 -45.86082887,-67.9288423 -45.860757,-67.9286063 -45.8609812,-67.9269433 -45.8608168,-67.9254305 -45.8610559,-67.9256237 -45.8606898,-67.92472033 -45.86078317,-67.9253769 -45.8604208,-67.9236388 -45.8595317,-67.9233384 -45.8597857,-67.92204432 -45.86025045,-67.9235315 -45.8601219,-67.9222655 -45.8604731,-67.92116295 -45.86077528,-67.9219651 -45.8610335,-67.9157424 -45.8609887,-67.91412974 -45.86109479,-67.9153347 -45.8605702,-67.9157317 -45.8599725,-67.9146159 -45.859457,-67.91347499 -45.85938782,-67.9145408 -45.8594047,-67.9124916 -45.858777,-67.9112792 -45.8592776,-67.91058213 -45.85962973,-67.9112792 -45.8592776,-67.9102921 -45.8588293,-67.9105067 -45.8586425,-67.90964669 -45.85881191,-67.9102653 -45.8586986,-67.9081625 -45.8581195,-67.90707943 -45.8582017,-67.90773330000002 -45.8580522,-67.9073417 -45.8579177,-67.9068965 -45.8568567,-67.9053408 -45.8563822,-67.90400196 -45.85653031,-67.904284 -45.8564084,-67.9033184 -45.8552726,-67.9019022 -45.8551232,-67.90067511 -45.8549717,,-67.90022567 -45.85540767,-67.9008508 -45.8548093,-67.8990161 -45.8545403,-67.898823 -45.8538678,-67.8965485 -45.8545553,-67.89483427 -45.85484841,-67.887429 -45.855564,-67.8894138 -45.853808,-67.8932333 -45.8533447,-67.8969455 -45.8545851,-67.8963768 -45.8546599,-67.88581092 -45.85597227,-67.887429 -45.855564,-67.8882551 -45.8548691,-67.8894138 -45.853808,-67.8920853 -45.8535689,-67.8916454 -45.8538678,-67.8897357 -45.85395,-67.88910 -45.85436,-67.8875685 -45.8562589,-67.885799 -45.8571033,-67.88544 -45.8578281,-67.88523 -45.85794,-67.88402968 -45.85834964,-67.8814316 -45.8592926,-67.8808415 -45.8591357,-67.880863 -45.8587322,-67.8817642 -45.858239,-67.8850043 -45.8580522,-67.88077392 -45.85953999,-67.8790283 -45.8588293,-67.880466 -45.8587397,-67.8813028 -45.8593598,-67.87771797 -45.85914466,-67.875917 -45.8590236,-67.8765607 -45.8587098,-67.8784597 -45.8588443,-67.87446619 -45.85953534,-67.8758311 -45.8590012,-67.8755307 -45.858777,-67.8718829 -45.8588144,-67.8721619 -45.8576637,-67.8733528 -45.857462,-67.8739536 -45.8579028,-67.87227986 -45.85836679,-67.8721619 -45.8576637,-67.8734279 -45.8573798,-67.8740823 -45.8579103,-67.87029294 -45.85782787,-67.8710139 -45.8575441,-67.8706169 -45.8573573,-67.8709602 -45.8560348,-67.86919632 -45.85619455;-67.86919632 -45.85619455,-67.8710139 -45.8575441,-67.8706169 -45.8573573,-67.8709602 -45.8560348,-67.87029294 -45.85782787;-67.87029294 -45.85782787,-67.8694689 -45.8577534,-67.8703272 -45.8578879,-67.8705525 -45.8574694,-67.8710139 -45.8575441,-67.86752908 -45.85773082,-67.8666365 -45.8577982,-67.8680527 -45.857716,-67.86509618 -45.85797591,-67.8655958 -45.85783560000001,-67.8642118 -45.8570435,-67.86269634 -45.8576934,-67.8630531 -45.8577608,-67.8618944 -45.8580074,-67.86119926 -45.8582863,-67.8617334 -45.8580597,-67.8595233 -45.8583362,-67.85800456 -45.85865306,-67.8585362 -45.8586425,-67.8550065 -45.858381,-67.8544593 -45.8579701,-67.85311138 -45.85761476;-67.85311138 -45.85761476,-67.8585362 -45.8586425,-67.8550065 -45.858381,-67.8544593 -45.8579701,-67.85800456 -45.85865306,-67.8602314 -45.85924030000001,-67.8568411 -45.8591506,-67.8585362 -45.8586425,-67.85979998 -45.85959279,-67.8623772 -45.8601145,-67.8619158 -45.8597185,-67.86181930000001 -45.8591954,-67.8608966 -45.8592179,-67.8613425 -45.86055445,-67.8632784 -45.8615042,-67.863096 -45.86128,-67.8622055 -45.8610559,-67.861948 -45.8605105,-67.86252974 -45.86187269,-67.8653276 -45.8635663,-67.8648341 -45.8637904,-67.8645015 -45.8630059,-67.8653491 -45.8606898,-67.8640616 -45.8614295,-67.864423 -45.86337238,-67.8639328 -45.8659271,-67.8645658 -45.8647542,-67.8655207 -45.8635513,-67.86331328 -45.86669187,-67.8659713 -45.8654266,-67.8650701 -45.8654864,-67.864598 -45.8658599,-67.86542164 -45.86561862,-67.8640509 -45.869035,-67.8651345 -45.867384,-67.8649521 -45.8657329,-67.8658748 -45.8655237,-67.86235431 -45.86962035,-67.8593409 -45.8716048,-67.85971640000001 -45.8705365,-67.8614008 -45.870529,-67.861948 -45.8698268,-67.8630531 -45.8694832,-67.85882935 -45.87179542,-67.857635 -45.8744807,-67.8541696 -45.874152,-67.8588581 -45.8727103,-67.8593409 -45.8716048,-67.857019 -45.87438052,-67.84873010000001 -45.87312860000001,-67.8543305 -45.8741595,-67.857635 -45.8744807,-67.84711722 -45.87310355,-67.8489339 -45.8731324,-67.8501302 -45.8733565,-67.8485316 -45.8736739,-67.8459191 -45.8729942,-67.84549 -45.8723406,-67.8449106 -45.8726842,-67.84336962 -45.87289033,-67.8464448 -45.8713396,-67.8465736 -45.871657000000006,-67.84484620000002 -45.8726692,-67.84458226 -45.87132178,-67.8433174 -45.8702414,-67.8424054 -45.8705701,-67.8442401 -45.8712014,-67.8457582 -45.8705029,-67.8468794 -45.8714778,-67.8465736 -45.871657000000006,-67.8464073 -45.8713396,-67.84266503 -45.8702826,-67.8403401 -45.8715002,-67.8396213 -45.8713059,-67.8401256 -45.8706859,-67.8424323 -45.8705216,-67.8432369 -45.8702153,-67.83999726 -45.87142467,-67.8404045 -45.871440400000004,-67.8396642 -45.8713657,-67.8393745 -45.8705216,-67.8371751 -45.8699314,-67.8344822 -45.8697969,-67.8345251 -45.8700584,-67.8363597 -45.8707606,-67.83598551 -45.8713908,-67.8363276 -45.8710445,-67.8348899 -45.87091,-67.8336024 -45.8710221,-67.83204724 -45.87132308,-67.8347504 -45.8724041,-67.8345788 -45.8717915,-67.8335381 -45.8712686,-67.8339131 -45.87269245,-67.8368962 -45.8743761,-67.8363168 -45.8740101,-67.8365743 -45.8734723,-67.8358126 -45.8726879,-67.8366923 -45.875026,-67.8369284 -45.8751679,-67.8384304 -45.875317300000006,-67.83709911 -45.87528907,-67.8404582 -45.876744,-67.8387737 -45.8754144,-67.83972408 -45.87683377,-67.8388381 -45.8793059,-67.8380656 -45.8795375,-67.8406405 -45.8772519,-67.8405118 -45.8769083,-67.8383257 -45.87925524,-67.8388596 -45.8793582,-67.8365421 -45.8801649,-67.8342998 -45.88042630000001,-67.8343749 -45.8798736,-67.83402097 -45.87975218,-67.8357589 -45.8794553,-67.8374755 -45.877700100000006,-67.8373468 -45.8775656,-67.83580083 -45.87760123,-67.83642410000002 -45.8773117,-67.8357589 -45.877349,-67.8347933 -45.8779316,-67.83319238 -45.87800268;-67.83319238 -45.87800268,-67.8334415 -45.8779241,-67.8319824 -45.877588,-67.83004564 -45.87782593;-67.83004564 -45.87782593,-67.8334415 -45.8779241,-67.8319824 -45.877588,-67.83319238 -45.87800268,-67.83642410000002 -45.8773117,-67.8357589 -45.877349,-67.8347933 -45.8779316,-67.83580083 -45.87760123,-67.8357589 -45.8794553,-67.8374755 -45.877700100000006,-67.8373468 -45.8775656,-67.83402097 -45.87975218,-67.8388596 -45.8793582,-67.8365421 -45.8801649,-67.8342998 -45.88042630000001,-67.8343749 -45.8798736,-67.8383257 -45.87925524,-67.8388381 -45.8793059,-67.8380656 -45.8795375,-67.8406405 -45.8772519,-67.8405118 -45.8769083,-67.83972408 -45.87683377,-67.8404582 -45.876744,-67.8387737 -45.8754144,-67.83709911 -45.87528907,-67.8369284 -45.8751679,-67.8384304 -45.875317300000006,-67.8366923 -45.875026,-67.8368962 -45.8743761,-67.8363168 -45.8740101,-67.8365743 -45.8734723,-67.8358126 -45.8726879,-67.8339131 -45.87269245,-67.8347504 -45.8724041,-67.8345788 -45.8717915,-67.8335381 -45.8712686,-67.83204724 -45.87132308,-67.8363276 -45.8710445,-67.8348899 -45.87091,-67.8336024 -45.8710221,-67.83598551 -45.8713908,-67.8404045 -45.871440400000004,-67.8396642 -45.8713657,-67.8393745 -45.8705216,-67.8371751 -45.8699314,-67.8344822 -45.8697969,-67.8345251 -45.8700584,-67.8363597 -45.8707606,-67.83999726 -45.87142467,-67.8403401 -45.8715002,-67.8396213 -45.8713059,-67.8401256 -45.8706859,-67.8424323 -45.8705216,-67.8432369 -45.8702153,-67.84266503 -45.8702826,-67.8433174 -45.8702414,-67.8424054 -45.8705701,-67.8442401 -45.8712014,-67.8457582 -45.8705029,-67.8468794 -45.8714778,-67.8465736 -45.871657000000006,-67.8464073 -45.8713396,-67.84458226 -45.87132178,-67.8464448 -45.8713396,-67.8465736 -45.871657000000006,-67.84484620000002 -45.8726692,-67.84336962 -45.87289033,-67.8489339 -45.8731324,-67.8501302 -45.8733565,-67.8485316 -45.8736739,-67.8459191 -45.8729942,-67.84549 -45.8723406,-67.8449106 -45.8726842,-67.84711722 -45.87310355,-67.84873010000001 -45.87312860000001,-67.8543305 -45.8741595,-67.857635 -45.8744807,-67.857019 -45.87438052,-67.857635 -45.8744807,-67.8541696 -45.874152,-67.8588581 -45.8727103,-67.8593409 -45.8716048,-67.85882935 -45.87179542,-67.8593409 -45.8716048,-67.85971640000001 -45.8705365,-67.8614008 -45.870529,-67.861948 -45.8698268,-67.8630531 -45.8694832,-67.86235431 -45.86962035,-67.8639972 -45.8691171,-67.8657031 -45.8680713,-67.86498939 -45.86808329,-67.8668189 -45.8667639,-67.8664005 -45.866988,-67.8663254 -45.8676305,-67.86635342 -45.86702056,-67.8668725 -45.8688706,-67.8667974 -45.868646500000004,-67.8676665 -45.8677127,-67.867012 -45.86727940000001,-67.86653014 -45.86909111,-67.8665292 -45.8705589,-67.866143 -45.8710594,-67.8657889 -45.8704767,-67.8668725 -45.8688706,-67.86552841 -45.87071955,-67.8665292 -45.8704394,-67.8664756 -45.8701107,-67.8674197 -45.8697073,-67.8698659 -45.8700883,-67.8700376 -45.8699389,-67.8700268 -45.8692964,-67.86891343 -45.86940172,-67.8699839 -45.8693413,-67.8700376 -45.8699389,-67.8703916 -45.8701929,-67.8709173 -45.8699239,-67.8707349 -45.8692815,-67.8712177 -45.8686166,-67.8731596 -45.8681236,-67.8729107 -45.86822856,-67.8735942 -45.8680488,-67.8724301 -45.8682281,-67.8724086 -45.8686689,-67.8764427 -45.8695952,-67.87545792 -45.87007243,-67.8773439 -45.8681385,-67.878288 -45.8679816,-67.8767216 -45.8696102,-67.87529512 -45.86884053,-67.8773224 -45.8682132,-67.8784168 -45.867951700000006,-67.8792751 -45.866988,-67.87841593 -45.86693979,-67.8794253 -45.8652025,-67.8813779 -45.8643508,-67.8805947 -45.8648065,-67.8801227 -45.8652622,-67.8801119 -45.8658151,-67.8798544 -45.8661513,-67.87816911 -45.86559299,-67.8800154 -45.8627071,-67.880863 -45.8635887,-67.8814101 -45.8638502,-67.881496 -45.8643508,-67.8795862 -45.8651352,-67.87889297 -45.8626014,-67.8809917 -45.8619301,-67.8822792 -45.8616611,-67.8835666 -45.8617507,-67.8845859 -45.8612277,-67.8843284 -45.8612427,-67.88286864 -45.86153258,-67.8855836 -45.8605329,-67.8847253 -45.8611754,-67.8843284 -45.8612427,-67.88485253 -45.86038085,-67.8862917 -45.8600846,-67.8869355 -45.8600547,-67.8873861 -45.8596438,-67.8876221 -45.8588667,-67.8886843 -45.8579999,-67.8905296 -45.8572453,-67.8915596 -45.8569165,-67.8910661 -45.8570435,-67.89119881 -45.85678635,-67.8960952 -45.8598436,-67.8959692 -45.8585678,-67.8961945 -45.8583138,-67.8955936 -45.8581419,-67.8949177 -45.8572976,-67.8950787 -45.8562589,-67.894907 -45.8558629,-67.8937376 -45.8558928,-67.8932869 -45.8566101,-67.8928149 -45.8568492,-67.8926003 -45.8566998,-67.89506126 -45.86022417,-67.8961086 -45.8601668,-67.8949714 -45.8618927,-67.89369378 -45.862107,-67.8961945 -45.8632674,-67.8952932 -45.8629985,-67.8948426 -45.8620347,-67.8946526 -45.86372426,-67.8962696 -45.8632899,-67.8974175 -45.8625203,-67.8984583 -45.8622177,-67.89779792 -45.86312838,,-67.8975525 -45.86346654,-67.8993487 -45.8636634,-67.8988981 -45.8636933,-67.89861920000001 -45.8635215,-67.89867893 -45.86374335,-67.9039943 -45.8644255,-67.9028034 -45.8637381,-67.8999174 -45.8635812,-67.90314798 -45.8648888,-67.906419 -45.86626330000001,-67.9050887 -45.8652025,-67.9043591 -45.864814,-67.90565529 -45.8665856,-67.9108179 -45.86391,-67.9094768 -45.8638353,-67.9077816 -45.8657329,-67.9066443 -45.8662484,-67.90869072 -45.86438156,-67.9100454 -45.8663754,-67.9094982 -45.8663306,-67.909627 -45.86429100000001,-67.90947109 -45.86641003,-67.9100668 -45.8647318,-67.9098523 -45.8659197,-67.9103565 -45.8661513,-67.90917641 -45.86476613,-67.9122448 -45.8649709,-67.911129 -45.8644105,-67.9103887 -45.8645226,-67.91093971 -45.86527418,-67.9164934 -45.8652398,-67.9147875 -45.8642536,-67.9133606 -45.865322,-67.9120409 -45.8651352,-67.91575239 -45.86551598,-67.9187572 -45.8661064,-67.9176843 -45.8663679,-67.9172981 -45.8656657,-67.91774956 -45.8661538,-67.9224908 -45.8663306,-67.9191971 -45.8656582,-67.92069068 -45.86664171,-67.9258382 -45.86658460000001,-67.9220402 -45.8663903,-67.92478129 -45.86687146,-67.9266429 -45.8657927,-67.9259992 -45.8665696,-67.92617947 -45.86596757,,-67.92568273 -45.86555172,-67.9284239 -45.8655835,-67.9270077 -45.8655162,-67.92761571 -45.86576064,-67.92887450000002 -45.8655984,-67.929647 -45.8660093,-67.9311919 -45.8652622,-67.93025624 -45.86524613,-67.934196 -45.8650755,-67.9339492 -45.8648887,-67.9318678 -45.8652174,-67.93322311 -45.86539389,-67.9364544 -45.8650082,-67.9343033 -45.8651128,-67.93542287 -45.86514387,-67.9374468 -45.8637643,-67.93648120000002 -45.8648999,-67.93638614 -45.8639203,-67.9407513 -45.863103100000004,-67.9403973 -45.8622551,-67.93757020000001 -45.8636746,-67.94016816 -45.86304785,-67.9412395 -45.8636896,-67.94085860000001 -45.8628677,-67.94026881 -45.86394522,-67.9413575 -45.8643508,-67.94191 -45.8638801,-67.9413092 -45.8637717,-67.9397787 -45.86446671,-67.939437 -45.8659907,-67.9410034 -45.8642985,-67.93820898 -45.86621382,,-67.93822649 -45.86645361,-67.9383588 -45.8674437,-67.9380101 -45.8666929,-67.9392922 -45.8661064,-67.9400271 -45.8665472</t>
  </si>
  <si>
    <t>-67.9400271 -45.8665472,-67.9383588 -45.8674437,-67.9380584 -45.8682655,-67.9363847 -45.8693786,-67.9365671 -45.8696326,-67.93551008 -45.87004015,-67.936492 -45.8696625,-67.9362881 -45.8694234,-67.9350436 -45.8703273,-67.9347003 -45.8699986,-67.933282 -45.87018527,-67.9337347 -45.872531,-67.9350007 -45.8704245,-67.9346895 -45.8701032,-67.93292309 -45.87290945,-67.9305589 -45.8765722,-67.9309773 -45.8765423,-67.9323184 -45.875011,-67.9336917 -45.8726132,-67.92916705 -45.87686758,-67.9288745 -45.8790371,-67.9299796 -45.8786337,-67.9304302 -45.8776552,-67.9309022 -45.8766245,-67.9306126 -45.8766543,-67.92746283 -45.879252,-67.9288745 -45.8790371,-67.9299796 -45.8786337,-67.9308271 -45.8793582,-67.9310632 -45.8796271,-67.9308057 -45.8796645,-67.92926139 -45.87980166,-67.9308057 -45.8796645,-67.9309773 -45.8795823,-67.9308271 -45.8793582,-67.9319429 -45.8795524,-67.9332089 -45.8799333,-67.9339921 -45.8795524,-67.9349685 -45.8793358,-67.935698 -45.8793209,-67.93512028 -45.8793768,-67.9380155 -45.8812404,-67.938627 -45.880852,-67.9384768 -45.8805682,-67.9371035 -45.8800827,-67.9358482 -45.8797093,-67.9335737 -45.8797616,-67.934432 -45.8794255,-67.9350007 -45.8792835,-67.9357088 -45.8792686,-67.93588984 -45.88149225,-67.9369104 -45.8822487,-67.9367441 -45.8819686,-67.9385787 -45.881274,-67.938568 -45.8809641,-67.9379243 -45.8811844,-67.93623372 -45.88237227,-67.9369962 -45.8822636,-67.9367441 -45.8819686,-67.9343677 -45.8832719,-67.93288041 -45.88347512,,-67.93297197 -45.88384007,-67.9325545 -45.8880964,-67.9324257 -45.8875363,-67.933048 -45.8868642,-67.9335093 -45.8836304,-67.93195275 -45.88880085,,-67.93184093 -45.88869985,-67.929883 -45.8876782,-67.9306018 -45.8878724,-67.9317605 -45.8883727,-67.9326189 -45.888201,-67.92838162 -45.88770662,-67.9286492 -45.8892166,-67.9288638 -45.8878724,-67.9292393 -45.8876931,-67.92758265 -45.88993498,-67.929368 -45.8925994,-67.9296148 -45.8919423,-67.9287994 -45.8913897,-67.9285097 -45.8910014,-67.9286277 -45.8901127,-67.92819602 -45.89300211,-67.9235637 -45.895743,-67.9241538 -45.8953249,-67.9267287 -45.8949142,-67.9271579 -45.8944961,-67.9267287 -45.8942048,-67.9257309 -45.8936448,-67.9256558 -45.8930698,-67.9268682 -45.8923604,-67.9289711 -45.8934208,-67.9293036 -45.893361,-67.92261639 -45.89612501,-67.9221904 -45.8981548,-67.9232204 -45.8984983,-67.9230487 -45.8980652,-67.9224908 -45.89755,-67.9236388 -45.8964449,-67.92046749 -45.89809236,-67.9312027 -45.9008128,-67.9299688 -45.9015296,-67.9282737 -45.9003723,-67.9263103 -45.8994316,-67.9232204 -45.8984983,-67.9221046 -45.8981623,-67.93028301 -45.90068278,-67.9313636 -45.9007755,-67.9299688 -45.9015296,-67.9309559 -45.9024778,-67.931664 -45.9022687,-67.9323721 -45.9010144,-67.9335737 -45.900447,-67.9371786 -45.9012832,-67.9379082 -45.9021045,-67.9396677 -45.9026719,-67.941041 -45.9025674,-67.94048121 -45.90255833,-67.9506755 -45.9009696,-67.9479718 -45.9005665,-67.9449892 -45.9007008,-67.945075 -45.9032692,-67.9445601 -45.9035379,-67.9423714 -45.902642,-67.95037233 -45.90142031,-67.9506969 -45.9010816,-67.9497743 -45.9008576,-67.9498494 -45.8992001,-67.94838203 -45.89904174,-67.9498494 -45.8992001,-67.9497743 -45.9002081,-67.9476178 -45.8999243,-67.9458475 -45.9000662,-67.9446352 -45.9000513,-67.9449892 -45.8998721,-67.94446932 -45.89965711;-67.94446932 -45.89965711,-67.9498494 -45.8992001,-67.9497743 -45.9002081,-67.9476178 -45.8999243,-67.9458475 -45.9000662,-67.9446352 -45.9000513,-67.9449892 -45.8998721,-67.94838203 -45.89904174,-67.9506969 -45.9010816,-67.9497743 -45.9008576,-67.9498494 -45.8992001,-67.95037233 -45.90142031,-67.9506755 -45.9009696,-67.9479718 -45.9005665,-67.9449892 -45.9007008,-67.945075 -45.9032692,-67.9445601 -45.9035379,-67.9423714 -45.902642,-67.94048121 -45.90255833,-67.9313636 -45.9007755,-67.9299688 -45.9015296,-67.9309559 -45.9024778,-67.931664 -45.9022687,-67.9323721 -45.9010144,-67.9335737 -45.900447,-67.9371786 -45.9012832,-67.9379082 -45.9021045,-67.9396677 -45.9026719,-67.941041 -45.9025674,-67.93028301 -45.90068278,-67.9312027 -45.9008128,-67.9299688 -45.9015296,-67.9282737 -45.9003723,-67.9263103 -45.8994316,-67.9232204 -45.8984983,-67.9221046 -45.8981623,-67.92046749 -45.89809236,-67.9221904 -45.8981548,-67.9233706 -45.8984385,-67.9223728 -45.8974903,-67.9203773 -45.8967212,-67.9203129 -45.8957953,-67.91895387 -45.89557581,-67.9198515 -45.8952876,-67.9187465 -45.8950934,-67.9171157 -45.8950187,-67.9165041 -45.8955564,-67.91506756 -45.89602857,-67.9165363 -45.8956086,-67.9175019 -45.8947275,-67.9165041 -45.893712,-67.9164827 -45.892689,-67.9183388 -45.8916958,-67.9195189 -45.8908296,-67.9196799 -45.8909341,-67.9177058 -45.8929802,-67.91657701 -45.89351753,-67.9177594 -45.8928831,-67.9196584 -45.8908744,-67.9194117 -45.8909267,-67.9188323 -45.8915241,-67.9170513 -45.8923754,-67.9181993 -45.8910014,-67.918961 -45.8905234,-67.91840225 -45.89042054,-67.9201949 -45.8901426,-67.920785 -45.8896646,-67.9178774 -45.8882906,-67.9180706 -45.8870061,-67.9186499 -45.8868642,-67.918961 -45.8857962,-67.91833856 -45.88592331,-67.9183924 -45.8832943,-67.9178345 -45.8833989,-67.9181349 -45.883832,-67.9182851 -45.8847656,-67.9179955 -45.8868492,-67.9182959 -45.887021,-67.918725 -45.8867895,-67.9189289 -45.8859232,-67.91747464 -45.88372353,-67.9166651 -45.8823159,-67.9170835 -45.8822711,-67.9178345 -45.8833989,-67.9184783 -45.8832943,-67.91541483 -45.88231338,-67.911365 -45.8831076,-67.9142618 -45.8826968,-67.9159892 -45.8825026,-67.90970498 -45.88326091,-67.9076958 -45.8841084,-67.9082644 -45.8839366,-67.9093373 -45.8833167,-67.9103136 -45.8831972,-67.90591516 -45.88446218,,-67.90594775 -45.88423937,-67.9066443 -45.8844071,-67.9062474 -45.8852585,-67.908833 -45.885968,-67.9091012 -45.8864012,-67.90705336 -45.88840606,-67.9052818 -45.8875736,-67.90654780000001 -45.8882084,-67.9074919 -45.8882756,-67.90362098 -45.8874036,-67.9039729 -45.8871629,-67.9034686 -45.8869165,-67.9041123 -45.886192,-67.9042947 -45.8847656,-67.90316820000001 -45.883637900000004,-67.90293219 -45.8836944,-67.90316820000001 -45.883637900000004,-67.9026854 -45.8831823,-67.9021275 -45.8832794,-67.900722 -45.8842279,-67.9001105 -45.8851465,-67.8995955 -45.8843175,-67.89811074 -45.88424629,-67.896452 -45.8842129,-67.8972995 -45.8841607,-67.8987801 -45.8833839,-67.8993165 -45.8836304,-67.89478887 -45.88442779,-67.895658 -45.88465360000001,-67.8955078 -45.8872675,-67.89402720000001 -45.888186,-67.89313670000001 -45.8879097,-67.8935552 -45.8866999,-67.891624 -45.8850718,-67.88986813 -45.88509226,-67.8916669 -45.8851316,-67.891463 -45.8853332,-67.8890061 -45.8855946,-67.8886521 -45.8849672,-67.88725199 -45.88498287,-67.8877938 -45.885251,-67.8862166 -45.8849523,-67.88477851 -45.88530377,-67.8863347 -45.8849448,-67.8869569 -45.8849672,-67.8874826 -45.883847,-67.8903258 -45.883570600000006,-67.88934482 -45.88367092,-67.8808522 -45.8847432,-67.8831053 -45.8843548,-67.884897 -45.8834586,-67.8876114 -45.88378720000001,-67.8901434 -45.8835856,-67.87931365 -45.88515467,-67.8775477 -45.8859232,-67.87784810000001 -45.8854153,-67.8789425 -45.8862742,-67.879554 -45.8862667,-67.8829443 -45.8844743,-67.8806055 -45.8848253,-67.87597578 -45.88674947,,-67.87630061 -45.88642699,-67.8775907 -45.885744,-67.8778374 -45.8851241,-67.8766251 -45.8844594,-67.8767002 -45.8840561,-67.8758872 -45.88413516,-67.8738034 -45.8829806,-67.8739858 -45.8834512,-67.87655 -45.8844445,-67.8765929 -45.8840262,-67.87263059 -45.88283868,-67.8737283 -45.8829508,-67.8736854 -45.8833242,-67.8730094 -45.8829134,-67.8686643 -45.8830254,-67.86703039 -45.88312685,-67.8685462 -45.8831151,-67.8700483 -45.8829059,-67.8648233 -45.8818603,-67.8628063 -45.8810537,-67.8621304 -45.8814645,-67.86071597 -45.88116865,-67.8614116 -45.8855274,-67.862978 -45.884788,-67.8635466 -45.8831599,-67.8632355 -45.8817483,-67.86391140000002 -45.8815093,-67.8628063 -45.8810537,-67.8623772 -45.8814346,-67.85908094 -45.88593849,-67.85825730000002 -45.8853855,-67.85964130000002 -45.8854228,-67.85655105 -45.88556448;-67.85655105 -45.88556448,-67.85825730000002 -45.8853855,-67.85964130000002 -45.8854228,-67.85908094 -45.88593849,-67.8614116 -45.8855274,-67.862978 -45.884788,-67.8635466 -45.8831599,-67.8632355 -45.8817483,-67.86391140000002 -45.8815093,-67.8628063 -45.8810537,-67.8623772 -45.8814346,-67.86071597 -45.88116865,-67.8685462 -45.8831151,-67.8700483 -45.8829059,-67.8648233 -45.8818603,-67.8628063 -45.8810537,-67.8621304 -45.8814645,-67.86703039 -45.88312685,-67.8737283 -45.8829508,-67.8736854 -45.8833242,-67.8730094 -45.8829134,-67.8686643 -45.8830254,-67.87263059 -45.88283868,-67.8738034 -45.8829806,-67.8739858 -45.8834512,-67.87655 -45.8844445,-67.8765929 -45.8840262,-67.8758872 -45.88413516,-67.8775907 -45.885744,-67.8778374 -45.8851241,-67.8766251 -45.8844594,-67.8767002 -45.8840561,-67.87630061 -45.88642699,,-67.87597578 -45.88674947,-67.8775477 -45.8859232,-67.87784810000001 -45.8854153,-67.8789425 -45.8862742,-67.879554 -45.8862667,-67.8829443 -45.8844743,-67.8806055 -45.8848253,-67.87931365 -45.88515467,-67.8808522 -45.8847432,-67.8831053 -45.8843548,-67.884897 -45.8834586,-67.8876114 -45.88378720000001,-67.8901434 -45.8835856,-67.88934482 -45.88367092,-67.8863347 -45.8849448,-67.8869569 -45.8849672,-67.8874826 -45.883847,-67.8903258 -45.883570600000006,-67.88477851 -45.88530377,-67.8877938 -45.885251,-67.8862166 -45.8849523,-67.88725199 -45.88498287,-67.8916669 -45.8851316,-67.891463 -45.8853332,-67.8890061 -45.8855946,-67.8886521 -45.8849672,-67.88986813 -45.88509226,-67.895658 -45.88465360000001,-67.8955078 -45.8872675,-67.89402720000001 -45.888186,-67.89313670000001 -45.8879097,-67.8935552 -45.8866999,-67.891624 -45.8850718,-67.89478887 -45.88442779,-67.896452 -45.8842129,-67.8972995 -45.8841607,-67.8987801 -45.8833839,-67.8993165 -45.8836304,-67.89811074 -45.88424629,-67.90316820000001 -45.883637900000004,-67.9026854 -45.8831823,-67.9021275 -45.8832794,-67.900722 -45.8842279,-67.9001105 -45.8851465,-67.8995955 -45.8843175,-67.90293219 -45.8836944,-67.9039729 -45.8871629,-67.9034686 -45.8869165,-67.9041123 -45.886192,-67.9042947 -45.8847656,-67.90316820000001 -45.883637900000004,-67.90362098 -45.8874036,-67.9052818 -45.8875736,-67.90654780000001 -45.8882084,-67.9074919 -45.8882756,-67.90705336 -45.88840606,-67.9066443 -45.8844071,-67.9062474 -45.8852585,-67.908833 -45.885968,-67.9091012 -45.8864012,-67.90594775 -45.88423937,,-67.90591516 -45.88446218,-67.9076958 -45.8841084,-67.9082644 -45.8839366,-67.9093373 -45.8833167,-67.9103136 -45.8831972,-67.90970498 -45.88326091,-67.911365 -45.8831076,-67.9142618 -45.8826968,-67.9159892 -45.8825026,-67.91541483 -45.88231338,-67.9166651 -45.8823159,-67.9169762 -45.8821367,-67.9166543 -45.8815466,-67.913146 -45.8824205,-67.9128242 -45.8814645,-67.91214619 -45.88124859,-67.9129636 -45.879291,-67.9124808 -45.8793284,-67.9120302 -45.8802545,-67.9124165 -45.8806728,-67.9129958 -45.8809193,-67.91191949 -45.87938061,-67.9128349 -45.8790819,-67.91394 -45.8782827,-67.9123628 -45.8789922,-67.91076944 -45.87927096,-67.9123628 -45.8789922,-67.9139936 -45.8782154,-67.9156995 -45.8769755,-67.9165149 -45.8759447,-67.9189503 -45.874689800000006,-67.91777485 -45.87443865,-67.9194653 -45.874084800000006,-67.9204845 -45.8732108,-67.9206347 -45.8733602,-67.91957453 -45.87370778,,-67.91979942 -45.8736741,-67.9206347 -45.8733602,-67.9204845 -45.8732108,-67.9220188 -45.8711565,-67.92053462 -45.87127057,-67.9217505 -45.8712238,-67.9221582 -45.8710893,-67.9240143 -45.8689901,-67.9237783 -45.8690051,-67.92209124 -45.86928836,-67.9247117 -45.8672271,-67.9251409 -45.8672644,-67.9242826 -45.8677948,-67.9240143 -45.8689378,-67.9238534 -45.8689528,-67.92313135 -45.86736612,-67.925849 -45.8667938,-67.9245508 -45.8671822,-67.92478129 -45.86687146,-67.9266429 -45.8657927,-67.9259992 -45.8665696,-67.92617947 -45.86596757,,-67.92568273 -45.86555172,-67.9284239 -45.8655835,-67.9270077 -45.8655162,-67.92761571 -45.86576064,-67.92822 -45.8655835,-67.9257631 -45.8646496,-67.9248297 -45.8653668,-67.9234779 -45.8651726,-67.92316538 -45.86501695,-67.9237998 -45.8649111,-67.9216969 -45.86498580000001,-67.92009355 -45.86527701,-67.920903 -45.864119200000005,-67.92119260000001 -45.8646197,-67.9214394 -45.8648887,-67.92012334 -45.86396532,-67.9195297 -45.8639025,-67.9203665 -45.8649335,-67.9209244 -45.864687,-67.9208171 -45.8640743,-67.91830981 -45.86407906,-67.9196048 -45.8623709,-67.9195297 -45.8639025,-67.91863427 -45.86235477,-67.9194546 -45.86234100000001,-67.9182208 -45.863118,-67.918371 -45.8624979,-67.91757646 -45.86239315,-67.9182851 -45.8625352,-67.9178131 -45.863753100000004,-67.91631145 -45.86423466,,-67.91626521 -45.86408272;-67.91626521 -45.86408272,,-67.91631145 -45.86423466,-67.9182851 -45.8625352,-67.9178131 -45.863753100000004,-67.91757646 -45.86239315,-67.9194546 -45.86234100000001,-67.9182208 -45.863118,-67.918371 -45.8624979,-67.91863427 -45.86235477,-67.9196048 -45.8623709,-67.9195297 -45.8639025,-67.91830981 -45.86407906,-67.9195297 -45.8639025,-67.9203665 -45.8649335,-67.9209244 -45.864687,-67.9208171 -45.8640743,-67.92012334 -45.86396532,-67.920903 -45.864119200000005,-67.92119260000001 -45.8646197,-67.9214394 -45.8648887,-67.92009355 -45.86527701,-67.9237998 -45.8649111,-67.9216969 -45.86498580000001,-67.92316538 -45.86501695,-67.92822 -45.8655835,-67.9257631 -45.8646496,-67.9248297 -45.8653668,-67.9234779 -45.8651726,-67.92761571 -45.86576064,-67.92887450000002 -45.8655984,-67.929647 -45.8660093,-67.9311919 -45.8652622,-67.93025624 -45.86524613,-67.934196 -45.8650755,-67.9339492 -45.8648887,-67.9318678 -45.8652174,-67.93322311 -45.86539389,-67.9364544 -45.8650082,-67.9343033 -45.8651128,-67.93542287 -45.86514387,-67.9374468 -45.8637643,-67.93648120000002 -45.8648999,-67.93638614 -45.8639203,-67.9407513 -45.863103100000004,-67.9403973 -45.8622551,-67.93757020000001 -45.8636746,-67.94016816 -45.86304785,-67.9412395 -45.8636896,-67.94085860000001 -45.8628677,-67.94026881 -45.86394522,-67.9413575 -45.8643508,-67.94191 -45.8638801,-67.9413092 -45.8637717,-67.9397787 -45.86446671,-67.939437 -45.8659907,-67.9410034 -45.8642985,-67.93820898 -45.86621382,,-67.93822649 -45.86645361,-67.9383588 -45.8674437,-67.9380101 -45.8666929,-67.9392922 -45.8661064,-67.9400271 -45.8665472</t>
  </si>
  <si>
    <t>-67.9400271 -45.8665472,-67.9383588 -45.8674437,-67.9380584 -45.8682655,-67.9363847 -45.8693786,-67.9365671 -45.8696326,-67.93551008 -45.87004015,-67.936492 -45.8696625,-67.9362881 -45.8694234,-67.9350436 -45.8703273,-67.9347003 -45.8699986,-67.933282 -45.87018527,-67.9337347 -45.872531,-67.9350007 -45.8704245,-67.9346895 -45.8701032,-67.93292309 -45.87290945,-67.9305589 -45.8765722,-67.9309773 -45.8765423,-67.9323184 -45.875011,-67.9336917 -45.8726132,-67.92916705 -45.87686758,-67.9288745 -45.8790371,-67.9299796 -45.8786337,-67.9304302 -45.8776552,-67.9309022 -45.8766245,-67.9306126 -45.8766543,-67.92746283 -45.879252,-67.9288745 -45.8790371,-67.9299796 -45.8786337,-67.9308271 -45.8793582,-67.9310632 -45.8796271,-67.9308057 -45.8796645,-67.92926139 -45.87980166,-67.9308057 -45.8796645,-67.9309773 -45.8795823,-67.9308271 -45.8793582,-67.9319429 -45.8795524,-67.9332089 -45.8799333,-67.9339921 -45.8795524,-67.9349685 -45.8793358,-67.935698 -45.8793209,-67.93512028 -45.8793768,-67.9364383 -45.8791566,-67.9368889 -45.8790371,-67.9370821 -45.878798,-67.939657 -45.8787906,-67.9398179 -45.8784246,-67.93938002 -45.87863178,-67.9433799 -45.8793582,-67.9425859 -45.8792462,-67.9414809 -45.8788951,-67.9399574 -45.8788802,-67.9395819 -45.8785889,-67.9398179 -45.8784246,-67.94258106 -45.87928487,-67.9468131 -45.8799931,-67.9464698 -45.8794927,-67.9443026 -45.8791491,-67.9459034 -45.88040255,-67.9472744 -45.8827118,-67.9475963 -45.8819051,-67.9476392 -45.8807475,-67.9472208 -45.8805159,-67.94607409 -45.88311995,-67.9472744 -45.8852212,-67.9470921 -45.8844967,-67.9472423 -45.883959,-67.9472315 -45.8831823,-67.94628753 -45.88560005,-67.9471672 -45.8852884,-67.9470921 -45.8848627,-67.9461265 -45.8845565,-67.94483649 -45.8845247,-67.9459763 -45.8845415,-67.9446459 -45.8841607,-67.9436696 -45.8842353,-67.94255555 -45.88454697,-67.9423177 -45.8861323,-67.9425859 -45.8852137,-67.9431438 -45.8846088,-67.9432619 -45.8842802,-67.94198922 -45.88653728,-67.9414594 -45.88785,-67.9417813 -45.8871554,-67.9419315 -45.8865879,-67.9423285 -45.8863414,-67.93992923 -45.88854577,-67.9410625 -45.888776,-67.9401827 -45.8890747,-67.9375863 -45.8886341,-67.93581454 -45.88863383,-67.9351616 -45.890628,-67.9353011 -45.8903069,-67.9351509 -45.889702,-67.9356337 -45.8888283,-67.9361594 -45.8882682,-67.9367387 -45.8882607,-67.93404442 -45.8909633,-67.9365563 -45.8934955,-67.9363203 -45.8936,-67.935344 -45.8928831,-67.935226 -45.8911432,-67.9360062 -45.89335158,-67.9386914 -45.8911283,-67.9384661 -45.8920468,-67.9380691 -45.8922111,-67.9374146 -45.8931968,-67.93808121 -45.89103139,-67.9441845 -45.8944512,-67.9437339 -45.8940256,-67.9429615 -45.8935179,-67.9420388 -45.8926442,-67.9392278 -45.8921737,-67.9386055 -45.8919721,-67.9388738 -45.8911059,-67.94342733 -45.89494583,-67.9444742 -45.8952204,-67.9448175 -45.8966465,-67.9453754 -45.8970423,-67.9465127 -45.8973708,-67.948122 -45.8975724,-67.9491735 -45.8979383,-67.9495811 -45.8977143,-67.9495168 -45.8971916,-67.948916 -45.89643,-67.9480469 -45.8964599,-67.94634029 -45.89666725,-67.9479182 -45.8963777,-67.9484332 -45.8961687,-67.9491413 -45.8948769,-67.94786319 -45.89467988;-67.94786319 -45.89467988,-67.9479182 -45.8963777,-67.9484332 -45.8961687,-67.9491413 -45.8948769,-67.94634029 -45.89666725,-67.9444742 -45.8952204,-67.9448175 -45.8966465,-67.9453754 -45.8970423,-67.9465127 -45.8973708,-67.948122 -45.8975724,-67.9491735 -45.8979383,-67.9495811 -45.8977143,-67.9495168 -45.8971916,-67.948916 -45.89643,-67.9480469 -45.8964599,-67.94342733 -45.89494583,-67.9441845 -45.8944512,-67.9437339 -45.8940256,-67.9429615 -45.8935179,-67.9420388 -45.8926442,-67.9392278 -45.8921737,-67.9386055 -45.8919721,-67.9388738 -45.8911059,-67.93808121 -45.89103139,-67.9386914 -45.8911283,-67.9384661 -45.8920468,-67.9380691 -45.8922111,-67.9374146 -45.8931968,-67.9360062 -45.89335158,-67.9365563 -45.8934955,-67.9363203 -45.8936,-67.935344 -45.8928831,-67.935226 -45.8911432,-67.93404442 -45.8909633,-67.9351616 -45.890628,-67.9353011 -45.8903069,-67.9351509 -45.889702,-67.9356337 -45.8888283,-67.9361594 -45.8882682,-67.9367387 -45.8882607,-67.93581454 -45.88863383,-67.9410625 -45.888776,-67.9401827 -45.8890747,-67.9375863 -45.8886341,-67.93992923 -45.88854577,-67.9414594 -45.88785,-67.9417813 -45.8871554,-67.9419315 -45.8865879,-67.9423285 -45.8863414,-67.94198922 -45.88653728,-67.9423177 -45.8861323,-67.9425859 -45.8852137,-67.9431438 -45.8846088,-67.9432619 -45.8842802,-67.94255555 -45.88454697,-67.9459763 -45.8845415,-67.9446459 -45.8841607,-67.9436696 -45.8842353,-67.94483649 -45.8845247,-67.9471672 -45.8852884,-67.9470921 -45.8848627,-67.9461265 -45.8845565,-67.94628753 -45.88560005,-67.9472744 -45.8852212,-67.9470921 -45.8844967,-67.9472423 -45.883959,-67.9472315 -45.8831823,-67.94607409 -45.88311995,-67.9472744 -45.8827118,-67.9475963 -45.8819051,-67.9476392 -45.8807475,-67.9472208 -45.8805159,-67.9459034 -45.88040255,-67.9468131 -45.8799931,-67.9464698 -45.8794927,-67.9443026 -45.8791491,-67.94258106 -45.87928487,-67.9433799 -45.8793582,-67.9425859 -45.8792462,-67.9414809 -45.8788951,-67.9399574 -45.8788802,-67.9395819 -45.8785889,-67.9398179 -45.8784246,-67.93938002 -45.87863178,-67.9364383 -45.8791566,-67.9368889 -45.8790371,-67.9370821 -45.878798,-67.939657 -45.8787906,-67.9398179 -45.8784246,-67.93512028 -45.8793768,-67.9308057 -45.8796645,-67.9309773 -45.8795823,-67.9308271 -45.8793582,-67.9319429 -45.8795524,-67.9332089 -45.8799333,-67.9339921 -45.8795524,-67.9349685 -45.8793358,-67.935698 -45.8793209,-67.92926139 -45.87980166,-67.9288745 -45.8790371,-67.9299796 -45.8786337,-67.9308271 -45.8793582,-67.9310632 -45.8796271,-67.9308057 -45.8796645,-67.92746283 -45.879252,-67.9288745 -45.8790371,-67.9299796 -45.8786337,-67.9304302 -45.8776552,-67.9309022 -45.8766245,-67.9306126 -45.8766543,-67.92916705 -45.87686758,-67.9305589 -45.8765722,-67.9309773 -45.8765423,-67.9323184 -45.875011,-67.9336917 -45.8726132,-67.93292309 -45.87290945,-67.9337347 -45.872531,-67.9350007 -45.8704245,-67.9346895 -45.8701032,-67.933282 -45.87018527,-67.936492 -45.8696625,-67.9362881 -45.8694234,-67.9350436 -45.8703273,-67.9347003 -45.8699986,-67.93551008 -45.87004015,-67.9383588 -45.8674437,-67.9380584 -45.8682655,-67.9363847 -45.8693786,-67.9365671 -45.8696326,-67.9400271 -45.8665472,-67.9383588 -45.8674437,-67.9380101 -45.8666929,-67.9392922 -45.8661064,-67.93822649 -45.86645361,,-67.93820898 -45.86621382,-67.939437 -45.8659907,-67.9410034 -45.8642985,-67.9397787 -45.86446671,-67.9413575 -45.8643508,-67.94191 -45.8638801,-67.9413092 -45.8637717,-67.94026881 -45.86394522,-67.9412395 -45.8636896,-67.94085860000001 -45.8628677,-67.94016816 -45.86304785,-67.9407942 -45.8630844,-67.9403758 -45.8621878,-67.9386914 -45.8624792,-67.93749455 -45.86270022,-67.9389811 -45.8623559,-67.9389596 -45.8618329,-67.9381979 -45.8610783,-67.9390669 -45.8607794,-67.93809539 -45.86091501,-67.9388309 -45.8607794,-67.938112 -45.8611007,-67.9377472 -45.860899,-67.9362881 -45.8614743,-67.9374897 -45.8619749,-67.93652197 -45.86222667,-67.9375219 -45.8620421,-67.9357517 -45.861085800000005,-67.9346144 -45.8614519,-67.93332777 -45.86169272,-67.9343569 -45.8614145,-67.9335523 -45.861549,-67.9334021 -45.8611381,-67.9309666 -45.8609214,-67.92973166 -45.86112334,-67.9307091 -45.86097370000001,-67.9287457 -45.8609588,-67.9288423 -45.860757,-67.92827234 -45.86082887,-67.9288423 -45.860757,-67.9286063 -45.8609812,-67.9269433 -45.8608168,-67.9254305 -45.8610559,-67.9256237 -45.8606898,-67.92472033 -45.86078317,-67.9253769 -45.8604208,-67.9236388 -45.8595317,-67.9233384 -45.8597857,-67.92204432 -45.86025045,-67.9235315 -45.8601219,-67.9222655 -45.8604731,-67.92116295 -45.86077528,-67.9219651 -45.8610335,-67.9157424 -45.8609887,-67.91412974 -45.86109479,-67.9153347 -45.8605702,-67.9157317 -45.8599725,-67.9146159 -45.859457,-67.91347499 -45.85938782,-67.9145408 -45.8594047,-67.9124916 -45.858777,-67.9112792 -45.8592776,-67.91058213 -45.85962973,-67.9112792 -45.8592776,-67.9102921 -45.8588293,-67.9105067 -45.8586425,-67.90964669 -45.85881191,-67.9102653 -45.8586986,-67.9081625 -45.8581195,-67.90707943 -45.8582017,-67.90773330000002 -45.8580522,-67.9073417 -45.8579177,-67.9068965 -45.8568567,-67.9053408 -45.8563822,-67.90400196 -45.85653031,-67.904284 -45.8564084,-67.9033184 -45.8552726,-67.9019022 -45.8551232,-67.90067511 -45.8549717,,-67.90022567 -45.85540767,-67.9008508 -45.8548093,-67.8990161 -45.8545403,-67.898823 -45.8538678,-67.8965485 -45.8545553,-67.89483427 -45.85484841,-67.887429 -45.855564,-67.8894138 -45.853808,-67.8932333 -45.8533447,-67.8969455 -45.8545851,-67.8963768 -45.8546599,-67.88581092 -45.85597227,-67.887429 -45.855564,-67.8882551 -45.8548691,-67.8894138 -45.853808,-67.8920853 -45.8535689,-67.8916454 -45.8538678,-67.8897357 -45.85395,-67.88910 -45.85436,-67.8875685 -45.8562589,-67.885799 -45.8571033,-67.88544 -45.8578281,-67.88523 -45.85794,-67.88402968 -45.85834964,-67.8814316 -45.8592926,-67.8808415 -45.8591357,-67.880863 -45.8587322,-67.8817642 -45.858239,-67.8850043 -45.8580522,-67.88077392 -45.85953999,-67.8790283 -45.8588293,-67.880466 -45.8587397,-67.8813028 -45.8593598,-67.87771797 -45.85914466,-67.875917 -45.8590236,-67.8765607 -45.8587098,-67.8784597 -45.8588443,-67.87446619 -45.85953534,-67.8758311 -45.8590012,-67.8755307 -45.858777,-67.8718829 -45.8588144,-67.8721619 -45.8576637,-67.8733528 -45.857462,-67.8739536 -45.8579028,-67.87227986 -45.85836679,-67.8721619 -45.8576637,-67.8734279 -45.8573798,-67.8740823 -45.8579103,-67.87029294 -45.85782787,-67.8694689 -45.8577534,-67.8703272 -45.8578879,-67.8705525 -45.8574694,-67.8710139 -45.8575441,-67.86752908 -45.85773082,-67.8666365 -45.8577982,-67.8680527 -45.857716,-67.86509618 -45.85797591,-67.8655958 -45.85783560000001,-67.8642118 -45.8570435,-67.86269634 -45.8576934,-67.8630531 -45.8577608,-67.8618944 -45.8580074,-67.86119926 -45.8582863,-67.8617334 -45.8580597,-67.8595233 -45.8583362,-67.85800456 -45.85865306,-67.8585362 -45.8586425,-67.8567231 -45.8591431,-67.8550386 -45.8605852,-67.85325633 -45.86047853,-67.8547168 -45.8600622,-67.8545237 -45.8589862,-67.8537083 -45.858508,-67.852335 -45.8585529,-67.85051371 -45.8587379,-67.8511226 -45.8587172,-67.8489661 -45.8581942,-67.8504252 -45.8565952,-67.84992667 -45.85649082,-67.851541 -45.8561394,-67.8511119 -45.8555416,-67.8497386 -45.8553249,-67.8490841 -45.8555341,-67.84737753 -45.85568862,-67.8480864 -45.8556163,-67.846477 -45.8561992,-67.8452325 -45.8556537,-67.84359994 -45.85582912,-67.8438914 -45.8557508,-67.8414237 -45.8563262,-67.8377545 -45.8563187,-67.83653581 -45.85644197,-67.8371108 -45.8561767,-67.8326368 -45.8556313,-67.83154193 -45.85548135,-67.8319716 -45.855437,-67.8292787 -45.855108200000004,-67.82760578 -45.8552439,-67.8277767 -45.8550036,-67.8251696 -45.8547271,-67.824676 -45.8544207,-67.82322995 -45.85451391,-67.8244078 -45.8540994,-67.8225088 -45.8518801,-67.82163737 -45.8516816,-67.8223801 -45.8515886,-67.8209639 -45.8504751,-67.8196657 -45.8504079,-67.81800483 -45.85079524,-67.8185713 -45.8505798,-67.816962 -45.851073,-67.8161895 -45.8523658,-67.81497943 -45.85259887,-67.816329 -45.8519921,-67.8167796 -45.8511701,-67.8158462 -45.8513121,-67.8150415 -45.8533148,-67.8138399 -45.8541293,-67.81217316 -45.85421245,-67.809999 -45.85395,-67.81053540000002 -45.8542265,-67.8125417 -45.8543386,-67.80813131 -45.85419968,-67.8093982 -45.8548467,-67.8103423 -45.8545851,-67.808851 -45.8544506,-67.8103101 -45.854219,-67.8097093 -45.8539126,-67.8072436 -45.85498762,-67.8098595 -45.8560647,-67.809999 -45.8550036,-67.8090441 -45.8548691,-67.80907829 -45.8565264,,-67.80847992 -45.85663136,-67.8079927 -45.8589788,-67.8088081 -45.8589563,-67.8109431 -45.8570659,-67.8101277 -45.85677450000001,-67.80665538 -45.85865673,-67.8114688 -45.8591357,-67.8116298 -45.8604955,-67.8098059 -45.8582465,-67.8087223 -45.8590049,-67.807923 -45.8590273,-67.81049477 -45.85888588;-67.81049477 -45.85888588,-67.8114688 -45.8591357,-67.8116298 -45.8604955,-67.8098059 -45.8582465,-67.8087223 -45.8590049,-67.807923 -45.8590273,-67.80665538 -45.85865673,-67.8079927 -45.8589788,-67.8088081 -45.8589563,-67.8109431 -45.8570659,-67.8101277 -45.85677450000001,-67.80847992 -45.85663136,,-67.80907829 -45.8565264,-67.8125632 -45.8568492,-67.810396 -45.8571033,-67.8101599 -45.8566923,-67.81224182 -45.85671416,-67.8138077 -45.8564532,-67.814548 -45.8566699,-67.813561 -45.8597484,-67.8137219 -45.8605777,-67.81282229 -45.86107452,-67.8186142 -45.8634617,-67.8183568 -45.8624605,-67.8160179 -45.8615565,-67.8143764 -45.8610559,-67.81720169 -45.86444747,-67.8182173 -45.868004,-67.8160286 -45.8663455,-67.8181314 -45.8648065,-67.8182173 -45.864545,-67.81633269 -45.86814359,-67.819097 -45.8668461,-67.8186357 -45.8670552,-67.8192151 -45.868385,-67.81829240000002 -45.8680713,-67.8187144 -45.86699435,-67.8260922 -45.8716048,-67.8258884 -45.8718886,-67.8219509 -45.871657,-67.8194082 -45.8687287,-67.8185391 -45.8670926,-67.8190756 -45.8667788,-67.82435527 -45.87146335,-67.8326046 -45.8712686,-67.8287637 -45.8718438,-67.8266931 -45.8718811,-67.8259957 -45.8715076,-67.83204724 -45.87132308,-67.8363276 -45.8710445,-67.8348899 -45.87091,-67.8336024 -45.8710221,-67.83598551 -45.8713908,-67.8404045 -45.871440400000004,-67.8396642 -45.8713657,-67.8393745 -45.8705216,-67.8371751 -45.8699314,-67.8344822 -45.8697969,-67.8345251 -45.8700584,-67.8363597 -45.8707606,-67.83999726 -45.87142467,-67.8403401 -45.8715002,-67.8396213 -45.8713059,-67.8401256 -45.8706859,-67.8424323 -45.8705216,-67.8432369 -45.8702153,-67.84266503 -45.8702826,-67.8433174 -45.8702414,-67.8424054 -45.8705701,-67.8442401 -45.8712014,-67.8457582 -45.8705029,-67.8468794 -45.8714778,-67.8465736 -45.871657000000006,-67.8464073 -45.8713396,-67.84458226 -45.87132178,-67.8464448 -45.8713396,-67.8465736 -45.871657000000006,-67.84484620000002 -45.8726692,-67.84336962 -45.87289033,-67.8489339 -45.8731324,-67.8501302 -45.8733565,-67.8485316 -45.8736739,-67.8459191 -45.8729942,-67.84549 -45.8723406,-67.8449106 -45.8726842,-67.84711722 -45.87310355,-67.847904 -45.8759074,-67.8490949 -45.8742491,-67.8510368 -45.8734349,-67.8488266 -45.8731585,-67.84644226 -45.87649326,-67.8503072 -45.877095,-67.8495133 -45.8766394,-67.8481615 -45.87637800000001,-67.84953817 -45.87734102,-67.8534776 -45.8786225,-67.852689 -45.8781818,-67.8508437 -45.8775395,-67.85276267 -45.87922955,-67.8564656 -45.8801798,-67.855736 -45.8808595,-67.8561974 -45.8788727,-67.8546631 -45.8788802,-67.855851 -45.88011934,-67.8574526 -45.8818977,-67.8570664 -45.8807624,-67.8556824 -45.8812367,-67.8564656 -45.8801798,-67.85651325 -45.88220843,-67.8573883 -45.8816587,-67.8575063 -45.8811433,-67.8592443 -45.8804114,-67.8593087 -45.8795599,-67.8584397 -45.8786113,-67.8589547 -45.8770502,-67.8599954 -45.87787190000001,-67.859516 -45.87831444,-67.8608537 -45.8799333,-67.8613579 -45.8799707,-67.8611863 -45.8784545,-67.86092880000001 -45.8783424,-67.85926992 -45.88036306,-67.8622806 -45.8814346,-67.8628922 -45.8810985,-67.8613365 -45.8799035,-67.8605962 -45.879896,-67.86071597 -45.88116865,-67.8685462 -45.8831151,-67.8700483 -45.8829059,-67.8648233 -45.8818603,-67.8628063 -45.8810537,-67.8621304 -45.8814645,-67.86703039 -45.88312685,-67.8737283 -45.8829508,-67.8736854 -45.8833242,-67.8730094 -45.8829134,-67.8686643 -45.8830254,-67.87263059 -45.88283868,-67.8738034 -45.8829806,-67.8739858 -45.8834512,-67.87655 -45.8844445,-67.8765929 -45.8840262,-67.8758872 -45.88413516,-67.8775907 -45.885744,-67.8778374 -45.8851241,-67.8766251 -45.8844594,-67.8767002 -45.8840561,-67.87630061 -45.88642699,,-67.87597578 -45.88674947,-67.8775477 -45.8859232,-67.87784810000001 -45.8854153,-67.8789425 -45.8862742,-67.879554 -45.8862667,-67.8829443 -45.8844743,-67.8806055 -45.8848253,-67.87931365 -45.88515467,-67.8808522 -45.8847432,-67.8831053 -45.8843548,-67.884897 -45.8834586,-67.8876114 -45.88378720000001,-67.8901434 -45.8835856,-67.88934482 -45.88367092,-67.8863347 -45.8849448,-67.8869569 -45.8849672,-67.8874826 -45.883847,-67.8903258 -45.883570600000006,-67.88477851 -45.88530377,-67.8877938 -45.885251,-67.8862166 -45.8849523,-67.88725199 -45.88498287,-67.8916669 -45.8851316,-67.891463 -45.8853332,-67.8890061 -45.8855946,-67.8886521 -45.8849672,-67.88986813 -45.88509226,-67.895658 -45.88465360000001,-67.8955078 -45.8872675,-67.89402720000001 -45.888186,-67.89313670000001 -45.8879097,-67.8935552 -45.8866999,-67.891624 -45.8850718,-67.89478887 -45.88442779,-67.896452 -45.8842129,-67.8972995 -45.8841607,-67.8987801 -45.8833839,-67.8993165 -45.8836304,-67.89811074 -45.88424629,-67.90316820000001 -45.883637900000004,-67.9026854 -45.8831823,-67.9021275 -45.8832794,-67.900722 -45.8842279,-67.9001105 -45.8851465,-67.8995955 -45.8843175,-67.90293219 -45.8836944,-67.9039729 -45.8871629,-67.9034686 -45.8869165,-67.9041123 -45.886192,-67.9042947 -45.8847656,-67.90316820000001 -45.883637900000004,-67.90362098 -45.8874036,-67.9022241 -45.8892913,-67.9030609 -45.889239,-67.9032218 -45.8889477,-67.9028785 -45.8877678,-67.9034686 -45.8869165,-67.9039729 -45.8871629,-67.90098858 -45.88903898,-67.9020846 -45.8894257,-67.9013014 -45.8899484,-67.8996277 -45.8906877,-67.899971 -45.8910611,-67.9025245 -45.8912403,-67.90201018 -45.89143448,-67.88692 -45.8969,-67.88699 -45.8967,-67.88813 -45.89656,-67.89097 -45.89695,-67.89245 -45.89689,-67.89426 -45.89522,-67.895143 -45.89461,-67.8961408 -45.8936821,-67.9025245 -45.8916958,-67.905325 -45.89145,-67.90461 -45.89114,-67.90381 -45.89112,-67.88552167 -45.89738087;-67.88552167 -45.89738087,-67.88692 -45.8969,-67.88699 -45.8967,-67.88813 -45.89656,-67.89097 -45.89695,-67.89245 -45.89689,-67.89426 -45.89522,-67.895143 -45.89461,-67.8961408 -45.8936821,-67.9025245 -45.8916958,-67.905325 -45.89145,-67.90461 -45.89114,-67.90381 -45.89112,-67.90201018 -45.89143448,-67.9020846 -45.8894257,-67.9013014 -45.8899484,-67.8996277 -45.8906877,-67.899971 -45.8910611,-67.9025245 -45.8912403,-67.90098858 -45.88903898,-67.9022241 -45.8892913,-67.9030609 -45.889239,-67.9032218 -45.8889477,-67.9028785 -45.8877678,-67.9034686 -45.8869165,-67.9039729 -45.8871629,-67.90362098 -45.8874036,-67.9052818 -45.8875736,-67.90654780000001 -45.8882084,-67.9074919 -45.8882756,-67.90705336 -45.88840606,-67.9066443 -45.8844071,-67.9062474 -45.8852585,-67.908833 -45.885968,-67.9091012 -45.8864012,-67.90594775 -45.88423937,,-67.90591516 -45.88446218,-67.9076958 -45.8841084,-67.9082644 -45.8839366,-67.9093373 -45.8833167,-67.9103136 -45.8831972,-67.90970498 -45.88326091,-67.911365 -45.8831076,-67.9142618 -45.8826968,-67.9159892 -45.8825026,-67.91541483 -45.88231338,-67.9166651 -45.8823159,-67.9170835 -45.8822711,-67.9178345 -45.8833989,-67.9184783 -45.8832943,-67.91747464 -45.88372353,-67.9183173 -45.8833018,-67.9179525 -45.8832943,-67.9178452 -45.8829358,-67.9186606 -45.8819873,-67.9191113 -45.8815466,-67.9197979 -45.8813898,-67.91930941 -45.88137118,-67.9231775 -45.8798138,-67.9230273 -45.8801051,-67.9220295 -45.8802022,-67.9198301 -45.8807027,-67.9191542 -45.8814645,-67.9198301 -45.8813375,-67.92260289 -45.87981886,-67.9288745 -45.8790371,-67.9299045 -45.8786188,-67.929765 -45.8784918,-67.9247224 -45.8798512,-67.9241753 -45.8796943,-67.92746283 -45.879252,-67.9288745 -45.8790371,-67.9299796 -45.8786337,-67.9304302 -45.8776552,-67.9309022 -45.8766245,-67.9306126 -45.8766543,-67.92916705 -45.87686758,-67.9305589 -45.8765722,-67.9309773 -45.8765423,-67.9323184 -45.875011,-67.9336917 -45.8726132,-67.93292309 -45.87290945,-67.9337347 -45.872531,-67.9350007 -45.8704245,-67.9346895 -45.8701032,-67.933282 -45.87018527,-67.936492 -45.8696625,-67.9362881 -45.8694234,-67.9350436 -45.8703273,-67.9347003 -45.8699986,-67.93551008 -45.87004015,-67.9383588 -45.8674437,-67.9380584 -45.8682655,-67.9363847 -45.8693786,-67.9365671 -45.8696326,-67.9400271 -45.8665472</t>
  </si>
  <si>
    <t>-67.9400271 -45.8665472,-67.9427254 -45.8635364,-67.9464859 -45.8623447,-67.9469097 -45.862016,-67.94569946 -45.86221924,-67.9469097 -45.8620944,-67.9481596 -45.8620048,-67.94727301 -45.86217176,-67.9483044 -45.861911400000004,-67.9473495 -45.8614183,-67.94655091 -45.86160389,-67.9479718 -45.8615453,-67.9493934 -45.8606973,-67.9489589 -45.8606599,-67.94780419 -45.86081977,-67.9549134 -45.858239,-67.9527032 -45.8590684,-67.9493666 -45.8607794,-67.9491198 -45.8606898,-67.9539623 -45.85805836,-67.9549778 -45.85820170000001,-67.9571986 -45.85672970000001,-67.9579175 -45.8564981,-67.9585719 -45.8567521,-67.95773843 -45.85672753,-67.9586148 -45.8568044,-67.9579926 -45.8564383,-67.9605138 -45.8553847,-67.9615545 -45.8546374,-67.963078 -45.8525451,-67.9633892 -45.8522836,-67.9675841 -45.8512224,-67.9699767 -45.8512598,-67.9700732 -45.8515064,-67.9697835 -45.8517381,-67.96836168 -45.85192469,-67.9697835 -45.8517381,-67.9700947 -45.8517082,-67.9702342 -45.8514018,-67.9710817 -45.8516335,-67.97135 -45.8516633,-67.97067338 -45.85178783,-67.9748797 -45.8534568,-67.9738176 -45.8522612,-67.9730666 -45.8517007,-67.9728305 -45.8516858,-67.9720902 -45.8515438,-67.97404757 -45.85313584,-67.9750836 -45.8543983,-67.9752016 -45.8534194,-67.97353981 -45.85482131,-67.9721439 -45.8564532,-67.9723585 -45.855833,-67.9728305 -45.8549363,-67.9739249 -45.8544805,-67.9741395 -45.8540023,-67.9740536 -45.853539,-67.9744184 -45.8538977,-67.9746437 -45.8541517,-67.9750943 -45.8540247,-67.9749548 -45.854488,-67.97079424 -45.85669528,-67.9761672 -45.8586351,-67.9759634 -45.858508,-67.9757595 -45.8578206,-67.9751909 -45.8575143,-67.9723477 -45.8568567,-67.9721653 -45.8565802,-67.97543611 -45.85876585,-67.9762101 -45.8587172,-67.9768431 -45.8590385,-67.9774976 -45.8593075,-67.9783773 -45.8600024,-67.9787743 -45.859569,-67.97805617 -45.85962835,-67.9787743 -45.859569,-67.9784095 -45.8600622,-67.9786134 -45.860249,-67.9797721 -45.8603909,-67.9814243 -45.8607346,-67.98085648 -45.8609192,-67.9814565 -45.8608243,-67.9794395 -45.8610634,-67.97806312 -45.86131529,-67.9787314 -45.8612128,-67.9781628 -45.8612053,-67.9774868 -45.8607794,-67.9767251 -45.8597259,-67.9755342 -45.8596288,-67.9744506 -45.8598903,-67.9743111 -45.8601967,-67.9733455 -45.8602788,-67.9734099 -45.8608317,-67.9735816 -45.8606898,-67.97275807 -45.86073448,-67.9727018 -45.8616387,-67.973367 -45.8612352,-67.9735816 -45.8606898,-67.97103212 -45.86191282,-67.9706204 -45.8640967,-67.9705024 -45.8634169,-67.9697621 -45.8628117,-67.9696226 -45.8622215,-67.9705238 -45.8617881,-67.9714894 -45.8617732,-67.9697519 -45.86484806;-67.9697519 -45.86484806,-67.9706204 -45.8640967,-67.9705024 -45.8634169,-67.9697621 -45.8628117,-67.9696226 -45.8622215,-67.9705238 -45.8617881,-67.9714894 -45.8617732,-67.97103212 -45.86191282,-67.9727018 -45.8616387,-67.973367 -45.8612352,-67.9735816 -45.8606898,-67.97275807 -45.86073448,-67.9787314 -45.8612128,-67.9781628 -45.8612053,-67.9774868 -45.8607794,-67.9767251 -45.8597259,-67.9755342 -45.8596288,-67.9744506 -45.8598903,-67.9743111 -45.8601967,-67.9733455 -45.8602788,-67.9734099 -45.8608317,-67.9735816 -45.8606898,-67.97806312 -45.86131529,-67.9814565 -45.8608243,-67.9794395 -45.8610634,-67.98085648 -45.8609192,-67.9787743 -45.859569,-67.9784095 -45.8600622,-67.9786134 -45.860249,-67.9797721 -45.8603909,-67.9814243 -45.8607346,-67.97805617 -45.85962835,-67.9762101 -45.8587172,-67.9768431 -45.8590385,-67.9774976 -45.8593075,-67.9783773 -45.8600024,-67.9787743 -45.859569,-67.97543611 -45.85876585,-67.9761672 -45.8586351,-67.9759634 -45.858508,-67.9757595 -45.8578206,-67.9751909 -45.8575143,-67.9723477 -45.8568567,-67.9721653 -45.8565802,-67.97079424 -45.85669528,-67.9721439 -45.8564532,-67.9723585 -45.855833,-67.9728305 -45.8549363,-67.9739249 -45.8544805,-67.9741395 -45.8540023,-67.9740536 -45.853539,-67.9744184 -45.8538977,-67.9746437 -45.8541517,-67.9750943 -45.8540247,-67.9749548 -45.854488,-67.97353981 -45.85482131,-67.9750836 -45.8543983,-67.9752016 -45.8534194,-67.97404757 -45.85313584,-67.9748797 -45.8534568,-67.9738176 -45.8522612,-67.9730666 -45.8517007,-67.9728305 -45.8516858,-67.9720902 -45.8515438,-67.97067338 -45.85178783,-67.9697835 -45.8517381,-67.9700947 -45.8517082,-67.9702342 -45.8514018,-67.9710817 -45.8516335,-67.97135 -45.8516633,-67.96836168 -45.85192469,-67.9586148 -45.8568044,-67.9579926 -45.8564383,-67.9605138 -45.8553847,-67.9615545 -45.8546374,-67.963078 -45.8525451,-67.9633892 -45.8522836,-67.9675841 -45.8512224,-67.9699767 -45.8512598,-67.9700732 -45.8515064,-67.9697835 -45.8517381,-67.95773843 -45.85672753,-67.9549778 -45.85820170000001,-67.9571986 -45.85672970000001,-67.9579175 -45.8564981,-67.9585719 -45.8567521,-67.9539623 -45.85805836,-67.9549134 -45.858239,-67.9527032 -45.8590684,-67.9493666 -45.8607794,-67.9491198 -45.8606898,-67.94780419 -45.86081977,-67.9479718 -45.8615453,-67.9493934 -45.8606973,-67.9489589 -45.8606599,-67.94655091 -45.86160389,-67.9483044 -45.861911400000004,-67.9473495 -45.8614183,-67.94727301 -45.86217176,-67.9469097 -45.8620944,-67.9481596 -45.8620048,-67.94569946 -45.86221924,-67.9427254 -45.8635364,-67.9464859 -45.8623447,-67.9469097 -45.862016,-67.9400271 -45.8665472,-67.9452038 -45.8642219,-67.9464403 -45.8647635,-67.9454304 -45.86503525,,-67.94551194 -45.86495899,-67.949152 -45.8670029,-67.9489589 -45.866338,-67.9464805 -45.8656358,-67.946502 -45.8652099,-67.94827454 -45.86749255,-67.9513514 -45.867951700000006,-67.9506004 -45.8681534,-67.9493558 -45.8665622,-67.9490876 -45.8664576,-67.9492164 -45.8668461,-67.95075242 -45.86791677,-67.9511476 -45.8693039,-67.95089010000001 -45.8697222,-67.9506433 -45.8681011,-67.9512978 -45.867892,-67.95011093 -45.86936834,-67.9526013 -45.869965,-67.9517484 -45.8700734,-67.9508901 -45.8697222,-67.9511476 -45.8693039,-67.95188123 -45.87007275,-67.9518449 -45.870925,-67.9516733 -45.8706037,-67.9509866 -45.870275,-67.95089010000001 -45.8697222,-67.9517484 -45.8700734,-67.9526281 -45.8699912,-67.95082673 -45.87123588,-67.9510081 -45.87218,-67.9515123 -45.8715599,-67.9518449 -45.870925,-67.94974928 -45.87213834,-67.9508579 -45.8736739,-67.9509115 -45.8721426,-67.94983615 -45.87396079,-67.9521346 -45.8759746,-67.951448 -45.8759597,-67.9509008 -45.8738383,-67.95155064 -45.87647635,-67.9521346 -45.8759746,-67.9517162 -45.8759074,-67.9513943 -45.8758999,-67.9525959 -45.87702780000001,-67.95337920000001 -45.8774162,-67.95259842 -45.87763583,-67.9538298 -45.8776104,-67.9575419 -45.8788205,-67.9596341 -45.8789624,-67.9602242 -45.8794852,-67.95937836 -45.87978501,-67.967391 -45.8796271,-67.9660606 -45.879657,-67.9619408 -45.879179,-67.959795 -45.8789997,-67.9602242 -45.8794852,-67.96661757 -45.87943084,-67.9708028 -45.8792686,-67.9686999 -45.8795524,-67.9682064 -45.8792238,-67.96993071 -45.87922522,-67.9739785 -45.8781632,-67.9745579 -45.8782677,-67.9740644 -45.8788802,-67.9710174 -45.8792537,-67.97210325 -45.8786421,-67.9764569 -45.8790072,-67.9757595 -45.8787084,-67.9755771 -45.8785142,-67.9742253 -45.8787756,-67.974236 -45.878222900000004,-67.9757414 -45.87911165,-67.9789352 -45.8795823,-67.9791069 -45.8776627,-67.9756737 -45.8784769,-67.9758239 -45.8787234,-67.9765105 -45.8789474,-67.97764389 -45.88001208,-67.9789352 -45.8795823,-67.9789889 -45.8790669,-67.9799759 -45.8791491,-67.97934342 -45.87920812,-67.9797721 -45.879179,-67.9789889 -45.8790669,-67.9792571 -45.8776403,-67.9831409 -45.876744,-67.9844499 -45.8766842,-67.9838705 -45.8772892,-67.98257485 -45.87765379,-67.9838705 -45.8772892,-67.9842675 -45.8766469,-67.9854584 -45.876617,-67.9846001 -45.8763854,-67.98281428 -45.87644776,-67.9865313 -45.8763033,-67.9853833 -45.8764975,-67.98469660000002 -45.8764303,-67.98563419 -45.87640922,-67.9896748 -45.8771548,-67.9892349 -45.8767216,-67.985158 -45.8765946,-67.9863167 -45.8762734,-67.98904006 -45.87741924,-67.9909623 -45.8768411,-67.9909086 -45.8766394,-67.9893529 -45.876729,-67.9896641 -45.8770726,-67.98995293 -45.87688436,-67.9932904 -45.8760792,-67.9926252 -45.8763556,-67.9912949 -45.8766319,-67.99230343 -45.87612978,-67.9940093 -45.875758,-67.9942882 -45.875646,-67.9944921 -45.8759223,-67.9952216 -45.8756385,-67.9962945 -45.874899,-67.99575168 -45.87505796,-67.9970562 -45.8749065,-67.998054 -45.8746002,-67.9989874 -45.8742865,-67.9998994 -45.8736889,-67.99900055 -45.87377745,-68.0009079 -45.8733901,-68.0017447 -45.8731436,-68.0013478 -45.8728149,-68.0005753 -45.8728074,-67.9998672 -45.8727327,-67.9986441 -45.8728074,-67.99707801 -45.87306235,-67.9984939 -45.8727327,-67.9986763 -45.8725609,-67.9987407 -45.872292,-67.99743076 -45.87213204,-68.0036652 -45.8703498,-68.0024529 -45.8706934,-68.0012727 -45.8709175,-68.0001891 -45.8713881,-67.9995775 -45.8718363,-68.00284674 -45.87040916,-68.0041587 -45.8700285,-68.0051243 -45.8686091,-68.00449906 -45.86852742,-68.0070448 -45.8686241,-68.0060685 -45.868385,-68.00620422 -45.86892139,-68.0070448 -45.8686241,-68.0067122 -45.8683028,-68.0066907 -45.8679293,-68.0047274 -45.8681086,-68.0029786 -45.8686316,-68.0021524 -45.8685344,-68.0022383 -45.8682132,-68.00126819 -45.86832361,,-68.00080119 -45.86808139,-67.9980218 -45.8692665,-68.0000389 -45.8684074,-68.0017662 -45.8680339,-67.99627751 -45.86960923,-67.9969811 -45.8694981,-67.9958439 -45.8695654,-67.99512510000001 -45.8693413,-67.99505 -45.8690499,-67.99439359 -45.86914058;-67.99439359 -45.86914058,-67.9969811 -45.8694981,-67.9958439 -45.8695654,-67.99512510000001 -45.8693413,-67.99505 -45.8690499,-67.99627751 -45.86960923,-67.9980218 -45.8692665,-68.0000389 -45.8684074,-68.0017662 -45.8680339,-68.00080119 -45.86808139,,-68.00126819 -45.86832361,-68.0070448 -45.8686241,-68.0067122 -45.8683028,-68.0066907 -45.8679293,-68.0047274 -45.8681086,-68.0029786 -45.8686316,-68.0021524 -45.8685344,-68.0022383 -45.8682132,-68.00620422 -45.86892139,-68.0070448 -45.8686241,-68.0060685 -45.868385,-68.00449906 -45.86852742,-68.0041587 -45.8700285,-68.0051243 -45.8686091,-68.00284674 -45.87040916,-68.0036652 -45.8703498,-68.0024529 -45.8706934,-68.0012727 -45.8709175,-68.0001891 -45.8713881,-67.9995775 -45.8718363,-67.99743076 -45.87213204,-67.9984939 -45.8727327,-67.9986763 -45.8725609,-67.9987407 -45.872292,-67.99707801 -45.87306235,-68.0009079 -45.8733901,-68.0017447 -45.8731436,-68.0013478 -45.8728149,-68.0005753 -45.8728074,-67.9998672 -45.8727327,-67.9986441 -45.8728074,-67.99900055 -45.87377745,-67.9970562 -45.8749065,-67.998054 -45.8746002,-67.9989874 -45.8742865,-67.9998994 -45.8736889,-67.99575168 -45.87505796,-67.9940093 -45.875758,-67.9942882 -45.875646,-67.9944921 -45.8759223,-67.9952216 -45.8756385,-67.9962945 -45.874899,-67.99230343 -45.87612978,-67.9932904 -45.8760792,-67.9926252 -45.8763556,-67.9912949 -45.8766319,-67.98995293 -45.87688436,-67.9909623 -45.8768411,-67.9909086 -45.8766394,-67.9893529 -45.876729,-67.9896641 -45.8770726,-67.98904006 -45.87741924,-67.9896748 -45.8771548,-67.9892349 -45.8767216,-67.985158 -45.8765946,-67.9863167 -45.8762734,-67.98563419 -45.87640922,-67.9865313 -45.8763033,-67.9853833 -45.8764975,-67.98469660000002 -45.8764303,-67.98281428 -45.87644776,-67.9838705 -45.8772892,-67.9842675 -45.8766469,-67.9854584 -45.876617,-67.9846001 -45.8763854,-67.98257485 -45.87765379,-67.9797721 -45.879179,-67.9789889 -45.8790669,-67.9792571 -45.8776403,-67.9831409 -45.876744,-67.9844499 -45.8766842,-67.9838705 -45.8772892,-67.97934342 -45.87920812,-67.9789352 -45.8795823,-67.9789889 -45.8790669,-67.9799759 -45.8791491,-67.97764389 -45.88001208,-67.9789352 -45.8795823,-67.9791069 -45.8776627,-67.9756737 -45.8784769,-67.9758239 -45.8787234,-67.9765105 -45.8789474,-67.9757414 -45.87911165,-67.9764569 -45.8790072,-67.9757595 -45.8787084,-67.9755771 -45.8785142,-67.9742253 -45.8787756,-67.974236 -45.878222900000004,-67.97210325 -45.8786421,-67.9739785 -45.8781632,-67.9745579 -45.8782677,-67.9740644 -45.8788802,-67.9710174 -45.8792537,-67.96993071 -45.87922522,-67.9708028 -45.8792686,-67.9686999 -45.8795524,-67.9682064 -45.8792238,-67.96661757 -45.87943084,-67.967391 -45.8796271,-67.9660606 -45.879657,-67.9619408 -45.879179,-67.959795 -45.8789997,-67.9602242 -45.8794852,-67.95937836 -45.87978501,-67.9538298 -45.8776104,-67.9575419 -45.8788205,-67.9596341 -45.8789624,-67.9602242 -45.8794852,-67.95259842 -45.87763583,-67.9521346 -45.8759746,-67.9517162 -45.8759074,-67.9513943 -45.8758999,-67.9525959 -45.87702780000001,-67.95337920000001 -45.8774162,-67.95155064 -45.87647635,-67.9521346 -45.8759746,-67.951448 -45.8759597,-67.9509008 -45.8738383,-67.94983615 -45.87396079,-67.9508579 -45.8736739,-67.9509115 -45.8721426,-67.94974928 -45.87213834,-67.9510081 -45.87218,-67.9515123 -45.8715599,-67.9518449 -45.870925,-67.95082673 -45.87123588,-67.9518449 -45.870925,-67.9516733 -45.8706037,-67.9509866 -45.870275,-67.95089010000001 -45.8697222,-67.9517484 -45.8700734,-67.9526281 -45.8699912,-67.95188123 -45.87007275,-67.9526013 -45.869965,-67.9517484 -45.8700734,-67.9508901 -45.8697222,-67.9511476 -45.8693039,-67.95011093 -45.86936834,-67.9511476 -45.8693039,-67.95089010000001 -45.8697222,-67.9506433 -45.8681011,-67.9512978 -45.867892,-67.95075242 -45.86791677,-67.9513514 -45.867951700000006,-67.9506004 -45.8681534,-67.9493558 -45.8665622,-67.9490876 -45.8664576,-67.9492164 -45.8668461,-67.94827454 -45.86749255,-67.949152 -45.8670029,-67.9489589 -45.866338,-67.9464805 -45.8656358,-67.946502 -45.8652099,-67.94551194 -45.86495899,,-67.9454304 -45.86503525,-67.9452038 -45.8642219,-67.9464403 -45.8647635,-67.9400271 -45.8665472,-67.9383588 -45.8674437,-67.9380101 -45.8666929,-67.9392922 -45.8661064,-67.93822649 -45.86645361,,-67.93820898 -45.86621382,-67.939437 -45.8659907,-67.9410034 -45.8642985,-67.9397787 -45.86446671,-67.9413575 -45.8643508,-67.94191 -45.8638801,-67.9413092 -45.8637717,-67.94026881 -45.86394522,-67.9412395 -45.8636896,-67.94085860000001 -45.8628677,-67.94016816 -45.86304785,-67.9407942 -45.8630844,-67.9403758 -45.8621878,-67.9386914 -45.8624792,-67.93749455 -45.86270022,-67.9389811 -45.8623559,-67.9389596 -45.8618329,-67.9381979 -45.8610783,-67.9390669 -45.8607794,-67.93809539 -45.86091501,-67.9388309 -45.8607794,-67.938112 -45.8611007,-67.9377472 -45.860899,-67.9362881 -45.8614743,-67.9374897 -45.8619749,-67.93652197 -45.86222667,-67.9375219 -45.8620421,-67.9357517 -45.861085800000005,-67.9346144 -45.8614519,-67.93332777 -45.86169272,-67.9343569 -45.8614145,-67.9335523 -45.861549,-67.9334021 -45.8611381,-67.9309666 -45.8609214,-67.92973166 -45.86112334,-67.9307091 -45.86097370000001,-67.9287457 -45.8609588,-67.9288423 -45.860757,-67.92827234 -45.86082887,-67.9288423 -45.860757,-67.9286063 -45.8609812,-67.9269433 -45.8608168,-67.9254305 -45.8610559,-67.9256237 -45.8606898,-67.92472033 -45.86078317,-67.9253769 -45.8604208,-67.9236388 -45.8595317,-67.9233384 -45.8597857,-67.92204432 -45.86025045,-67.9235315 -45.8601219,-67.9222655 -45.8604731,-67.92116295 -45.86077528,-67.9219651 -45.8610335,-67.9157424 -45.8609887,-67.91412974 -45.86109479,-67.9153347 -45.8605702,-67.9157317 -45.8599725,-67.9146159 -45.859457,-67.91347499 -45.85938782,-67.9145408 -45.8594047,-67.9124916 -45.858777,-67.9112792 -45.8592776,-67.91058213 -45.85962973,-67.9112792 -45.8592776,-67.9102921 -45.8588293,-67.9105067 -45.8586425,-67.90964669 -45.85881191,-67.9102653 -45.8586986,-67.9081625 -45.8581195,-67.90707943 -45.8582017,-67.90773330000002 -45.8580522,-67.9073417 -45.8579177,-67.9068965 -45.8568567,-67.9053408 -45.8563822,-67.90400196 -45.85653031,-67.904284 -45.8564084,-67.9033184 -45.8552726,-67.9019022 -45.8551232,-67.90067511 -45.8549717,,-67.90022567 -45.85540767,-67.9008508 -45.8548093,-67.8990161 -45.8545403,-67.898823 -45.8538678,-67.8965485 -45.8545553,-67.89483427 -45.85484841,-67.887429 -45.855564,-67.8894138 -45.853808,-67.8932333 -45.8533447,-67.8969455 -45.8545851,-67.8963768 -45.8546599,-67.88581092 -45.85597227,-67.887429 -45.855564,-67.8882551 -45.8548691,-67.8894138 -45.853808,-67.8920853 -45.8535689,-67.8916454 -45.8538678,-67.8897357 -45.85395,-67.88910 -45.85436,-67.8875685 -45.8562589,-67.885799 -45.8571033,-67.88544 -45.8578281,-67.88523 -45.85794,-67.88402968 -45.85834964,-67.8814316 -45.8592926,-67.8808415 -45.8591357,-67.880863 -45.8587322,-67.8817642 -45.858239,-67.8850043 -45.8580522,-67.88077392 -45.85953999,-67.8790283 -45.8588293,-67.880466 -45.8587397,-67.8813028 -45.8593598,-67.87771797 -45.85914466,-67.875917 -45.8590236,-67.8765607 -45.8587098,-67.8784597 -45.8588443,-67.87446619 -45.85953534,-67.8759491 -45.8590983,-67.8764319 -45.8599501,-67.87655 -45.8609588,-67.8760779 -45.8611231,-67.87444477 -45.86135588,-67.8761101 -45.86104100000001,-67.8766465 -45.8610185,-67.8767216 -45.8614071,-67.87598229 -45.86175617,-67.8765821 -45.8616835,-67.8769684 -45.861803,-67.877183 -45.8627295,-67.87624464 -45.86324951,-67.87849190000001 -45.8641416,-67.8785133 -45.863499,-67.8778052 -45.8630732,-67.87711554 -45.86436098;-67.87711554 -45.86436098,-67.87849190000001 -45.8641416,-67.8785133 -45.863499,-67.8778052 -45.8630732,-67.87624464 -45.86324951,-67.8765821 -45.8616835,-67.8769684 -45.861803,-67.877183 -45.8627295,-67.87598229 -45.86175617,-67.8761101 -45.86104100000001,-67.8766465 -45.8610185,-67.8767216 -45.8614071,-67.87444477 -45.86135588,-67.8759491 -45.8590983,-67.8764319 -45.8599501,-67.87655 -45.8609588,-67.8760779 -45.8611231,-67.87446619 -45.85953534,-67.875917 -45.8590236,-67.8765607 -45.8587098,-67.8784597 -45.8588443,-67.87771797 -45.85914466,-67.8790283 -45.8588293,-67.880466 -45.8587397,-67.8813028 -45.8593598,-67.88077392 -45.85953999,-67.8814316 -45.8592926,-67.8808415 -45.8591357,-67.880863 -45.8587322,-67.8817642 -45.858239,-67.8850043 -45.8580522,-67.88402968 -45.85834964,-67.887429 -45.855564,-67.8882551 -45.8548691,-67.8894138 -45.853808,-67.8920853 -45.8535689,-67.8916454 -45.8538678,-67.8897357 -45.85395,-67.88910 -45.85436,-67.8875685 -45.8562589,-67.885799 -45.8571033,-67.88544 -45.8578281,-67.88523 -45.85794,-67.88581092 -45.85597227,-67.887429 -45.855564,-67.8894138 -45.853808,-67.8932333 -45.8533447,-67.8969455 -45.8545851,-67.8963768 -45.8546599,-67.89483427 -45.85484841,-67.9008508 -45.8548093,-67.8990161 -45.8545403,-67.898823 -45.8538678,-67.8965485 -45.8545553,-67.90022567 -45.85540767,,-67.90067511 -45.8549717,-67.904284 -45.8564084,-67.9033184 -45.8552726,-67.9019022 -45.8551232,-67.90400196 -45.85653031,-67.90773330000002 -45.8580522,-67.9073417 -45.8579177,-67.9068965 -45.8568567,-67.9053408 -45.8563822,-67.90707943 -45.8582017,-67.9102653 -45.8586986,-67.9081625 -45.8581195,-67.90964669 -45.85881191,-67.9112792 -45.8592776,-67.9102921 -45.8588293,-67.9105067 -45.8586425,-67.91058213 -45.85962973,-67.9145408 -45.8594047,-67.9124916 -45.858777,-67.9112792 -45.8592776,-67.91347499 -45.85938782,-67.9153347 -45.8605702,-67.9157317 -45.8599725,-67.9146159 -45.859457,-67.91412974 -45.86109479,-67.9219651 -45.8610335,-67.9157424 -45.8609887,-67.92116295 -45.86077528,-67.9235315 -45.8601219,-67.9222655 -45.8604731,-67.92204432 -45.86025045,-67.9253769 -45.8604208,-67.9236388 -45.8595317,-67.9233384 -45.8597857,-67.92472033 -45.86078317,-67.9288423 -45.860757,-67.9286063 -45.8609812,-67.9269433 -45.8608168,-67.9254305 -45.8610559,-67.9256237 -45.8606898,-67.92827234 -45.86082887,-67.9307091 -45.86097370000001,-67.9287457 -45.8609588,-67.9288423 -45.860757,-67.92973166 -45.86112334,-67.9343569 -45.8614145,-67.9335523 -45.861549,-67.9334021 -45.8611381,-67.9309666 -45.8609214,-67.93332777 -45.86169272,-67.9375219 -45.8620421,-67.9357517 -45.861085800000005,-67.9346144 -45.8614519,-67.93652197 -45.86222667,-67.9388309 -45.8607794,-67.938112 -45.8611007,-67.9377472 -45.860899,-67.9362881 -45.8614743,-67.9374897 -45.8619749,-67.93809539 -45.86091501,-67.9389811 -45.8623559,-67.9389596 -45.8618329,-67.9381979 -45.8610783,-67.9390669 -45.8607794,-67.93749455 -45.86270022,-67.9407942 -45.8630844,-67.9403758 -45.8621878,-67.9386914 -45.8624792,-67.94016816 -45.86304785,-67.9412395 -45.8636896,-67.94085860000001 -45.8628677,-67.94026881 -45.86394522,-67.9413575 -45.8643508,-67.94191 -45.8638801,-67.9413092 -45.8637717,-67.9397787 -45.86446671,-67.939437 -45.8659907,-67.9410034 -45.8642985,-67.93820898 -45.86621382,,-67.93822649 -45.86645361,-67.9383588 -45.8674437,-67.9380101 -45.8666929,-67.9392922 -45.8661064,-67.9400271 -45.8665472</t>
  </si>
  <si>
    <t>-67.9400271 -45.8665472,-67.9383588 -45.8674437,-67.9380101 -45.8666929,-67.9392922 -45.8661064,-67.93822649 -45.86645361,,-67.93820898 -45.86621382,-67.939437 -45.8659907,-67.9410034 -45.8642985,-67.9397787 -45.86446671,-67.9413575 -45.8643508,-67.94191 -45.8638801,-67.9413092 -45.8637717,-67.94026881 -45.86394522,-67.9412395 -45.8636896,-67.94085860000001 -45.8628677,-67.94016816 -45.86304785,-67.9407513 -45.863103100000004,-67.9403973 -45.8622551,-67.93757020000001 -45.8636746,-67.93638614 -45.8639203,-67.9374468 -45.8637643,-67.93648120000002 -45.8648999,-67.93542287 -45.86514387,-67.9364544 -45.8650082,-67.9343033 -45.8651128,-67.93322311 -45.86539389,-67.934196 -45.8650755,-67.9339492 -45.8648887,-67.9318678 -45.8652174,-67.93025624 -45.86524613,-67.92887450000002 -45.8655984,-67.929647 -45.8660093,-67.9311919 -45.8652622,-67.92761571 -45.86576064,-67.9284239 -45.8655835,-67.9270077 -45.8655162,-67.92568273 -45.86555172,,-67.92617947 -45.86596757,-67.9266429 -45.8657927,-67.9259992 -45.8665696,-67.92478129 -45.86687146,-67.9258382 -45.86658460000001,-67.9220402 -45.8663903,-67.92069068 -45.86664171,-67.9224908 -45.8663306,-67.9191971 -45.8656582,-67.91774956 -45.8661538,-67.9187572 -45.8661064,-67.9176843 -45.8663679,-67.9172981 -45.8656657,-67.91575239 -45.86551598;-67.91575239 -45.86551598,-67.92151450000001 -45.8648214,-67.9209244 -45.864687,-67.9176092 -45.8656881,-67.9171693 -45.8655984,-67.92009355 -45.86527701,-67.920903 -45.864119200000005,-67.92119260000001 -45.8646197,-67.9214394 -45.8648887,-67.92012334 -45.86396532,-67.9195297 -45.8639025,-67.9203665 -45.8649335,-67.9209244 -45.864687,-67.9208171 -45.8640743,-67.91830981 -45.86407906,-67.9196048 -45.8623709,-67.9195297 -45.8639025,-67.91863427 -45.86235477,-67.9222012 -45.8610335,-67.9194975 -45.8620496,-67.92116295 -45.86077528,-67.9219651 -45.8610335,-67.9157424 -45.8609887,-67.91412974 -45.86109479,-67.9153347 -45.8605702,-67.9157317 -45.8599725,-67.9146159 -45.859457,-67.91347499 -45.85938782,-67.9145408 -45.8594047,-67.9124916 -45.858777,-67.9112792 -45.8592776,-67.91058213 -45.85962973,-67.9112792 -45.8592776,-67.9102921 -45.8588293,-67.9105067 -45.8586425,-67.90964669 -45.85881191,-67.9102653 -45.8586986,-67.9081625 -45.8581195,-67.90707943 -45.8582017,-67.90773330000002 -45.8580522,-67.9073417 -45.8579177,-67.9068965 -45.8568567,-67.9053408 -45.8563822,-67.90400196 -45.85653031,-67.904284 -45.8564084,-67.9033184 -45.8552726,-67.9019022 -45.8551232,-67.90067511 -45.8549717,,-67.90022567 -45.85540767,-67.9008508 -45.8548093,-67.8990161 -45.8545403,-67.898823 -45.8538678,-67.8965485 -45.8545553,-67.89483427 -45.85484841,-67.887429 -45.855564,-67.8894138 -45.853808,-67.8932333 -45.8533447,-67.8969455 -45.8545851,-67.8963768 -45.8546599,-67.88581092 -45.85597227,-67.887429 -45.855564,-67.8882551 -45.8548691,-67.8894138 -45.853808,-67.8920853 -45.8535689,-67.8916454 -45.8538678,-67.8897357 -45.85395,-67.88910 -45.85436,-67.8875685 -45.8562589,-67.885799 -45.8571033,-67.88544 -45.8578281,-67.88523 -45.85794,-67.88402968 -45.85834964,-67.8814316 -45.8592926,-67.8808415 -45.8591357,-67.880863 -45.8587322,-67.8817642 -45.858239,-67.8850043 -45.8580522,-67.88077392 -45.85953999,-67.8790283 -45.8588293,-67.880466 -45.8587397,-67.8813028 -45.8593598,-67.87771797 -45.85914466,-67.875917 -45.8590236,-67.8765607 -45.8587098,-67.8784597 -45.8588443,-67.87446619 -45.85953534,-67.8759491 -45.8590983,-67.8764319 -45.8599501,-67.87655 -45.8609588,-67.8760779 -45.8611231,-67.87444477 -45.86135588,-67.8763461 -45.8610185,-67.8791785 -45.859636300000005,-67.8791463 -45.8601892,-67.87734368 -45.86061501;-67.87734368 -45.86061501,-67.8763461 -45.8610185,-67.8791785 -45.859636300000005,-67.8791463 -45.8601892,-67.87444477 -45.86135588,-67.8761101 -45.86104100000001,-67.8766465 -45.8610185,-67.8767216 -45.8614071,-67.87598229 -45.86175617,-67.8765821 -45.8616835,-67.8769684 -45.861803,-67.877183 -45.8627295,-67.87624464 -45.86324951,-67.87849190000001 -45.8641416,-67.8785133 -45.863499,-67.8778052 -45.8630732,-67.87711554 -45.86436098,-67.8776658 -45.8646496,-67.876035 -45.8642312,-67.8759491 -45.8638278,-67.8749514 -45.864380600000004,-67.87319628 -45.86441938;-67.87319628 -45.86441938,-67.8740609 -45.8679218,-67.8740501 -45.8676828,-67.8730416 -45.867115,-67.8732347 -45.8667639,-67.8746724 -45.8662783,-67.8754556 -45.865591,-67.876035 -45.8638054,-67.8748977 -45.8643134,-67.8729107 -45.86822856,-67.8699839 -45.8693413,-67.8700376 -45.8699389,-67.8703916 -45.8701929,-67.8709173 -45.8699239,-67.8707349 -45.8692815,-67.8712177 -45.8686166,-67.8731596 -45.8681236,-67.86891343 -45.86940172,-67.8665292 -45.8704394,-67.8664756 -45.8701107,-67.8674197 -45.8697073,-67.8698659 -45.8700883,-67.8700376 -45.8699389,-67.8700268 -45.8692964,-67.86552841 -45.87071955,-67.8687286 -45.87223970000001,-67.8671408 -45.8717542,-67.8661752 -45.8712611,-67.8662395 -45.8705888,-67.86803091 -45.87230485,-67.8686213 -45.87223970000001,-67.8679776 -45.8725012,-67.867173 -45.87342,-67.86601994 -45.87390747,-67.8666043 -45.8740773,-67.8655958 -45.8758999,-67.8658319 -45.8761464,-67.86520975 -45.8764158,-67.8690398 -45.8759074,-67.8681815 -45.8748691,-67.8664434 -45.8762585,-67.86877282 -45.87598303,-67.8721726 -45.8748019,-67.868793 -45.8753024,-67.8683639 -45.8750633,-67.8691471 -45.8759522,-67.87226293 -45.87472228,-67.8772473 -45.875646,-67.87714 -45.874899,-67.8760457 -45.8739578,-67.8750265 -45.8733005,-67.8741574 -45.8732108,-67.8737283 -45.8741819,-67.87580898 -45.87623664,-67.8836632 -45.8741296,-67.884264 -45.8734723,-67.8839421 -45.8733229,-67.8833306 -45.8736515,-67.8822899 -45.87404,-67.8816032 -45.8749737,-67.8808522 -45.875153,-67.8791678 -45.8762809,-67.8782129 -45.8766021,-67.8774083 -45.8765572,-67.88196942 -45.87464989,-67.8803158 -45.8771847,-67.8813779 -45.8760792,-67.8823113 -45.875519,-67.8828478 -45.87486160000001,-67.87897854 -45.87766371,-67.8797901 -45.8776627,-67.8792536 -45.87817810000001,-67.8798115 -45.8793806,-67.87875862 -45.87975391,-67.8785026 -45.8788802,-67.8798115 -45.8793806,-67.87684672 -45.87887091,-67.8772688 -45.8789101,-67.8749835 -45.8790146,-67.87362100000001 -45.8797765,-67.8724445 -45.87988188,-67.8726017 -45.880389,-67.8697157 -45.8828462,-67.8706813 -45.8831001,-67.8686643 -45.8830254,-67.86703039 -45.88312685,-67.8685462 -45.8831151,-67.869308 -45.8829582,-67.8708422 -45.883018,-67.8705847 -45.8839366,-67.8693122 -45.8842458,-67.8672695 -45.88491500000001,-67.867409 -45.8861099,-67.8680742 -45.8863339,-67.8686106 -45.8860875,-67.8688896 -45.8849822,-67.870338 -45.8842577,-67.86589689 -45.88477956,-67.86739830000002 -45.8868567,-67.8667223 -45.8862667,-67.8672802 -45.8848552,-67.86685323 -45.88712476,-67.8674626 -45.88708080000001,-67.866658 -45.886864200000005,-67.8658855 -45.887125600000005,-67.8670657 -45.8886864,-67.86520231 -45.88917465,-67.8652418 -45.8907101,-67.8656602 -45.890351700000004,-67.8659928 -45.88941820000001,-67.86328043 -45.89089136,-67.8640401 -45.8909939,-67.8672266 -45.8915539,-67.86687975 -45.89168688,-67.8672266 -45.8915539,-67.8653598 -45.8912776,-67.8647375 -45.8920692,-67.8620982 -45.8918004,-67.8619695 -45.8921737,-67.86151916 -45.89254163;-67.86151916 -45.89254163,-67.8672266 -45.8915539,-67.8653598 -45.8912776,-67.8647375 -45.8920692,-67.8620982 -45.8918004,-67.8619695 -45.8921737,-67.86687975 -45.89168688;-67.86687975 -45.89168688,-67.8640401 -45.8909939,-67.8672266 -45.8915539,-67.86328043 -45.89089136,-67.8652418 -45.8907101,-67.8656602 -45.890351700000004,-67.8659928 -45.88941820000001,-67.86520231 -45.88917465,-67.8674626 -45.88708080000001,-67.866658 -45.886864200000005,-67.8658855 -45.887125600000005,-67.8670657 -45.8886864,-67.86685323 -45.88712476,-67.8704238 -45.8871032,-67.8687179 -45.8869837,-67.8698153 -45.88712675;-67.8698153 -45.88712675,-67.8704238 -45.8871032,-67.8687179 -45.8869837,-67.86685323 -45.88712476,-67.86739830000002 -45.8868567,-67.8667223 -45.8862667,-67.8672802 -45.8848552,-67.86589689 -45.88477956,-67.8672695 -45.88491500000001,-67.867409 -45.8861099,-67.8680742 -45.8863339,-67.8686106 -45.8860875,-67.8688896 -45.8849822,-67.870338 -45.8842577,-67.8693122 -45.8842458,-67.8685462 -45.8831151,-67.869308 -45.8829582,-67.8708422 -45.883018,-67.8705847 -45.8839366,-67.86703039 -45.88312685,-67.8737283 -45.8829508,-67.8736854 -45.8833242,-67.8730094 -45.8829134,-67.8686643 -45.8830254,-67.87263059 -45.88283868,-67.8738034 -45.8829806,-67.8739858 -45.8834512,-67.87655 -45.8844445,-67.8765929 -45.8840262,-67.8758872 -45.88413516,-67.8775907 -45.885744,-67.8778374 -45.8851241,-67.8766251 -45.8844594,-67.8767002 -45.8840561,-67.87630061 -45.88642699,,-67.87597578 -45.88674947,-67.8775477 -45.8859232,-67.87784810000001 -45.8854153,-67.8789425 -45.8862742,-67.879554 -45.8862667,-67.8829443 -45.8844743,-67.8806055 -45.8848253,-67.87931365 -45.88515467,-67.8808522 -45.8847432,-67.8831053 -45.8843548,-67.884897 -45.8834586,-67.8876114 -45.88378720000001,-67.8901434 -45.8835856,-67.88934482 -45.88367092,-67.8863347 -45.8849448,-67.8869569 -45.8849672,-67.8874826 -45.883847,-67.8903258 -45.883570600000006,-67.88477851 -45.88530377,-67.8877938 -45.885251,-67.8862166 -45.8849523,-67.88725199 -45.88498287,-67.8916669 -45.8851316,-67.891463 -45.8853332,-67.8890061 -45.8855946,-67.8886521 -45.8849672,-67.88986813 -45.88509226,-67.895658 -45.88465360000001,-67.8955078 -45.8872675,-67.89402720000001 -45.888186,-67.89313670000001 -45.8879097,-67.8935552 -45.8866999,-67.891624 -45.8850718,-67.89478887 -45.88442779,-67.896452 -45.8842129,-67.8972995 -45.8841607,-67.8987801 -45.8833839,-67.8993165 -45.8836304,-67.89811074 -45.88424629,-67.90316820000001 -45.883637900000004,-67.9026854 -45.8831823,-67.9021275 -45.8832794,-67.900722 -45.8842279,-67.9001105 -45.8851465,-67.8995955 -45.8843175,-67.90293219 -45.8836944,-67.9039729 -45.8871629,-67.9034686 -45.8869165,-67.9041123 -45.886192,-67.9042947 -45.8847656,-67.90316820000001 -45.883637900000004,-67.90362098 -45.8874036,-67.9052818 -45.8875736,-67.90654780000001 -45.8882084,-67.9074919 -45.8882756,-67.90705336 -45.88840606,-67.9066443 -45.8844071,-67.9062474 -45.8852585,-67.908833 -45.885968,-67.9091012 -45.8864012,-67.90594775 -45.88423937,,-67.90591516 -45.88446218,-67.9076958 -45.8841084,-67.9082644 -45.8839366,-67.9093373 -45.8833167,-67.9103136 -45.8831972,-67.90970498 -45.88326091,-67.911365 -45.8831076,-67.9142618 -45.8826968,-67.9159892 -45.8825026,-67.91541483 -45.88231338,-67.9166651 -45.8823159,-67.9170835 -45.8822711,-67.9178345 -45.8833989,-67.9184783 -45.8832943,-67.91747464 -45.88372353,-67.9183173 -45.8833018,-67.9179525 -45.8832943,-67.9178452 -45.8829358,-67.9186606 -45.8819873,-67.9191113 -45.8815466,-67.9197979 -45.8813898,-67.91930941 -45.88137118,-67.9231775 -45.8798138,-67.9230273 -45.8801051,-67.9220295 -45.8802022,-67.9198301 -45.8807027,-67.9191542 -45.8814645,-67.9198301 -45.8813375,-67.92260289 -45.87981886,-67.9288745 -45.8790371,-67.9299045 -45.8786188,-67.929765 -45.8784918,-67.9247224 -45.8798512,-67.9241753 -45.8796943,-67.92746283 -45.879252,-67.9288745 -45.8790371,-67.9299796 -45.8786337,-67.9304302 -45.8776552,-67.9309022 -45.8766245,-67.9306126 -45.8766543,-67.92916705 -45.87686758,-67.9305589 -45.8765722,-67.9309773 -45.8765423,-67.9323184 -45.875011,-67.9336917 -45.8726132,-67.93292309 -45.87290945,-67.9337347 -45.872531,-67.9350007 -45.8704245,-67.9346895 -45.8701032,-67.933282 -45.87018527,-67.936492 -45.8696625,-67.9362881 -45.8694234,-67.9350436 -45.8703273,-67.9347003 -45.8699986,-67.93551008 -45.87004015,-67.9383588 -45.8674437,-67.9380584 -45.8682655,-67.9363847 -45.8693786,-67.9365671 -45.8696326,-67.9400271 -45.8665472</t>
  </si>
  <si>
    <t>-67.9400271 -45.8665472,-67.9383588 -45.8674437,-67.9380101 -45.8666929,-67.9392922 -45.8661064,-67.93822649 -45.86645361,,-67.93820898 -45.86621382,-67.939437 -45.8659907,-67.9410034 -45.8642985,-67.9397787 -45.86446671,-67.9413575 -45.8643508,-67.94191 -45.8638801,-67.9413092 -45.8637717,-67.94026881 -45.86394522,-67.9412395 -45.8636896,-67.94085860000001 -45.8628677,-67.94016816 -45.86304785,-67.94085860000001 -45.8628677,-67.9404294 -45.860772,-67.93965509 -45.86091672,-67.940526 -45.8606599,-67.9383802 -45.8597857,-67.9380262 -45.8585902,-67.93716946 -45.85860936;-67.93716946 -45.85860936,-67.940526 -45.8606599,-67.9383802 -45.8597857,-67.9380262 -45.8585902,-67.93965509 -45.86091672,-67.9404509 -45.8607122,-67.93858410000001 -45.8598305,-67.9376185 -45.8606001,-67.9381227 -45.8610185,-67.9388309 -45.8607794,-67.93809539 -45.86091501,-67.9388309 -45.8607794,-67.938112 -45.8611007,-67.9377472 -45.860899,-67.9362881 -45.8614743,-67.9374897 -45.8619749,-67.93652197 -45.86222667,-67.9375219 -45.8620421,-67.9357517 -45.861085800000005,-67.9346144 -45.8614519,-67.93332777 -45.86169272,-67.9343569 -45.8614145,-67.9335523 -45.861549,-67.9334021 -45.8611381,-67.9309666 -45.8609214,-67.92973166 -45.86112334,-67.9307091 -45.86097370000001,-67.9287457 -45.8609588,-67.9288423 -45.860757,-67.92827234 -45.86082887,-67.9288423 -45.860757,-67.9286063 -45.8609812,-67.9269433 -45.8608168,-67.9254305 -45.8610559,-67.9256237 -45.8606898,-67.92472033 -45.86078317,-67.9253769 -45.8604208,-67.9236388 -45.8595317,-67.9233384 -45.8597857,-67.92204432 -45.86025045,-67.9235315 -45.8601219,-67.9222655 -45.8604731,-67.92116295 -45.86077528,-67.9219651 -45.8610335,-67.9157424 -45.8609887,-67.91412974 -45.86109479,-67.9153347 -45.8605702,-67.9157317 -45.8599725,-67.9146159 -45.859457,-67.91347499 -45.85938782,-67.9145408 -45.8594047,-67.9124916 -45.858777,-67.9112792 -45.8592776,-67.91058213 -45.85962973,-67.9112792 -45.8592776,-67.9102921 -45.8588293,-67.9105067 -45.8586425,-67.90964669 -45.85881191,-67.9102653 -45.8586986,-67.9081625 -45.8581195,-67.90707943 -45.8582017,-67.90773330000002 -45.8580522,-67.9073417 -45.8579177,-67.9068965 -45.8568567,-67.9053408 -45.8563822,-67.90400196 -45.85653031,-67.9045093 -45.8564233,-67.9023314 -45.8567073,-67.90107375 -45.85681401;-67.90107375 -45.85681401,-67.9045093 -45.8564233,-67.9023314 -45.8567073,-67.90400196 -45.85653031,-67.904284 -45.8564084,-67.9033184 -45.8552726,-67.9019022 -45.8551232,-67.90067511 -45.8549717,,-67.90022567 -45.85540767,-67.9008508 -45.8548093,-67.8990161 -45.8545403,-67.898823 -45.8538678,-67.8965485 -45.8545553,-67.89483427 -45.85484841,-67.887429 -45.855564,-67.8894138 -45.853808,-67.8932333 -45.8533447,-67.8969455 -45.8545851,-67.8963768 -45.8546599,-67.88581092 -45.85597227,-67.887429 -45.855564,-67.8882551 -45.8548691,-67.8894138 -45.853808,-67.8920853 -45.8535689,-67.8916454 -45.8538678,-67.8897357 -45.85395,-67.88910 -45.85436,-67.8875685 -45.8562589,-67.885799 -45.8571033,-67.88544 -45.8578281,-67.88523 -45.85794,-67.88402968 -45.85834964,-67.8814316 -45.8592926,-67.8808415 -45.8591357,-67.880863 -45.8587322,-67.8817642 -45.858239,-67.8850043 -45.8580522,-67.88077392 -45.85953999,-67.8790283 -45.8588293,-67.880466 -45.8587397,-67.8813028 -45.8593598,-67.87771797 -45.85914466;-67.87771797 -45.85914466,-67.8790283 -45.8588293,-67.880466 -45.8587397,-67.8813028 -45.8593598,-67.88077392 -45.85953999,-67.8814316 -45.8592926,-67.8808415 -45.8591357,-67.880863 -45.8587322,-67.8817642 -45.858239,-67.8850043 -45.8580522,-67.88402968 -45.85834964,-67.887429 -45.855564,-67.8882551 -45.8548691,-67.8894138 -45.853808,-67.8920853 -45.8535689,-67.8916454 -45.8538678,-67.8897357 -45.85395,-67.88910 -45.85436,-67.8875685 -45.8562589,-67.885799 -45.8571033,-67.88544 -45.8578281,-67.88523 -45.85794,-67.88581092 -45.85597227,-67.887429 -45.855564,-67.8894138 -45.853808,-67.8932333 -45.8533447,-67.8969455 -45.8545851,-67.8963768 -45.8546599,-67.89483427 -45.85484841,-67.9008508 -45.8548093,-67.8990161 -45.8545403,-67.898823 -45.8538678,-67.8965485 -45.8545553,-67.90022567 -45.85540767,,-67.90067511 -45.8549717,-67.904284 -45.8564084,-67.9033184 -45.8552726,-67.9019022 -45.8551232,-67.90400196 -45.85653031,-67.90773330000002 -45.8580522,-67.9073417 -45.8579177,-67.9068965 -45.8568567,-67.9053408 -45.8563822,-67.90707943 -45.8582017,-67.9102653 -45.8586986,-67.9081625 -45.8581195,-67.90964669 -45.85881191,-67.9112792 -45.8592776,-67.9102921 -45.8588293,-67.9105067 -45.8586425,-67.91058213 -45.85962973,-67.9145408 -45.8594047,-67.9124916 -45.858777,-67.9112792 -45.8592776,-67.91347499 -45.85938782,-67.9153347 -45.8605702,-67.9157317 -45.8599725,-67.9146159 -45.859457,-67.91412974 -45.86109479,-67.9219651 -45.8610335,-67.9157424 -45.8609887,-67.92116295 -45.86077528,-67.9235315 -45.8601219,-67.9222655 -45.8604731,-67.92204432 -45.86025045,-67.9253769 -45.8604208,-67.9236388 -45.8595317,-67.9233384 -45.8597857,-67.92472033 -45.86078317,-67.9288423 -45.860757,-67.9286063 -45.8609812,-67.9269433 -45.8608168,-67.9254305 -45.8610559,-67.9256237 -45.8606898,-67.92827234 -45.86082887,-67.9307091 -45.86097370000001,-67.9287457 -45.8609588,-67.9288423 -45.860757,-67.92973166 -45.86112334,-67.9343569 -45.8614145,-67.9335523 -45.861549,-67.9334021 -45.8611381,-67.9309666 -45.8609214,-67.93332777 -45.86169272,-67.9375219 -45.8620421,-67.9357517 -45.861085800000005,-67.9346144 -45.8614519,-67.93652197 -45.86222667,-67.9388309 -45.8607794,-67.938112 -45.8611007,-67.9377472 -45.860899,-67.9362881 -45.8614743,-67.9374897 -45.8619749,-67.93809539 -45.86091501,-67.9389811 -45.8623559,-67.9389596 -45.8618329,-67.9381979 -45.8610783,-67.9390669 -45.8607794,-67.93749455 -45.86270022,-67.9407942 -45.8630844,-67.9403758 -45.8621878,-67.9386914 -45.8624792,-67.94016816 -45.86304785,-67.9412395 -45.8636896,-67.94085860000001 -45.8628677,-67.94026881 -45.86394522,-67.9413575 -45.8643508,-67.94191 -45.8638801,-67.9413092 -45.8637717,-67.9397787 -45.86446671,-67.939437 -45.8659907,-67.9410034 -45.8642985,-67.93820898 -45.86621382,,-67.93822649 -45.86645361,-67.9383588 -45.8674437,-67.9380101 -45.8666929,-67.9392922 -45.8661064,-67.9400271 -45.8665472</t>
  </si>
  <si>
    <t>-67.9400271 -45.8665472,-67.9383588 -45.8674437,-67.9380584 -45.8682655,-67.9363847 -45.8693786,-67.9365671 -45.8696326,-67.93551008 -45.87004015,-67.936492 -45.8696625,-67.9362881 -45.8694234,-67.9350436 -45.8703273,-67.9347003 -45.8699986,-67.933282 -45.87018527,-67.9337347 -45.872531,-67.9350007 -45.8704245,-67.9346895 -45.8701032,-67.93292309 -45.87290945,-67.9305589 -45.8765722,-67.9309773 -45.8765423,-67.9323184 -45.875011,-67.9336917 -45.8726132,-67.92916705 -45.87686758,-67.9288745 -45.8790371,-67.9299796 -45.8786337,-67.9304302 -45.8776552,-67.9309022 -45.8766245,-67.9306126 -45.8766543,-67.92746283 -45.879252,-67.9288745 -45.8790371,-67.9299796 -45.8786337,-67.9308271 -45.8793582,-67.9310632 -45.8796271,-67.9308057 -45.8796645,-67.92926139 -45.87980166,-67.9308057 -45.8796645,-67.9309773 -45.8795823,-67.9308271 -45.8793582,-67.9319429 -45.8795524,-67.9332089 -45.8799333,-67.9339921 -45.8795524,-67.9349685 -45.8793358,-67.935698 -45.8793209,-67.93512028 -45.8793768,-67.9364383 -45.8791566,-67.9368889 -45.8790371,-67.9370821 -45.878798,-67.939657 -45.8787906,-67.9398179 -45.8784246,-67.93938002 -45.87863178,-67.9433799 -45.8793582,-67.9425859 -45.8792462,-67.9414809 -45.8788951,-67.9399574 -45.8788802,-67.9395819 -45.8785889,-67.9398179 -45.8784246,-67.94258106 -45.87928487,-67.9468131 -45.8799931,-67.9464698 -45.8794927,-67.9443026 -45.8791491,-67.9459034 -45.88040255,-67.9472744 -45.8827118,-67.9475963 -45.8819051,-67.9476392 -45.8807475,-67.9472208 -45.8805159,-67.94607409 -45.88311995,-67.9472744 -45.8852212,-67.9470921 -45.8844967,-67.9472423 -45.883959,-67.9472315 -45.8831823,-67.94628753 -45.88560005,-67.9471672 -45.8852884,-67.9470921 -45.8848627,-67.9461265 -45.8845565,-67.94483649 -45.8845247,-67.9459763 -45.8845415,-67.9446459 -45.8841607,-67.9436696 -45.8842353,-67.94255555 -45.88454697,-67.9423177 -45.8861323,-67.9425859 -45.8852137,-67.9431438 -45.8846088,-67.9432619 -45.8842802,-67.94198922 -45.88653728,-67.9414594 -45.88785,-67.9417813 -45.8871554,-67.9419315 -45.8865879,-67.9423285 -45.8863414,-67.93992923 -45.88854577,-67.9410625 -45.888776,-67.9401827 -45.8890747,-67.9375863 -45.8886341,-67.93581454 -45.88863383,-67.9351616 -45.890628,-67.9353011 -45.8903069,-67.9351509 -45.889702,-67.9356337 -45.8888283,-67.9361594 -45.8882682,-67.9367387 -45.8882607,-67.93404442 -45.8909633,-67.9365563 -45.8934955,-67.9363203 -45.8936,-67.935344 -45.8928831,-67.935226 -45.8911432,-67.9360062 -45.89335158;-67.9360062 -45.89335158,-67.9365563 -45.8934955,-67.9363203 -45.8936,-67.935344 -45.8928831,-67.935226 -45.8911432,-67.93404442 -45.8909633,-67.9351616 -45.890628,-67.9353011 -45.8903069,-67.9351509 -45.889702,-67.9356337 -45.8888283,-67.9361594 -45.8882682,-67.9367387 -45.8882607,-67.93581454 -45.88863383,-67.9410625 -45.888776,-67.9401827 -45.8890747,-67.9375863 -45.8886341,-67.93992923 -45.88854577,-67.9414594 -45.88785,-67.9417813 -45.8871554,-67.9419315 -45.8865879,-67.9423285 -45.8863414,-67.94198922 -45.88653728,-67.9423177 -45.8861323,-67.9425859 -45.8852137,-67.9431438 -45.8846088,-67.9432619 -45.8842802,-67.94255555 -45.88454697,-67.9459763 -45.8845415,-67.9446459 -45.8841607,-67.9436696 -45.8842353,-67.94483649 -45.8845247,-67.9471672 -45.8852884,-67.9470921 -45.8848627,-67.9461265 -45.8845565,-67.94628753 -45.88560005,-67.9472744 -45.8852212,-67.9470921 -45.8844967,-67.9472423 -45.883959,-67.9472315 -45.8831823,-67.94607409 -45.88311995,-67.9472744 -45.8827118,-67.9475963 -45.8819051,-67.9476392 -45.8807475,-67.9472208 -45.8805159,-67.9459034 -45.88040255,-67.9468131 -45.8799931,-67.9464698 -45.8794927,-67.9443026 -45.8791491,-67.94258106 -45.87928487,-67.9433799 -45.8793582,-67.9425859 -45.8792462,-67.9414809 -45.8788951,-67.9399574 -45.8788802,-67.9395819 -45.8785889,-67.9398179 -45.8784246,-67.93938002 -45.87863178,-67.9364383 -45.8791566,-67.9368889 -45.8790371,-67.9370821 -45.878798,-67.939657 -45.8787906,-67.9398179 -45.8784246,-67.93512028 -45.8793768,-67.9308057 -45.8796645,-67.9309773 -45.8795823,-67.9308271 -45.8793582,-67.9319429 -45.8795524,-67.9332089 -45.8799333,-67.9339921 -45.8795524,-67.9349685 -45.8793358,-67.935698 -45.8793209,-67.92926139 -45.87980166,-67.9288745 -45.8790371,-67.9299796 -45.8786337,-67.9308271 -45.8793582,-67.9310632 -45.8796271,-67.9308057 -45.8796645,-67.92746283 -45.879252,-67.9288745 -45.8790371,-67.9299796 -45.8786337,-67.9304302 -45.8776552,-67.9309022 -45.8766245,-67.9306126 -45.8766543,-67.92916705 -45.87686758,-67.9305589 -45.8765722,-67.9309773 -45.8765423,-67.9323184 -45.875011,-67.9336917 -45.8726132,-67.93292309 -45.87290945,-67.9337347 -45.872531,-67.9350007 -45.8704245,-67.9346895 -45.8701032,-67.933282 -45.87018527,-67.936492 -45.8696625,-67.9362881 -45.8694234,-67.9350436 -45.8703273,-67.9347003 -45.8699986,-67.93551008 -45.87004015,-67.9383588 -45.8674437,-67.9380584 -45.8682655,-67.9363847 -45.8693786,-67.9365671 -45.8696326,-67.9400271 -45.8665472,-67.9427254 -45.8635364,-67.9464859 -45.8623447,-67.9469097 -45.862016,-67.94569946 -45.86221924,-67.9469097 -45.8620944,-67.9481596 -45.8620048,-67.94727301 -45.86217176,-67.9483044 -45.861911400000004,-67.9473495 -45.8614183,-67.94655091 -45.86160389,-67.9479718 -45.8615453,-67.9493934 -45.8606973,-67.9489589 -45.8606599,-67.94780419 -45.86081977,-67.9549134 -45.858239,-67.9527032 -45.8590684,-67.9493666 -45.8607794,-67.9491198 -45.8606898,-67.9539623 -45.85805836,-67.9549778 -45.85820170000001,-67.9571986 -45.85672970000001,-67.9579175 -45.8564981,-67.9585719 -45.8567521,-67.95773843 -45.85672753,-67.9586148 -45.8568044,-67.9579926 -45.8564383,-67.9605138 -45.8553847,-67.9615545 -45.8546374,-67.963078 -45.8525451,-67.9633892 -45.8522836,-67.9675841 -45.8512224,-67.9699767 -45.8512598,-67.9700732 -45.8515064,-67.9697835 -45.8517381,-67.96836168 -45.85192469,-67.9697835 -45.8517381,-67.9700947 -45.8517082,-67.9702342 -45.8514018,-67.9710817 -45.8516335,-67.97135 -45.8516633,-67.97067338 -45.85178783,-67.9748797 -45.8534568,-67.9738176 -45.8522612,-67.9730666 -45.8517007,-67.9728305 -45.8516858,-67.9720902 -45.8515438,-67.97404757 -45.85313584,-67.9750836 -45.8543983,-67.9752016 -45.8534194,-67.97353981 -45.85482131,-67.9721439 -45.8564532,-67.9723585 -45.855833,-67.9728305 -45.8549363,-67.9739249 -45.8544805,-67.9741395 -45.8540023,-67.9740536 -45.853539,-67.9744184 -45.8538977,-67.9746437 -45.8541517,-67.9750943 -45.8540247,-67.9749548 -45.854488,-67.97079424 -45.85669528,-67.9761672 -45.8586351,-67.9759634 -45.858508,-67.9757595 -45.8578206,-67.9751909 -45.8575143,-67.9723477 -45.8568567,-67.9721653 -45.8565802,-67.97543611 -45.85876585,-67.9762101 -45.8587172,-67.9768431 -45.8590385,-67.9774976 -45.8593075,-67.9783773 -45.8600024,-67.9787743 -45.859569,-67.97805617 -45.85962835,-67.9787743 -45.859569,-67.9784095 -45.8600622,-67.9786134 -45.860249,-67.9797721 -45.8603909,-67.9814243 -45.8607346,-67.98085648 -45.8609192,-67.9814565 -45.8608243,-67.9794395 -45.8610634,-67.97806312 -45.86131529,-67.9787314 -45.8612128,-67.9781628 -45.8612053,-67.9774868 -45.8607794,-67.9767251 -45.8597259,-67.9755342 -45.8596288,-67.9744506 -45.8598903,-67.9743111 -45.8601967,-67.9733455 -45.8602788,-67.9734099 -45.8608317,-67.9735816 -45.8606898,-67.97275807 -45.86073448,-67.9727018 -45.8616387,-67.973367 -45.8612352,-67.9735816 -45.8606898,-67.97103212 -45.86191282,-67.9706204 -45.8640967,-67.9705024 -45.8634169,-67.9697621 -45.8628117,-67.9696226 -45.8622215,-67.9705238 -45.8617881,-67.9714894 -45.8617732,-67.9697519 -45.86484806,-67.9701805 -45.8660766,-67.9706526 -45.8654864,-67.9707384 -45.8650979,-67.96868281 -45.86655436,-67.969451 -45.8664725,-67.967788 -45.8671075,-67.9667258 -45.8672943,-67.9657495 -45.866861,-67.9644191 -45.8654191,-67.9645479 -45.86535190000001,-67.9657495 -45.86621850000001,-67.96510786 -45.86668966;-67.96510786 -45.86668966,-67.969451 -45.8664725,-67.967788 -45.8671075,-67.9667258 -45.8672943,-67.9657495 -45.866861,-67.9644191 -45.8654191,-67.9645479 -45.86535190000001,-67.9657495 -45.86621850000001,-67.96868281 -45.86655436,-67.9701805 -45.8660766,-67.9706526 -45.8654864,-67.9707384 -45.8650979,-67.9697519 -45.86484806,-67.9706204 -45.8640967,-67.9705024 -45.8634169,-67.9697621 -45.8628117,-67.9696226 -45.8622215,-67.9705238 -45.8617881,-67.9714894 -45.8617732,-67.97103212 -45.86191282,-67.9727018 -45.8616387,-67.973367 -45.8612352,-67.9735816 -45.8606898,-67.97275807 -45.86073448,-67.9787314 -45.8612128,-67.9781628 -45.8612053,-67.9774868 -45.8607794,-67.9767251 -45.8597259,-67.9755342 -45.8596288,-67.9744506 -45.8598903,-67.9743111 -45.8601967,-67.9733455 -45.8602788,-67.9734099 -45.8608317,-67.9735816 -45.8606898,-67.97806312 -45.86131529,-67.9814565 -45.8608243,-67.9794395 -45.8610634,-67.98085648 -45.8609192,-67.9787743 -45.859569,-67.9784095 -45.8600622,-67.9786134 -45.860249,-67.9797721 -45.8603909,-67.9814243 -45.8607346,-67.97805617 -45.85962835,-67.9762101 -45.8587172,-67.9768431 -45.8590385,-67.9774976 -45.8593075,-67.9783773 -45.8600024,-67.9787743 -45.859569,-67.97543611 -45.85876585,-67.9761672 -45.8586351,-67.9759634 -45.858508,-67.9757595 -45.8578206,-67.9751909 -45.8575143,-67.9723477 -45.8568567,-67.9721653 -45.8565802,-67.97079424 -45.85669528,-67.9721439 -45.8564532,-67.9723585 -45.855833,-67.9728305 -45.8549363,-67.9739249 -45.8544805,-67.9741395 -45.8540023,-67.9740536 -45.853539,-67.9744184 -45.8538977,-67.9746437 -45.8541517,-67.9750943 -45.8540247,-67.9749548 -45.854488,-67.97353981 -45.85482131,-67.9750836 -45.8543983,-67.9752016 -45.8534194,-67.97404757 -45.85313584,-67.9748797 -45.8534568,-67.9738176 -45.8522612,-67.9730666 -45.8517007,-67.9728305 -45.8516858,-67.9720902 -45.8515438,-67.97067338 -45.85178783,-67.9697835 -45.8517381,-67.9700947 -45.8517082,-67.9702342 -45.8514018,-67.9710817 -45.8516335,-67.97135 -45.8516633,-67.96836168 -45.85192469,-67.9586148 -45.8568044,-67.9579926 -45.8564383,-67.9605138 -45.8553847,-67.9615545 -45.8546374,-67.963078 -45.8525451,-67.9633892 -45.8522836,-67.9675841 -45.8512224,-67.9699767 -45.8512598,-67.9700732 -45.8515064,-67.9697835 -45.8517381,-67.95773843 -45.85672753,-67.9549778 -45.85820170000001,-67.9571986 -45.85672970000001,-67.9579175 -45.8564981,-67.9585719 -45.8567521,-67.9539623 -45.85805836,-67.9549134 -45.858239,-67.9527032 -45.8590684,-67.9493666 -45.8607794,-67.9491198 -45.8606898,-67.94780419 -45.86081977,-67.9479718 -45.8615453,-67.9493934 -45.8606973,-67.9489589 -45.8606599,-67.94655091 -45.86160389,-67.9483044 -45.861911400000004,-67.9473495 -45.8614183,-67.94727301 -45.86217176,-67.9469097 -45.8620944,-67.9481596 -45.8620048,-67.94569946 -45.86221924,-67.9427254 -45.8635364,-67.9464859 -45.8623447,-67.9469097 -45.862016,-67.9400271 -45.8665472</t>
  </si>
  <si>
    <t>-67.9400271 -45.8665472,-67.9383588 -45.8674437,-67.9380584 -45.8682655,-67.9363847 -45.8693786,-67.9365671 -45.8696326,-67.93551008 -45.87004015,-67.936492 -45.8696625,-67.9362881 -45.8694234,-67.9350436 -45.8703273,-67.9347003 -45.8699986,-67.933282 -45.87018527,-67.9337347 -45.872531,-67.9350007 -45.8704245,-67.9346895 -45.8701032,-67.93292309 -45.87290945,-67.9305589 -45.8765722,-67.9309773 -45.8765423,-67.9323184 -45.875011,-67.9336917 -45.8726132,-67.92916705 -45.87686758,-67.9288745 -45.8790371,-67.9299796 -45.8786337,-67.9304302 -45.8776552,-67.9309022 -45.8766245,-67.9306126 -45.8766543,-67.92746283 -45.879252,-67.9288745 -45.8790371,-67.9299045 -45.8786188,-67.929765 -45.8784918,-67.9247224 -45.8798512,-67.9241753 -45.8796943,-67.92260289 -45.87981886,-67.9231775 -45.8798138,-67.9230273 -45.8801051,-67.9220295 -45.8802022,-67.9198301 -45.8807027,-67.9191542 -45.8814645,-67.9198301 -45.8813375,-67.91930941 -45.88137118,-67.9183173 -45.8833018,-67.9179525 -45.8832943,-67.9178452 -45.8829358,-67.9186606 -45.8819873,-67.9191113 -45.8815466,-67.9197979 -45.8813898,-67.91747464 -45.88372353,-67.9166651 -45.8823159,-67.9170835 -45.8822711,-67.9178345 -45.8833989,-67.9184783 -45.8832943,-67.91541483 -45.88231338,-67.911365 -45.8831076,-67.9142618 -45.8826968,-67.9159892 -45.8825026,-67.90970498 -45.88326091,-67.9076958 -45.8841084,-67.9082644 -45.8839366,-67.9093373 -45.8833167,-67.9103136 -45.8831972,-67.90591516 -45.88446218,,-67.90594775 -45.88423937,-67.9066443 -45.8844071,-67.9062474 -45.8852585,-67.908833 -45.885968,-67.9091012 -45.8864012,-67.90705336 -45.88840606,-67.9052818 -45.8875736,-67.90654780000001 -45.8882084,-67.9074919 -45.8882756,-67.90362098 -45.8874036,-67.9039729 -45.8871629,-67.9034686 -45.8869165,-67.9041123 -45.886192,-67.9042947 -45.8847656,-67.90316820000001 -45.883637900000004,-67.90293219 -45.8836944,-67.90316820000001 -45.883637900000004,-67.9026854 -45.8831823,-67.9021275 -45.8832794,-67.900722 -45.8842279,-67.9001105 -45.8851465,-67.8995955 -45.8843175,-67.89811074 -45.88424629,-67.896452 -45.8842129,-67.8972995 -45.8841607,-67.8987801 -45.8833839,-67.8993165 -45.8836304,-67.89478887 -45.88442779,-67.895658 -45.88465360000001,-67.8955078 -45.8872675,-67.89402720000001 -45.888186,-67.89313670000001 -45.8879097,-67.8935552 -45.8866999,-67.891624 -45.8850718,-67.88986813 -45.88509226,-67.8916669 -45.8851316,-67.891463 -45.8853332,-67.8890061 -45.8855946,-67.8886521 -45.8849672,-67.88725199 -45.88498287,-67.8877938 -45.885251,-67.8862166 -45.8849523,-67.88477851 -45.88530377,-67.8863347 -45.8849448,-67.8869569 -45.8849672,-67.8874826 -45.883847,-67.8903258 -45.883570600000006,-67.88934482 -45.88367092,-67.8808522 -45.8847432,-67.8831053 -45.8843548,-67.884897 -45.8834586,-67.8876114 -45.88378720000001,-67.8901434 -45.8835856,-67.87931365 -45.88515467,-67.8775477 -45.8859232,-67.87784810000001 -45.8854153,-67.8789425 -45.8862742,-67.879554 -45.8862667,-67.8829443 -45.8844743,-67.8806055 -45.8848253,-67.87597578 -45.88674947,,-67.87630061 -45.88642699,-67.8775907 -45.885744,-67.8778374 -45.8851241,-67.8766251 -45.8844594,-67.8767002 -45.8840561,-67.8758872 -45.88413516,-67.8738034 -45.8829806,-67.8739858 -45.8834512,-67.87655 -45.8844445,-67.8765929 -45.8840262,-67.87263059 -45.88283868,-67.8737283 -45.8829508,-67.8736854 -45.8833242,-67.8730094 -45.8829134,-67.8686643 -45.8830254,-67.86703039 -45.88312685,-67.8685462 -45.8831151,-67.8700483 -45.8829059,-67.8648233 -45.8818603,-67.8628063 -45.8810537,-67.8621304 -45.8814645,-67.86071597 -45.88116865,-67.8614116 -45.8855274,-67.862978 -45.884788,-67.8635466 -45.8831599,-67.8632355 -45.8817483,-67.86391140000002 -45.8815093,-67.8628063 -45.8810537,-67.8623772 -45.8814346,-67.85908094 -45.88593849,-67.8609717 -45.8856767,-67.862817 -45.8848403,-67.8617656 -45.8854826,-67.8616369 -45.886192,-67.8618944 -45.8867671,-67.86045923 -45.88724171,-67.8618944 -45.8867671,-67.8616261 -45.8862443,-67.8603601 -45.88681940000001,-67.8594589 -45.8868119,-67.8584075 -45.8873347,-67.856369 -45.8871629,-67.8557789 -45.8865655,-67.85399644 -45.88640005,-67.8548133 -45.885968,-67.8544056 -45.8857215,-67.8542554 -45.8852884,-67.85284989 -45.88522411;-67.85284989 -45.88522411,-67.8548133 -45.885968,-67.8544056 -45.8857215,-67.8542554 -45.8852884,-67.85399644 -45.88640005,-67.8587294 -45.8888955,-67.8575063 -45.8884847,-67.8558004 -45.8866177,-67.85821176 -45.88888764,-67.8570557 -45.8887461,-67.8588152 -45.88891790000001,-67.85537987 -45.88855243;-67.85537987 -45.88855243,-67.8569698 -45.8905682,-67.8562617 -45.8905682,-67.8551674 -45.8886042,-67.8555107 -45.8875214,-67.8557789 -45.88838020000001,-67.85652652 -45.89043864,-67.8583002 -45.8906802,-67.8604245 -45.8905832,-67.85994544 -45.89074459,-67.86183 -45.8907101,-67.8635895 -45.8906578,-67.86328043 -45.89089136,-67.8652418 -45.8907101,-67.8656602 -45.890351700000004,-67.8659928 -45.88941820000001,-67.86520231 -45.88917465,-67.8674626 -45.88708080000001,-67.866658 -45.886864200000005,-67.8658855 -45.887125600000005,-67.8670657 -45.8886864,-67.86685323 -45.88712476,-67.86739830000002 -45.8868567,-67.8667223 -45.8862667,-67.8672802 -45.8848552,-67.86589689 -45.88477956,-67.8672695 -45.88491500000001,-67.867409 -45.8861099,-67.8680742 -45.8863339,-67.8686106 -45.8860875,-67.8688896 -45.8849822,-67.870338 -45.8842577,-67.8693122 -45.8842458,-67.8685462 -45.8831151,-67.869308 -45.8829582,-67.8708422 -45.883018,-67.8705847 -45.8839366,-67.86703039 -45.88312685,-67.8737283 -45.8829508,-67.8736854 -45.8833242,-67.8730094 -45.8829134,-67.8686643 -45.8830254,-67.87263059 -45.88283868,-67.8738034 -45.8829806,-67.8739858 -45.8834512,-67.87655 -45.8844445,-67.8765929 -45.8840262,-67.8758872 -45.88413516,-67.8775907 -45.885744,-67.8778374 -45.8851241,-67.8766251 -45.8844594,-67.8767002 -45.8840561,-67.87630061 -45.88642699,,-67.87597578 -45.88674947,-67.8775477 -45.8859232,-67.87784810000001 -45.8854153,-67.8789425 -45.8862742,-67.879554 -45.8862667,-67.8829443 -45.8844743,-67.8806055 -45.8848253,-67.87931365 -45.88515467,-67.8808522 -45.8847432,-67.8831053 -45.8843548,-67.884897 -45.8834586,-67.8876114 -45.88378720000001,-67.8901434 -45.8835856,-67.88934482 -45.88367092,-67.8863347 -45.8849448,-67.8869569 -45.8849672,-67.8874826 -45.883847,-67.8903258 -45.883570600000006,-67.88477851 -45.88530377,-67.8877938 -45.885251,-67.8862166 -45.8849523,-67.88725199 -45.88498287,-67.8916669 -45.8851316,-67.891463 -45.8853332,-67.8890061 -45.8855946,-67.8886521 -45.8849672,-67.88986813 -45.88509226,-67.895658 -45.88465360000001,-67.8955078 -45.8872675,-67.89402720000001 -45.888186,-67.89313670000001 -45.8879097,-67.8935552 -45.8866999,-67.891624 -45.8850718,-67.89478887 -45.88442779,-67.896452 -45.8842129,-67.8972995 -45.8841607,-67.8987801 -45.8833839,-67.8993165 -45.8836304,-67.89811074 -45.88424629,-67.90316820000001 -45.883637900000004,-67.9026854 -45.8831823,-67.9021275 -45.8832794,-67.900722 -45.8842279,-67.9001105 -45.8851465,-67.8995955 -45.8843175,-67.90293219 -45.8836944,-67.9039729 -45.8871629,-67.9034686 -45.8869165,-67.9041123 -45.886192,-67.9042947 -45.8847656,-67.90316820000001 -45.883637900000004,-67.90362098 -45.8874036,-67.9052818 -45.8875736,-67.90654780000001 -45.8882084,-67.9074919 -45.8882756,-67.90705336 -45.88840606,-67.9066443 -45.8844071,-67.9062474 -45.8852585,-67.908833 -45.885968,-67.9091012 -45.8864012,-67.90594775 -45.88423937,,-67.90591516 -45.88446218,-67.9076958 -45.8841084,-67.9082644 -45.8839366,-67.9093373 -45.8833167,-67.9103136 -45.8831972,-67.90970498 -45.88326091,-67.911365 -45.8831076,-67.9142618 -45.8826968,-67.9159892 -45.8825026,-67.91541483 -45.88231338,-67.9166651 -45.8823159,-67.9170835 -45.8822711,-67.9178345 -45.8833989,-67.9184783 -45.8832943,-67.91747464 -45.88372353,-67.9183173 -45.8833018,-67.9179525 -45.8832943,-67.9178452 -45.8829358,-67.9186606 -45.8819873,-67.9191113 -45.8815466,-67.9197979 -45.8813898,-67.91930941 -45.88137118,-67.9231775 -45.8798138,-67.9230273 -45.8801051,-67.9220295 -45.8802022,-67.9198301 -45.8807027,-67.9191542 -45.8814645,-67.9198301 -45.8813375,-67.92260289 -45.87981886,-67.9288745 -45.8790371,-67.9299045 -45.8786188,-67.929765 -45.8784918,-67.9247224 -45.8798512,-67.9241753 -45.8796943,-67.92746283 -45.879252,-67.9288745 -45.8790371,-67.9299796 -45.8786337,-67.9304302 -45.8776552,-67.9309022 -45.8766245,-67.9306126 -45.8766543,-67.92916705 -45.87686758,-67.9305589 -45.8765722,-67.9309773 -45.8765423,-67.9323184 -45.875011,-67.9336917 -45.8726132,-67.93292309 -45.87290945,-67.9337347 -45.872531,-67.9350007 -45.8704245,-67.9346895 -45.8701032,-67.933282 -45.87018527,-67.936492 -45.8696625,-67.9362881 -45.8694234,-67.9350436 -45.8703273,-67.9347003 -45.8699986,-67.93551008 -45.87004015,-67.9383588 -45.8674437,-67.9380584 -45.8682655,-67.9363847 -45.8693786,-67.9365671 -45.8696326,-67.9400271 -45.8665472</t>
  </si>
  <si>
    <t>-67.9400271 -45.8665472,-67.9383588 -45.8674437,-67.9380101 -45.8666929,-67.9392922 -45.8661064,-67.93822649 -45.86645361,,-67.93820898 -45.86621382,-67.939437 -45.8659907,-67.9410034 -45.8642985,-67.9397787 -45.86446671,-67.9413575 -45.8643508,-67.94191 -45.8638801,-67.9413092 -45.8637717,-67.94026881 -45.86394522,-67.9412395 -45.8636896,-67.94085860000001 -45.8628677,-67.94016816 -45.86304785,-67.9407513 -45.863103100000004,-67.9403973 -45.8622551,-67.93757020000001 -45.8636746,-67.93638614 -45.8639203,-67.9374468 -45.8637643,-67.93648120000002 -45.8648999,-67.93542287 -45.86514387,-67.9364544 -45.8650082,-67.9343033 -45.8651128,-67.93322311 -45.86539389,-67.934196 -45.8650755,-67.9339492 -45.8648887,-67.9318678 -45.8652174,-67.93025624 -45.86524613,-67.92887450000002 -45.8655984,-67.929647 -45.8660093,-67.9311919 -45.8652622,-67.92761571 -45.86576064,-67.9284239 -45.8655835,-67.9270077 -45.8655162,-67.92568273 -45.86555172,,-67.92617947 -45.86596757,-67.9266429 -45.8657927,-67.9259992 -45.8665696,-67.92478129 -45.86687146,-67.9258382 -45.86658460000001,-67.9220402 -45.8663903,-67.92069068 -45.86664171,-67.9224908 -45.8663306,-67.9191971 -45.8656582,-67.91774956 -45.8661538,-67.9187572 -45.8661064,-67.9176843 -45.8663679,-67.9172981 -45.8656657,-67.91575239 -45.86551598,-67.9164934 -45.8652398,-67.9147875 -45.8642536,-67.9133606 -45.865322,-67.9120409 -45.8651352,-67.91093971 -45.86527418,-67.9122448 -45.8649709,-67.911129 -45.8644105,-67.9103887 -45.8645226,-67.90917641 -45.86476613,-67.9100668 -45.8647318,-67.9098523 -45.8659197,-67.9103565 -45.8661513,-67.90947109 -45.86641003,-67.9100454 -45.8663754,-67.9094982 -45.8663306,-67.909627 -45.86429100000001,-67.90869072 -45.86438156,-67.9108179 -45.86391,-67.9094768 -45.8638353,-67.9077816 -45.8657329,-67.9066443 -45.8662484,-67.90565529 -45.8665856,-67.906419 -45.86626330000001,-67.9050887 -45.8652025,-67.9043591 -45.864814,-67.90314798 -45.8648888,-67.9039943 -45.8644255,-67.9028034 -45.8637381,-67.8999174 -45.8635812,-67.89867893 -45.86374335,-67.8993487 -45.8636634,-67.8988981 -45.8636933,-67.89861920000001 -45.8635215,-67.8975525 -45.86346654,,-67.89779792 -45.86312838,-67.8962696 -45.8632899,-67.8974175 -45.8625203,-67.8984583 -45.8622177,-67.8946526 -45.86372426,-67.8961945 -45.8632674,-67.8952932 -45.8629985,-67.8948426 -45.8620347,-67.89369378 -45.862107,-67.8961086 -45.8601668,-67.8949714 -45.8618927,-67.89506126 -45.86022417,-67.8960952 -45.8598436,-67.8959692 -45.8585678,-67.8961945 -45.8583138,-67.8955936 -45.8581419,-67.8949177 -45.8572976,-67.8950787 -45.8562589,-67.894907 -45.8558629,-67.8937376 -45.8558928,-67.8932869 -45.8566101,-67.8928149 -45.8568492,-67.8926003 -45.8566998,-67.89119881 -45.85678635,-67.8915596 -45.8569165,-67.8910661 -45.8570435,-67.8905296 -45.8572453,-67.8862917 -45.8600846,-67.8869355 -45.8600547,-67.8873861 -45.8596438,-67.8876221 -45.8588667,-67.8886843 -45.8579999,-67.88485253 -45.86038085,-67.8855836 -45.8605329,-67.8847253 -45.8611754,-67.8843284 -45.8612427,-67.88286864 -45.86153258,-67.8809917 -45.8619301,-67.8822792 -45.8616611,-67.8835666 -45.8617507,-67.8845859 -45.8612277,-67.8843284 -45.8612427,-67.87889297 -45.8626014,-67.8800154 -45.8627071,-67.880863 -45.8635887,-67.8814101 -45.8638502,-67.881496 -45.8643508,-67.8795862 -45.8651352,-67.87816911 -45.86559299,-67.8794253 -45.8652025,-67.8813779 -45.8643508,-67.8805947 -45.8648065,-67.8801227 -45.8652622,-67.8801119 -45.8658151,-67.8798544 -45.8661513,-67.87841593 -45.86693979,-67.8773224 -45.8682132,-67.8784168 -45.867951700000006,-67.8792751 -45.866988,-67.87529512 -45.86884053,-67.8755951 -45.8690125,-67.8751016 -45.8692815,-67.8764427 -45.8695952,-67.87545792 -45.87007243,-67.8735942 -45.8680488,-67.8724301 -45.8682281,-67.8724086 -45.8686689,-67.8764427 -45.8695952,-67.8729107 -45.86822856,-67.8699839 -45.8693413,-67.8700376 -45.8699389,-67.8703916 -45.8701929,-67.8709173 -45.8699239,-67.8707349 -45.8692815,-67.8712177 -45.8686166,-67.8731596 -45.8681236,-67.86891343 -45.86940172,-67.8665292 -45.8704394,-67.8664756 -45.8701107,-67.8674197 -45.8697073,-67.8698659 -45.8700883,-67.8700376 -45.8699389,-67.8700268 -45.8692964,-67.86552841 -45.87071955,-67.8665292 -45.8705589,-67.866143 -45.8710594,-67.8657889 -45.8704767,-67.8668725 -45.8688706,-67.86653014 -45.86909111,-67.8668725 -45.8688706,-67.8667974 -45.868646500000004,-67.8676665 -45.8677127,-67.867012 -45.86727940000001,-67.86635342 -45.86702056,-67.8668189 -45.8667639,-67.8664005 -45.866988,-67.8663254 -45.8676305,-67.86498939 -45.86808329,-67.8639972 -45.8691171,-67.8657031 -45.8680713,-67.86235431 -45.86962035,-67.8640509 -45.869035,-67.8651345 -45.867384,-67.8649521 -45.8657329,-67.8658748 -45.8655237,-67.86542164 -45.86561862,-67.8659713 -45.8654266,-67.8650701 -45.8654864,-67.864598 -45.8658599,-67.86331328 -45.86669187;-67.86331328 -45.86669187,-67.8659713 -45.8654266,-67.8650701 -45.8654864,-67.864598 -45.8658599,-67.86542164 -45.86561862,-67.8640509 -45.869035,-67.8651345 -45.867384,-67.8649521 -45.8657329,-67.8658748 -45.8655237,-67.86235431 -45.86962035,-67.8639972 -45.8691171,-67.8657031 -45.8680713,-67.86498939 -45.86808329,-67.8668189 -45.8667639,-67.8664005 -45.866988,-67.8663254 -45.8676305,-67.86635342 -45.86702056,-67.8668725 -45.8688706,-67.8667974 -45.868646500000004,-67.8676665 -45.8677127,-67.867012 -45.86727940000001,-67.86653014 -45.86909111,-67.8665292 -45.8705589,-67.866143 -45.8710594,-67.8657889 -45.8704767,-67.8668725 -45.8688706,-67.86552841 -45.87071955,-67.8665292 -45.8704394,-67.8664756 -45.8701107,-67.8674197 -45.8697073,-67.8698659 -45.8700883,-67.8700376 -45.8699389,-67.8700268 -45.8692964,-67.86891343 -45.86940172,-67.8699839 -45.8693413,-67.8700376 -45.8699389,-67.8703916 -45.8701929,-67.8709173 -45.8699239,-67.8707349 -45.8692815,-67.8712177 -45.8686166,-67.8731596 -45.8681236,-67.8729107 -45.86822856,-67.8735942 -45.8680488,-67.8724301 -45.8682281,-67.8724086 -45.8686689,-67.8764427 -45.8695952,-67.87545792 -45.87007243,-67.8773439 -45.8681385,-67.878288 -45.8679816,-67.8767216 -45.8696102,-67.87529512 -45.86884053,-67.8773224 -45.8682132,-67.8784168 -45.867951700000006,-67.8792751 -45.866988,-67.87841593 -45.86693979,-67.8794253 -45.8652025,-67.8813779 -45.8643508,-67.8805947 -45.8648065,-67.8801227 -45.8652622,-67.8801119 -45.8658151,-67.8798544 -45.8661513,-67.87816911 -45.86559299,-67.8800154 -45.8627071,-67.880863 -45.8635887,-67.8814101 -45.8638502,-67.881496 -45.8643508,-67.8795862 -45.8651352,-67.87889297 -45.8626014,-67.8809917 -45.8619301,-67.8822792 -45.8616611,-67.8835666 -45.8617507,-67.8845859 -45.8612277,-67.8843284 -45.8612427,-67.88286864 -45.86153258,-67.8855836 -45.8605329,-67.8847253 -45.8611754,-67.8843284 -45.8612427,-67.88485253 -45.86038085,-67.8862917 -45.8600846,-67.8869355 -45.8600547,-67.8873861 -45.8596438,-67.8876221 -45.8588667,-67.8886843 -45.8579999,-67.8905296 -45.8572453,-67.8915596 -45.8569165,-67.8910661 -45.8570435,-67.89119881 -45.85678635,-67.8960952 -45.8598436,-67.8959692 -45.8585678,-67.8961945 -45.8583138,-67.8955936 -45.8581419,-67.8949177 -45.8572976,-67.8950787 -45.8562589,-67.894907 -45.8558629,-67.8937376 -45.8558928,-67.8932869 -45.8566101,-67.8928149 -45.8568492,-67.8926003 -45.8566998,-67.89506126 -45.86022417,-67.8961086 -45.8601668,-67.8949714 -45.8618927,-67.89369378 -45.862107,-67.8961945 -45.8632674,-67.8952932 -45.8629985,-67.8948426 -45.8620347,-67.8946526 -45.86372426,-67.8962696 -45.8632899,-67.8974175 -45.8625203,-67.8984583 -45.8622177,-67.89779792 -45.86312838,,-67.8975525 -45.86346654,-67.8993487 -45.8636634,-67.8988981 -45.8636933,-67.89861920000001 -45.8635215,-67.89867893 -45.86374335,-67.9039943 -45.8644255,-67.9028034 -45.8637381,-67.8999174 -45.8635812,-67.90314798 -45.8648888,-67.906419 -45.86626330000001,-67.9050887 -45.8652025,-67.9043591 -45.864814,-67.90565529 -45.8665856,-67.9108179 -45.86391,-67.9094768 -45.8638353,-67.9077816 -45.8657329,-67.9066443 -45.8662484,-67.90869072 -45.86438156,-67.9100454 -45.8663754,-67.9094982 -45.8663306,-67.909627 -45.86429100000001,-67.90947109 -45.86641003,-67.9100668 -45.8647318,-67.9098523 -45.8659197,-67.9103565 -45.8661513,-67.90917641 -45.86476613,-67.9122448 -45.8649709,-67.911129 -45.8644105,-67.9103887 -45.8645226,-67.91093971 -45.86527418,-67.9164934 -45.8652398,-67.9147875 -45.8642536,-67.9133606 -45.865322,-67.9120409 -45.8651352,-67.91575239 -45.86551598,-67.9187572 -45.8661064,-67.9176843 -45.8663679,-67.9172981 -45.8656657,-67.91774956 -45.8661538,-67.9224908 -45.8663306,-67.9191971 -45.8656582,-67.92069068 -45.86664171,-67.9258382 -45.86658460000001,-67.9220402 -45.8663903,-67.92478129 -45.86687146,-67.9266429 -45.8657927,-67.9259992 -45.8665696,-67.92617947 -45.86596757,,-67.92568273 -45.86555172,-67.9284239 -45.8655835,-67.9270077 -45.8655162,-67.92761571 -45.86576064,-67.92887450000002 -45.8655984,-67.929647 -45.8660093,-67.9311919 -45.8652622,-67.93025624 -45.86524613,-67.934196 -45.8650755,-67.9339492 -45.8648887,-67.9318678 -45.8652174,-67.93322311 -45.86539389,-67.9364544 -45.8650082,-67.9343033 -45.8651128,-67.93542287 -45.86514387,-67.9374468 -45.8637643,-67.93648120000002 -45.8648999,-67.93638614 -45.8639203,-67.9407513 -45.863103100000004,-67.9403973 -45.8622551,-67.93757020000001 -45.8636746,-67.94016816 -45.86304785,-67.9412395 -45.8636896,-67.94085860000001 -45.8628677,-67.94026881 -45.86394522,-67.9413575 -45.8643508,-67.94191 -45.8638801,-67.9413092 -45.8637717,-67.9397787 -45.86446671,-67.939437 -45.8659907,-67.9410034 -45.8642985,-67.93820898 -45.86621382,,-67.93822649 -45.86645361,-67.9383588 -45.8674437,-67.9380101 -45.8666929,-67.9392922 -45.8661064,-67.9400271 -45.8665472,-67.9452038 -45.8642219,-67.9464403 -45.8647635,-67.9454304 -45.86503525,,-67.94551194 -45.86495899,-67.949152 -45.8670029,-67.9489589 -45.866338,-67.9464805 -45.8656358,-67.946502 -45.8652099,-67.94827454 -45.86749255,-67.9513514 -45.867951700000006,-67.9506004 -45.8681534,-67.9493558 -45.8665622,-67.9490876 -45.8664576,-67.9492164 -45.8668461,-67.95075242 -45.86791677,-67.9511476 -45.8693039,-67.95089010000001 -45.8697222,-67.9506433 -45.8681011,-67.9512978 -45.867892,-67.95011093 -45.86936834,-67.9526013 -45.869965,-67.9517484 -45.8700734,-67.9508901 -45.8697222,-67.9511476 -45.8693039,-67.95188123 -45.87007275,-67.9518449 -45.870925,-67.9516733 -45.8706037,-67.9509866 -45.870275,-67.95089010000001 -45.8697222,-67.9517484 -45.8700734,-67.9526281 -45.8699912,-67.95082673 -45.87123588,-67.9510081 -45.87218,-67.9515123 -45.8715599,-67.9518449 -45.870925,-67.94974928 -45.87213834,-67.9508579 -45.8736739,-67.9509115 -45.8721426,-67.94983615 -45.87396079,-67.9521346 -45.8759746,-67.951448 -45.8759597,-67.9509008 -45.8738383,-67.95155064 -45.87647635,-67.9521346 -45.8759746,-67.9517162 -45.8759074,-67.9513943 -45.8758999,-67.9525959 -45.87702780000001,-67.95337920000001 -45.8774162,-67.95259842 -45.87763583,-67.9538298 -45.8776104,-67.9575419 -45.8788205,-67.9596341 -45.8789624,-67.9602242 -45.8794852,-67.95937836 -45.87978501,-67.967391 -45.8796271,-67.9660606 -45.879657,-67.9619408 -45.879179,-67.959795 -45.8789997,-67.9602242 -45.8794852,-67.96661757 -45.87943084,-67.9708028 -45.8792686,-67.9686999 -45.8795524,-67.9682064 -45.8792238,-67.96993071 -45.87922522,-67.9739785 -45.8781632,-67.9745579 -45.8782677,-67.9740644 -45.8788802,-67.9710174 -45.8792537,-67.97210325 -45.8786421,-67.9764569 -45.8790072,-67.9757595 -45.8787084,-67.9755771 -45.8785142,-67.9742253 -45.8787756,-67.974236 -45.878222900000004,-67.9757414 -45.87911165,-67.9764569 -45.8790072,-67.9757595 -45.8787084,-67.9756951 -45.8784321,-67.9790318 -45.877588,-67.9792678 -45.8765199,-67.9792786 -45.8747272,-67.9798257 -45.8760045,-67.9801154 -45.8760643,-67.97932522 -45.87631183,-67.9801047 -45.8737412,-67.9795146 -45.8726879,-67.9791605 -45.8735694,-67.9792249 -45.8748467,-67.9793966 -45.8748467,-67.9797721 -45.8758476,-67.9800725 -45.876012,-67.97905112 -45.87422359,-67.9799759 -45.8737337,-67.9795146 -45.8726879,-67.9809093 -45.8709474,-67.980845 -45.8716421,-67.97987219 -45.87199291,-67.9807377 -45.8716645,-67.9809952 -45.8709175,-67.9819071 -45.8698567,-67.9830122 -45.8690947,-67.9832804 -45.8686614,-67.9840744 -45.8683402,-67.98364252 -45.86827111,-67.9875398 -45.8692665,-67.988205 -45.8691993,-67.9883659 -45.8686465,-67.9866493 -45.8686017,-67.9853296 -45.8685195,-67.9839349 -45.868766,-67.9830122 -45.8690947,-67.9832804 -45.8686614,-67.9841065 -45.8682057,-67.98595749 -45.86942688,,-67.98621539 -45.86906201,-67.9901361 -45.8674661,-67.9900289 -45.8678098,-67.9882801 -45.8686838,-67.9882801 -45.8691246,-67.9875398 -45.8692665,-67.98895281 -45.86742251,-67.9889882 -45.8675184,-67.9901576 -45.8669507,-67.9907262 -45.8670702,-67.9901469 -45.8675259,-67.98732981 -45.86783242;-67.98732981 -45.86783242,-67.9889882 -45.8675184,-67.9901576 -45.8669507,-67.9907262 -45.8670702,-67.9901469 -45.8675259,-67.98895281 -45.86742251,-67.9901361 -45.8674661,-67.9900289 -45.8678098,-67.9882801 -45.8686838,-67.9882801 -45.8691246,-67.9875398 -45.8692665,-67.98621539 -45.86906201,,-67.98595749 -45.86942688,-67.9875398 -45.8692665,-67.988205 -45.8691993,-67.9883659 -45.8686465,-67.9866493 -45.8686017,-67.9853296 -45.8685195,-67.9839349 -45.868766,-67.9830122 -45.8690947,-67.9832804 -45.8686614,-67.9841065 -45.8682057,-67.98364252 -45.86827111,-67.9807377 -45.8716645,-67.9809952 -45.8709175,-67.9819071 -45.8698567,-67.9830122 -45.8690947,-67.9832804 -45.8686614,-67.9840744 -45.8683402,-67.97987219 -45.87199291,-67.9799759 -45.8737337,-67.9795146 -45.8726879,-67.9809093 -45.8709474,-67.980845 -45.8716421,-67.97905112 -45.87422359,-67.9801047 -45.8737412,-67.9795146 -45.8726879,-67.9791605 -45.8735694,-67.9792249 -45.8748467,-67.9793966 -45.8748467,-67.9797721 -45.8758476,-67.9800725 -45.876012,-67.97932522 -45.87631183,-67.9764569 -45.8790072,-67.9757595 -45.8787084,-67.9756951 -45.8784321,-67.9790318 -45.877588,-67.9792678 -45.8765199,-67.9792786 -45.8747272,-67.9798257 -45.8760045,-67.9801154 -45.8760643,-67.9757414 -45.87911165,-67.9764569 -45.8790072,-67.9757595 -45.8787084,-67.9755771 -45.8785142,-67.9742253 -45.8787756,-67.974236 -45.878222900000004,-67.97210325 -45.8786421,-67.9739785 -45.8781632,-67.9745579 -45.8782677,-67.9740644 -45.8788802,-67.9710174 -45.8792537,-67.96993071 -45.87922522,-67.9708028 -45.8792686,-67.9686999 -45.8795524,-67.9682064 -45.8792238,-67.96661757 -45.87943084,-67.967391 -45.8796271,-67.9660606 -45.879657,-67.9619408 -45.879179,-67.959795 -45.8789997,-67.9602242 -45.8794852,-67.95937836 -45.87978501,-67.9538298 -45.8776104,-67.9575419 -45.8788205,-67.9596341 -45.8789624,-67.9602242 -45.8794852,-67.95259842 -45.87763583,-67.9521346 -45.8759746,-67.9517162 -45.8759074,-67.9513943 -45.8758999,-67.9525959 -45.87702780000001,-67.95337920000001 -45.8774162,-67.95155064 -45.87647635,-67.9521346 -45.8759746,-67.951448 -45.8759597,-67.9509008 -45.8738383,-67.94983615 -45.87396079,-67.9508579 -45.8736739,-67.9509115 -45.8721426,-67.94974928 -45.87213834,-67.9510081 -45.87218,-67.9515123 -45.8715599,-67.9518449 -45.870925,-67.95082673 -45.87123588,-67.9518449 -45.870925,-67.9516733 -45.8706037,-67.9509866 -45.870275,-67.95089010000001 -45.8697222,-67.9517484 -45.8700734,-67.9526281 -45.8699912,-67.95188123 -45.87007275,-67.9526013 -45.869965,-67.9517484 -45.8700734,-67.9508901 -45.8697222,-67.9511476 -45.8693039,-67.95011093 -45.86936834,-67.9511476 -45.8693039,-67.95089010000001 -45.8697222,-67.9506433 -45.8681011,-67.9512978 -45.867892,-67.95075242 -45.86791677,-67.9513514 -45.867951700000006,-67.9506004 -45.8681534,-67.9493558 -45.8665622,-67.9490876 -45.8664576,-67.9492164 -45.8668461,-67.94827454 -45.86749255,-67.949152 -45.8670029,-67.9489589 -45.866338,-67.9464805 -45.8656358,-67.946502 -45.8652099,-67.94551194 -45.86495899,,-67.9454304 -45.86503525,-67.9452038 -45.8642219,-67.9464403 -45.8647635,-67.9400271 -45.8665472</t>
  </si>
  <si>
    <t>-67.9400271 -45.8665472,-67.9383588 -45.8674437,-67.9380584 -45.8682655,-67.9363847 -45.8693786,-67.9365671 -45.8696326,-67.93551008 -45.87004015,-67.936492 -45.8696625,-67.9362881 -45.8694234,-67.9350436 -45.8703273,-67.9347003 -45.8699986,-67.933282 -45.87018527,-67.9337347 -45.872531,-67.9350007 -45.8704245,-67.9346895 -45.8701032,-67.93292309 -45.87290945,-67.9305589 -45.8765722,-67.9309773 -45.8765423,-67.9323184 -45.875011,-67.9336917 -45.8726132,-67.92916705 -45.87686758,-67.9288745 -45.8790371,-67.9299796 -45.8786337,-67.9304302 -45.8776552,-67.9309022 -45.8766245,-67.9306126 -45.8766543,-67.92746283 -45.879252,-67.9288745 -45.8790371,-67.9299045 -45.8786188,-67.929765 -45.8784918,-67.9247224 -45.8798512,-67.9241753 -45.8796943,-67.92260289 -45.87981886,-67.9231775 -45.8798138,-67.9230273 -45.8801051,-67.9220295 -45.8802022,-67.9198301 -45.8807027,-67.9191542 -45.8814645,-67.9198301 -45.8813375,-67.91930941 -45.88137118,-67.9183173 -45.8833018,-67.9179525 -45.8832943,-67.9178452 -45.8829358,-67.9186606 -45.8819873,-67.9191113 -45.8815466,-67.9197979 -45.8813898,-67.91747464 -45.88372353,-67.9166651 -45.8823159,-67.9170835 -45.8822711,-67.9178345 -45.8833989,-67.9184783 -45.8832943,-67.91541483 -45.88231338,-67.911365 -45.8831076,-67.9142618 -45.8826968,-67.9159892 -45.8825026,-67.90970498 -45.88326091,-67.9076958 -45.8841084,-67.9082644 -45.8839366,-67.9093373 -45.8833167,-67.9103136 -45.8831972,-67.90591516 -45.88446218,,-67.90594775 -45.88423937,-67.9066443 -45.8844071,-67.9062474 -45.8852585,-67.908833 -45.885968,-67.9091012 -45.8864012,-67.90705336 -45.88840606,-67.9052818 -45.8875736,-67.90654780000001 -45.8882084,-67.9074919 -45.8882756,-67.90362098 -45.8874036,-67.9039729 -45.8871629,-67.9034686 -45.8869165,-67.9041123 -45.886192,-67.9042947 -45.8847656,-67.90316820000001 -45.883637900000004,-67.90293219 -45.8836944,-67.90316820000001 -45.883637900000004,-67.9026854 -45.8831823,-67.9021275 -45.8832794,-67.900722 -45.8842279,-67.9001105 -45.8851465,-67.8995955 -45.8843175,-67.89811074 -45.88424629,-67.896452 -45.8842129,-67.8972995 -45.8841607,-67.8987801 -45.8833839,-67.8993165 -45.8836304,-67.89478887 -45.88442779,-67.895658 -45.88465360000001,-67.8955078 -45.8872675,-67.89402720000001 -45.888186,-67.89313670000001 -45.8879097,-67.8935552 -45.8866999,-67.891624 -45.8850718,-67.88986813 -45.88509226,-67.8916669 -45.8851316,-67.891463 -45.8853332,-67.8890061 -45.8855946,-67.8886521 -45.8849672,-67.88725199 -45.88498287,-67.8877938 -45.885251,-67.8862166 -45.8849523,-67.88477851 -45.88530377,-67.8847039 -45.885542300000004,-67.8854334 -45.8851465,-67.88304639 -45.88588109,-67.8838027 -45.88608,-67.882483 -45.8868716,-67.88085052 -45.88709026,-67.8783846 -45.8885519,-67.8803802 -45.8880143,-67.8826654 -45.8868044,-67.8823113 -45.8868119,-67.87661058 -45.88889945,-67.8765285 -45.89045620000001,-67.877773 -45.8901799,-67.8803802 -45.8880143,-67.8783846 -45.8885519,-67.87484305 -45.89067788,-67.8792322 -45.8901127,-67.877934 -45.8900903,-67.8765285 -45.89045620000001,-67.87813787 -45.88993585,-67.8788996 -45.8901426,-67.877934 -45.8900903,-67.8774834 -45.8904786,-67.8777945 -45.8925098,-67.8783524 -45.8919348,-67.87768072 -45.89180609,-67.8782558 -45.8919497,-67.8778267 -45.8923828,-67.8780413 -45.8938315,-67.8791893 -45.8953398,-67.87842608 -45.89585515,-67.8799939 -45.8961761,-67.8810668 -45.8968855,-67.881496 -45.8974007,-67.88049412 -45.89765426,-67.8816462 -45.8976545,-67.8819466 -45.8992972,-67.8823757 -45.8992374,-67.88283131 -45.8994995,-67.8778481 -45.8999691,-67.8795862 -45.8996556,-67.8816676 -45.8998198,-67.8823113 -45.899342,-67.87600509 -45.90013168,-67.875402 -45.9018954,-67.8762174 -45.9018506,-67.8767323 -45.9016117,-67.8774405 -45.9009995,-67.8778481 -45.8999691,-67.87401 -45.90242679,-67.8778911 -45.9022389,-67.8772688 -45.9023733,-67.8762174 -45.9020895,-67.8762174 -45.9018506,-67.875402 -45.9018954,-67.87749311 -45.90223614,-67.8877831 -45.9058523,-67.8869033 -45.9059867,-67.8840923 -45.9048668,-67.8834271 -45.9042397,-67.8832769 -45.9030601,-67.8820109 -45.9031497,-67.8811312 -45.903299,-67.8780627 -45.9027018,-67.8772688 -45.9023733,-67.8778911 -45.9022389,-67.88690397 -45.90593083,-67.8887486 -45.9139369,-67.8892422 -45.9133771,-67.889092 -45.9088982,-67.8895211 -45.9081964,-67.8884697 -45.9068527,-67.8891134 -45.9060464,-67.8899932 -45.905494,-67.890079 -45.9049863,-67.8895855 -45.9049415,-67.8884912 -45.9054641,-67.88780562 -45.91450171;-67.88780562 -45.91450171,-67.892257 -45.917781,-67.8922355 -45.9171241,-67.8925788 -45.9166017,-67.8926325 -45.9163553,-67.8917956 -45.9155044,-67.8909266 -45.914855,-67.8902507 -45.9144445,-67.8900683 -45.9137279,-67.8889096 -45.913601,-67.888813 -45.9138473,-67.89164408 -45.91850265,-67.895422 -45.9189901,-67.8929543 -45.9186468,-67.8948966 -45.91911867,-67.8951859 -45.9189752,-67.8956151 -45.9181094,-67.8975034 -45.9169749,-67.8979325 -45.9163329,-67.8972459 -45.916945,-67.8964305 -45.9169151,-67.8960013 -45.9166017,-67.89415644 -45.91643339,-67.9095197 -45.9178556,-67.9090691 -45.9168107,-67.90527 -45.9149745,-67.9052067 -45.9146162,-67.9025245 -45.9141235,-67.90171 -45.9145565,-67.89907 -45.9147953,-67.8979325 -45.9163329,-67.8972459 -45.916945,-67.8961945 -45.916945,-67.896 -45.9166,-67.90949828 -45.91775832,-67.9105067 -45.9207068,-67.9081678 -45.9205276,-67.9078245 -45.9200798,-67.9065156 -45.9195574,-67.9081035 -45.9191991,-67.9097772 -45.9180049,-67.91006087 -45.92075561,-67.9186392 -45.925737,-67.9181242 -45.9258713,-67.9160213 -45.924319,-67.9144335 -45.9239011,-67.9125881 -45.9236324,-67.911365 -45.9232891,-67.908361 -45.9205575,-67.9107213 -45.9206172,-67.91781996 -45.92567691,-67.9183388 -45.9258713,-67.9167509 -45.9248116,-67.9175448 -45.9264683,-67.9174805 -45.9272444,-67.9163647 -45.9281549,-67.9153562 -45.9282295,-67.9142404 -45.9287071,-67.9133177 -45.9295131,-67.9126954 -45.9289758,-67.912631 -45.9280206,-67.9141116 -45.9273489,-67.9158497 -45.9268415,-67.9161072 -45.9264235,-67.9158711 -45.9259907,-67.91406535 -45.92603076,-67.9160428 -45.9260952,-67.9158497 -45.9268415,-67.9124379 -45.928125,-67.9126954 -45.9289758,-67.9133177 -45.9295131,-67.9122019 -45.9304384,-67.9106355 -45.9306175,-67.9069018 -45.9297071,-67.9082537 -45.9278265,-67.90777463 -45.92772469;-67.90777463 -45.92772469,-67.9160428 -45.9260952,-67.9158497 -45.9268415,-67.9124379 -45.928125,-67.9126954 -45.9289758,-67.9133177 -45.9295131,-67.9122019 -45.9304384,-67.9106355 -45.9306175,-67.9069018 -45.9297071,-67.9082537 -45.9278265,-67.91406535 -45.92603076,-67.9183388 -45.9258713,-67.9167509 -45.9248116,-67.9175448 -45.9264683,-67.9174805 -45.9272444,-67.9163647 -45.9281549,-67.9153562 -45.9282295,-67.9142404 -45.9287071,-67.9133177 -45.9295131,-67.9126954 -45.9289758,-67.912631 -45.9280206,-67.9141116 -45.9273489,-67.9158497 -45.9268415,-67.9161072 -45.9264235,-67.9158711 -45.9259907,-67.91781996 -45.92567691,-67.9186392 -45.925737,-67.9181242 -45.9258713,-67.9160213 -45.924319,-67.9144335 -45.9239011,-67.9125881 -45.9236324,-67.911365 -45.9232891,-67.908361 -45.9205575,-67.9107213 -45.9206172,-67.91006087 -45.92075561,-67.9105067 -45.9207068,-67.9081678 -45.9205276,-67.9078245 -45.9200798,-67.9065156 -45.9195574,-67.9081035 -45.9191991,-67.9097772 -45.9180049,-67.90949828 -45.91775832,-67.9095197 -45.9178556,-67.9090691 -45.9168107,-67.90527 -45.9149745,-67.9052067 -45.9146162,-67.9025245 -45.9141235,-67.90171 -45.9145565,-67.89907 -45.9147953,-67.8979325 -45.9163329,-67.8972459 -45.916945,-67.8961945 -45.916945,-67.896 -45.9166,-67.89415644 -45.91643339,-67.8951859 -45.9189752,-67.8956151 -45.9181094,-67.8975034 -45.9169749,-67.8979325 -45.9163329,-67.8972459 -45.916945,-67.8964305 -45.9169151,-67.8960013 -45.9166017,-67.8948966 -45.91911867,-67.895422 -45.9189901,-67.8929543 -45.9186468,-67.89164408 -45.91850265,-67.892257 -45.917781,-67.8922355 -45.9171241,-67.8925788 -45.9166017,-67.8926325 -45.9163553,-67.8917956 -45.9155044,-67.8909266 -45.914855,-67.8902507 -45.9144445,-67.8900683 -45.9137279,-67.8889096 -45.913601,-67.888813 -45.9138473,-67.88780562 -45.91450171,-67.8887486 -45.9139369,-67.8892422 -45.9133771,-67.889092 -45.9088982,-67.8895211 -45.9081964,-67.8884697 -45.9068527,-67.8891134 -45.9060464,-67.8899932 -45.905494,-67.890079 -45.9049863,-67.8895855 -45.9049415,-67.8884912 -45.9054641,-67.88690397 -45.90593083;-67.88690397 -45.90593083,-67.8877831 -45.9058523,-67.8869033 -45.9059867,-67.8840923 -45.9048668,-67.8834271 -45.9042397,-67.8832769 -45.9030601,-67.8820109 -45.9031497,-67.8811312 -45.903299,-67.8780627 -45.9027018,-67.8772688 -45.9023733,-67.8778911 -45.9022389,-67.87749311 -45.90223614,-67.8778911 -45.9022389,-67.8772688 -45.9023733,-67.8762174 -45.9020895,-67.8762174 -45.9018506,-67.875402 -45.9018954,-67.87401 -45.90242679,-67.875402 -45.9018954,-67.8762174 -45.9018506,-67.8767323 -45.9016117,-67.8774405 -45.9009995,-67.8778481 -45.8999691,-67.87600509 -45.90013168,-67.8778481 -45.8999691,-67.8795862 -45.8996556,-67.8816676 -45.8998198,-67.8823113 -45.899342,-67.88283131 -45.8994995;-67.88283131 -45.8994995,-67.8778481 -45.8999691,-67.8795862 -45.8996556,-67.8816676 -45.8998198,-67.8823113 -45.899342,-67.87600509 -45.90013168,,-67.87638486 -45.90010492;-67.87638486 -45.90010492,,-67.87600509 -45.90013168,-67.8778481 -45.8999691,-67.8795862 -45.8996556,-67.8816676 -45.8998198,-67.8823113 -45.899342,-67.88283131 -45.8994995,-67.8816462 -45.8976545,-67.8819466 -45.8992972,-67.8823757 -45.8992374,-67.88049412 -45.89765426,-67.8799939 -45.8961761,-67.8810668 -45.8968855,-67.881496 -45.8974007,-67.87842608 -45.89585515,-67.8782558 -45.8919497,-67.8778267 -45.8923828,-67.8780413 -45.8938315,-67.8791893 -45.8953398,-67.87768072 -45.89180609,-67.8788996 -45.8901426,-67.877934 -45.8900903,-67.8774834 -45.8904786,-67.8777945 -45.8925098,-67.8783524 -45.8919348,-67.87813787 -45.88993585,-67.8792322 -45.8901127,-67.877934 -45.8900903,-67.8765285 -45.89045620000001,-67.87484305 -45.89067788,-67.8765285 -45.89045620000001,-67.877773 -45.8901799,-67.8803802 -45.8880143,-67.8783846 -45.8885519,-67.87661058 -45.88889945,-67.8783846 -45.8885519,-67.8803802 -45.8880143,-67.8826654 -45.8868044,-67.8823113 -45.8868119,-67.88085052 -45.88709026,-67.8838027 -45.88608,-67.882483 -45.8868716,-67.88304639 -45.88588109,-67.8847039 -45.885542300000004,-67.8854334 -45.8851465,-67.88477851 -45.88530377,-67.8877938 -45.885251,-67.8862166 -45.8849523,-67.88725199 -45.88498287,-67.8916669 -45.8851316,-67.891463 -45.8853332,-67.8890061 -45.8855946,-67.8886521 -45.8849672,-67.88986813 -45.88509226,-67.895658 -45.88465360000001,-67.8955078 -45.8872675,-67.89402720000001 -45.888186,-67.89313670000001 -45.8879097,-67.8935552 -45.8866999,-67.891624 -45.8850718,-67.89478887 -45.88442779,-67.896452 -45.8842129,-67.8972995 -45.8841607,-67.8987801 -45.8833839,-67.8993165 -45.8836304,-67.89811074 -45.88424629,-67.90316820000001 -45.883637900000004,-67.9026854 -45.8831823,-67.9021275 -45.8832794,-67.900722 -45.8842279,-67.9001105 -45.8851465,-67.8995955 -45.8843175,-67.90293219 -45.8836944,-67.9039729 -45.8871629,-67.9034686 -45.8869165,-67.9041123 -45.886192,-67.9042947 -45.8847656,-67.90316820000001 -45.883637900000004,-67.90362098 -45.8874036,-67.9052818 -45.8875736,-67.90654780000001 -45.8882084,-67.9074919 -45.8882756,-67.90705336 -45.88840606,-67.9066443 -45.8844071,-67.9062474 -45.8852585,-67.908833 -45.885968,-67.9091012 -45.8864012,-67.90594775 -45.88423937,,-67.90591516 -45.88446218,-67.9076958 -45.8841084,-67.9082644 -45.8839366,-67.9093373 -45.8833167,-67.9103136 -45.8831972,-67.90970498 -45.88326091,-67.911365 -45.8831076,-67.9142618 -45.8826968,-67.9159892 -45.8825026,-67.91541483 -45.88231338,-67.9166651 -45.8823159,-67.9170835 -45.8822711,-67.9178345 -45.8833989,-67.9184783 -45.8832943,-67.91747464 -45.88372353,-67.9183173 -45.8833018,-67.9179525 -45.8832943,-67.9178452 -45.8829358,-67.9186606 -45.8819873,-67.9191113 -45.8815466,-67.9197979 -45.8813898,-67.91930941 -45.88137118,-67.9231775 -45.8798138,-67.9230273 -45.8801051,-67.9220295 -45.8802022,-67.9198301 -45.8807027,-67.9191542 -45.8814645,-67.9198301 -45.8813375,-67.92260289 -45.87981886,-67.9288745 -45.8790371,-67.9299045 -45.8786188,-67.929765 -45.8784918,-67.9247224 -45.8798512,-67.9241753 -45.8796943,-67.92746283 -45.879252,-67.9288745 -45.8790371,-67.9299796 -45.8786337,-67.9304302 -45.8776552,-67.9309022 -45.8766245,-67.9306126 -45.8766543,-67.92916705 -45.87686758,-67.9305589 -45.8765722,-67.9309773 -45.8765423,-67.9323184 -45.875011,-67.9336917 -45.8726132,-67.93292309 -45.87290945,-67.9337347 -45.872531,-67.9350007 -45.8704245,-67.9346895 -45.8701032,-67.933282 -45.87018527,-67.936492 -45.8696625,-67.9362881 -45.8694234,-67.9350436 -45.8703273,-67.9347003 -45.8699986,-67.93551008 -45.87004015,-67.9383588 -45.8674437,-67.9380584 -45.8682655,-67.9363847 -45.8693786,-67.9365671 -45.8696326,-67.9400271 -45.8665472</t>
  </si>
  <si>
    <t>-67.9400271 -45.8665472,-67.9383588 -45.8674437,-67.9380584 -45.8682655,-67.9363847 -45.8693786,-67.9365671 -45.8696326,-67.93551008 -45.87004015,-67.936492 -45.8696625,-67.9362881 -45.8694234,-67.9350436 -45.8703273,-67.9347003 -45.8699986,-67.933282 -45.87018527,-67.9337347 -45.872531,-67.9350007 -45.8704245,-67.9346895 -45.8701032,-67.93292309 -45.87290945,-67.9305589 -45.8765722,-67.9309773 -45.8765423,-67.9323184 -45.875011,-67.9336917 -45.8726132,-67.92916705 -45.87686758,-67.9288745 -45.8790371,-67.9299796 -45.8786337,-67.9304302 -45.8776552,-67.9309022 -45.8766245,-67.9306126 -45.8766543,-67.92746283 -45.879252,-67.9288745 -45.8790371,-67.9299796 -45.8786337,-67.9308271 -45.8793582,-67.9310632 -45.8796271,-67.9308057 -45.8796645,-67.92926139 -45.87980166,-67.9308057 -45.8796645,-67.9309773 -45.8795823,-67.9308271 -45.8793582,-67.9319429 -45.8795524,-67.9332089 -45.8799333,-67.9339921 -45.8795524,-67.9349685 -45.8793358,-67.935698 -45.8793209,-67.93512028 -45.8793768,-67.9380155 -45.8812404,-67.938627 -45.880852,-67.9384768 -45.8805682,-67.9371035 -45.8800827,-67.9358482 -45.8797093,-67.9335737 -45.8797616,-67.934432 -45.8794255,-67.9350007 -45.8792835,-67.9357088 -45.8792686,-67.93588984 -45.88149225,-67.9369104 -45.8822487,-67.9367441 -45.8819686,-67.9385787 -45.881274,-67.938568 -45.8809641,-67.9379243 -45.8811844,-67.93623372 -45.88237227,-67.9369962 -45.8822636,-67.9367441 -45.8819686,-67.9343677 -45.8832719,-67.93288041 -45.88347512,,-67.93297197 -45.88384007,-67.9325545 -45.8880964,-67.9324257 -45.8875363,-67.933048 -45.8868642,-67.9335093 -45.8836304,-67.93195275 -45.88880085,,-67.93184093 -45.88869985,-67.929883 -45.8876782,-67.9306018 -45.8878724,-67.9317605 -45.8883727,-67.9326189 -45.888201,-67.92838162 -45.88770662,-67.9286492 -45.8892166,-67.9288638 -45.8878724,-67.9292393 -45.8876931,-67.92758265 -45.88993498,-67.929368 -45.8925994,-67.9296148 -45.8919423,-67.9287994 -45.8913897,-67.9285097 -45.8910014,-67.9286277 -45.8901127,-67.92819602 -45.89300211,-67.9235637 -45.895743,-67.9241538 -45.8953249,-67.9267287 -45.8949142,-67.9271579 -45.8944961,-67.9267287 -45.8942048,-67.9257309 -45.8936448,-67.9256558 -45.8930698,-67.9268682 -45.8923604,-67.9289711 -45.8934208,-67.9293036 -45.893361,-67.92261639 -45.89612501,-67.9221904 -45.8981548,-67.9232204 -45.8984983,-67.9230487 -45.8980652,-67.9224908 -45.89755,-67.9236388 -45.8964449,-67.92046749 -45.89809236,-67.9312027 -45.9008128,-67.9299688 -45.9015296,-67.9282737 -45.9003723,-67.9263103 -45.8994316,-67.9232204 -45.8984983,-67.9221046 -45.8981623,-67.93028301 -45.90068278,-67.9313636 -45.9007755,-67.9299688 -45.9015296,-67.9309559 -45.9024778,-67.931664 -45.9022687,-67.9323721 -45.9010144,-67.9335737 -45.900447,-67.9371786 -45.9012832,-67.9379082 -45.9021045,-67.9396677 -45.9026719,-67.941041 -45.9025674,-67.94048121 -45.90255833,-67.9417276 -45.9060912,-67.9426718 -45.9047623,-67.9416203 -45.9047773,-67.9445601 -45.9035379,-67.942543 -45.9026271,-67.94070253 -45.90708056,-67.9419637 -45.9061061,-67.9426718 -45.9047623,-67.9415345 -45.9048967,-67.938745 -45.9059568,-67.9340029 -45.9072707,-67.9353547 -45.9073006,-67.93482704 -45.9074612,-67.922008 -45.9097193,-67.9201412 -45.9109884,-67.9196906 -45.9109585,-67.9200125 -45.9097492,-67.9210854 -45.909585,-67.9227591 -45.90851,-67.9267287 -45.9077933,-67.9317927 -45.9075544,-67.9344964 -45.9080023,-67.9353762 -45.9076142,-67.92132124 -45.90950332,-67.9221797 -45.9097492,-67.9201412 -45.9109884,-67.91924 -45.911063,-67.9191971 -45.9115109,-67.91938339 -45.91141146,-67.9191971 -45.9115109,-67.9193473 -45.9122574,-67.9206347 -45.9121827,-67.9237676 -45.911287,-67.92339949 -45.91107871,-67.9250765 -45.911063,-67.9249692 -45.9120036,-67.9233384 -45.9123171,-67.92178415 -45.91276334,-67.9231882 -45.9122723,-67.9249692 -45.9120036,-67.9255915 -45.9130038,-67.9226518 -45.9145117,-67.9209566 -45.9155119,-67.9190469 -45.9157209,-67.9196262 -45.9152282,-67.9198102 -45.91487479,,-67.91936766 -45.91518342,-67.9294324 -45.9165121,-67.930162 -45.916945,-67.9304409 -45.9174227,-67.9261708 -45.9179004,-67.9190469 -45.9157209,-67.9196262 -45.9152282,-67.92776392 -45.91634643,-67.9315567 -45.9216173,-67.9323292 -45.9215277,-67.9268146 -45.9178258,-67.9294968 -45.9176466,-67.9304409 -45.9174227,-67.9300117 -45.9168704,-67.9294324 -45.9165121,-67.92974857 -45.92193359,-67.9378974 -45.9205575,-67.9375219 -45.920244,-67.9376721 -45.9193932,-67.9373181 -45.9201097,-67.9375005 -45.9207814,-67.9381657 -45.9214382,-67.9378438 -45.9222592,-67.9378653 -45.9235428,-67.9352689 -45.9230204,-67.9323292 -45.9215277,-67.9315567 -45.9216173,-67.93749101 -45.92107433,-67.9473066 -45.9191991,-67.9491735 -45.9182736,-67.9488516 -45.9169151,-67.9491198 -45.9161986,-67.9481864 -45.9168405,-67.9482937 -45.9178556,-67.947135 -45.9184079,-67.94559 -45.9178407,-67.9453111 -45.9174227,-67.9465771 -45.9168554,-67.9420924 -45.9173033,-67.9408264 -45.9169002,-67.9406118 -45.9177959,-67.9378867 -45.9191842,-67.9375434 -45.9200649,-67.9378974 -45.9205575,-67.94586231 -45.91962676;-67.94586231 -45.91962676,-67.9473066 -45.9191991,-67.9491735 -45.9182736,-67.9488516 -45.9169151,-67.9491198 -45.9161986,-67.9481864 -45.9168405,-67.9482937 -45.9178556,-67.947135 -45.9184079,-67.94559 -45.9178407,-67.9453111 -45.9174227,-67.9465771 -45.9168554,-67.9420924 -45.9173033,-67.9408264 -45.9169002,-67.9406118 -45.9177959,-67.9378867 -45.9191842,-67.9375434 -45.9200649,-67.9378974 -45.9205575,-67.93749101 -45.92107433,-67.9378974 -45.9205575,-67.9375219 -45.920244,-67.9376721 -45.9193932,-67.9373181 -45.9201097,-67.9375005 -45.9207814,-67.9381657 -45.9214382,-67.9378438 -45.9222592,-67.9378653 -45.9235428,-67.9352689 -45.9230204,-67.9323292 -45.9215277,-67.9315567 -45.9216173,-67.92974857 -45.92193359,-67.9315567 -45.9216173,-67.9323292 -45.9215277,-67.9268146 -45.9178258,-67.9294968 -45.9176466,-67.9304409 -45.9174227,-67.9300117 -45.9168704,-67.9294324 -45.9165121,-67.92776392 -45.91634643,-67.9294324 -45.9165121,-67.930162 -45.916945,-67.9304409 -45.9174227,-67.9261708 -45.9179004,-67.9190469 -45.9157209,-67.9196262 -45.9152282,-67.91936766 -45.91518342,,-67.9198102 -45.91487479,-67.9196262 -45.9152282,-67.9156566 -45.9172286,-67.9137468 -45.9172436,-67.9124808 -45.9162882,-67.9127598 -45.9157507,-67.91149535 -45.91548088,-67.9126096 -45.9157358,-67.9124379 -45.9161389,-67.9112148 -45.9154372,-67.9091549 -45.9151387,-67.9052281 -45.9148401,-67.9049706 -45.9149894,-67.9067302 -45.9155716,-67.9090691 -45.9168107,-67.9094338 -45.9176018,-67.90949828 -45.91775832,-67.9095197 -45.9178556,-67.9090691 -45.9168107,-67.90527 -45.9149745,-67.9052067 -45.9146162,-67.9025245 -45.9141235,-67.90171 -45.9145565,-67.89907 -45.9147953,-67.8979325 -45.9163329,-67.8972459 -45.916945,-67.8961945 -45.916945,-67.896 -45.9166,-67.89415644 -45.91643339,-67.8951859 -45.9189752,-67.8956151 -45.9181094,-67.8975034 -45.9169749,-67.8979325 -45.9163329,-67.8972459 -45.916945,-67.8964305 -45.9169151,-67.8960013 -45.9166017,-67.8948966 -45.91911867,-67.895422 -45.9189901,-67.8929543 -45.9186468,-67.89164408 -45.91850265,-67.892257 -45.917781,-67.8922355 -45.9171241,-67.8925788 -45.9166017,-67.8926325 -45.9163553,-67.8917956 -45.9155044,-67.8909266 -45.914855,-67.8902507 -45.9144445,-67.8900683 -45.9137279,-67.8889096 -45.913601,-67.888813 -45.9138473,-67.88780562 -45.91450171,-67.8887486 -45.9139369,-67.8892422 -45.9133771,-67.889092 -45.9088982,-67.8895211 -45.9081964,-67.8884697 -45.9068527,-67.8891134 -45.9060464,-67.8899932 -45.905494,-67.890079 -45.9049863,-67.8895855 -45.9049415,-67.8884912 -45.9054641,-67.88690397 -45.90593083,-67.8877831 -45.9058523,-67.8869033 -45.9059867,-67.8840923 -45.9048668,-67.8834271 -45.9042397,-67.8832769 -45.9030601,-67.8820109 -45.9031497,-67.8811312 -45.903299,-67.8780627 -45.9027018,-67.8772688 -45.9023733,-67.8778911 -45.9022389,-67.87749311 -45.90223614,-67.8778911 -45.9022389,-67.8772688 -45.9023733,-67.8762174 -45.9020895,-67.8762174 -45.9018506,-67.875402 -45.9018954,-67.87401 -45.90242679,-67.875402 -45.9018954,-67.8762174 -45.9018506,-67.8767323 -45.9016117,-67.8774405 -45.9009995,-67.8778481 -45.8999691,-67.87600509 -45.90013168,-67.8778481 -45.8999691,-67.8795862 -45.8996556,-67.8816676 -45.8998198,-67.8823113 -45.899342,-67.88283131 -45.8994995,-67.8816462 -45.8976545,-67.8819466 -45.8992972,-67.8823757 -45.8992374,-67.88049412 -45.89765426,-67.8799939 -45.8961761,-67.8810668 -45.8968855,-67.881496 -45.8974007,-67.87842608 -45.89585515,-67.8782558 -45.8919497,-67.8778267 -45.8923828,-67.8780413 -45.8938315,-67.8791893 -45.8953398,-67.87768072 -45.89180609,-67.8788996 -45.8901426,-67.877934 -45.8900903,-67.8774834 -45.8904786,-67.8777945 -45.8925098,-67.8783524 -45.8919348,-67.87813787 -45.88993585;-67.87813787 -45.88993585,-67.8789854 -45.8901127,-67.8777838 -45.8901052,-67.8751981 -45.8927935,-67.8739536 -45.8942571,-67.87230402 -45.89457162,-67.8727734 -45.8946678,-67.8694153 -45.8954742,-67.8682566 -45.89504860000001,-67.86797017 -45.89505687,-67.8685999 -45.895295,-67.8667116 -45.8956833,-67.8646088 -45.8956833,-67.86301998 -45.89560501,-67.8636646 -45.8957132,-67.8630209 -45.8961014,-67.8661537 -45.8966391,-67.86618307 -45.89684928,-67.8667545 -45.8970572,-67.8640938 -45.8981025,-67.8651237 -45.89867,-67.86456115 -45.89914262;-67.86456115 -45.89914262,-67.8667545 -45.8970572,-67.8640938 -45.8981025,-67.8651237 -45.89867,-67.86618307 -45.89684928;-67.86618307 -45.89684928,-67.8636646 -45.8957132,-67.8630209 -45.8961014,-67.8661537 -45.8966391,-67.86301998 -45.89560501,-67.8685999 -45.895295,-67.8667116 -45.8956833,-67.8646088 -45.8956833,-67.86797017 -45.89505687,-67.8727734 -45.8946678,-67.8694153 -45.8954742,-67.8682566 -45.89504860000001,-67.87230402 -45.89457162,-67.8789854 -45.8901127,-67.8777838 -45.8901052,-67.8751981 -45.8927935,-67.8739536 -45.8942571,-67.87813787 -45.88993585,-67.8792322 -45.8901127,-67.877934 -45.8900903,-67.8765285 -45.89045620000001,-67.87484305 -45.89067788,-67.8765285 -45.89045620000001,-67.877773 -45.8901799,-67.8803802 -45.8880143,-67.8783846 -45.8885519,-67.87661058 -45.88889945,-67.8783846 -45.8885519,-67.8803802 -45.8880143,-67.8826654 -45.8868044,-67.8823113 -45.8868119,-67.88085052 -45.88709026,-67.8838027 -45.88608,-67.882483 -45.8868716,-67.88304639 -45.88588109,-67.8847039 -45.885542300000004,-67.8854334 -45.8851465,-67.88477851 -45.88530377,-67.8877938 -45.885251,-67.8862166 -45.8849523,-67.88725199 -45.88498287,-67.8916669 -45.8851316,-67.891463 -45.8853332,-67.8890061 -45.8855946,-67.8886521 -45.8849672,-67.88986813 -45.88509226,-67.895658 -45.88465360000001,-67.8955078 -45.8872675,-67.89402720000001 -45.888186,-67.89313670000001 -45.8879097,-67.8935552 -45.8866999,-67.891624 -45.8850718,-67.89478887 -45.88442779,-67.896452 -45.8842129,-67.8972995 -45.8841607,-67.8987801 -45.8833839,-67.8993165 -45.8836304,-67.89811074 -45.88424629,-67.90316820000001 -45.883637900000004,-67.9026854 -45.8831823,-67.9021275 -45.8832794,-67.900722 -45.8842279,-67.9001105 -45.8851465,-67.8995955 -45.8843175,-67.90293219 -45.8836944,-67.9039729 -45.8871629,-67.9034686 -45.8869165,-67.9041123 -45.886192,-67.9042947 -45.8847656,-67.90316820000001 -45.883637900000004,-67.90362098 -45.8874036;-67.90362098 -45.8874036,-67.9052818 -45.8875736,-67.90654780000001 -45.8882084,-67.9074919 -45.8882756,-67.90705336 -45.88840606,-67.9066443 -45.8844071,-67.9062474 -45.8852585,-67.908833 -45.885968,-67.9091012 -45.8864012,-67.90594775 -45.88423937,,-67.90591516 -45.88446218,-67.9076958 -45.8841084,-67.9082644 -45.8839366,-67.9093373 -45.8833167,-67.9103136 -45.8831972,-67.90970498 -45.88326091,-67.911365 -45.8831076,-67.9142618 -45.8826968,-67.9159892 -45.8825026,-67.91541483 -45.88231338,-67.9166651 -45.8823159,-67.9170835 -45.8822711,-67.9178345 -45.8833989,-67.9184783 -45.8832943,-67.91747464 -45.88372353,-67.9183173 -45.8833018,-67.9179525 -45.8832943,-67.9178452 -45.8829358,-67.9186606 -45.8819873,-67.9191113 -45.8815466,-67.9197979 -45.8813898,-67.91930941 -45.88137118,-67.9231775 -45.8798138,-67.9230273 -45.8801051,-67.9220295 -45.8802022,-67.9198301 -45.8807027,-67.9191542 -45.8814645,-67.9198301 -45.8813375,-67.92260289 -45.87981886,-67.9288745 -45.8790371,-67.9299045 -45.8786188,-67.929765 -45.8784918,-67.9247224 -45.8798512,-67.9241753 -45.8796943,-67.92746283 -45.879252,-67.9288745 -45.8790371,-67.9299796 -45.8786337,-67.9304302 -45.8776552,-67.9309022 -45.8766245,-67.9306126 -45.8766543,-67.92916705 -45.87686758,-67.9305589 -45.8765722,-67.9309773 -45.8765423,-67.9323184 -45.875011,-67.9336917 -45.8726132,-67.93292309 -45.87290945,-67.9337347 -45.872531,-67.9350007 -45.8704245,-67.9346895 -45.8701032,-67.933282 -45.87018527,-67.936492 -45.8696625,-67.9362881 -45.8694234,-67.9350436 -45.8703273,-67.9347003 -45.8699986,-67.93551008 -45.87004015,-67.9383588 -45.8674437,-67.9380584 -45.8682655,-67.9363847 -45.8693786,-67.9365671 -45.8696326,-67.9400271 -45.8665472</t>
  </si>
  <si>
    <t>-67.9400271 -45.8665472,-67.9452038 -45.8642219,-67.9464403 -45.8647635,-67.9454304 -45.86503525,,-67.94551194 -45.86495899,-67.949152 -45.8670029,-67.9489589 -45.866338,-67.9464805 -45.8656358,-67.946502 -45.8652099,-67.94827454 -45.86749255,-67.9581213 -45.8673466,-67.9581428 -45.8669731,-67.9568553 -45.866226,-67.9523492 -45.8659869,-67.9491305 -45.866226,-67.9489803 -45.8668834,-67.95709848 -45.86769228,-67.9570484 -45.8711267,-67.9574454 -45.8693637,-67.9580891 -45.8675707,-67.95610675 -45.87170205,-67.9571235 -45.8715898,-67.9572952 -45.8723443,-67.9570484 -45.87342,-67.95743470000001 -45.8736217,-67.95650202 -45.87386891,-67.9575098 -45.8735619,-67.9580784 -45.8727253,-67.95720623 -45.87256309,-67.9630244 -45.8733005,-67.9618549 -45.87156740000001,-67.9611683 -45.8714553,-67.9596126 -45.871724300000004,-67.95881870000001 -45.8720007,-67.96214261 -45.87344787,-67.9666829 -45.8734274,-67.9651701 -45.87286720000001,-67.9644513 -45.8730315,-67.9638612 -45.8733752,-67.9632068 -45.8733901,-67.96572509 -45.87368099,-67.96696190000002 -45.8736067,-67.9677129 -45.8742267,-67.9679918 -45.8746077,-67.9672039 -45.87497495,-67.9705024 -45.8745479,-67.9698265 -45.8742641,-67.9688072 -45.8745629,-67.96981728 -45.87481078;-67.96981728 -45.87481078,-67.9705024 -45.8745479,-67.9698265 -45.8742641,-67.9688072 -45.8745629,-67.9672039 -45.87497495,-67.9711676 -45.8706262,-67.9712427 -45.8723667,-67.9717791 -45.8732033,-67.9711139 -45.8738906,-67.9693866 -45.8740474,-67.9686463 -45.874533,-67.96992116 -45.87035971,-67.9710925 -45.8705739,-67.9709744 -45.8714329,-67.9711354 -45.8722173,-67.9706633 -45.8714479,-67.9697943 -45.8691545,-67.9688479 -45.86924263,-67.96972990000002 -45.8689453,-67.96923640000001 -45.8685867,-67.9698372 -45.8679667,-67.96898996 -45.86789944,-67.9704916 -45.8675259,-67.9713821 -45.8670777,-67.9725838 -45.8673092,-67.97170451 -45.86764851,-67.9732597 -45.8674138,-67.9739678 -45.8674661,-67.9742575 -45.8672345,-67.9737854 -45.8666444,-67.9743755 -45.8664576,-67.9735065 -45.8661812,-67.9728949 -45.8655461,-67.97157481 -45.86531756,-67.9780984 -45.8649709,-67.9776263 -45.8648289,-67.9768217 -45.8650007,-67.9760063 -45.86583,-67.9748476 -45.8665622,-67.9738605 -45.866353,-67.9728091 -45.865591,-67.97746123 -45.86525028,-67.9770362 -45.8661886,-67.9775405 -45.8660019,-67.9780447 -45.8660616,-67.9790211 -45.8666444,-67.9791498 -45.8664875,-67.9789352 -45.8662036,-67.978828 -45.8655685,-67.9785597 -45.8651502,-67.97572674 -45.86647737,-67.9788494 -45.8686091,-67.9777122 -45.8662932,-67.9771221 -45.8662409,-67.97752558 -45.86902372,-67.9785383 -45.8689528,-67.9771435 -45.870671,-67.9765534 -45.8706934,-67.9753625 -45.8703498,-67.9735183 -45.87030526,-67.9754591 -45.8702153,-67.9761243 -45.8702377,-67.97676800000002 -45.8696774,-67.97574817 -45.86928588;-67.97574817 -45.86928588,-67.9754591 -45.8702153,-67.9761243 -45.8702377,-67.97676800000002 -45.8696774,-67.9735183 -45.87030526,-67.9785383 -45.8689528,-67.9771435 -45.870671,-67.9765534 -45.8706934,-67.9753625 -45.8703498,-67.97752558 -45.86902372,-67.9788065 -45.8706037,-67.9790211 -45.8702228,-67.978828 -45.868893,-67.9773795 -45.87092197,-67.9761887 -45.8726132,-67.9763067 -45.8720604,-67.9778838 -45.8710893,-67.97564136 -45.8729339,-67.9800725 -45.873800900000006,-67.9795146 -45.8726879,-67.9796112 -45.8723816,-67.9792464 -45.872165,-67.9787529 -45.8722173,-67.9783773 -45.8729942,-67.9778409 -45.873195900000006,-67.9771113 -45.8730315,-67.97905112 -45.87422359,-67.9799759 -45.8737337,-67.9795146 -45.8726879,-67.9809093 -45.8709474,-67.980845 -45.8716421,-67.97987219 -45.87199291,-67.9807377 -45.8716645,-67.9809952 -45.8709175,-67.9819071 -45.8698567,-67.9830122 -45.8690947,-67.9832804 -45.8686614,-67.9840744 -45.8683402,-67.98364252 -45.86827111,-67.9875398 -45.8692665,-67.988205 -45.8691993,-67.9883659 -45.8686465,-67.9866493 -45.8686017,-67.9853296 -45.8685195,-67.9839349 -45.868766,-67.9830122 -45.8690947,-67.9832804 -45.8686614,-67.9841065 -45.8682057,-67.98595749 -45.86942688,,-67.98621539 -45.86906201,-67.9901361 -45.8674661,-67.9900289 -45.8678098,-67.9882801 -45.8686838,-67.9882801 -45.8691246,-67.9875398 -45.8692665,-67.98895281 -45.86742251,-67.9929042 -45.8670777,-67.9928398 -45.8661064,-67.9924321 -45.8655835,-67.9918849 -45.8652398,-67.9909408 -45.867115,-67.9902434 -45.8675334,-67.99174523 -45.8677107,-67.9914558 -45.8692516,-67.9914558 -45.8690499,-67.9925716 -45.8679293,-67.99024475 -45.86974641,-67.9910052 -45.8707457,-67.9910266 -45.8705664,-67.99163820000001 -45.8700883,-67.9915524 -45.8697073,-67.9900866 -45.8710699,-67.9930758 -45.87218,-67.992754 -45.8724788,-67.9914343 -45.8718886,-67.9915845 -45.8711565,-67.9912734 -45.8710071,-67.99156523 -45.87210921,-67.9929739 -45.8721949,-67.9927379 -45.872546,-67.993784 -45.8729494,-67.9957634 -45.8725273,-67.9964232 -45.8722024,-67.99553288 -45.87226112,-67.9971957 -45.8714031,-67.9989982 -45.8712611,-67.9998028 -45.8710071,-67.99921407 -45.87121751,,-67.99960904 -45.87080973,-68.0035579 -45.8703423,-68.0025816 -45.8706859,-68.0014014 -45.8705066,-68.00284674 -45.87040916,-68.0041587 -45.8700285,-68.0051243 -45.8686091,-68.00449906 -45.86852742,-68.0070448 -45.8686241,-68.0060685 -45.868385,-68.00620422 -45.86892139,-68.0070448 -45.8686241,-68.0067122 -45.8683028,-68.0066907 -45.8679293,-68.0047274 -45.8681086,-68.0029786 -45.8686316,-68.0021524 -45.8685344,-68.0022383 -45.8682132,-68.00126819 -45.86832361,,-68.00080119 -45.86808139,-67.9980218 -45.8692665,-68.0000389 -45.8684074,-68.0017662 -45.8680339,-67.99627751 -45.86960923,-67.9969811 -45.8694981,-67.9958439 -45.8695654,-67.99512510000001 -45.8693413,-67.99505 -45.8690499,-67.99439359 -45.86914058,-67.99505 -45.8690499,-67.9947495 -45.8687287,-67.9952323 -45.8676529,-67.99437986 -45.8677879,-67.9954576 -45.8672868,-67.9960907 -45.8666518,-67.9968202 -45.8663306,-67.99554948 -45.86642106,-67.9970026 -45.8663754,-68.0035257 -45.8657777,-68.003397 -45.8661662,-68.00288598 -45.86648631,-68.0048561 -45.8661961,-68.0066156 -45.864941,-68.00601835 -45.8652672,-68.0066907 -45.8648887,-68.0076134 -45.8646197,-68.0077314 -45.8640818,-68.0066907 -45.862595,-68.0065084 -45.8626847,-68.00524993 -45.86266209,-68.0066907 -45.862595,-68.0062294 -45.8616088,-68.0054569 -45.8608467,-68.004663 -45.8610185,-68.00290781 -45.86119572,-68.0032039 -45.861564,-68.0037832 -45.8611157,-68.0040193 -45.8610858,-68.00170055 -45.8618692,-68.0024529 -45.8617881,-68.0025601 -45.862341,-68.0002105 -45.8608467,-68.0004787 -45.8601219,-67.99931829 -45.86009184,-68.0074525 -45.859442,-68.0054677 -45.8582764,-68.0048132 -45.8581195,-68.0035686 -45.8582092,-68.0016375 -45.8587994,-68.0007148 -45.8595093,-68.00660247 -45.85987417,-68.0085039 -45.8608542,-68.0076885 -45.8600248,-68.00795638 -45.86120116,-68.0092764 -45.861153,-68.0112505 -45.8612053,-68.0125165 -45.8608841,-68.0140936 -45.8599053,-68.0144691 -45.860757,-68.0142117 -45.8610111,-68.0129057 -45.86088542,-68.0142868 -45.8609737,-68.0144262 -45.8605553,-68.0140936 -45.8599053,-68.0133533 -45.8599352,-68.0130315 -45.8598604,-68.0120766 -45.8601145,-68.0106323 -45.86038668;-68.0106323 -45.86038668,-68.0142868 -45.8609737,-68.0144262 -45.8605553,-68.0140936 -45.8599053,-68.0133533 -45.8599352,-68.0130315 -45.8598604,-68.0120766 -45.8601145,-68.0129057 -45.86088542,-68.01428 -45.86088,-68.01441 -45.86067,-68.013976 -45.85962,-68.01370 -45.85934,-68.01342 -45.85814,-68.01245 -45.8562,-68.01183 -45.85572,-68.00954 -45.85532,-68.00842 -45.85533,-68.0081391 -45.85491,-68.00715 -45.85452,-68.00533143 -45.85441605;-68.00533143 -45.85441605,-68.0073881 -45.8595317,-68.0048668 -45.8579775,-68.0083323 -45.8566475,-68.0111432 -45.8564831,-68.0119586 -45.855833,-68.0093408 -45.8553025,-68.0084181 -45.8553324,-68.0081391 -45.8549139,-68.0071521 -45.8545179,-68.00660247 -45.85987417,-68.0074525 -45.859442,-68.0054677 -45.8582764,-68.0048132 -45.8581195,-68.0035686 -45.8582092,-68.0016375 -45.8587994,-68.0007148 -45.8595093,-67.99931829 -45.86009184,-68.0024529 -45.8617881,-68.0025601 -45.862341,-68.0002105 -45.8608467,-68.0004787 -45.8601219,-68.00170055 -45.8618692,-68.0032039 -45.861564,-68.0037832 -45.8611157,-68.0040193 -45.8610858,-68.00290781 -45.86119572,-68.0066907 -45.862595,-68.0062294 -45.8616088,-68.0054569 -45.8608467,-68.004663 -45.8610185,-68.00524993 -45.86266209,-68.0066907 -45.8648887,-68.0076134 -45.8646197,-68.0077314 -45.8640818,-68.0066907 -45.862595,-68.0065084 -45.8626847,-68.00601835 -45.8652672,-68.0048561 -45.8661961,-68.0066156 -45.864941,-68.00288598 -45.86648631,-67.9970026 -45.8663754,-68.0035257 -45.8657777,-68.003397 -45.8661662,-67.99554948 -45.86642106,-67.9954576 -45.8672868,-67.9960907 -45.8666518,-67.9968202 -45.8663306,-67.99437986 -45.8677879,-67.99505 -45.8690499,-67.9947495 -45.8687287,-67.9952323 -45.8676529,-67.99439359 -45.86914058,-67.9969811 -45.8694981,-67.9958439 -45.8695654,-67.99512510000001 -45.8693413,-67.99505 -45.8690499,-67.99627751 -45.86960923,-67.9980218 -45.8692665,-68.0000389 -45.8684074,-68.0017662 -45.8680339,-68.00080119 -45.86808139,,-68.00126819 -45.86832361,-68.0070448 -45.8686241,-68.0067122 -45.8683028,-68.0066907 -45.8679293,-68.0047274 -45.8681086,-68.0029786 -45.8686316,-68.0021524 -45.8685344,-68.0022383 -45.8682132,-68.00620422 -45.86892139,-68.0070448 -45.8686241,-68.0060685 -45.868385,-68.00449906 -45.86852742,-68.0041587 -45.8700285,-68.0051243 -45.8686091,-68.00284674 -45.87040916,-68.0035579 -45.8703423,-68.0025816 -45.8706859,-68.0014014 -45.8705066,-67.99960904 -45.87080973,,-67.99921407 -45.87121751,-67.9971957 -45.8714031,-67.9989982 -45.8712611,-67.9998028 -45.8710071,-67.99553288 -45.87226112,-67.9929739 -45.8721949,-67.9927379 -45.872546,-67.993784 -45.8729494,-67.9957634 -45.8725273,-67.9964232 -45.8722024,-67.99156523 -45.87210921,-67.9930758 -45.87218,-67.992754 -45.8724788,-67.9914343 -45.8718886,-67.9915845 -45.8711565,-67.9912734 -45.8710071,-67.9900866 -45.8710699,-67.9910052 -45.8707457,-67.9910266 -45.8705664,-67.99163820000001 -45.8700883,-67.9915524 -45.8697073,-67.99024475 -45.86974641,-67.9914558 -45.8692516,-67.9914558 -45.8690499,-67.9925716 -45.8679293,-67.99174523 -45.8677107,-67.9929042 -45.8670777,-67.9928398 -45.8661064,-67.9924321 -45.8655835,-67.9918849 -45.8652398,-67.9909408 -45.867115,-67.9902434 -45.8675334,-67.98895281 -45.86742251,-67.9901361 -45.8674661,-67.9900289 -45.8678098,-67.9882801 -45.8686838,-67.9882801 -45.8691246,-67.9875398 -45.8692665,-67.98621539 -45.86906201,,-67.98595749 -45.86942688,-67.9875398 -45.8692665,-67.988205 -45.8691993,-67.9883659 -45.8686465,-67.9866493 -45.8686017,-67.9853296 -45.8685195,-67.9839349 -45.868766,-67.9830122 -45.8690947,-67.9832804 -45.8686614,-67.9841065 -45.8682057,-67.98364252 -45.86827111,-67.9807377 -45.8716645,-67.9809952 -45.8709175,-67.9819071 -45.8698567,-67.9830122 -45.8690947,-67.9832804 -45.8686614,-67.9840744 -45.8683402,-67.97987219 -45.87199291,-67.9799759 -45.8737337,-67.9795146 -45.8726879,-67.9809093 -45.8709474,-67.980845 -45.8716421,-67.97905112 -45.87422359,-67.9800725 -45.873800900000006,-67.9795146 -45.8726879,-67.9796112 -45.8723816,-67.9792464 -45.872165,-67.9787529 -45.8722173,-67.9783773 -45.8729942,-67.9778409 -45.873195900000006,-67.9771113 -45.8730315,-67.97564136 -45.8729339,-67.977519 -45.8745479,-67.9775083 -45.8737262,-67.9769719 -45.8730166,-67.97664473 -45.87540708,-67.9752553 -45.8766842,-67.977401 -45.8762211,-67.9776049 -45.8757953,-67.9775298 -45.8753995,-67.97335438 -45.87681514,-67.9752016 -45.8765946,-67.9770792 -45.8757132,-67.974987 -45.875578700000005,-67.9743862 -45.87520520000001,-67.97291164 -45.87520301,-67.9725409 -45.8757132,-67.9730666 -45.8750185,-67.9739141 -45.8748392,-67.97095233 -45.87590105;-67.97095233 -45.87590105,-67.9725409 -45.8757132,-67.9730666 -45.8750185,-67.9739141 -45.8748392,-67.97291164 -45.87520301,-67.9752016 -45.8765946,-67.9770792 -45.8757132,-67.974987 -45.875578700000005,-67.9743862 -45.87520520000001,-67.97335438 -45.87681514,-67.9752553 -45.8766842,-67.977401 -45.8762211,-67.9776049 -45.8757953,-67.9775298 -45.8753995,-67.97664473 -45.87540708,-67.977519 -45.8745479,-67.9775083 -45.8737262,-67.9769719 -45.8730166,-67.97564136 -45.8729339,-67.9800725 -45.873800900000006,-67.9795146 -45.8726879,-67.9796112 -45.8723816,-67.9792464 -45.872165,-67.9787529 -45.8722173,-67.9783773 -45.8729942,-67.9778409 -45.873195900000006,-67.9771113 -45.8730315,-67.97905112 -45.87422359,-67.9801047 -45.8737412,-67.9795146 -45.8726879,-67.9791605 -45.8735694,-67.9792249 -45.8748467,-67.9793966 -45.8748467,-67.9797721 -45.8758476,-67.9800725 -45.876012,-67.97932522 -45.87631183,-67.9764569 -45.8790072,-67.9757595 -45.8787084,-67.9756951 -45.8784321,-67.9790318 -45.877588,-67.9792678 -45.8765199,-67.9792786 -45.8747272,-67.9798257 -45.8760045,-67.9801154 -45.8760643,-67.9757414 -45.87911165,-67.9764569 -45.8790072,-67.9757595 -45.8787084,-67.9755771 -45.8785142,-67.9742253 -45.8787756,-67.974236 -45.878222900000004,-67.97210325 -45.8786421,-67.9739785 -45.8781632,-67.9745579 -45.8782677,-67.9740644 -45.8788802,-67.9710174 -45.8792537,-67.96993071 -45.87922522,-67.9708028 -45.8792686,-67.9686999 -45.8795524,-67.9682064 -45.8792238,-67.96661757 -45.87943084,-67.967391 -45.8796271,-67.9660606 -45.879657,-67.9619408 -45.879179,-67.959795 -45.8789997,-67.9602242 -45.8794852,-67.95937836 -45.87978501,-67.9538298 -45.8776104,-67.9575419 -45.8788205,-67.9596341 -45.8789624,-67.9602242 -45.8794852,-67.95259842 -45.87763583,-67.9521346 -45.8759746,-67.9517162 -45.8759074,-67.9513943 -45.8758999,-67.9525959 -45.87702780000001,-67.95337920000001 -45.8774162,-67.95155064 -45.87647635,-67.9521346 -45.8759746,-67.951448 -45.8759597,-67.9509008 -45.8738383,-67.94983615 -45.87396079,-67.9508579 -45.8736739,-67.9509115 -45.8721426,-67.94974928 -45.87213834,-67.9510081 -45.87218,-67.9515123 -45.8715599,-67.9518449 -45.870925,-67.95082673 -45.87123588,-67.9518449 -45.870925,-67.9516733 -45.8706037,-67.9509866 -45.870275,-67.95089010000001 -45.8697222,-67.9517484 -45.8700734,-67.9526281 -45.8699912,-67.95188123 -45.87007275,-67.9526013 -45.869965,-67.9517484 -45.8700734,-67.9508901 -45.8697222,-67.9511476 -45.8693039,-67.95011093 -45.86936834,-67.9511476 -45.8693039,-67.95089010000001 -45.8697222,-67.9506433 -45.8681011,-67.9512978 -45.867892,-67.95075242 -45.86791677,-67.9513514 -45.867951700000006,-67.9506004 -45.8681534,-67.9493558 -45.8665622,-67.9490876 -45.8664576,-67.9492164 -45.8668461,-67.94827454 -45.86749255,-67.949152 -45.8670029,-67.9489589 -45.866338,-67.9464805 -45.8656358,-67.946502 -45.8652099,-67.94551194 -45.86495899,,-67.9454304 -45.86503525,-67.9452038 -45.8642219,-67.9464403 -45.8647635,-67.9400271 -45.8665472</t>
  </si>
  <si>
    <t>-67.9400271 -45.8665472,-67.9383588 -45.8674437,-67.9380101 -45.8666929,-67.9392922 -45.8661064,-67.93822649 -45.86645361,,-67.93820898 -45.86621382,-67.939437 -45.8659907,-67.9410034 -45.8642985,-67.9397787 -45.86446671,-67.9413575 -45.8643508,-67.94191 -45.8638801,-67.9413092 -45.8637717,-67.94026881 -45.86394522,-67.9412395 -45.8636896,-67.94085860000001 -45.8628677,-67.94016816 -45.86304785,-67.9407942 -45.8630844,-67.9403758 -45.8621878,-67.9386914 -45.8624792,-67.93749455 -45.86270022,-67.9389811 -45.8623559,-67.9389596 -45.8618329,-67.9381979 -45.8610783,-67.9390669 -45.8607794,-67.93809539 -45.86091501,-67.9388309 -45.8607794,-67.938112 -45.8611007,-67.9377472 -45.860899,-67.9362881 -45.8614743,-67.9374897 -45.8619749,-67.93652197 -45.86222667,-67.9375219 -45.8620421,-67.9357517 -45.861085800000005,-67.9346144 -45.8614519,-67.93332777 -45.86169272,-67.9343569 -45.8614145,-67.9335523 -45.861549,-67.9334021 -45.8611381,-67.9309666 -45.8609214,-67.92973166 -45.86112334,-67.9307091 -45.86097370000001,-67.9287457 -45.8609588,-67.9288423 -45.860757,-67.92827234 -45.86082887,-67.9288423 -45.860757,-67.9286063 -45.8609812,-67.9269433 -45.8608168,-67.9254305 -45.8610559,-67.9256237 -45.8606898,-67.92472033 -45.86078317,-67.9253769 -45.8604208,-67.9236388 -45.8595317,-67.9233384 -45.8597857,-67.92204432 -45.86025045,-67.9235315 -45.8601219,-67.9222655 -45.8604731,-67.92116295 -45.86077528,-67.9219651 -45.8610335,-67.9157424 -45.8609887,-67.91412974 -45.86109479,-67.9153347 -45.8605702,-67.9157317 -45.8599725,-67.9146159 -45.859457,-67.91347499 -45.85938782,-67.9145408 -45.8594047,-67.9124916 -45.858777,-67.9112792 -45.8592776,-67.91058213 -45.85962973,-67.9112792 -45.8592776,-67.9102921 -45.8588293,-67.9105067 -45.8586425,-67.90964669 -45.85881191,-67.9102653 -45.8586986,-67.9081625 -45.8581195,-67.90707943 -45.8582017,-67.90773330000002 -45.8580522,-67.9073417 -45.8579177,-67.9068965 -45.8568567,-67.9053408 -45.8563822,-67.90400196 -45.85653031,-67.904284 -45.8564084,-67.9033184 -45.8552726,-67.9019022 -45.8551232,-67.90067511 -45.8549717,,-67.90022567 -45.85540767,-67.9008508 -45.8548093,-67.8990161 -45.8545403,-67.898823 -45.8538678,-67.8965485 -45.8545553,-67.89483427 -45.85484841,-67.887429 -45.855564,-67.8894138 -45.853808,-67.8932333 -45.8533447,-67.8969455 -45.8545851,-67.8963768 -45.8546599,-67.88581092 -45.85597227,-67.887429 -45.855564,-67.8882551 -45.8548691,-67.8894138 -45.853808,-67.8920853 -45.8535689,-67.8916454 -45.8538678,-67.8897357 -45.85395,-67.88910 -45.85436,-67.8875685 -45.8562589,-67.885799 -45.8571033,-67.88544 -45.8578281,-67.88523 -45.85794,-67.88402968 -45.85834964,-67.8814316 -45.8592926,-67.8808415 -45.8591357,-67.880863 -45.8587322,-67.8817642 -45.858239,-67.8850043 -45.8580522,-67.88077392 -45.85953999,-67.8790283 -45.8588293,-67.880466 -45.8587397,-67.8813028 -45.8593598,-67.87771797 -45.85914466,-67.875917 -45.8590236,-67.8765607 -45.8587098,-67.8784597 -45.8588443,-67.87446619 -45.85953534,-67.8758311 -45.8590012,-67.8755307 -45.858777,-67.8718829 -45.8588144,-67.8721619 -45.8576637,-67.8733528 -45.857462,-67.8739536 -45.8579028,-67.87227986 -45.85836679,-67.8721619 -45.8576637,-67.8734279 -45.8573798,-67.8740823 -45.8579103,-67.87029294 -45.85782787,-67.8694689 -45.8577534,-67.8703272 -45.8578879,-67.8705525 -45.8574694,-67.8710139 -45.8575441,-67.86752908 -45.85773082,-67.8666365 -45.8577982,-67.8680527 -45.857716,-67.86509618 -45.85797591,-67.8655958 -45.85783560000001,-67.8642118 -45.8570435,-67.86269634 -45.8576934,-67.8630531 -45.8577608,-67.8618944 -45.8580074,-67.86119926 -45.8582863,-67.8617334 -45.8580597,-67.8595233 -45.8583362,-67.85800456 -45.85865306,-67.8602314 -45.85924030000001,-67.8568411 -45.8591506,-67.8585362 -45.8586425,-67.85979998 -45.85959279,-67.8623772 -45.8601145,-67.8619158 -45.8597185,-67.86181930000001 -45.8591954,-67.8608966 -45.8592179,-67.8613425 -45.86055445,-67.8623772 -45.8601145,-67.8618085 -45.8597185,-67.8601241 -45.8605852,-67.85862453 -45.86123384,-67.860285 -45.8606225,-67.8606606 -45.8601892,-67.8585577 -45.86128,-67.8585577 -45.8624232,-67.85692916 -45.86285007;-67.85692916 -45.86285007,-67.860285 -45.8606225,-67.8606606 -45.8601892,-67.8585577 -45.86128,-67.8585577 -45.8624232,-67.85862453 -45.86123384,-67.8623772 -45.8601145,-67.8618085 -45.8597185,-67.8601241 -45.8605852,-67.8613425 -45.86055445,-67.8623772 -45.8601145,-67.8619158 -45.8597185,-67.86181930000001 -45.8591954,-67.8608966 -45.8592179,-67.85979998 -45.85959279,-67.8602314 -45.85924030000001,-67.8568411 -45.8591506,-67.8585362 -45.8586425,-67.85800456 -45.85865306,-67.8617334 -45.8580597,-67.8595233 -45.8583362,-67.86119926 -45.8582863,-67.8630531 -45.8577608,-67.8618944 -45.8580074,-67.86269634 -45.8576934,-67.8655958 -45.85783560000001,-67.8642118 -45.8570435,-67.86509618 -45.85797591,-67.8666365 -45.8577982,-67.8680527 -45.857716,-67.86752908 -45.85773082,-67.8694689 -45.8577534,-67.8703272 -45.8578879,-67.8705525 -45.8574694,-67.8710139 -45.8575441,-67.87029294 -45.85782787,-67.8721619 -45.8576637,-67.8734279 -45.8573798,-67.8740823 -45.8579103,-67.87227986 -45.85836679,-67.8758311 -45.8590012,-67.8755307 -45.858777,-67.8718829 -45.8588144,-67.8721619 -45.8576637,-67.8733528 -45.857462,-67.8739536 -45.8579028,-67.87446619 -45.85953534,-67.875917 -45.8590236,-67.8765607 -45.8587098,-67.8784597 -45.8588443,-67.87771797 -45.85914466,-67.8790283 -45.8588293,-67.880466 -45.8587397,-67.8813028 -45.8593598,-67.88077392 -45.85953999,-67.8814316 -45.8592926,-67.8808415 -45.8591357,-67.880863 -45.8587322,-67.8817642 -45.858239,-67.8850043 -45.8580522,-67.88402968 -45.85834964,-67.887429 -45.855564,-67.8882551 -45.8548691,-67.8894138 -45.853808,-67.8920853 -45.8535689,-67.8916454 -45.8538678,-67.8897357 -45.85395,-67.88910 -45.85436,-67.8875685 -45.8562589,-67.885799 -45.8571033,-67.88544 -45.8578281,-67.88523 -45.85794,-67.88581092 -45.85597227,-67.887429 -45.855564,-67.8894138 -45.853808,-67.8932333 -45.8533447,-67.8969455 -45.8545851,-67.8963768 -45.8546599,-67.89483427 -45.85484841,-67.9008508 -45.8548093,-67.8990161 -45.8545403,-67.898823 -45.8538678,-67.8965485 -45.8545553,-67.90022567 -45.85540767,,-67.90067511 -45.8549717,-67.904284 -45.8564084,-67.9033184 -45.8552726,-67.9019022 -45.8551232,-67.90400196 -45.85653031,-67.90773330000002 -45.8580522,-67.9073417 -45.8579177,-67.9068965 -45.8568567,-67.9053408 -45.8563822,-67.90707943 -45.8582017,-67.9102653 -45.8586986,-67.9081625 -45.8581195,-67.90964669 -45.85881191,-67.9112792 -45.8592776,-67.9102921 -45.8588293,-67.9105067 -45.8586425,-67.91058213 -45.85962973,-67.9145408 -45.8594047,-67.9124916 -45.858777,-67.9112792 -45.8592776,-67.91347499 -45.85938782,-67.9153347 -45.8605702,-67.9157317 -45.8599725,-67.9146159 -45.859457,-67.91412974 -45.86109479,-67.9219651 -45.8610335,-67.9157424 -45.8609887,-67.92116295 -45.86077528,-67.9235315 -45.8601219,-67.9222655 -45.8604731,-67.92204432 -45.86025045,-67.9237354 -45.8596662,-67.922287 -45.8586052,-67.9212356 -45.8589414,-67.92001872 -45.85910034,-67.9202163 -45.858963800000005,-67.9188108 -45.8570659,-67.918371 -45.8571108,-67.91707962 -45.85731555,-67.9179096 -45.8569314,-67.917974 -45.8555117,-67.9220295 -45.8569464,-67.92158978 -45.85720014,-67.9236388 -45.8571407,-67.9227161 -45.8570659,-67.92272998 -45.85731085;-67.92272998 -45.85731085,-67.9283702 -45.8576637,-67.9275548 -45.8572154,-67.9269218 -45.8575143,-67.9259026 -45.8575367,-67.9241967 -45.8567969,-67.92745639 -45.85783394,-67.9284239 -45.8577608,-67.9278553 -45.858792,-67.9272817 -45.85903741;-67.9272817 -45.85903741,-67.9288638 -45.8589265,-67.9306984 -45.8588144,-67.92996431 -45.85892348,-67.9338741 -45.8553324,-67.9329085 -45.85672970000001,-67.9318249 -45.8585902,-67.9328218 -45.85546946,-67.9352367 -45.8546599,-67.9346144 -45.8547794,-67.9340136 -45.8552128,-67.93449161 -45.85473418,-67.9390132 -45.8553324,-67.9377794 -45.8546898,-67.9357088 -45.8545104,-67.93784211 -45.85566073,-67.9418778 -45.8559601,-67.9390132 -45.8553324,-67.94127839 -45.85682198,-67.9455793 -45.8575815,-67.9449892 -45.8573947,-67.9450321 -45.8569464,-67.9437447 -45.8569987,-67.9429507 -45.8566475,-67.94451337 -45.85788474,-67.95038580000002 -45.8584109,-67.9492486 -45.8582839,-67.9486799 -45.8563934,-67.9455793 -45.8575815,-67.94942594 -45.85854239,-67.9494631 -45.8607197,-67.9496992 -45.8604582,-67.9489589 -45.8596363,-67.9496777 -45.8591282,-67.9500318 -45.8586351,-67.9503858 -45.8584632,-67.94780419 -45.86081977,-67.9479718 -45.8615453,-67.9493934 -45.8606973,-67.9489589 -45.8606599,-67.94655091 -45.86160389,-67.9483044 -45.861911400000004,-67.9473495 -45.8614183,-67.94727301 -45.86217176,-67.9469097 -45.8620944,-67.9481596 -45.8620048,-67.94569946 -45.86221924,-67.9427254 -45.8635364,-67.9464859 -45.8623447,-67.9469097 -45.862016,-67.9400271 -45.8665472</t>
  </si>
  <si>
    <t>-67.9400271 -45.8665472,-67.9427254 -45.8635364,-67.9464859 -45.8623447,-67.9469097 -45.862016,-67.94569946 -45.86221924,-67.9469097 -45.8620944,-67.9481596 -45.8620048,-67.94727301 -45.86217176,-67.9483044 -45.861911400000004,-67.9473495 -45.8614183,-67.94655091 -45.86160389,-67.9477841 -45.861549,-67.9509008 -45.8613996,-67.94986397 -45.86139841;-67.94986397 -45.86139841,-67.9477841 -45.861549,-67.9509008 -45.8613996,-67.94655091 -45.86160389,-67.9483044 -45.861911400000004,-67.9473495 -45.8614183,-67.94727301 -45.86217176,-67.9469097 -45.8620944,-67.9481596 -45.8620048,-67.94569946 -45.86221924,-67.9427254 -45.8635364,-67.9464859 -45.8623447,-67.9469097 -45.862016,-67.9400271 -45.8665472,-67.9383588 -45.8674437,-67.9380101 -45.8666929,-67.9392922 -45.8661064,-67.93822649 -45.86645361,,-67.93820898 -45.86621382,-67.939437 -45.8659907,-67.9410034 -45.8642985,-67.9397787 -45.86446671,-67.9413575 -45.8643508,-67.94191 -45.8638801,-67.9413092 -45.8637717,-67.94026881 -45.86394522,-67.9412395 -45.8636896,-67.94085860000001 -45.8628677,-67.94016816 -45.86304785,-67.9407513 -45.863103100000004,-67.9403973 -45.8622551,-67.93757020000001 -45.8636746,-67.93638614 -45.8639203,-67.9374468 -45.8637643,-67.93648120000002 -45.8648999,-67.93542287 -45.86514387,-67.9364544 -45.8650082,-67.9343033 -45.8651128,-67.93322311 -45.86539389,-67.934196 -45.8650755,-67.9339492 -45.8648887,-67.9318678 -45.8652174,-67.93025624 -45.86524613,-67.92887450000002 -45.8655984,-67.929647 -45.8660093,-67.9311919 -45.8652622,-67.92761571 -45.86576064,-67.9284239 -45.8655835,-67.9270077 -45.8655162,-67.92568273 -45.86555172,,-67.92617947 -45.86596757,-67.9266429 -45.8657927,-67.9259992 -45.8665696,-67.92478129 -45.86687146,-67.9258382 -45.86658460000001,-67.9220402 -45.8663903,-67.92069068 -45.86664171,-67.9224908 -45.8663306,-67.9191971 -45.8656582,-67.91774956 -45.8661538,-67.9187572 -45.8661064,-67.9176843 -45.8663679,-67.9172981 -45.8656657,-67.91575239 -45.86551598,-67.9164934 -45.8652398,-67.9147875 -45.8642536,-67.9133606 -45.865322,-67.9120409 -45.8651352,-67.91093971 -45.86527418,-67.9122448 -45.8649709,-67.911129 -45.8644105,-67.9103887 -45.8645226,-67.90917641 -45.86476613,-67.9100668 -45.8647318,-67.9098523 -45.8659197,-67.9103565 -45.8661513,-67.90947109 -45.86641003,-67.9100454 -45.8663754,-67.9094982 -45.8663306,-67.909627 -45.86429100000001,-67.90869072 -45.86438156,-67.9108179 -45.86391,-67.9094768 -45.8638353,-67.9077816 -45.8657329,-67.9066443 -45.8662484,-67.90565529 -45.8665856,-67.906419 -45.86626330000001,-67.9050887 -45.8652025,-67.9043591 -45.864814,-67.90314798 -45.8648888,-67.9039943 -45.8644255,-67.9028034 -45.8637381,-67.8999174 -45.8635812,-67.89867893 -45.86374335,-67.8993487 -45.8636634,-67.8988981 -45.8636933,-67.89861920000001 -45.8635215,-67.8975525 -45.86346654,,-67.89779792 -45.86312838,-67.8962696 -45.8632899,-67.8974175 -45.8625203,-67.8984583 -45.8622177,-67.8946526 -45.86372426,-67.8961945 -45.8632674,-67.8952932 -45.8629985,-67.8948426 -45.8620347,-67.89369378 -45.862107,-67.8961086 -45.8601668,-67.8949714 -45.8618927,-67.89506126 -45.86022417,-67.8960952 -45.8598436,-67.8959692 -45.8585678,-67.8961945 -45.8583138,-67.8955936 -45.8581419,-67.8949177 -45.8572976,-67.8950787 -45.8562589,-67.894907 -45.8558629,-67.8937376 -45.8558928,-67.8932869 -45.8566101,-67.8928149 -45.8568492,-67.8926003 -45.8566998,-67.89119881 -45.85678635,-67.8915596 -45.8569165,-67.8910661 -45.8570435,-67.8905296 -45.8572453,-67.8862917 -45.8600846,-67.8869355 -45.8600547,-67.8873861 -45.8596438,-67.8876221 -45.8588667,-67.8886843 -45.8579999,-67.88485253 -45.86038085,-67.8855836 -45.8605329,-67.8847253 -45.8611754,-67.8843284 -45.8612427,-67.88286864 -45.86153258,-67.8809917 -45.8619301,-67.8822792 -45.8616611,-67.8835666 -45.8617507,-67.8845859 -45.8612277,-67.8843284 -45.8612427,-67.87889297 -45.8626014,-67.8800154 -45.8627071,-67.880863 -45.8635887,-67.8814101 -45.8638502,-67.881496 -45.8643508,-67.8795862 -45.8651352,-67.87816911 -45.86559299,-67.8794253 -45.8652025,-67.8813779 -45.8643508,-67.8805947 -45.8648065,-67.8801227 -45.8652622,-67.8801119 -45.8658151,-67.8798544 -45.8661513,-67.87841593 -45.86693979,-67.8773224 -45.8682132,-67.8784168 -45.867951700000006,-67.8792751 -45.866988,-67.87529512 -45.86884053,-67.8755951 -45.8690125,-67.8751016 -45.8692815,-67.8764427 -45.8695952,-67.87545792 -45.87007243,-67.8735942 -45.8680488,-67.8724301 -45.8682281,-67.8724086 -45.8686689,-67.8764427 -45.8695952,-67.8729107 -45.86822856,-67.8699839 -45.8693413,-67.8700376 -45.8699389,-67.8703916 -45.8701929,-67.8709173 -45.8699239,-67.8707349 -45.8692815,-67.8712177 -45.8686166,-67.8731596 -45.8681236,-67.86891343 -45.86940172,-67.8665292 -45.8704394,-67.8664756 -45.8701107,-67.8674197 -45.8697073,-67.8698659 -45.8700883,-67.8700376 -45.8699389,-67.8700268 -45.8692964,-67.86552841 -45.87071955,-67.8665292 -45.8705589,-67.866143 -45.8710594,-67.8657889 -45.8704767,-67.8668725 -45.8688706,-67.86653014 -45.86909111,-67.8668725 -45.8688706,-67.8667974 -45.868646500000004,-67.8676665 -45.8677127,-67.867012 -45.86727940000001,-67.86635342 -45.86702056,-67.8668189 -45.8667639,-67.8664005 -45.866988,-67.8663254 -45.8676305,-67.86498939 -45.86808329,-67.8639972 -45.8691171,-67.8657031 -45.8680713,-67.86235431 -45.86962035,-67.8593409 -45.8716048,-67.85971640000001 -45.8705365,-67.8614008 -45.870529,-67.861948 -45.8698268,-67.8630531 -45.8694832,-67.85882935 -45.87179542,-67.857635 -45.8744807,-67.8541696 -45.874152,-67.8588581 -45.8727103,-67.8593409 -45.8716048,-67.857019 -45.87438052,-67.84873010000001 -45.87312860000001,-67.8543305 -45.8741595,-67.857635 -45.8744807,-67.84711722 -45.87310355,-67.8489339 -45.8731324,-67.8501302 -45.8733565,-67.8485316 -45.8736739,-67.8459191 -45.8729942,-67.84549 -45.8723406,-67.8449106 -45.8726842,-67.84336962 -45.87289033,-67.8464448 -45.8713396,-67.8465736 -45.871657000000006,-67.84484620000002 -45.8726692,-67.84458226 -45.87132178,-67.8433174 -45.8702414,-67.8424054 -45.8705701,-67.8442401 -45.8712014,-67.8457582 -45.8705029,-67.8468794 -45.8714778,-67.8465736 -45.871657000000006,-67.8464073 -45.8713396,-67.84266503 -45.8702826,-67.8403401 -45.8715002,-67.8396213 -45.8713059,-67.8401256 -45.8706859,-67.8424323 -45.8705216,-67.8432369 -45.8702153,-67.83999726 -45.87142467,-67.8404045 -45.871440400000004,-67.8396642 -45.8713657,-67.8393745 -45.8705216,-67.8371751 -45.8699314,-67.8344822 -45.8697969,-67.8345251 -45.8700584,-67.8363597 -45.8707606,-67.83598551 -45.8713908,-67.8363276 -45.8710445,-67.8348899 -45.87091,-67.8336024 -45.8710221,-67.83204724 -45.87132308,-67.8347504 -45.8724041,-67.8345788 -45.8717915,-67.8335381 -45.8712686,-67.8339131 -45.87269245,-67.8368962 -45.8743761,-67.8363168 -45.8740101,-67.8365743 -45.8734723,-67.8358126 -45.8726879,-67.8366923 -45.875026,-67.8369284 -45.8751679,-67.8384304 -45.875317300000006,-67.83709911 -45.87528907,-67.8404582 -45.876744,-67.8387737 -45.8754144,-67.83972408 -45.87683377,-67.8388381 -45.8793059,-67.8380656 -45.8795375,-67.8406405 -45.8772519,-67.8405118 -45.8769083,-67.8383257 -45.87925524,-67.8388596 -45.8793582,-67.8365421 -45.8801649,-67.8342998 -45.88042630000001,-67.8343749 -45.8798736,-67.83402097 -45.87975218,-67.8344929 -45.8798512,-67.834214 -45.88047110000001,-67.8320682 -45.880613,-67.8315103 -45.8803068,-67.83022822 -45.88021021,-67.8307486 -45.8796794,-67.8301477 -45.8783872,-67.8277981 -45.8770353,-67.8279376 -45.8756833,-67.8294718 -45.8754816,-67.8314137 -45.8757431,-67.83082337 -45.87570095;-67.83082337 -45.87570095,-67.8307486 -45.8796794,-67.8301477 -45.8783872,-67.8277981 -45.8770353,-67.8279376 -45.8756833,-67.8294718 -45.8754816,-67.8314137 -45.8757431,-67.83022822 -45.88021021,-67.8344929 -45.8798512,-67.834214 -45.88047110000001,-67.8320682 -45.880613,-67.8315103 -45.8803068,-67.83402097 -45.87975218,-67.8388596 -45.8793582,-67.8365421 -45.8801649,-67.8342998 -45.88042630000001,-67.8343749 -45.8798736,-67.8383257 -45.87925524,-67.8388381 -45.8793059,-67.8380656 -45.8795375,-67.8406405 -45.8772519,-67.8405118 -45.8769083,-67.83972408 -45.87683377,-67.8404582 -45.876744,-67.8387737 -45.8754144,-67.83709911 -45.87528907,-67.8369284 -45.8751679,-67.8384304 -45.875317300000006,-67.8366923 -45.875026,-67.8368962 -45.8743761,-67.8363168 -45.8740101,-67.8365743 -45.8734723,-67.8358126 -45.8726879,-67.8339131 -45.87269245,-67.8347504 -45.8724041,-67.8345788 -45.8717915,-67.8335381 -45.8712686,-67.83204724 -45.87132308,-67.8363276 -45.8710445,-67.8348899 -45.87091,-67.8336024 -45.8710221,-67.83598551 -45.8713908,-67.8404045 -45.871440400000004,-67.8396642 -45.8713657,-67.8393745 -45.8705216,-67.8371751 -45.8699314,-67.8344822 -45.8697969,-67.8345251 -45.8700584,-67.8363597 -45.8707606,-67.83999726 -45.87142467,-67.8403401 -45.8715002,-67.8396213 -45.8713059,-67.8401256 -45.8706859,-67.8424323 -45.8705216,-67.8432369 -45.8702153,-67.84266503 -45.8702826,-67.8433174 -45.8702414,-67.8424054 -45.8705701,-67.8442401 -45.8712014,-67.8457582 -45.8705029,-67.8468794 -45.8714778,-67.8465736 -45.871657000000006,-67.8464073 -45.8713396,-67.84458226 -45.87132178,-67.8464448 -45.8713396,-67.8465736 -45.871657000000006,-67.84484620000002 -45.8726692,-67.84336962 -45.87289033,-67.8489339 -45.8731324,-67.8501302 -45.8733565,-67.8485316 -45.8736739,-67.8459191 -45.8729942,-67.84549 -45.8723406,-67.8449106 -45.8726842,-67.84711722 -45.87310355,-67.847904 -45.8759074,-67.8490949 -45.8742491,-67.8510368 -45.8734349,-67.8488266 -45.8731585,-67.84644226 -45.87649326,-67.847904 -45.8759074,-67.8480005 -45.8756161,-67.8463054 -45.8747421,-67.84474086 -45.87514762;-67.84474086 -45.87514762,-67.847904 -45.8759074,-67.8480005 -45.8756161,-67.8463054 -45.8747421,-67.84644226 -45.87649326,-67.8467667 -45.8780212,-67.846477 -45.87698300000001,-67.8477967 -45.8764751,-67.84627973 -45.87829114,-67.8467989 -45.878081,-67.8463697 -45.8770502,-67.8443956 -45.8768859,-67.84286672 -45.87711998,-67.842561 -45.8794628,-67.8420246 -45.8792462,-67.8431511 -45.8775283,-67.8462946 -45.877095,-67.8445137 -45.8768261,-67.84221298 -45.87973382,-67.8455973 -45.8806504,-67.8449214 -45.8812852,-67.8420246 -45.8795972,-67.8425181 -45.87953,-67.84518194 -45.88032275,-67.8494382 -45.880628,-67.84873010000001 -45.8802396,-67.8461766 -45.8806653,-67.8457046 -45.880515900000006,-67.8485758 -45.88086765,-67.8556287 -45.8843698,-67.853719 -45.8831001,-67.8518629 -45.8825923,-67.8500605 -45.8812329,-67.85493998 -45.88481908;-67.85493998 -45.88481908,-67.8571093 -45.8855572,-67.8559184 -45.8854378,-67.8555107 -45.884698400000005,-67.85655105 -45.88556448,-67.85825730000002 -45.8853855,-67.85964130000002 -45.8854228,-67.85908094 -45.88593849,-67.8614116 -45.8855274,-67.862978 -45.884788,-67.8635466 -45.8831599,-67.8632355 -45.8817483,-67.86391140000002 -45.8815093,-67.8628063 -45.8810537,-67.8623772 -45.8814346,-67.86071597 -45.88116865,-67.8685462 -45.8831151,-67.8700483 -45.8829059,-67.8648233 -45.8818603,-67.8628063 -45.8810537,-67.8621304 -45.8814645,-67.86703039 -45.88312685,-67.8737283 -45.8829508,-67.8736854 -45.8833242,-67.8730094 -45.8829134,-67.8686643 -45.8830254,-67.87263059 -45.88283868,-67.8738034 -45.8829806,-67.8739858 -45.8834512,-67.87655 -45.8844445,-67.8765929 -45.8840262,-67.8758872 -45.88413516,-67.8775907 -45.885744,-67.8778374 -45.8851241,-67.8766251 -45.8844594,-67.8767002 -45.8840561,-67.87630061 -45.88642699,,-67.87597578 -45.88674947,-67.8775477 -45.8859232,-67.87784810000001 -45.8854153,-67.8789425 -45.8862742,-67.879554 -45.8862667,-67.8829443 -45.8844743,-67.8806055 -45.8848253,-67.87931365 -45.88515467,-67.8808522 -45.8847432,-67.8831053 -45.8843548,-67.884897 -45.8834586,-67.8876114 -45.88378720000001,-67.8901434 -45.8835856,-67.88934482 -45.88367092,-67.8863347 -45.8849448,-67.8869569 -45.8849672,-67.8874826 -45.883847,-67.8903258 -45.883570600000006,-67.88477851 -45.88530377,-67.8877938 -45.885251,-67.8862166 -45.8849523,-67.88725199 -45.88498287,-67.8916669 -45.8851316,-67.891463 -45.8853332,-67.8890061 -45.8855946,-67.8886521 -45.8849672,-67.88986813 -45.88509226,-67.895658 -45.88465360000001,-67.8955078 -45.8872675,-67.89402720000001 -45.888186,-67.89313670000001 -45.8879097,-67.8935552 -45.8866999,-67.891624 -45.8850718,-67.89478887 -45.88442779,-67.896452 -45.8842129,-67.8972995 -45.8841607,-67.8987801 -45.8833839,-67.8993165 -45.8836304,-67.89811074 -45.88424629,-67.90316820000001 -45.883637900000004,-67.9026854 -45.8831823,-67.9021275 -45.8832794,-67.900722 -45.8842279,-67.9001105 -45.8851465,-67.8995955 -45.8843175,-67.90293219 -45.8836944,-67.9039729 -45.8871629,-67.9034686 -45.8869165,-67.9041123 -45.886192,-67.9042947 -45.8847656,-67.90316820000001 -45.883637900000004,-67.90362098 -45.8874036,-67.9052818 -45.8875736,-67.90654780000001 -45.8882084,-67.9074919 -45.8882756,-67.90705336 -45.88840606,-67.9066443 -45.8844071,-67.9062474 -45.8852585,-67.908833 -45.885968,-67.9091012 -45.8864012,-67.90594775 -45.88423937,,-67.90591516 -45.88446218,-67.9076958 -45.8841084,-67.9082644 -45.8839366,-67.9093373 -45.8833167,-67.9103136 -45.8831972,-67.90970498 -45.88326091,-67.911365 -45.8831076,-67.9142618 -45.8826968,-67.9159892 -45.8825026,-67.91541483 -45.88231338,-67.9166651 -45.8823159,-67.9170835 -45.8822711,-67.9178345 -45.8833989,-67.9184783 -45.8832943,-67.91747464 -45.88372353,-67.9183173 -45.8833018,-67.9179525 -45.8832943,-67.9178452 -45.8829358,-67.9186606 -45.8819873,-67.9191113 -45.8815466,-67.9197979 -45.8813898,-67.91930941 -45.88137118,-67.9231775 -45.8798138,-67.9230273 -45.8801051,-67.9220295 -45.8802022,-67.9198301 -45.8807027,-67.9191542 -45.8814645,-67.9198301 -45.8813375,-67.92260289 -45.87981886,-67.9288745 -45.8790371,-67.9299045 -45.8786188,-67.929765 -45.8784918,-67.9247224 -45.8798512,-67.9241753 -45.8796943,-67.92746283 -45.879252,-67.9288745 -45.8790371,-67.9299796 -45.8786337,-67.9304302 -45.8776552,-67.9309022 -45.8766245,-67.9306126 -45.8766543,-67.92916705 -45.87686758,-67.9305589 -45.8765722,-67.9309773 -45.8765423,-67.9323184 -45.875011,-67.9336917 -45.8726132,-67.93292309 -45.87290945,-67.9337347 -45.872531,-67.9350007 -45.8704245,-67.9346895 -45.8701032,-67.933282 -45.87018527,-67.936492 -45.8696625,-67.9362881 -45.8694234,-67.9350436 -45.8703273,-67.9347003 -45.8699986,-67.93551008 -45.87004015,-67.9383588 -45.8674437,-67.9380584 -45.8682655,-67.9363847 -45.8693786,-67.9365671 -45.8696326,-67.9400271 -45.8665472</t>
  </si>
  <si>
    <t>-67.9400271 -45.8665472,-67.9383588 -45.8674437,-67.9380584 -45.8682655,-67.9363847 -45.8693786,-67.9365671 -45.8696326,-67.93551008 -45.87004015,,-67.93504928 -45.86995948,,-67.93505 -45.86998225;-67.93505 -45.86998225,,-67.93504928 -45.86995948,,-67.93551008 -45.87004015,-67.936492 -45.8696625,-67.9362881 -45.8694234,-67.9350436 -45.8703273,-67.9347003 -45.8699986,-67.933282 -45.87018527,-67.9337347 -45.872531,-67.9350007 -45.8704245,-67.9346895 -45.8701032,-67.93292309 -45.87290945,-67.9305589 -45.8765722,-67.9309773 -45.8765423,-67.9323184 -45.875011,-67.9336917 -45.8726132,-67.92916705 -45.87686758,-67.9288745 -45.8790371,-67.9299796 -45.8786337,-67.9304302 -45.8776552,-67.9309022 -45.8766245,-67.9306126 -45.8766543,-67.92746283 -45.879252,-67.9288745 -45.8790371,-67.9299796 -45.8786337,-67.9308271 -45.8793582,-67.9310632 -45.8796271,-67.9308057 -45.8796645,-67.92926139 -45.87980166,-67.9308057 -45.8796645,-67.9309773 -45.8795823,-67.9308271 -45.8793582,-67.9319429 -45.8795524,-67.9332089 -45.8799333,-67.9339921 -45.8795524,-67.9349685 -45.8793358,-67.935698 -45.8793209,-67.93512028 -45.8793768,-67.9364383 -45.8791566,-67.9368889 -45.8790371,-67.9370821 -45.878798,-67.939657 -45.8787906,-67.9398179 -45.8784246,-67.93938002 -45.87863178,-67.9433799 -45.8793582,-67.9425859 -45.8792462,-67.9414809 -45.8788951,-67.9399574 -45.8788802,-67.9395819 -45.8785889,-67.9398179 -45.8784246,-67.94258106 -45.87928487,-67.9468131 -45.8799931,-67.9464698 -45.8794927,-67.9443026 -45.8791491,-67.9459034 -45.88040255,-67.9472744 -45.8827118,-67.9475963 -45.8819051,-67.9476392 -45.8807475,-67.9472208 -45.8805159,-67.94607409 -45.88311995,-67.9472744 -45.8852212,-67.9470921 -45.8844967,-67.9472423 -45.883959,-67.9472315 -45.8831823,-67.94628753 -45.88560005,-67.9487872 -45.8868418,-67.9495382 -45.8874766,-67.9496884 -45.88726,-67.9485726 -45.886095,-67.9476714 -45.8855871,-67.94746568 -45.88694764,-67.948755 -45.886894,-67.9494202 -45.887484,-67.9503751 -45.8875587,-67.9509008 -45.8873571,-67.9508793 -45.8868716,-67.94972726 -45.88693813,-67.951051 -45.8868418,-67.9516089 -45.886207,-67.952832 -45.8866028,-67.95178221 -45.88666191,-67.957381 -45.8868268,-67.9566729 -45.8866327,-67.953701 -45.8868791,-67.9533148 -45.8869911,-67.9529393 -45.8866103,-67.95650174 -45.8868325,-67.9563618 -45.8869613,-67.9570055 -45.8870583,-67.9568553 -45.8866028,-67.957381 -45.8868268,-67.95495587 -45.8875866,-67.9576063 -45.8896124,-67.9577136 -45.888888,-67.9572308 -45.8876483,-67.9565012 -45.8869986,-67.95602222 -45.88970885,-67.958647 -45.8921289,-67.9580784 -45.8917854,-67.958411 -45.8907699,-67.9588509 -45.8902397,-67.9578209 -45.8896422,-67.95792371 -45.89252328;-67.95792371 -45.89252328,-67.958647 -45.8921289,-67.9580784 -45.8917854,-67.958411 -45.8907699,-67.9588509 -45.8902397,-67.9578209 -45.8896422,-67.95602222 -45.88970885,-67.9577458 -45.889687,-67.9589152 -45.8901575,-67.9578638 -45.8892315,-67.9582071 -45.8887536,-67.9595053 -45.8884474,-67.9607284 -45.889,-67.9613507 -45.8890224,-67.9625523 -45.8881561,-67.9630458 -45.8861696,-67.9629171 -45.8856469,-67.9631639 -45.8856543,-67.96399 -45.8867447,-67.9643333 -45.8867223,-67.96291589 -45.88644251,-67.9671872 -45.8881412,-67.9659748 -45.8870061,-67.9642153 -45.8869314,-67.9642582 -45.8866849,-67.96633372 -45.88873533,-67.9702985 -45.892002,-67.9693437 -45.8927189,-67.9695046 -45.8920393,-67.9694617 -45.8909565,-67.9689038 -45.8902247,-67.9675949 -45.8891494,-67.9695987 -45.89181892,-67.9699337 -45.8946379,-67.9693973 -45.8950411,-67.9688287 -45.894847,-67.9686248 -45.893936,-67.9694724 -45.8926591,-67.9702985 -45.892002,-67.96939983 -45.89469974,-67.9721761 -45.8962209,-67.9716182 -45.8947873,-67.9710388 -45.8947723,-67.97161551 -45.8965517,-67.9729271 -45.8958177,-67.9726696 -45.8949515,-67.97168684 -45.8946769,-67.9725194 -45.8940704,-67.9735279 -45.8935179,-67.97316911 -45.89352066,-67.9749441 -45.8933834,-67.9761243 -45.8929055,-67.9766607 -45.892353,-67.97648439 -45.89266109,-67.9793 -45.8940107,-67.9789138 -45.8935925,-67.9785919 -45.8927711,-67.9782271 -45.8926517,-67.97886335 -45.8939859;-67.97886335 -45.8939859,-67.9793 -45.8940107,-67.9789138 -45.8935925,-67.9785919 -45.8927711,-67.9782271 -45.8926517,-67.97648439 -45.89266109,-67.9806304 -45.8917854,-67.9784203 -45.8917854,-67.9782271 -45.8926517,-67.98023252 -45.89201679,-67.984364 -45.8918302,-67.9820251 -45.8918004,-67.98373313 -45.89220254;-67.98373313 -45.89220254,-67.984364 -45.8918302,-67.9820251 -45.8918004,-67.98023252 -45.89201679,-67.9806304 -45.8917854,-67.9784203 -45.8917854,-67.9782271 -45.8926517,-67.97648439 -45.89266109,-67.9749441 -45.8933834,-67.9761243 -45.8929055,-67.9766607 -45.892353,-67.97316911 -45.89352066,-67.9725194 -45.8940704,-67.9735279 -45.8935179,-67.97168684 -45.8946769;-67.97168684 -45.8946769,-67.9729271 -45.8958177,-67.9726696 -45.8949515,-67.97161551 -45.8965517,-67.9721761 -45.8962209,-67.9716182 -45.8947873,-67.9710388 -45.8947723,-67.96939983 -45.89469974,-67.9699337 -45.8946379,-67.9693973 -45.8950411,-67.9688287 -45.894847,-67.9686248 -45.893936,-67.9694724 -45.8926591,-67.9702985 -45.892002,-67.9695987 -45.89181892,-67.9702985 -45.892002,-67.9693437 -45.8927189,-67.9695046 -45.8920393,-67.9694617 -45.8909565,-67.9689038 -45.8902247,-67.9675949 -45.8891494,-67.96633372 -45.88873533,-67.9671872 -45.8881412,-67.9659748 -45.8870061,-67.9642153 -45.8869314,-67.9642582 -45.8866849,-67.96291589 -45.88644251,-67.9577458 -45.889687,-67.9589152 -45.8901575,-67.9578638 -45.8892315,-67.9582071 -45.8887536,-67.9595053 -45.8884474,-67.9607284 -45.889,-67.9613507 -45.8890224,-67.9625523 -45.8881561,-67.9630458 -45.8861696,-67.9629171 -45.8856469,-67.9631639 -45.8856543,-67.96399 -45.8867447,-67.9643333 -45.8867223,-67.95602222 -45.88970885;-67.95602222 -45.88970885,-67.9576063 -45.8896124,-67.9577136 -45.888888,-67.9572308 -45.8876483,-67.9565012 -45.8869986,-67.95495587 -45.8875866,-67.9563618 -45.8869613,-67.9570055 -45.8870583,-67.9568553 -45.8866028,-67.957381 -45.8868268,-67.95650174 -45.8868325,-67.957381 -45.8868268,-67.9566729 -45.8866327,-67.953701 -45.8868791,-67.9533148 -45.8869911,-67.9529393 -45.8866103,-67.95178221 -45.88666191,-67.951051 -45.8868418,-67.9516089 -45.886207,-67.952832 -45.8866028,-67.94972726 -45.88693813,-67.948755 -45.886894,-67.9494202 -45.887484,-67.9503751 -45.8875587,-67.9509008 -45.8873571,-67.9508793 -45.8868716,-67.94746568 -45.88694764,-67.9487872 -45.8868418,-67.9495382 -45.8874766,-67.9496884 -45.88726,-67.9485726 -45.886095,-67.9476714 -45.8855871,-67.94628753 -45.88560005,-67.9472744 -45.8852212,-67.9470921 -45.8844967,-67.9472423 -45.883959,-67.9472315 -45.8831823,-67.94607409 -45.88311995,-67.9472744 -45.8827118,-67.9475963 -45.8819051,-67.9476392 -45.8807475,-67.9472208 -45.8805159,-67.9459034 -45.88040255,-67.9468131 -45.8799931,-67.9464698 -45.8794927,-67.9443026 -45.8791491,-67.94258106 -45.87928487,-67.9433799 -45.8793582,-67.9425859 -45.8792462,-67.9414809 -45.8788951,-67.9399574 -45.8788802,-67.9395819 -45.8785889,-67.9398179 -45.8784246,-67.93938002 -45.87863178,-67.9364383 -45.8791566,-67.9368889 -45.8790371,-67.9370821 -45.878798,-67.939657 -45.8787906,-67.9398179 -45.8784246,-67.93512028 -45.8793768,-67.9308057 -45.8796645,-67.9309773 -45.8795823,-67.9308271 -45.8793582,-67.9319429 -45.8795524,-67.9332089 -45.8799333,-67.9339921 -45.8795524,-67.9349685 -45.8793358,-67.935698 -45.8793209,-67.92926139 -45.87980166,-67.9288745 -45.8790371,-67.9299796 -45.8786337,-67.9308271 -45.8793582,-67.9310632 -45.8796271,-67.9308057 -45.8796645,-67.92746283 -45.879252,-67.9288745 -45.8790371,-67.9299796 -45.8786337,-67.9304302 -45.8776552,-67.9309022 -45.8766245,-67.9306126 -45.8766543,-67.92916705 -45.87686758,-67.9305589 -45.8765722,-67.9309773 -45.8765423,-67.9323184 -45.875011,-67.9336917 -45.8726132,-67.93292309 -45.87290945,-67.9337347 -45.872531,-67.9350007 -45.8704245,-67.9346895 -45.8701032,-67.933282 -45.87018527,-67.936492 -45.8696625,-67.9362881 -45.8694234,-67.9350436 -45.8703273,-67.9347003 -45.8699986,-67.93551008 -45.87004015,-67.9383588 -45.8674437,-67.9380584 -45.8682655,-67.9363847 -45.8693786,-67.9365671 -45.8696326,-67.9400271 -45.8665472</t>
  </si>
  <si>
    <t>-67.9400271 -45.8665472,-67.9383588 -45.8674437,-67.9380584 -45.8682655,-67.9363847 -45.8693786,-67.9365671 -45.8696326,-67.93551008 -45.87004015,-67.936492 -45.8696625,-67.9362881 -45.8694234,-67.9350436 -45.8703273,-67.9347003 -45.8699986,-67.933282 -45.87018527,-67.9337347 -45.872531,-67.9350007 -45.8704245,-67.9346895 -45.8701032,-67.93292309 -45.87290945,-67.9305589 -45.8765722,-67.9309773 -45.8765423,-67.9323184 -45.875011,-67.9336917 -45.8726132,-67.92916705 -45.87686758,-67.9288745 -45.8790371,-67.9299796 -45.8786337,-67.9304302 -45.8776552,-67.9309022 -45.8766245,-67.9306126 -45.8766543,-67.92746283 -45.879252,-67.9288745 -45.8790371,-67.9299045 -45.8786188,-67.929765 -45.8784918,-67.9247224 -45.8798512,-67.9241753 -45.8796943,-67.92260289 -45.87981886,-67.9231775 -45.8798138,-67.9230273 -45.8801051,-67.9220295 -45.8802022,-67.9198301 -45.8807027,-67.9191542 -45.8814645,-67.9198301 -45.8813375,-67.91930941 -45.88137118,-67.9183173 -45.8833018,-67.9179525 -45.8832943,-67.9178452 -45.8829358,-67.9186606 -45.8819873,-67.9191113 -45.8815466,-67.9197979 -45.8813898,-67.91747464 -45.88372353,-67.9166651 -45.8823159,-67.9170835 -45.8822711,-67.9178345 -45.8833989,-67.9184783 -45.8832943,-67.91541483 -45.88231338,-67.9170835 -45.8822711,-67.9166543 -45.8815466,-67.916429 -45.8804562,-67.91569194 -45.88029914,,-67.91549706 -45.88009996,,-67.91527195 -45.88036892;-67.91527195 -45.88036892,,-67.91549706 -45.88009996;-67.91549706 -45.88009996,,-67.91569194 -45.88029914,-67.9170835 -45.8822711,-67.9166543 -45.8815466,-67.916429 -45.8804562,-67.91541483 -45.88231338,-67.911365 -45.8831076,-67.9142618 -45.8826968,-67.9159892 -45.8825026,-67.90970498 -45.88326091,-67.9076958 -45.8841084,-67.9082644 -45.8839366,-67.9093373 -45.8833167,-67.9103136 -45.8831972,-67.90591516 -45.88446218,,-67.90594775 -45.88423937,-67.9066443 -45.8844071,-67.9062474 -45.8852585,-67.908833 -45.885968,-67.9091012 -45.8864012,-67.90705336 -45.88840606,-67.9052818 -45.8875736,-67.90654780000001 -45.8882084,-67.9074919 -45.8882756,-67.90362098 -45.8874036,-67.9039729 -45.8871629,-67.9034686 -45.8869165,-67.9041123 -45.886192,-67.9042947 -45.8847656,-67.90316820000001 -45.883637900000004,-67.90293219 -45.8836944,-67.90316820000001 -45.883637900000004,-67.9026854 -45.8831823,-67.9021275 -45.8832794,-67.900722 -45.8842279,-67.9001105 -45.8851465,-67.8995955 -45.8843175,-67.89811074 -45.88424629,-67.896452 -45.8842129,-67.8972995 -45.8841607,-67.8987801 -45.8833839,-67.8993165 -45.8836304,-67.89478887 -45.88442779,-67.895658 -45.88465360000001,-67.8955078 -45.8872675,-67.89402720000001 -45.888186,-67.89313670000001 -45.8879097,-67.8935552 -45.8866999,-67.891624 -45.8850718,-67.88986813 -45.88509226,-67.8916669 -45.8851316,-67.891463 -45.8853332,-67.8890061 -45.8855946,-67.8886521 -45.8849672,-67.88725199 -45.88498287,-67.8877938 -45.885251,-67.8862166 -45.8849523,-67.88477851 -45.88530377,-67.8847039 -45.885542300000004,-67.8854334 -45.8851465,-67.88304639 -45.88588109,-67.8838027 -45.88608,-67.882483 -45.8868716,-67.88085052 -45.88709026,-67.8783846 -45.8885519,-67.8803802 -45.8880143,-67.8826654 -45.8868044,-67.8823113 -45.8868119,-67.87661058 -45.88889945,-67.8765285 -45.89045620000001,-67.877773 -45.8901799,-67.8803802 -45.8880143,-67.8783846 -45.8885519,-67.87484305 -45.89067788,-67.8792322 -45.8901127,-67.877934 -45.8900903,-67.8765285 -45.89045620000001,-67.87813787 -45.88993585,-67.8788996 -45.8901426,-67.877934 -45.8900903,-67.8774834 -45.8904786,-67.8777945 -45.8925098,-67.8783524 -45.8919348,-67.87768072 -45.89180609,-67.877419 -45.893361,-67.8777194 -45.8924724,-67.8782558 -45.8919497,-67.87597121 -45.89385401,-67.8765607 -45.8939958,-67.8749728 -45.8950561,-67.8745329 -45.895832600000006,-67.8753376 -45.896079,-67.87484942 -45.89595746;-67.87484942 -45.89595746,-67.8765607 -45.8939958,-67.8749728 -45.8950561,-67.8745329 -45.895832600000006,-67.8753376 -45.896079,-67.87597121 -45.89385401,-67.877419 -45.893361,-67.8777194 -45.8924724,-67.8782558 -45.8919497,-67.87768072 -45.89180609,-67.8782558 -45.8919497,-67.8778267 -45.8923828,-67.8780413 -45.8938315,-67.8791893 -45.8953398,-67.87842608 -45.89585515,-67.8799939 -45.8961761,-67.8810668 -45.8968855,-67.881496 -45.8974007,-67.88049412 -45.89765426,-67.8816462 -45.8976545,-67.8819466 -45.8992972,-67.8823757 -45.8992374,-67.88283131 -45.8994995,-67.8778481 -45.8999691,-67.8795862 -45.8996556,-67.8816676 -45.8998198,-67.8823113 -45.899342,-67.87600509 -45.90013168,-67.875402 -45.9018954,-67.8762174 -45.9018506,-67.8767323 -45.9016117,-67.8774405 -45.9009995,-67.8778481 -45.8999691,-67.87401 -45.90242679,-67.8778911 -45.9022389,-67.8772688 -45.9023733,-67.8762174 -45.9020895,-67.8762174 -45.9018506,-67.875402 -45.9018954,-67.87749311 -45.90223614,-67.8811741 -45.9021194,-67.8801656 -45.9024927,-67.8792 -45.9030004,-67.8772688 -45.9023733,-67.8778696 -45.9023733,-67.88126058 -45.90229604;-67.88126058 -45.90229604,-67.8811741 -45.9021194,-67.8801656 -45.9024927,-67.8792 -45.9030004,-67.8772688 -45.9023733,-67.8778696 -45.9023733,-67.87749311 -45.90223614,-67.8778911 -45.9022389,-67.8772688 -45.9023733,-67.8762174 -45.9020895,-67.8762174 -45.9018506,-67.875402 -45.9018954,-67.87401 -45.90242679,-67.875402 -45.9018954,-67.8762174 -45.9018506,-67.8767323 -45.9016117,-67.8774405 -45.9009995,-67.8778481 -45.8999691,-67.87600509 -45.90013168;-67.87600509 -45.90013168,-67.8778481 -45.8999691,-67.8795862 -45.8996556,-67.8816676 -45.8998198,-67.8823113 -45.899342,-67.88283131 -45.8994995,-67.8816462 -45.8976545,-67.8819466 -45.8992972,-67.8823757 -45.8992374,-67.88049412 -45.89765426;-67.88049412 -45.89765426,-67.8799939 -45.8961761,-67.8810668 -45.8968855,-67.881496 -45.8974007,-67.87842608 -45.89585515,-67.8782558 -45.8919497,-67.8778267 -45.8923828,-67.8780413 -45.8938315,-67.8791893 -45.8953398,-67.87768072 -45.89180609,-67.8788996 -45.8901426,-67.877934 -45.8900903,-67.8774834 -45.8904786,-67.8777945 -45.8925098,-67.8783524 -45.8919348,-67.87813787 -45.88993585,-67.8792322 -45.8901127,-67.877934 -45.8900903,-67.8765285 -45.89045620000001,-67.87484305 -45.89067788;-67.87484305 -45.89067788,-67.8765285 -45.89045620000001,-67.877773 -45.8901799,-67.8803802 -45.8880143,-67.8783846 -45.8885519,-67.87661058 -45.88889945,-67.8783846 -45.8885519,-67.8803802 -45.8880143,-67.8826654 -45.8868044,-67.8823113 -45.8868119,-67.88085052 -45.88709026,-67.8838027 -45.88608,-67.882483 -45.8868716,-67.88304639 -45.88588109,-67.8847039 -45.885542300000004,-67.8854334 -45.8851465,-67.88477851 -45.88530377,-67.8877938 -45.885251,-67.8862166 -45.8849523,-67.88725199 -45.88498287,-67.8916669 -45.8851316,-67.891463 -45.8853332,-67.8890061 -45.8855946,-67.8886521 -45.8849672,-67.88986813 -45.88509226,-67.895658 -45.88465360000001,-67.8955078 -45.8872675,-67.89402720000001 -45.888186,-67.89313670000001 -45.8879097,-67.8935552 -45.8866999,-67.891624 -45.8850718,-67.89478887 -45.88442779,-67.896452 -45.8842129,-67.8972995 -45.8841607,-67.8987801 -45.8833839,-67.8993165 -45.8836304,-67.89811074 -45.88424629,-67.90316820000001 -45.883637900000004,-67.9026854 -45.8831823,-67.9021275 -45.8832794,-67.900722 -45.8842279,-67.9001105 -45.8851465,-67.8995955 -45.8843175,-67.90293219 -45.8836944,-67.9039729 -45.8871629,-67.9034686 -45.8869165,-67.9041123 -45.886192,-67.9042947 -45.8847656,-67.90316820000001 -45.883637900000004,-67.90362098 -45.8874036,-67.9052818 -45.8875736,-67.90654780000001 -45.8882084,-67.9074919 -45.8882756,-67.90705336 -45.88840606,-67.9066443 -45.8844071,-67.9062474 -45.8852585,-67.908833 -45.885968,-67.9091012 -45.8864012,-67.90594775 -45.88423937,,-67.90591516 -45.88446218,-67.9076958 -45.8841084,-67.9082644 -45.8839366,-67.9093373 -45.8833167,-67.9103136 -45.8831972,-67.90970498 -45.88326091,-67.911365 -45.8831076,-67.9142618 -45.8826968,-67.9159892 -45.8825026,-67.91541483 -45.88231338,-67.9166651 -45.8823159,-67.9170835 -45.8822711,-67.9178345 -45.8833989,-67.9184783 -45.8832943,-67.91747464 -45.88372353,-67.9183173 -45.8833018,-67.9179525 -45.8832943,-67.9178452 -45.8829358,-67.9186606 -45.8819873,-67.9191113 -45.8815466,-67.9197979 -45.8813898,-67.91930941 -45.88137118,-67.9231775 -45.8798138,-67.9230273 -45.8801051,-67.9220295 -45.8802022,-67.9198301 -45.8807027,-67.9191542 -45.8814645,-67.9198301 -45.8813375,-67.92260289 -45.87981886,-67.9288745 -45.8790371,-67.9299045 -45.8786188,-67.929765 -45.8784918,-67.9247224 -45.8798512,-67.9241753 -45.8796943,-67.92746283 -45.879252,-67.9288745 -45.8790371,-67.9299796 -45.8786337,-67.9304302 -45.8776552,-67.9309022 -45.8766245,-67.9306126 -45.8766543,-67.92916705 -45.87686758,-67.9305589 -45.8765722,-67.9309773 -45.8765423,-67.9323184 -45.875011,-67.9336917 -45.8726132,-67.93292309 -45.87290945,-67.9337347 -45.872531,-67.9350007 -45.8704245,-67.9346895 -45.8701032,-67.933282 -45.87018527,-67.936492 -45.8696625,-67.9362881 -45.8694234,-67.9350436 -45.8703273,-67.9347003 -45.8699986,-67.93551008 -45.87004015,-67.9383588 -45.8674437,-67.9380584 -45.8682655,-67.9363847 -45.8693786,-67.9365671 -45.8696326,-67.9400271 -45.8665472</t>
  </si>
  <si>
    <t>-67.9400271 -45.8665472,-67.9383588 -45.8674437,-67.9380584 -45.8682655,-67.9363847 -45.8693786,-67.9365671 -45.8696326,-67.93551008 -45.87004015,-67.936492 -45.8696625,-67.9362881 -45.8694234,-67.9350436 -45.8703273,-67.9347003 -45.8699986,-67.933282 -45.87018527,-67.9337347 -45.872531,-67.9350007 -45.8704245,-67.9346895 -45.8701032,-67.93292309 -45.87290945,-67.9305589 -45.8765722,-67.9309773 -45.8765423,-67.9323184 -45.875011,-67.9336917 -45.8726132,-67.92916705 -45.87686758,-67.9288745 -45.8790371,-67.9299796 -45.8786337,-67.9304302 -45.8776552,-67.9309022 -45.8766245,-67.9306126 -45.8766543,-67.92746283 -45.879252,-67.9288745 -45.8790371,-67.9299796 -45.8786337,-67.9308271 -45.8793582,-67.9310632 -45.8796271,-67.9308057 -45.8796645,-67.92926139 -45.87980166,-67.9308057 -45.8796645,-67.9309773 -45.8795823,-67.9308271 -45.8793582,-67.9319429 -45.8795524,-67.9332089 -45.8799333,-67.9339921 -45.8795524,-67.9349685 -45.8793358,-67.935698 -45.8793209,-67.93512028 -45.8793768,-67.9364383 -45.8791566,-67.9368889 -45.8790371,-67.9370821 -45.878798,-67.939657 -45.8787906,-67.9398179 -45.8784246,-67.93938002 -45.87863178,-67.9433799 -45.8793582,-67.9425859 -45.8792462,-67.9414809 -45.8788951,-67.9399574 -45.8788802,-67.9395819 -45.8785889,-67.9398179 -45.8784246,-67.94258106 -45.87928487,-67.9468131 -45.8799931,-67.9464698 -45.8794927,-67.9443026 -45.8791491,-67.9459034 -45.88040255,-67.9472744 -45.8827118,-67.9475963 -45.8819051,-67.9476392 -45.8807475,-67.9472208 -45.8805159,-67.94607409 -45.88311995,-67.9472744 -45.8852212,-67.9470921 -45.8844967,-67.9472423 -45.883959,-67.9472315 -45.8831823,-67.94628753 -45.88560005,-67.9487872 -45.8868418,-67.9495382 -45.8874766,-67.9496884 -45.88726,-67.9485726 -45.886095,-67.9476714 -45.8855871,-67.94746568 -45.88694764,-67.948755 -45.886894,-67.9494202 -45.887484,-67.9503751 -45.8875587,-67.9509008 -45.8873571,-67.9508793 -45.8868716,-67.94972726 -45.88693813,-67.951051 -45.8868418,-67.9516089 -45.886207,-67.952832 -45.8866028,-67.95178221 -45.88666191,-67.957381 -45.8868268,-67.9566729 -45.8866327,-67.953701 -45.8868791,-67.9533148 -45.8869911,-67.9529393 -45.8866103,-67.95650174 -45.8868325,-67.9573059 -45.8868268,-67.956748 -45.8864908,-67.9563725 -45.8857215,-67.9556644 -45.8849971,-67.9546167 -45.88506443,-67.960428 -45.8852436,-67.9597843 -45.8853855,-67.9578102 -45.8852959,-67.9558897 -45.8849448,-67.95958113 -45.88533853,-67.9643977 -45.8867746,-67.9641402 -45.8867895,-67.9629064 -45.8855274,-67.9625845 -45.8842055,-67.9620588 -45.8840412,-67.9608893 -45.8848926,-67.96291589 -45.88644251,-67.9671872 -45.8881412,-67.9659748 -45.8870061,-67.9642153 -45.8869314,-67.9642582 -45.8866849,-67.96633372 -45.88873533,-67.9702985 -45.892002,-67.9693437 -45.8927189,-67.9695046 -45.8920393,-67.9694617 -45.8909565,-67.9689038 -45.8902247,-67.9675949 -45.8891494,-67.9695987 -45.89181892,-67.9699337 -45.8946379,-67.9693973 -45.8950411,-67.9688287 -45.894847,-67.9686248 -45.893936,-67.9694724 -45.8926591,-67.9702985 -45.892002,-67.96939983 -45.89469974,-67.9721761 -45.8962209,-67.9716182 -45.8947873,-67.9710388 -45.8947723,-67.97161551 -45.8965517;-67.97161551 -45.8965517,-67.9721761 -45.8962209,-67.9716182 -45.8947873,-67.9710388 -45.8947723,-67.96939983 -45.89469974,-67.9699337 -45.8946379,-67.9693973 -45.8950411,-67.9688287 -45.894847,-67.9686248 -45.893936,-67.9694724 -45.8926591,-67.9702985 -45.892002,-67.9695987 -45.89181892,-67.9702985 -45.892002,-67.9693437 -45.8927189,-67.9695046 -45.8920393,-67.9694617 -45.8909565,-67.9689038 -45.8902247,-67.9675949 -45.8891494,-67.96633372 -45.88873533,-67.9671872 -45.8881412,-67.9659748 -45.8870061,-67.9642153 -45.8869314,-67.9642582 -45.8866849,-67.96291589 -45.88644251,-67.9577458 -45.889687,-67.9589152 -45.8901575,-67.9578638 -45.8892315,-67.9582071 -45.8887536,-67.9595053 -45.8884474,-67.9607284 -45.889,-67.9613507 -45.8890224,-67.9625523 -45.8881561,-67.9630458 -45.8861696,-67.9629171 -45.8856469,-67.9631639 -45.8856543,-67.96399 -45.8867447,-67.9643333 -45.8867223,-67.95602222 -45.88970885,-67.958647 -45.8921289,-67.9580784 -45.8917854,-67.958411 -45.8907699,-67.9588509 -45.8902397,-67.9578209 -45.8896422,-67.95792371 -45.89252328,-67.958411 -45.8946678,-67.9585934 -45.8938464,-67.9590118 -45.8934581,-67.9594839 -45.8932714,-67.9597199 -45.892913,-67.9595053 -45.8926741,-67.95753705 -45.89518861,-67.9582393 -45.8946827,-67.9580355 -45.8936448,-67.9570484 -45.8930026,-67.9563832 -45.8929429,-67.9546344 -45.8936448,-67.9533792 -45.8943691,-67.95185094 -45.89446535,-67.9480469 -45.8964599,-67.9490232 -45.8964748,-67.9496241 -45.8946081,-67.9499245 -45.8939808,-67.9505253 -45.8936448,-67.9514372 -45.8936821,-67.9526389 -45.8943915,-67.94634029 -45.89666725,-67.9444742 -45.8952204,-67.9448175 -45.8966465,-67.9453754 -45.8970423,-67.9465127 -45.8973708,-67.948122 -45.8975724,-67.9491735 -45.8979383,-67.9495811 -45.8977143,-67.9495168 -45.8971916,-67.948916 -45.89643,-67.9480469 -45.8964599,-67.94342733 -45.89494583,-67.9441738 -45.8946081,-67.9435945 -45.8938464,-67.9422426 -45.892801,-67.9410195 -45.8932192,-67.94030264 -45.89356218;-67.94030264 -45.89356218,-67.9441738 -45.8946081,-67.9435945 -45.8938464,-67.9422426 -45.892801,-67.9410195 -45.8932192,-67.94342733 -45.89494583,-67.9444742 -45.8952204,-67.9448175 -45.8966465,-67.9453754 -45.8970423,-67.9465127 -45.8973708,-67.948122 -45.8975724,-67.9491735 -45.8979383,-67.9495811 -45.8977143,-67.9495168 -45.8971916,-67.948916 -45.89643,-67.9480469 -45.8964599,-67.94634029 -45.89666725,-67.9480469 -45.8964599,-67.9490232 -45.8964748,-67.9496241 -45.8946081,-67.9499245 -45.8939808,-67.9505253 -45.8936448,-67.9514372 -45.8936821,-67.9526389 -45.8943915,-67.95185094 -45.89446535,-67.9582393 -45.8946827,-67.9580355 -45.8936448,-67.9570484 -45.8930026,-67.9563832 -45.8929429,-67.9546344 -45.8936448,-67.9533792 -45.8943691,-67.95753705 -45.89518861,-67.9602778 -45.8973559,-67.959677 -45.8974604,-67.9590976 -45.897326,-67.9587114 -45.8968257,-67.95928 -45.896094,-67.9591405 -45.8953548,-67.95956637 -45.89743693,-67.9642367 -45.8983564,-67.9643333 -45.8976993,-67.9650199 -45.8970721,-67.9652989 -45.8964076,-67.9613721 -45.8972065,-67.96354703 -45.89869944,-67.9693437 -45.9027914,-67.9659963 -45.8987297,-67.965138 -45.8986401,-67.96793825 -45.90348141,-67.9685926 -45.9034484,-67.9653096 -45.9044488,-67.9600525 -45.9049564,-67.9584861 -45.9041651,-67.9576707 -45.9040606,-67.95594313 -45.90408308,-67.9576063 -45.9040904, -67.9586792 -45.9041949, -67.9598594 -45.9049266, -67.9530573 -45.9053894, -67.948916 -45.9068676,-67.9477358 -45.9069124,-67.9420066 -45.9072707, -67.9449141 -45.9072931, -67.9463518 -45.9076291,-67.94070253 -45.90708056,-67.9419637 -45.9061061,-67.9426718 -45.9047623,-67.9415345 -45.9048967,-67.938745 -45.9059568,-67.9340029 -45.9072707,-67.9353547 -45.9073006,-67.93482704 -45.9074612,-67.922008 -45.9097193,-67.9201412 -45.9109884,-67.9196906 -45.9109585,-67.9200125 -45.9097492,-67.9210854 -45.909585,-67.9227591 -45.90851,-67.9267287 -45.9077933,-67.9317927 -45.9075544,-67.9344964 -45.9080023,-67.9353762 -45.9076142,-67.92132124 -45.90950332,-67.9221797 -45.9097492,-67.9201412 -45.9109884,-67.91924 -45.911063,-67.9191971 -45.9115109,-67.91938339 -45.91141146,-67.9150558 -45.9126903,-67.9162359 -45.9122126,-67.9164505 -45.9115408,-67.9181457 -45.910645,-67.9202914 -45.9111078,-67.91361731 -45.91301639;-67.91361731 -45.91301639,-67.9150558 -45.9126903,-67.9162359 -45.9122126,-67.9164505 -45.9115408,-67.9181457 -45.910645,-67.9202914 -45.9111078,-67.91938339 -45.91141146,-67.9221797 -45.9097492,-67.9201412 -45.9109884,-67.91924 -45.911063,-67.9191971 -45.9115109,-67.92132124 -45.90950332,-67.922008 -45.9097193,-67.9201412 -45.9109884,-67.9196906 -45.9109585,-67.9200125 -45.9097492,-67.9210854 -45.909585,-67.9227591 -45.90851,-67.9267287 -45.9077933,-67.9317927 -45.9075544,-67.9344964 -45.9080023,-67.9353762 -45.9076142,-67.93482704 -45.9074612,-67.9419637 -45.9061061,-67.9426718 -45.9047623,-67.9415345 -45.9048967,-67.938745 -45.9059568,-67.9340029 -45.9072707,-67.9353547 -45.9073006,-67.94070253 -45.90708056,-67.9420066 -45.9072707, -67.9449141 -45.9072931, -67.9463518 -45.9076291,-67.9477358 -45.9069124,-67.9576063 -45.9040904, -67.9586792 -45.9041949, -67.9598594 -45.9049266, -67.9530573 -45.9053894, -67.948916 -45.9068676,-67.95594313 -45.90408308,-67.9685926 -45.9034484,-67.9653096 -45.9044488,-67.9600525 -45.9049564,-67.9584861 -45.9041651,-67.9576707 -45.9040606,-67.96793825 -45.90348141,-67.970438 -45.9058075,-67.9690218 -45.9036126,-67.96980563 -45.90670646;-67.96980563 -45.90670646,-67.970438 -45.9058075,-67.9690218 -45.9036126,-67.96793825 -45.90348141,-67.9693437 -45.9027914,-67.9659963 -45.8987297,-67.965138 -45.8986401,-67.96354703 -45.89869944,-67.9642367 -45.8983564,-67.9643333 -45.8976993,-67.9650199 -45.8970721,-67.9652989 -45.8964076,-67.9613721 -45.8972065,-67.95956637 -45.89743693,-67.9602778 -45.8973559,-67.959677 -45.8974604,-67.9590976 -45.897326,-67.9587114 -45.8968257,-67.95928 -45.896094,-67.9591405 -45.8953548,-67.95753705 -45.89518861,-67.958411 -45.8946678,-67.9585934 -45.8938464,-67.9590118 -45.8934581,-67.9594839 -45.8932714,-67.9597199 -45.892913,-67.9595053 -45.8926741,-67.95792371 -45.89252328,-67.958647 -45.8921289,-67.9580784 -45.8917854,-67.958411 -45.8907699,-67.9588509 -45.8902397,-67.9578209 -45.8896422,-67.95602222 -45.88970885,-67.9576063 -45.8896124,-67.9577136 -45.888888,-67.9572308 -45.8876483,-67.9565012 -45.8869986,-67.95495587 -45.8875866,-67.9563618 -45.8869613,-67.9570055 -45.8870583,-67.9568553 -45.8866028,-67.957381 -45.8868268,-67.95650174 -45.8868325,-67.957381 -45.8868268,-67.9566729 -45.8866327,-67.953701 -45.8868791,-67.9533148 -45.8869911,-67.9529393 -45.8866103,-67.95178221 -45.88666191,-67.951051 -45.8868418,-67.9516089 -45.886207,-67.952832 -45.8866028,-67.94972726 -45.88693813,-67.948755 -45.886894,-67.9494202 -45.887484,-67.9503751 -45.8875587,-67.9509008 -45.8873571,-67.9508793 -45.8868716,-67.94746568 -45.88694764,-67.9487872 -45.8868418,-67.9495382 -45.8874766,-67.9496884 -45.88726,-67.9485726 -45.886095,-67.9476714 -45.8855871,-67.94628753 -45.88560005,-67.9472744 -45.8852212,-67.9470921 -45.8844967,-67.9472423 -45.883959,-67.9472315 -45.8831823,-67.94607409 -45.88311995,-67.9472744 -45.8827118,-67.9475963 -45.8819051,-67.9476392 -45.8807475,-67.9472208 -45.8805159,-67.9459034 -45.88040255,-67.9468131 -45.8799931,-67.9464698 -45.8794927,-67.9443026 -45.8791491,-67.94258106 -45.87928487,-67.9433799 -45.8793582,-67.9425859 -45.8792462,-67.9414809 -45.8788951,-67.9399574 -45.8788802,-67.9395819 -45.8785889,-67.9398179 -45.8784246,-67.93938002 -45.87863178,,-67.93921257 -45.87804782,-67.9512119 -45.8788877,-67.952435 -45.8787607,-67.9518127 -45.8800454,-67.9474354 -45.8786785,-67.9441524 -45.8779764,-67.9427791 -45.8776328,-67.940805 -45.8776926,-67.94944114 -45.87896309,-67.9534543 -45.8773565,-67.9526925 -45.87711,-67.9530144 -45.8775731,-67.9524779 -45.878813,-67.9512334 -45.8789325,-67.95259842 -45.87763583,-67.9538298 -45.8776104,-67.9575419 -45.8788205,-67.9596341 -45.8789624,-67.9602242 -45.8794852,-67.95937836 -45.87978501,-67.967391 -45.8796271,-67.9660606 -45.879657,-67.9619408 -45.879179,-67.959795 -45.8789997,-67.9602242 -45.8794852,-67.96661757 -45.87943084,-67.9708028 -45.8792686,-67.9686999 -45.8795524,-67.9682064 -45.8792238,-67.96993071 -45.87922522,-67.9739785 -45.8781632,-67.9745579 -45.8782677,-67.9740644 -45.8788802,-67.9710174 -45.8792537,-67.97210325 -45.8786421,-67.9764569 -45.8790072,-67.9757595 -45.8787084,-67.9755771 -45.8785142,-67.9742253 -45.8787756,-67.974236 -45.878222900000004,-67.9757414 -45.87911165,-67.9764569 -45.8790072,-67.9757595 -45.8787084,-67.9756951 -45.8784321,-67.9790318 -45.877588,-67.9792678 -45.8765199,-67.9792786 -45.8747272,-67.9798257 -45.8760045,-67.9801154 -45.8760643,-67.97932522 -45.87631183,-67.9801047 -45.8737412,-67.9795146 -45.8726879,-67.9791605 -45.8735694,-67.9792249 -45.8748467,-67.9793966 -45.8748467,-67.9797721 -45.8758476,-67.9800725 -45.876012,-67.97905112 -45.87422359,-67.9799759 -45.8737337,-67.9795146 -45.8726879,-67.9809093 -45.8709474,-67.980845 -45.8716421,-67.97987219 -45.87199291,-67.9807377 -45.8716645,-67.9809952 -45.8709175,-67.9819071 -45.8698567,-67.9830122 -45.8690947,-67.9832804 -45.8686614,-67.9840744 -45.8683402,-67.98364252 -45.86827111,-67.9875398 -45.8692665,-67.988205 -45.8691993,-67.9883659 -45.8686465,-67.9866493 -45.8686017,-67.9853296 -45.8685195,-67.9839349 -45.868766,-67.9830122 -45.8690947,-67.9832804 -45.8686614,-67.9841065 -45.8682057,-67.98595749 -45.86942688,,-67.98621539 -45.86906201,-67.9865098 -45.8688407,-67.9868531 -45.868893,-67.98529724 -45.86913902;-67.98529724 -45.86913902,-67.9865098 -45.8688407,-67.9868531 -45.868893,-67.98621539 -45.86906201,,-67.98595749 -45.86942688,-67.9875398 -45.8692665,-67.988205 -45.8691993,-67.9883659 -45.8686465,-67.9866493 -45.8686017,-67.9853296 -45.8685195,-67.9839349 -45.868766,-67.9830122 -45.8690947,-67.9832804 -45.8686614,-67.9841065 -45.8682057,-67.98364252 -45.86827111,-67.9807377 -45.8716645,-67.9809952 -45.8709175,-67.9819071 -45.8698567,-67.9830122 -45.8690947,-67.9832804 -45.8686614,-67.9840744 -45.8683402,-67.97987219 -45.87199291,-67.9799759 -45.8737337,-67.9795146 -45.8726879,-67.9809093 -45.8709474,-67.980845 -45.8716421,-67.97905112 -45.87422359,-67.9801047 -45.8737412,-67.9795146 -45.8726879,-67.9791605 -45.8735694,-67.9792249 -45.8748467,-67.9793966 -45.8748467,-67.9797721 -45.8758476,-67.9800725 -45.876012,-67.97932522 -45.87631183,-67.9764569 -45.8790072,-67.9757595 -45.8787084,-67.9756951 -45.8784321,-67.9790318 -45.877588,-67.9792678 -45.8765199,-67.9792786 -45.8747272,-67.9798257 -45.8760045,-67.9801154 -45.8760643,-67.9757414 -45.87911165,-67.9764569 -45.8790072,-67.9757595 -45.8787084,-67.9755771 -45.8785142,-67.9742253 -45.8787756,-67.974236 -45.878222900000004,-67.97210325 -45.8786421,-67.9739785 -45.8781632,-67.9745579 -45.8782677,-67.9740644 -45.8788802,-67.9710174 -45.8792537,-67.96993071 -45.87922522,-67.9708028 -45.8792686,-67.9686999 -45.8795524,-67.9682064 -45.8792238,-67.96661757 -45.87943084,-67.967391 -45.8796271,-67.9660606 -45.879657,-67.9619408 -45.879179,-67.959795 -45.8789997,-67.9602242 -45.8794852,-67.95937836 -45.87978501,-67.9538298 -45.8776104,-67.9575419 -45.8788205,-67.9596341 -45.8789624,-67.9602242 -45.8794852,-67.95259842 -45.87763583,-67.9521346 -45.8759746,-67.9517162 -45.8759074,-67.9513943 -45.8758999,-67.9525959 -45.87702780000001,-67.95337920000001 -45.8774162,-67.95155064 -45.87647635,-67.9521346 -45.8759746,-67.951448 -45.8759597,-67.9509008 -45.8738383,-67.94983615 -45.87396079,-67.9508579 -45.8736739,-67.9509115 -45.8721426,-67.94974928 -45.87213834,-67.9510081 -45.87218,-67.9515123 -45.8715599,-67.9518449 -45.870925,-67.95082673 -45.87123588,-67.9518449 -45.870925,-67.9516733 -45.8706037,-67.9509866 -45.870275,-67.95089010000001 -45.8697222,-67.9517484 -45.8700734,-67.9526281 -45.8699912,-67.95188123 -45.87007275,-67.9526013 -45.869965,-67.9517484 -45.8700734,-67.9508901 -45.8697222,-67.9511476 -45.8693039,-67.95011093 -45.86936834,-67.9511476 -45.8693039,-67.95089010000001 -45.8697222,-67.9506433 -45.8681011,-67.9512978 -45.867892,-67.95075242 -45.86791677,-67.9513514 -45.867951700000006,-67.9506004 -45.8681534,-67.9493558 -45.8665622,-67.9490876 -45.8664576,-67.9492164 -45.8668461,-67.94827454 -45.86749255,-67.949152 -45.8670029,-67.9489589 -45.866338,-67.9464805 -45.8656358,-67.946502 -45.8652099,-67.94551194 -45.86495899,,-67.9454304 -45.86503525,-67.9452038 -45.8642219,-67.9464403 -45.8647635,-67.9400271 -45.8665472</t>
  </si>
  <si>
    <t>-67.9400271 -45.8665472,-67.9383588 -45.8674437,-67.9380584 -45.8682655,-67.9363847 -45.8693786,-67.9365671 -45.8696326,-67.93551008 -45.87004015,-67.936492 -45.8696625,-67.9362881 -45.8694234,-67.9350436 -45.8703273,-67.9347003 -45.8699986,-67.933282 -45.87018527,-67.9337347 -45.872531,-67.9350007 -45.8704245,-67.9346895 -45.8701032,-67.93292309 -45.87290945,-67.9305589 -45.8765722,-67.9309773 -45.8765423,-67.9323184 -45.875011,-67.9336917 -45.8726132,-67.92916705 -45.87686758,-67.9288745 -45.8790371,-67.9299796 -45.8786337,-67.9304302 -45.8776552,-67.9309022 -45.8766245,-67.9306126 -45.8766543,-67.92746283 -45.879252,-67.9288745 -45.8790371,-67.9299045 -45.8786188,-67.929765 -45.8784918,-67.9247224 -45.8798512,-67.9241753 -45.8796943,-67.92260289 -45.87981886,-67.9231775 -45.8798138,-67.9230273 -45.8801051,-67.9220295 -45.8802022,-67.9198301 -45.8807027,-67.9191542 -45.8814645,-67.9198301 -45.8813375,-67.91930941 -45.88137118,-67.9183173 -45.8833018,-67.9179525 -45.8832943,-67.9178452 -45.8829358,-67.9186606 -45.8819873,-67.9191113 -45.8815466,-67.9197979 -45.8813898,-67.91747464 -45.88372353,-67.9166651 -45.8823159,-67.9170835 -45.8822711,-67.9178345 -45.8833989,-67.9184783 -45.8832943,-67.91541483 -45.88231338,-67.911365 -45.8831076,-67.9142618 -45.8826968,-67.9159892 -45.8825026,-67.90970498 -45.88326091,-67.9076958 -45.8841084,-67.9082644 -45.8839366,-67.9093373 -45.8833167,-67.9103136 -45.8831972,-67.90591516 -45.88446218,,-67.90594775 -45.88423937,-67.9066443 -45.8844071,-67.9062474 -45.8852585,-67.908833 -45.885968,-67.9091012 -45.8864012,-67.90705336 -45.88840606,-67.9052818 -45.8875736,-67.90654780000001 -45.8882084,-67.9074919 -45.8882756,-67.90362098 -45.8874036,-67.9039729 -45.8871629,-67.9034686 -45.8869165,-67.9041123 -45.886192,-67.9042947 -45.8847656,-67.90316820000001 -45.883637900000004,-67.90293219 -45.8836944,-67.90316820000001 -45.883637900000004,-67.9026854 -45.8831823,-67.9021275 -45.8832794,-67.900722 -45.8842279,-67.9001105 -45.8851465,-67.8995955 -45.8843175,-67.89811074 -45.88424629,-67.896452 -45.8842129,-67.8972995 -45.8841607,-67.8987801 -45.8833839,-67.8993165 -45.8836304,-67.89478887 -45.88442779,-67.895658 -45.88465360000001,-67.8955078 -45.8872675,-67.89402720000001 -45.888186,-67.89313670000001 -45.8879097,-67.8935552 -45.8866999,-67.891624 -45.8850718,-67.88986813 -45.88509226,-67.8916669 -45.8851316,-67.891463 -45.8853332,-67.8890061 -45.8855946,-67.8886521 -45.8849672,-67.88725199 -45.88498287,-67.8877938 -45.885251,-67.8862166 -45.8849523,-67.88477851 -45.88530377,-67.8863347 -45.8849448,-67.8869569 -45.8849672,-67.8874826 -45.883847,-67.8903258 -45.883570600000006,-67.88934482 -45.88367092,-67.8808522 -45.8847432,-67.8831053 -45.8843548,-67.884897 -45.8834586,-67.8876114 -45.88378720000001,-67.8901434 -45.8835856,-67.87931365 -45.88515467,-67.8775477 -45.8859232,-67.87784810000001 -45.8854153,-67.8789425 -45.8862742,-67.879554 -45.8862667,-67.8829443 -45.8844743,-67.8806055 -45.8848253,-67.87597578 -45.88674947,,-67.87630061 -45.88642699,-67.8775907 -45.885744,-67.8778374 -45.8851241,-67.8766251 -45.8844594,-67.8767002 -45.8840561,-67.8758872 -45.88413516,-67.8738034 -45.8829806,-67.8739858 -45.8834512,-67.87655 -45.8844445,-67.8765929 -45.8840262,-67.87263059 -45.88283868,-67.8737283 -45.8829508,-67.8736854 -45.8833242,-67.8730094 -45.8829134,-67.8686643 -45.8830254,-67.86703039 -45.88312685,-67.8685462 -45.8831151,-67.8700483 -45.8829059,-67.8648233 -45.8818603,-67.8628063 -45.8810537,-67.8621304 -45.8814645,-67.86071597 -45.88116865,-67.8614116 -45.8855274,-67.862978 -45.884788,-67.8635466 -45.8831599,-67.8632355 -45.8817483,-67.86391140000002 -45.8815093,-67.8628063 -45.8810537,-67.8623772 -45.8814346,-67.85908094 -45.88593849,-67.85825730000002 -45.8853855,-67.85964130000002 -45.8854228,-67.85655105 -45.88556448,-67.8571093 -45.8855572,-67.8559184 -45.8854378,-67.8555107 -45.884698400000005,-67.85493998 -45.88481908,-67.8556287 -45.8843698,-67.853719 -45.8831001,-67.8518629 -45.8825923,-67.8500605 -45.8812329,-67.8485758 -45.88086765,-67.8494382 -45.880628,-67.84873010000001 -45.8802396,-67.8461766 -45.8806653,-67.8457046 -45.880515900000006,-67.84518194 -45.88032275,-67.8455973 -45.8806504,-67.8449214 -45.8812852,-67.8420246 -45.8795972,-67.8425181 -45.87953,-67.84221298 -45.87973382,-67.842443 -45.8796122,-67.8389347 -45.8810612,-67.8383017 -45.8819499,-67.8395998 -45.8826445,-67.8392565 -45.8820246,-67.8403294 -45.8816064,-67.83977572 -45.88161766,-67.8418744 -45.8837275,-67.8411126 -45.8830703,-67.839793 -45.8826221,-67.8392565 -45.8819126,-67.8402436 -45.8815616,-67.8408227 -45.88408969;-67.8408227 -45.88408969,-67.8418744 -45.8837275,-67.8411126 -45.8830703,-67.839793 -45.8826221,-67.8392565 -45.8819126,-67.8402436 -45.8815616,-67.83977572 -45.88161766,-67.842443 -45.8796122,-67.8389347 -45.8810612,-67.8383017 -45.8819499,-67.8395998 -45.8826445,-67.8392565 -45.8820246,-67.8403294 -45.8816064,-67.84221298 -45.87973382,-67.8455973 -45.8806504,-67.8449214 -45.8812852,-67.8420246 -45.8795972,-67.8425181 -45.87953,-67.84518194 -45.88032275,-67.8494382 -45.880628,-67.84873010000001 -45.8802396,-67.8461766 -45.8806653,-67.8457046 -45.880515900000006,-67.8485758 -45.88086765,-67.8556287 -45.8843698,-67.853719 -45.8831001,-67.8518629 -45.8825923,-67.8500605 -45.8812329,-67.85493998 -45.88481908,-67.8571093 -45.8855572,-67.8559184 -45.8854378,-67.8555107 -45.884698400000005,-67.85655105 -45.88556448,-67.85825730000002 -45.8853855,-67.85964130000002 -45.8854228,-67.85908094 -45.88593849,-67.8614116 -45.8855274,-67.862978 -45.884788,-67.8635466 -45.8831599,-67.8632355 -45.8817483,-67.86391140000002 -45.8815093,-67.8628063 -45.8810537,-67.8623772 -45.8814346,-67.86071597 -45.88116865,-67.8685462 -45.8831151,-67.8700483 -45.8829059,-67.8648233 -45.8818603,-67.8628063 -45.8810537,-67.8621304 -45.8814645,-67.86703039 -45.88312685,-67.8737283 -45.8829508,-67.8736854 -45.8833242,-67.8730094 -45.8829134,-67.8686643 -45.8830254,-67.87263059 -45.88283868,-67.8738034 -45.8829806,-67.8739858 -45.8834512,-67.87655 -45.8844445,-67.8765929 -45.8840262,-67.8758872 -45.88413516,-67.8775907 -45.885744,-67.8778374 -45.8851241,-67.8766251 -45.8844594,-67.8767002 -45.8840561,-67.87630061 -45.88642699,,-67.87597578 -45.88674947,-67.8775477 -45.8859232,-67.87784810000001 -45.8854153,-67.8789425 -45.8862742,-67.879554 -45.8862667,-67.8829443 -45.8844743,-67.8806055 -45.8848253,-67.87931365 -45.88515467,-67.8808522 -45.8847432,-67.8831053 -45.8843548,-67.884897 -45.8834586,-67.8876114 -45.88378720000001,-67.8901434 -45.8835856,-67.88934482 -45.88367092,-67.8863347 -45.8849448,-67.8869569 -45.8849672,-67.8874826 -45.883847,-67.8903258 -45.883570600000006,-67.88477851 -45.88530377,-67.8877938 -45.885251,-67.8862166 -45.8849523,-67.88725199 -45.88498287,-67.8916669 -45.8851316,-67.891463 -45.8853332,-67.8890061 -45.8855946,-67.8886521 -45.8849672,-67.88986813 -45.88509226,-67.895658 -45.88465360000001,-67.8955078 -45.8872675,-67.89402720000001 -45.888186,-67.89313670000001 -45.8879097,-67.8935552 -45.8866999,-67.891624 -45.8850718,-67.89478887 -45.88442779,-67.896452 -45.8842129,-67.8972995 -45.8841607,-67.8987801 -45.8833839,-67.8993165 -45.8836304,-67.89811074 -45.88424629,-67.90316820000001 -45.883637900000004,-67.9026854 -45.8831823,-67.9021275 -45.8832794,-67.900722 -45.8842279,-67.9001105 -45.8851465,-67.8995955 -45.8843175,-67.90293219 -45.8836944,-67.9039729 -45.8871629,-67.9034686 -45.8869165,-67.9041123 -45.886192,-67.9042947 -45.8847656,-67.90316820000001 -45.883637900000004,-67.90362098 -45.8874036,-67.9052818 -45.8875736,-67.90654780000001 -45.8882084,-67.9074919 -45.8882756,-67.90705336 -45.88840606,-67.9066443 -45.8844071,-67.9062474 -45.8852585,-67.908833 -45.885968,-67.9091012 -45.8864012,-67.90594775 -45.88423937,,-67.90591516 -45.88446218,-67.9076958 -45.8841084,-67.9082644 -45.8839366,-67.9093373 -45.8833167,-67.9103136 -45.8831972,-67.90970498 -45.88326091,-67.911365 -45.8831076,-67.9142618 -45.8826968,-67.9159892 -45.8825026,-67.91541483 -45.88231338,-67.9166651 -45.8823159,-67.9170835 -45.8822711,-67.9178345 -45.8833989,-67.9184783 -45.8832943,-67.91747464 -45.88372353,-67.9183173 -45.8833018,-67.9179525 -45.8832943,-67.9178452 -45.8829358,-67.9186606 -45.8819873,-67.9191113 -45.8815466,-67.9197979 -45.8813898,-67.91930941 -45.88137118,-67.9199052 -45.8837125,-67.9188645 -45.8826669,-67.9191864 -45.8815466,-67.9198301 -45.881457,-67.91902285 -45.88401169,-67.9238641 -45.8824055,-67.9235315 -45.8824279,-67.9226196 -45.8841831,-67.9213428 -45.8843847,-67.9205918 -45.884198,-67.9203773 -45.8840337,-67.9229362 -45.88248116,-67.9271579 -45.8812329,-67.9272652 -45.8815242,-67.9268789 -45.8817483,-67.9256773 -45.881808,-67.9241323 -45.8825624,-67.9234779 -45.8826296,-67.9235315 -45.8824279,-67.9238641 -45.8824055,-67.92604563 -45.88125368,-67.9273725 -45.8808371,-67.9279733 -45.8808371,-67.9285955 -45.8814794,-67.9291534 -45.881584,-67.9297328 -45.8811956,-67.9299903 -45.8814346,-67.9273295 -45.8829582,-67.9266322 -45.8833914,-67.9264498 -45.8840636,-67.9268146 -45.883959,-67.92608202 -45.88391758;-67.92608202 -45.88391758,-67.9306662 -45.8853705,-67.9301298 -45.8848478,-67.9301834 -45.8845415,-67.9296148 -45.8841457,-67.9283166 -45.8832794,-67.9278016 -45.8828089,-67.927072 -45.8829806,-67.9266322 -45.8833914,-67.9264498 -45.8840636,-67.9268146 -45.883959,-67.92968482 -45.88517223,-67.9307413 -45.885378,-67.9301298 -45.8848478,-67.9305589 -45.8826669,-67.92972985 -45.88255921,-67.9309022 -45.8820844,-67.931546 -45.8802844,-67.9315138 -45.8799184,-67.9308915 -45.8797018,-67.92926139 -45.87980166,-67.9308057 -45.8796645,-67.9309773 -45.8795823,-67.9308271 -45.8793582,-67.9319429 -45.8795524,-67.9332089 -45.8799333,-67.9339921 -45.8795524,-67.9349685 -45.8793358,-67.935698 -45.8793209,-67.93512028 -45.8793768,-67.9364383 -45.8791566,-67.9368889 -45.8790371,-67.9370821 -45.878798,-67.939657 -45.8787906,-67.9398179 -45.8784246,-67.93938002 -45.87863178,-67.9433799 -45.8793582,-67.9425859 -45.8792462,-67.9414809 -45.8788951,-67.9399574 -45.8788802,-67.9395819 -45.8785889,-67.9398179 -45.8784246,-67.94258106 -45.87928487,-67.9468131 -45.8799931,-67.9464698 -45.8794927,-67.9443026 -45.8791491,-67.9459034 -45.88040255,-67.9472744 -45.8827118,-67.9475963 -45.8819051,-67.9476392 -45.8807475,-67.9472208 -45.8805159,-67.94607409 -45.88311995,-67.9472744 -45.8852212,-67.9470921 -45.8844967,-67.9472423 -45.883959,-67.9472315 -45.8831823,-67.94628753 -45.88560005,-67.9487872 -45.8868418,-67.9495382 -45.8874766,-67.9496884 -45.88726,-67.9485726 -45.886095,-67.9476714 -45.8855871,-67.94746568 -45.88694764,-67.948755 -45.886894,-67.9494202 -45.887484,-67.9503751 -45.8875587,-67.9509008 -45.8873571,-67.9508793 -45.8868716,-67.94972726 -45.88693813,-67.951051 -45.8868418,-67.9516089 -45.886207,-67.952832 -45.8866028,-67.95178221 -45.88666191,-67.957381 -45.8868268,-67.9566729 -45.8866327,-67.953701 -45.8868791,-67.9533148 -45.8869911,-67.9529393 -45.8866103,-67.95650174 -45.8868325,-67.9563618 -45.8869613,-67.9570055 -45.8870583,-67.9568553 -45.8866028,-67.957381 -45.8868268,-67.95495587 -45.8875866,-67.9576063 -45.8896124,-67.9577136 -45.888888,-67.9572308 -45.8876483,-67.9565012 -45.8869986,-67.95602222 -45.88970885,-67.958647 -45.8921289,-67.9580784 -45.8917854,-67.958411 -45.8907699,-67.9588509 -45.8902397,-67.9578209 -45.8896422,-67.95792371 -45.89252328,-67.958411 -45.8946678,-67.9585934 -45.8938464,-67.9590118 -45.8934581,-67.9594839 -45.8932714,-67.9597199 -45.892913,-67.9595053 -45.8926741,-67.95753705 -45.89518861,-67.9602778 -45.8973559,-67.959677 -45.8974604,-67.9590976 -45.897326,-67.9587114 -45.8968257,-67.95928 -45.896094,-67.9591405 -45.8953548,-67.95956637 -45.89743693,-67.9642367 -45.8983564,-67.9643333 -45.8976993,-67.9650199 -45.8970721,-67.9652989 -45.8964076,-67.9613721 -45.8972065,-67.96354703 -45.89869944,-67.9693437 -45.9027914,-67.9659963 -45.8987297,-67.965138 -45.8986401,-67.96793825 -45.90348141,-67.9685926 -45.9034484,-67.9653096 -45.9044488,-67.9600525 -45.9049564,-67.9584861 -45.9041651,-67.9576707 -45.9040606,-67.95594313 -45.90408308,-67.9577565 -45.9038664,-67.9585826 -45.9036126,-67.9585826 -45.9031348,-67.9576492 -45.90253,-67.9561365 -45.9021343,-67.9558575 -45.9012832,-67.95417314 -45.90131869;-67.95417314 -45.90131869,-67.9577565 -45.9038664,-67.9585826 -45.9036126,-67.9585826 -45.9031348,-67.9576492 -45.90253,-67.9561365 -45.9021343,-67.9558575 -45.9012832,-67.95594313 -45.90408308,-67.9685926 -45.9034484,-67.9653096 -45.9044488,-67.9600525 -45.9049564,-67.9584861 -45.9041651,-67.9576707 -45.9040606,-67.96793825 -45.90348141,-67.9693437 -45.9027914,-67.9659963 -45.8987297,-67.965138 -45.8986401,-67.96354703 -45.89869944,-67.9642367 -45.8983564,-67.9643333 -45.8976993,-67.9650199 -45.8970721,-67.9652989 -45.8964076,-67.9613721 -45.8972065,-67.95956637 -45.89743693,-67.9602778 -45.8973559,-67.959677 -45.8974604,-67.9590976 -45.897326,-67.9587114 -45.8968257,-67.95928 -45.896094,-67.9591405 -45.8953548,-67.95753705 -45.89518861,-67.958411 -45.8946678,-67.9585934 -45.8938464,-67.9590118 -45.8934581,-67.9594839 -45.8932714,-67.9597199 -45.892913,-67.9595053 -45.8926741,-67.95792371 -45.89252328,-67.958647 -45.8921289,-67.9580784 -45.8917854,-67.958411 -45.8907699,-67.9588509 -45.8902397,-67.9578209 -45.8896422,-67.95602222 -45.88970885,-67.9576063 -45.8896124,-67.9577136 -45.888888,-67.9572308 -45.8876483,-67.9565012 -45.8869986,-67.95495587 -45.8875866,-67.9563618 -45.8869613,-67.9570055 -45.8870583,-67.9568553 -45.8866028,-67.957381 -45.8868268,-67.95650174 -45.8868325,-67.957381 -45.8868268,-67.9566729 -45.8866327,-67.953701 -45.8868791,-67.9533148 -45.8869911,-67.9529393 -45.8866103,-67.95178221 -45.88666191,-67.951051 -45.8868418,-67.9516089 -45.886207,-67.952832 -45.8866028,-67.94972726 -45.88693813,-67.948755 -45.886894,-67.9494202 -45.887484,-67.9503751 -45.8875587,-67.9509008 -45.8873571,-67.9508793 -45.8868716,-67.94746568 -45.88694764,-67.9487872 -45.8868418,-67.9495382 -45.8874766,-67.9496884 -45.88726,-67.9485726 -45.886095,-67.9476714 -45.8855871,-67.94628753 -45.88560005,-67.9472744 -45.8852212,-67.9470921 -45.8844967,-67.9472423 -45.883959,-67.9472315 -45.8831823,-67.94607409 -45.88311995,-67.9472744 -45.8827118,-67.9475963 -45.8819051,-67.9476392 -45.8807475,-67.9472208 -45.8805159,-67.9459034 -45.88040255,-67.9468131 -45.8799931,-67.9464698 -45.8794927,-67.9443026 -45.8791491,-67.94258106 -45.87928487,-67.9433799 -45.8793582,-67.9425859 -45.8792462,-67.9414809 -45.8788951,-67.9399574 -45.8788802,-67.9395819 -45.8785889,-67.9398179 -45.8784246,-67.93938002 -45.87863178,-67.9364383 -45.8791566,-67.9368889 -45.8790371,-67.9370821 -45.878798,-67.939657 -45.8787906,-67.9398179 -45.8784246,-67.93512028 -45.8793768,-67.9308057 -45.8796645,-67.9309773 -45.8795823,-67.9308271 -45.8793582,-67.9319429 -45.8795524,-67.9332089 -45.8799333,-67.9339921 -45.8795524,-67.9349685 -45.8793358,-67.935698 -45.8793209,-67.92926139 -45.87980166,-67.9288745 -45.8790371,-67.9299796 -45.8786337,-67.9308271 -45.8793582,-67.9310632 -45.8796271,-67.9308057 -45.8796645,-67.92746283 -45.879252,-67.9288745 -45.8790371,-67.9299796 -45.8786337,-67.9304302 -45.8776552,-67.9309022 -45.8766245,-67.9306126 -45.8766543,-67.92916705 -45.87686758,-67.9305589 -45.8765722,-67.9309773 -45.8765423,-67.9323184 -45.875011,-67.9336917 -45.8726132,-67.93292309 -45.87290945,-67.9337347 -45.872531,-67.9350007 -45.8704245,-67.9346895 -45.8701032,-67.933282 -45.87018527,-67.936492 -45.8696625,-67.9362881 -45.8694234,-67.9350436 -45.8703273,-67.9347003 -45.8699986,-67.93551008 -45.87004015,-67.9383588 -45.8674437,-67.9380584 -45.8682655,-67.9363847 -45.8693786,-67.9365671 -45.8696326,-67.9400271 -45.8665472</t>
  </si>
  <si>
    <t>-67.9400271 -45.8665472,-67.9383588 -45.8674437,-67.9380101 -45.8666929,-67.9392922 -45.8661064,-67.93822649 -45.86645361,,-67.93820898 -45.86621382,-67.939437 -45.8659907,-67.9410034 -45.8642985,-67.9397787 -45.86446671,-67.9413575 -45.8643508,-67.94191 -45.8638801,-67.9413092 -45.8637717,-67.94026881 -45.86394522,-67.9412395 -45.8636896,-67.94085860000001 -45.8628677,-67.94016816 -45.86304785,-67.9407942 -45.8630844,-67.9403758 -45.8621878,-67.9386914 -45.8624792,-67.93749455 -45.86270022,-67.9389811 -45.8623559,-67.9389596 -45.8618329,-67.9381979 -45.8610783,-67.9390669 -45.8607794,-67.93809539 -45.86091501,-67.9388309 -45.8607794,-67.938112 -45.8611007,-67.9377472 -45.860899,-67.9362881 -45.8614743,-67.9374897 -45.8619749,-67.93652197 -45.86222667,-67.9375219 -45.8620421,-67.9357517 -45.861085800000005,-67.9346144 -45.8614519,-67.93332777 -45.86169272,-67.9343569 -45.8614145,-67.9335523 -45.861549,-67.9334021 -45.8611381,-67.9309666 -45.8609214,-67.92973166 -45.86112334,-67.9307091 -45.86097370000001,-67.9287457 -45.8609588,-67.9288423 -45.860757,-67.92827234 -45.86082887,-67.9288423 -45.860757,-67.9286063 -45.8609812,-67.9269433 -45.8608168,-67.9254305 -45.8610559,-67.9256237 -45.8606898,-67.92472033 -45.86078317,-67.9253769 -45.8604208,-67.9236388 -45.8595317,-67.9233384 -45.8597857,-67.92204432 -45.86025045,-67.9235315 -45.8601219,-67.9222655 -45.8604731,-67.92116295 -45.86077528,-67.9219651 -45.8610335,-67.9157424 -45.8609887,-67.91412974 -45.86109479,-67.9153347 -45.8605702,-67.9157317 -45.8599725,-67.9146159 -45.859457,-67.91347499 -45.85938782,-67.9145408 -45.8594047,-67.9124916 -45.858777,-67.9112792 -45.8592776,-67.91058213 -45.85962973,-67.9112792 -45.8592776,-67.9102921 -45.8588293,-67.9105067 -45.8586425,-67.90964669 -45.85881191,-67.9102653 -45.8586986,-67.9081625 -45.8581195,-67.90707943 -45.8582017,-67.90773330000002 -45.8580522,-67.9073417 -45.8579177,-67.9068965 -45.8568567,-67.9053408 -45.8563822,-67.90400196 -45.85653031,-67.904284 -45.8564084,-67.9033184 -45.8552726,-67.9019022 -45.8551232,-67.90067511 -45.8549717,,-67.90022567 -45.85540767,-67.9008508 -45.8548093,-67.8990161 -45.8545403,-67.898823 -45.8538678,-67.8965485 -45.8545553,-67.89483427 -45.85484841,-67.887429 -45.855564,-67.8894138 -45.853808,-67.8932333 -45.8533447,-67.8969455 -45.8545851,-67.8963768 -45.8546599,-67.88581092 -45.85597227,-67.887429 -45.855564,-67.8882551 -45.8548691,-67.8894138 -45.853808,-67.8920853 -45.8535689,-67.8916454 -45.8538678,-67.8897357 -45.85395,-67.88910 -45.85436,-67.8875685 -45.8562589,-67.885799 -45.8571033,-67.88544 -45.8578281,-67.88523 -45.85794,-67.88402968 -45.85834964,-67.8814316 -45.8592926,-67.8808415 -45.8591357,-67.880863 -45.8587322,-67.8817642 -45.858239,-67.8850043 -45.8580522,-67.88077392 -45.85953999,-67.8790283 -45.8588293,-67.880466 -45.8587397,-67.8813028 -45.8593598,-67.87771797 -45.85914466,-67.875917 -45.8590236,-67.8765607 -45.8587098,-67.8784597 -45.8588443,-67.87446619 -45.85953534,-67.8758311 -45.8590012,-67.8755307 -45.858777,-67.8718829 -45.8588144,-67.8721619 -45.8576637,-67.8733528 -45.857462,-67.8739536 -45.8579028,-67.87227986 -45.85836679,-67.8721619 -45.8576637,-67.8734279 -45.8573798,-67.8740823 -45.8579103,-67.87029294 -45.85782787,-67.8694689 -45.8577534,-67.8703272 -45.8578879,-67.8705525 -45.8574694,-67.8710139 -45.8575441,-67.86752908 -45.85773082,-67.8666365 -45.8577982,-67.8680527 -45.857716,-67.86509618 -45.85797591,-67.8655958 -45.85783560000001,-67.8642118 -45.8570435,-67.86269634 -45.8576934,-67.8630531 -45.8577608,-67.8618944 -45.8580074,-67.86119926 -45.8582863,-67.8617334 -45.8580597,-67.8595233 -45.8583362,-67.85800456 -45.85865306,-67.8602314 -45.85924030000001,-67.8568411 -45.8591506,-67.8585362 -45.8586425,-67.85979998 -45.85959279,-67.8623772 -45.8601145,-67.8619158 -45.8597185,-67.86181930000001 -45.8591954,-67.8608966 -45.8592179,-67.8613425 -45.86055445,-67.8623772 -45.8601145,-67.8618085 -45.8597185,-67.8601241 -45.8605852,-67.85862453 -45.86123384,-67.860285 -45.8606225,-67.8606606 -45.8601892,-67.8585577 -45.86128,-67.8585577 -45.8624232,-67.85692916 -45.86285007,-67.8584611 -45.8624008,-67.8585362 -45.8613996,-67.8556395 -45.863768,-67.8529358 -45.8640818,-67.8488266 -45.8634094,-67.8467131 -45.8636335,-67.841531 -45.865030600000004,-67.83960525 -45.86573027,-67.8412199 -45.8655013,-67.8405225 -45.8663007,-67.8390419 -45.8670926,-67.8367031 -45.8674885,-67.83473207 -45.86735073,-67.8358877 -45.8689827,-67.8371322 -45.8686091,-67.8391171 -45.8671001,-67.8367031 -45.8674885,-67.83426888 -45.86898782;-67.83426888 -45.86898782,-67.8358877 -45.8689827,-67.8371322 -45.8686091,-67.8391171 -45.8671001,-67.8367031 -45.8674885,-67.83473207 -45.86735073,-67.8412199 -45.8655013,-67.8405225 -45.8663007,-67.8390419 -45.8670926,-67.8367031 -45.8674885,-67.83960525 -45.86573027,-67.8584611 -45.8624008,-67.8585362 -45.8613996,-67.8556395 -45.863768,-67.8529358 -45.8640818,-67.8488266 -45.8634094,-67.8467131 -45.8636335,-67.841531 -45.865030600000004,-67.85692916 -45.86285007,-67.860285 -45.8606225,-67.8606606 -45.8601892,-67.8585577 -45.86128,-67.8585577 -45.8624232,-67.85862453 -45.86123384,-67.8623772 -45.8601145,-67.8618085 -45.8597185,-67.8601241 -45.8605852,-67.8613425 -45.86055445,-67.8632784 -45.8615042,-67.863096 -45.86128,-67.8622055 -45.8610559,-67.861948 -45.8605105,-67.86252974 -45.86187269,-67.8653276 -45.8635663,-67.8648341 -45.8637904,-67.8645015 -45.8630059,-67.8653491 -45.8606898,-67.8640616 -45.8614295,-67.864423 -45.86337238,-67.8639328 -45.8659271,-67.8645658 -45.8647542,-67.8655207 -45.8635513,-67.86331328 -45.86669187,-67.8659713 -45.8654266,-67.8650701 -45.8654864,-67.864598 -45.8658599,-67.86542164 -45.86561862,-67.8640509 -45.869035,-67.8651345 -45.867384,-67.8649521 -45.8657329,-67.8658748 -45.8655237,-67.86235431 -45.86962035,-67.8639972 -45.8691171,-67.8657031 -45.8680713,-67.86498939 -45.86808329,-67.8668189 -45.8667639,-67.8664005 -45.866988,-67.8663254 -45.8676305,-67.86635342 -45.86702056,-67.8668725 -45.8688706,-67.8667974 -45.868646500000004,-67.8676665 -45.8677127,-67.867012 -45.86727940000001,-67.86653014 -45.86909111,-67.8665292 -45.8705589,-67.866143 -45.8710594,-67.8657889 -45.8704767,-67.8668725 -45.8688706,-67.86552841 -45.87071955,-67.8687286 -45.87223970000001,-67.8671408 -45.8717542,-67.8661752 -45.8712611,-67.8662395 -45.8705888,-67.86803091 -45.87230485,-67.8686213 -45.87223970000001,-67.8679776 -45.8725012,-67.867173 -45.87342,-67.86601994 -45.87390747,-67.8666043 -45.8740773,-67.8655958 -45.8758999,-67.8658319 -45.8761464,-67.86520975 -45.8764158,-67.8690398 -45.8759074,-67.8681815 -45.8748691,-67.8664434 -45.8762585,-67.86877282 -45.87598303,-67.8721726 -45.8748019,-67.868793 -45.8753024,-67.8683639 -45.8750633,-67.8691471 -45.8759522,-67.87226293 -45.87472228,-67.8772473 -45.875646,-67.87714 -45.874899,-67.8760457 -45.8739578,-67.8750265 -45.8733005,-67.8741574 -45.8732108,-67.8737283 -45.8741819,-67.87580898 -45.87623664,-67.8836632 -45.8741296,-67.884264 -45.8734723,-67.8839421 -45.8733229,-67.8833306 -45.8736515,-67.8822899 -45.87404,-67.8816032 -45.8749737,-67.8808522 -45.875153,-67.8791678 -45.8762809,-67.8782129 -45.8766021,-67.8774083 -45.8765572,-67.88196942 -45.87464989,-67.8855407 -45.8747869,-67.8848219 -45.8745703,-67.8843713 -45.8743089,-67.8840923 -45.8735395,-67.8836632 -45.8741296,-67.88511415 -45.8749264,-67.88980010000002 -45.8758999,-67.8896391 -45.8754592,-67.8868389 -45.87464500000001,-67.8887044 -45.87631529,-67.8897572 -45.8759746,-67.8899932 -45.8753472,-67.8922677 -45.8740773,-67.89162305 -45.87383375;-67.89162305 -45.87383375,-67.8897572 -45.8759746,-67.8899932 -45.8753472,-67.8922677 -45.8740773,-67.8887044 -45.87631529,-67.88980010000002 -45.8758999,-67.8896391 -45.8754592,-67.8868389 -45.87464500000001,-67.88511415 -45.8749264,-67.8855407 -45.8747869,-67.8848219 -45.8745703,-67.8843713 -45.8743089,-67.8840923 -45.8735395,-67.8836632 -45.8741296,-67.88196942 -45.87464989,-67.8803158 -45.8771847,-67.8813779 -45.8760792,-67.8823113 -45.875519,-67.8828478 -45.87486160000001,-67.87897854 -45.87766371,-67.8797901 -45.8776627,-67.8792536 -45.87817810000001,-67.8798115 -45.8793806,-67.87875862 -45.87975391,-67.8785026 -45.8788802,-67.8798115 -45.8793806,-67.87684672 -45.87887091,-67.8772688 -45.8789101,-67.8749835 -45.8790146,-67.87362100000001 -45.8797765,-67.8724445 -45.87988188,-67.8726017 -45.880389,-67.8697157 -45.8828462,-67.8706813 -45.8831001,-67.8686643 -45.8830254,-67.86703039 -45.88312685,-67.8737283 -45.8829508,-67.8736854 -45.8833242,-67.8730094 -45.8829134,-67.8686643 -45.8830254,-67.87263059 -45.88283868,-67.8738034 -45.8829806,-67.8739858 -45.8834512,-67.87655 -45.8844445,-67.8765929 -45.8840262,-67.8758872 -45.88413516,-67.8775907 -45.885744,-67.8778374 -45.8851241,-67.8766251 -45.8844594,-67.8767002 -45.8840561,-67.87630061 -45.88642699,,-67.87597578 -45.88674947,-67.8775477 -45.8859232,-67.87784810000001 -45.8854153,-67.8789425 -45.8862742,-67.879554 -45.8862667,-67.8829443 -45.8844743,-67.8806055 -45.8848253,-67.87931365 -45.88515467,-67.8808522 -45.8847432,-67.8831053 -45.8843548,-67.884897 -45.8834586,-67.8876114 -45.88378720000001,-67.8901434 -45.8835856,-67.88934482 -45.88367092,-67.8863347 -45.8849448,-67.8869569 -45.8849672,-67.8874826 -45.883847,-67.8903258 -45.883570600000006,-67.88477851 -45.88530377,-67.8877938 -45.885251,-67.8862166 -45.8849523,-67.88725199 -45.88498287,-67.8916669 -45.8851316,-67.891463 -45.8853332,-67.8890061 -45.8855946,-67.8886521 -45.8849672,-67.88986813 -45.88509226,-67.895658 -45.88465360000001,-67.8955078 -45.8872675,-67.89402720000001 -45.888186,-67.89313670000001 -45.8879097,-67.8935552 -45.8866999,-67.891624 -45.8850718,-67.89478887 -45.88442779,-67.896452 -45.8842129,-67.8972995 -45.8841607,-67.8987801 -45.8833839,-67.8993165 -45.8836304,-67.89811074 -45.88424629,-67.90316820000001 -45.883637900000004,-67.9026854 -45.8831823,-67.9021275 -45.8832794,-67.900722 -45.8842279,-67.9001105 -45.8851465,-67.8995955 -45.8843175,-67.90293219 -45.8836944,-67.9039729 -45.8871629,-67.9034686 -45.8869165,-67.9041123 -45.886192,-67.9042947 -45.8847656,-67.90316820000001 -45.883637900000004,-67.90362098 -45.8874036,-67.9052818 -45.8875736,-67.90654780000001 -45.8882084,-67.9074919 -45.8882756,-67.90705336 -45.88840606,-67.9066443 -45.8844071,-67.9062474 -45.8852585,-67.908833 -45.885968,-67.9091012 -45.8864012,-67.90594775 -45.88423937,,-67.90591516 -45.88446218,-67.9076958 -45.8841084,-67.9082644 -45.8839366,-67.9093373 -45.8833167,-67.9103136 -45.8831972,-67.90970498 -45.88326091,-67.911365 -45.8831076,-67.9142618 -45.8826968,-67.9159892 -45.8825026,-67.91541483 -45.88231338,-67.9166651 -45.8823159,-67.9170835 -45.8822711,-67.9178345 -45.8833989,-67.9184783 -45.8832943,-67.91747464 -45.88372353,-67.9183173 -45.8833018,-67.9179525 -45.8832943,-67.9178452 -45.8829358,-67.9186606 -45.8819873,-67.9191113 -45.8815466,-67.9197979 -45.8813898,-67.91930941 -45.88137118,-67.9231775 -45.8798138,-67.9230273 -45.8801051,-67.9220295 -45.8802022,-67.9198301 -45.8807027,-67.9191542 -45.8814645,-67.9198301 -45.8813375,-67.92260289 -45.87981886,-67.9288745 -45.8790371,-67.9299045 -45.8786188,-67.929765 -45.8784918,-67.9247224 -45.8798512,-67.9241753 -45.8796943,-67.92746283 -45.879252,-67.9288745 -45.8790371,-67.9299796 -45.8786337,-67.9304302 -45.8776552,-67.9309022 -45.8766245,-67.9306126 -45.8766543,-67.92916705 -45.87686758,-67.9305589 -45.8765722,-67.9309773 -45.8765423,-67.9323184 -45.875011,-67.9336917 -45.8726132,-67.93292309 -45.87290945,-67.9337347 -45.872531,-67.9350007 -45.8704245,-67.9346895 -45.8701032,-67.933282 -45.87018527,-67.936492 -45.8696625,-67.9362881 -45.8694234,-67.9350436 -45.8703273,-67.9347003 -45.8699986,-67.93551008 -45.87004015,-67.9383588 -45.8674437,-67.9380584 -45.8682655,-67.9363847 -45.8693786,-67.9365671 -45.8696326,-67.9400271 -45.8665472</t>
  </si>
  <si>
    <t>-67.9400271 -45.8665472,-67.9383588 -45.8674437,-67.9380101 -45.8666929,-67.9392922 -45.8661064,-67.93822649 -45.86645361,,-67.93820898 -45.86621382,-67.939437 -45.8659907,-67.9410034 -45.8642985,-67.9397787 -45.86446671,-67.9413575 -45.8643508,-67.94191 -45.8638801,-67.9413092 -45.8637717,-67.94026881 -45.86394522,-67.9412395 -45.8636896,-67.94085860000001 -45.8628677,-67.94016816 -45.86304785,-67.9407513 -45.863103100000004,-67.9403973 -45.8622551,-67.93757020000001 -45.8636746,-67.93638614 -45.8639203,-67.9374468 -45.8637643,-67.93648120000002 -45.8648999,-67.93542287 -45.86514387,-67.9364544 -45.8650082,-67.9343033 -45.8651128,-67.93322311 -45.86539389,-67.934196 -45.8650755,-67.9339492 -45.8648887,-67.9318678 -45.8652174,-67.93025624 -45.86524613,-67.92887450000002 -45.8655984,-67.929647 -45.8660093,-67.9311919 -45.8652622,-67.92761571 -45.86576064,-67.9284239 -45.8655835,-67.9270077 -45.8655162,-67.92568273 -45.86555172,,-67.92617947 -45.86596757,-67.9266429 -45.8657927,-67.9259992 -45.8665696,-67.92478129 -45.86687146,-67.9258382 -45.86658460000001,-67.9220402 -45.8663903,-67.92069068 -45.86664171,-67.9224908 -45.8663306,-67.9191971 -45.8656582,-67.91774956 -45.8661538,-67.9187572 -45.8661064,-67.9176843 -45.8663679,-67.9172981 -45.8656657,-67.91575239 -45.86551598,-67.9164934 -45.8652398,-67.9147875 -45.8642536,-67.9133606 -45.865322,-67.9120409 -45.8651352,-67.91093971 -45.86527418,-67.9122448 -45.8649709,-67.911129 -45.8644105,-67.9103887 -45.8645226,-67.90917641 -45.86476613,-67.9100668 -45.8647318,-67.9098523 -45.8659197,-67.9103565 -45.8661513,-67.90947109 -45.86641003,-67.9100454 -45.8663754,-67.9094982 -45.8663306,-67.909627 -45.86429100000001,-67.90869072 -45.86438156,-67.9108179 -45.86391,-67.9094768 -45.8638353,-67.9077816 -45.8657329,-67.9066443 -45.8662484,-67.90565529 -45.8665856,-67.906419 -45.86626330000001,-67.9050887 -45.8652025,-67.9043591 -45.864814,-67.90314798 -45.8648888,-67.9039943 -45.8644255,-67.9028034 -45.8637381,-67.8999174 -45.8635812,-67.89867893 -45.86374335,-67.8993487 -45.8636634,-67.8988981 -45.8636933,-67.89861920000001 -45.8635215,-67.8975525 -45.86346654,,-67.89779792 -45.86312838,-67.8962696 -45.8632899,-67.8974175 -45.8625203,-67.8984583 -45.8622177,-67.8946526 -45.86372426,-67.8961945 -45.8632674,-67.8952932 -45.8629985,-67.8948426 -45.8620347,-67.89369378 -45.862107,-67.8961086 -45.8601668,-67.8949714 -45.8618927,-67.89506126 -45.86022417,-67.8960952 -45.8598436,-67.8959692 -45.8585678,-67.8961945 -45.8583138,-67.8955936 -45.8581419,-67.8949177 -45.8572976,-67.8950787 -45.8562589,-67.894907 -45.8558629,-67.8937376 -45.8558928,-67.8932869 -45.8566101,-67.8928149 -45.8568492,-67.8926003 -45.8566998,-67.89119881 -45.85678635,-67.8915596 -45.8569165,-67.8910661 -45.8570435,-67.8905296 -45.8572453,-67.8862917 -45.8600846,-67.8869355 -45.8600547,-67.8873861 -45.8596438,-67.8876221 -45.8588667,-67.8886843 -45.8579999,-67.88485253 -45.86038085;-67.88485253 -45.86038085,-67.8855836 -45.8605329,-67.8847253 -45.8611754,-67.8843284 -45.8612427,-67.88286864 -45.86153258,-67.8809917 -45.8619301,-67.8822792 -45.8616611,-67.8835666 -45.8617507,-67.8845859 -45.8612277,-67.8843284 -45.8612427,-67.87889297 -45.8626014,-67.8800154 -45.8627071,-67.880863 -45.8635887,-67.8814101 -45.8638502,-67.881496 -45.8643508,-67.8795862 -45.8651352,-67.87816911 -45.86559299,-67.8794253 -45.8652025,-67.8813779 -45.8643508,-67.8805947 -45.8648065,-67.8801227 -45.8652622,-67.8801119 -45.8658151,-67.8798544 -45.8661513,-67.87841593 -45.86693979,-67.8773224 -45.8682132,-67.8784168 -45.867951700000006,-67.8792751 -45.866988,-67.87529512 -45.86884053,-67.8755951 -45.8690125,-67.8751016 -45.8692815,-67.8764427 -45.8695952,-67.87545792 -45.87007243,-67.8735942 -45.8680488,-67.8724301 -45.8682281,-67.8724086 -45.8686689,-67.8764427 -45.8695952,-67.8729107 -45.86822856,-67.8699839 -45.8693413,-67.8700376 -45.8699389,-67.8703916 -45.8701929,-67.8709173 -45.8699239,-67.8707349 -45.8692815,-67.8712177 -45.8686166,-67.8731596 -45.8681236,-67.86891343 -45.86940172,-67.8665292 -45.8704394,-67.8664756 -45.8701107,-67.8674197 -45.8697073,-67.8698659 -45.8700883,-67.8700376 -45.8699389,-67.8700268 -45.8692964,-67.86552841 -45.87071955,-67.8665292 -45.8705589,-67.866143 -45.8710594,-67.8657889 -45.8704767,-67.8668725 -45.8688706,-67.86653014 -45.86909111,-67.8668725 -45.8688706,-67.8667974 -45.868646500000004,-67.8676665 -45.8677127,-67.867012 -45.86727940000001,-67.86635342 -45.86702056,-67.8668189 -45.8667639,-67.8664005 -45.866988,-67.8663254 -45.8676305,-67.86498939 -45.86808329,-67.8639972 -45.8691171,-67.8657031 -45.8680713,-67.86235431 -45.86962035,-67.8593409 -45.8716048,-67.85971640000001 -45.8705365,-67.8614008 -45.870529,-67.861948 -45.8698268,-67.8630531 -45.8694832,-67.85882935 -45.87179542,-67.857635 -45.8744807,-67.8541696 -45.874152,-67.8588581 -45.8727103,-67.8593409 -45.8716048,-67.857019 -45.87438052,-67.84873010000001 -45.87312860000001,-67.8543305 -45.8741595,-67.857635 -45.8744807,-67.84711722 -45.87310355,-67.8489339 -45.8731324,-67.8501302 -45.8733565,-67.8485316 -45.8736739,-67.8459191 -45.8729942,-67.84549 -45.8723406,-67.8449106 -45.8726842,-67.84336962 -45.87289033,-67.8464448 -45.8713396,-67.8465736 -45.871657000000006,-67.84484620000002 -45.8726692,-67.84458226 -45.87132178,-67.8433174 -45.8702414,-67.8424054 -45.8705701,-67.8442401 -45.8712014,-67.8457582 -45.8705029,-67.8468794 -45.8714778,-67.8465736 -45.871657000000006,-67.8464073 -45.8713396,-67.84266503 -45.8702826,-67.8403401 -45.8715002,-67.8396213 -45.8713059,-67.8401256 -45.8706859,-67.8424323 -45.8705216,-67.8432369 -45.8702153,-67.83999726 -45.87142467,-67.8404045 -45.871440400000004,-67.8396642 -45.8713657,-67.8393745 -45.8705216,-67.8371751 -45.8699314,-67.8344822 -45.8697969,-67.8345251 -45.8700584,-67.8363597 -45.8707606,-67.83598551 -45.8713908,-67.8363276 -45.8710445,-67.8348899 -45.87091,-67.8336024 -45.8710221,-67.83204724 -45.87132308,-67.8347504 -45.8724041,-67.8345788 -45.8717915,-67.8335381 -45.8712686,-67.8339131 -45.87269245,-67.8368962 -45.8743761,-67.8363168 -45.8740101,-67.8365743 -45.8734723,-67.8358126 -45.8726879,-67.8366923 -45.875026,-67.8369284 -45.8751679,-67.8384304 -45.875317300000006,-67.83709911 -45.87528907,-67.8404582 -45.876744,-67.8387737 -45.8754144,-67.83972408 -45.87683377,-67.8388381 -45.8793059,-67.8380656 -45.8795375,-67.8406405 -45.8772519,-67.8405118 -45.8769083,-67.8383257 -45.87925524,-67.8388596 -45.8793582,-67.8365421 -45.8801649,-67.8342998 -45.88042630000001,-67.8343749 -45.8798736,-67.83402097 -45.87975218,-67.8344929 -45.8798512,-67.834214 -45.88047110000001,-67.8320682 -45.880613,-67.8315103 -45.8803068,-67.83022822 -45.88021021,-67.8282809 -45.8789624,-67.8289354 -45.8793806,-67.83077000000002 -45.8797541,-67.82657673 -45.87879537,-67.8282809 -45.8789624,-67.8290534 -45.8802919,-67.8286672 -45.88047110000001,-67.82727683 -45.88061818;-67.82727683 -45.88061818,-67.8282809 -45.8789624,-67.8290534 -45.8802919,-67.8286672 -45.88047110000001,-67.82657673 -45.87879537,-67.8282809 -45.8789624,-67.8289354 -45.8793806,-67.83077000000002 -45.8797541,-67.83022822 -45.88021021,-67.8344929 -45.8798512,-67.834214 -45.88047110000001,-67.8320682 -45.880613,-67.8315103 -45.8803068,-67.83402097 -45.87975218,-67.8388596 -45.8793582,-67.8365421 -45.8801649,-67.8342998 -45.88042630000001,-67.8343749 -45.8798736,-67.8383257 -45.87925524,-67.8388381 -45.8793059,-67.8380656 -45.8795375,-67.8406405 -45.8772519,-67.8405118 -45.8769083,-67.83972408 -45.87683377,-67.8404582 -45.876744,-67.8387737 -45.8754144,-67.83709911 -45.87528907,-67.8369284 -45.8751679,-67.8384304 -45.875317300000006,-67.8366923 -45.875026,-67.8368962 -45.8743761,-67.8363168 -45.8740101,-67.8365743 -45.8734723,-67.8358126 -45.8726879,-67.8339131 -45.87269245,-67.8347504 -45.8724041,-67.8345788 -45.8717915,-67.8335381 -45.8712686,-67.83204724 -45.87132308,-67.8326046 -45.8712686,-67.8287637 -45.8718438,-67.8266931 -45.8718811,-67.8259957 -45.8715076,-67.82435527 -45.87146335,-67.8260922 -45.8716048,-67.8258884 -45.8718886,-67.8219509 -45.871657,-67.8194082 -45.8687287,-67.8185391 -45.8670926,-67.8190756 -45.8667788,-67.8187144 -45.86699435,-67.819097 -45.8668461,-67.8186357 -45.8670552,-67.8192151 -45.868385,-67.81829240000002 -45.8680713,-67.81633269 -45.86814359,-67.8182173 -45.868004,-67.8160286 -45.8663455,-67.8181314 -45.8648065,-67.8182173 -45.864545,-67.81720169 -45.86444747,-67.8186142 -45.8634617,-67.8183568 -45.8624605,-67.8160179 -45.8615565,-67.8143764 -45.8610559,-67.81282229 -45.86107452,-67.8138077 -45.8564532,-67.814548 -45.8566699,-67.813561 -45.8597484,-67.8137219 -45.8605777,-67.81224182 -45.85671416,-67.8125632 -45.8568492,-67.810396 -45.8571033,-67.8101599 -45.8566923,-67.80907829 -45.8565264,-67.8098595 -45.8560647,-67.809999 -45.8550036,-67.8090441 -45.8548691,-67.8072436 -45.85498762,-67.807982 -45.8550559,-67.8067052 -45.8553548,-67.80486959 -45.85565241,-67.8067052 -45.8553548,-67.8072202 -45.8551381,-67.8064048 -45.853539,-67.80441533 -45.8533642,-67.8022742 -45.8555864,-67.8041196 -45.8551755,-67.8052676 -45.8539873,-67.8064048 -45.853539,-67.80089696 -45.85587052,-67.8020167 -45.855975,-67.8003323 -45.857716,-67.79860937 -45.85802352;-67.79860937 -45.85802352,-67.8020167 -45.855975,-67.8003323 -45.857716,-67.80089696 -45.85587052,-67.8022742 -45.8555864,-67.8041196 -45.8551755,-67.8052676 -45.8539873,-67.8064048 -45.853539,-67.80441533 -45.8533642,-67.8067052 -45.8553548,-67.8072202 -45.8551381,-67.8064048 -45.853539,-67.80486959 -45.85565241,-67.807982 -45.8550559,-67.8067052 -45.8553548,-67.8072436 -45.85498762,-67.8098595 -45.8560647,-67.809999 -45.8550036,-67.8090441 -45.8548691,-67.80907829 -45.8565264,-67.8125632 -45.8568492,-67.810396 -45.8571033,-67.8101599 -45.8566923,-67.81224182 -45.85671416,-67.8138077 -45.8564532,-67.814548 -45.8566699,-67.813561 -45.8597484,-67.8137219 -45.8605777,-67.81282229 -45.86107452,-67.8186142 -45.8634617,-67.8183568 -45.8624605,-67.8160179 -45.8615565,-67.8143764 -45.8610559,-67.81720169 -45.86444747,-67.8182173 -45.868004,-67.8160286 -45.8663455,-67.8181314 -45.8648065,-67.8182173 -45.864545,-67.81633269 -45.86814359,-67.819097 -45.8668461,-67.8186357 -45.8670552,-67.8192151 -45.868385,-67.81829240000002 -45.8680713,-67.8187144 -45.86699435,-67.8260922 -45.8716048,-67.8258884 -45.8718886,-67.8219509 -45.871657,-67.8194082 -45.8687287,-67.8185391 -45.8670926,-67.8190756 -45.8667788,-67.82435527 -45.87146335,-67.8326046 -45.8712686,-67.8287637 -45.8718438,-67.8266931 -45.8718811,-67.8259957 -45.8715076,-67.83204724 -45.87132308,-67.8347504 -45.8724041,-67.8345788 -45.8717915,-67.8335381 -45.8712686,-67.8339131 -45.87269245,-67.8368962 -45.8743761,-67.8363168 -45.8740101,-67.8365743 -45.8734723,-67.8358126 -45.8726879,-67.8366923 -45.875026,-67.8362739 -45.8749812,-67.8353405 -45.875362100000004,-67.8336787 -45.87548722,-67.8340852 -45.8751231,-67.8342354 -45.8742566,-67.8322077 -45.8732855,-67.8288817 -45.8737262,-67.82716871 -45.873948,-67.821511 -45.878081,-67.8234959 -45.8768037,-67.8260922 -45.8734274,-67.8288066 -45.8736889,-67.82018891 -45.8787842,-67.826339 -45.88047110000001,-67.8268754 -45.8811284,-67.8273153 -45.8802321,-67.8244936 -45.8781408,-67.8228843 -45.8780212,-67.8223586 -45.8783947,-67.8233027 -45.8768411,-67.8215861 -45.8781258,-67.82495492 -45.88019856,-67.8244615 -45.8810313,-67.8250515 -45.8799259,-67.8256953 -45.8798288,-67.82277878 -45.88156147;-67.82277878 -45.88156147,-67.8244615 -45.8810313,-67.8250515 -45.8799259,-67.8256953 -45.8798288,-67.82495492 -45.88019856,-67.826339 -45.88047110000001,-67.8268003 -45.8811956,-67.8233886 -45.8829433,-67.8221127 -45.88349304,-67.8419 -45.8843,-67.84199 -45.88554,-67.8396535 -45.88699,-67.83912 -45.88937,-67.83802 -45.8905,-67.83603 -45.89096,-67.83455 -45.89131,-67.8337097 -45.8907848,-67.83354 -45.88813,-67.82783 -45.88844,-67.824097 -45.88562,-67.82332 -45.88365,-67.8408227 -45.88408969,-67.8418744 -45.8837275,-67.8411126 -45.8830703,-67.839793 -45.8826221,-67.8392565 -45.8819126,-67.8402436 -45.8815616,-67.83977572 -45.88161766,-67.842443 -45.8796122,-67.8389347 -45.8810612,-67.8383017 -45.8819499,-67.8395998 -45.8826445,-67.8392565 -45.8820246,-67.8403294 -45.8816064,-67.84221298 -45.87973382,-67.8455973 -45.8806504,-67.8449214 -45.8812852,-67.8420246 -45.8795972,-67.8425181 -45.87953,-67.84518194 -45.88032275,-67.8494382 -45.880628,-67.84873010000001 -45.8802396,-67.8461766 -45.8806653,-67.8457046 -45.880515900000006,-67.8485758 -45.88086765,-67.8556287 -45.8843698,-67.853719 -45.8831001,-67.8518629 -45.8825923,-67.8500605 -45.8812329,-67.85493998 -45.88481908,-67.8571093 -45.8855572,-67.8559184 -45.8854378,-67.8555107 -45.884698400000005,-67.85655105 -45.88556448,-67.85825730000002 -45.8853855,-67.85964130000002 -45.8854228,-67.85908094 -45.88593849,-67.8614116 -45.8855274,-67.862978 -45.884788,-67.8635466 -45.8831599,-67.8632355 -45.8817483,-67.86391140000002 -45.8815093,-67.8628063 -45.8810537,-67.8623772 -45.8814346,-67.86071597 -45.88116865,-67.8685462 -45.8831151,-67.8700483 -45.8829059,-67.8648233 -45.8818603,-67.8628063 -45.8810537,-67.8621304 -45.8814645,-67.86703039 -45.88312685,-67.8737283 -45.8829508,-67.8736854 -45.8833242,-67.8730094 -45.8829134,-67.8686643 -45.8830254,-67.87263059 -45.88283868,-67.8738034 -45.8829806,-67.8739858 -45.8834512,-67.87655 -45.8844445,-67.8765929 -45.8840262,-67.8758872 -45.88413516,-67.8775907 -45.885744,-67.8778374 -45.8851241,-67.8766251 -45.8844594,-67.8767002 -45.8840561,-67.87630061 -45.88642699,,-67.87597578 -45.88674947,-67.8775477 -45.8859232,-67.87784810000001 -45.8854153,-67.8789425 -45.8862742,-67.879554 -45.8862667,-67.8829443 -45.8844743,-67.8806055 -45.8848253,-67.87931365 -45.88515467,-67.8808522 -45.8847432,-67.8831053 -45.8843548,-67.884897 -45.8834586,-67.8876114 -45.88378720000001,-67.8901434 -45.8835856,-67.88934482 -45.88367092,-67.8863347 -45.8849448,-67.8869569 -45.8849672,-67.8874826 -45.883847,-67.8903258 -45.883570600000006,-67.88477851 -45.88530377,-67.8877938 -45.885251,-67.8862166 -45.8849523,-67.88725199 -45.88498287,-67.8916669 -45.8851316,-67.891463 -45.8853332,-67.8890061 -45.8855946,-67.8886521 -45.8849672,-67.88986813 -45.88509226,-67.895658 -45.88465360000001,-67.8955078 -45.8872675,-67.89402720000001 -45.888186,-67.89313670000001 -45.8879097,-67.8935552 -45.8866999,-67.891624 -45.8850718,-67.89478887 -45.88442779,-67.896452 -45.8842129,-67.8972995 -45.8841607,-67.8987801 -45.8833839,-67.8993165 -45.8836304,-67.89811074 -45.88424629,-67.90316820000001 -45.883637900000004,-67.9026854 -45.8831823,-67.9021275 -45.8832794,-67.900722 -45.8842279,-67.9001105 -45.8851465,-67.8995955 -45.8843175,-67.90293219 -45.8836944,-67.9039729 -45.8871629,-67.9034686 -45.8869165,-67.9041123 -45.886192,-67.9042947 -45.8847656,-67.90316820000001 -45.883637900000004,-67.90362098 -45.8874036,-67.9052818 -45.8875736,-67.90654780000001 -45.8882084,-67.9074919 -45.8882756,-67.90705336 -45.88840606,-67.9066443 -45.8844071,-67.9062474 -45.8852585,-67.908833 -45.885968,-67.9091012 -45.8864012,-67.90594775 -45.88423937,,-67.90591516 -45.88446218,-67.9076958 -45.8841084,-67.9082644 -45.8839366,-67.9093373 -45.8833167,-67.9103136 -45.8831972,-67.90970498 -45.88326091,-67.911365 -45.8831076,-67.9142618 -45.8826968,-67.9159892 -45.8825026,-67.91541483 -45.88231338,-67.9166651 -45.8823159,-67.9170835 -45.8822711,-67.9178345 -45.8833989,-67.9184783 -45.8832943,-67.91747464 -45.88372353,-67.9183173 -45.8833018,-67.9179525 -45.8832943,-67.9178452 -45.8829358,-67.9186606 -45.8819873,-67.9191113 -45.8815466,-67.9197979 -45.8813898,-67.91930941 -45.88137118,-67.9231775 -45.8798138,-67.9230273 -45.8801051,-67.9220295 -45.8802022,-67.9198301 -45.8807027,-67.9191542 -45.8814645,-67.9198301 -45.8813375,-67.92260289 -45.87981886,-67.9288745 -45.8790371,-67.9299045 -45.8786188,-67.929765 -45.8784918,-67.9247224 -45.8798512,-67.9241753 -45.8796943,-67.92746283 -45.879252,-67.9288745 -45.8790371,-67.9299796 -45.8786337,-67.9304302 -45.8776552,-67.9309022 -45.8766245,-67.9306126 -45.8766543,-67.92916705 -45.87686758,-67.9305589 -45.8765722,-67.9309773 -45.8765423,-67.9323184 -45.875011,-67.9336917 -45.8726132,-67.93292309 -45.87290945,-67.9337347 -45.872531,-67.9350007 -45.8704245,-67.9346895 -45.8701032,-67.933282 -45.87018527,-67.936492 -45.8696625,-67.9362881 -45.8694234,-67.9350436 -45.8703273,-67.9347003 -45.8699986,-67.93551008 -45.87004015,-67.9383588 -45.8674437,-67.9380584 -45.8682655,-67.9363847 -45.8693786,-67.9365671 -45.8696326,-67.9400271 -45.8665472</t>
  </si>
  <si>
    <t>-67.9400271 -45.8665472,-67.9383588 -45.8674437,-67.9380584 -45.8682655,-67.9363847 -45.8693786,-67.9365671 -45.8696326,-67.93551008 -45.87004015,-67.936492 -45.8696625,-67.9362881 -45.8694234,-67.9350436 -45.8703273,-67.9347003 -45.8699986,-67.933282 -45.87018527,-67.9337347 -45.872531,-67.9350007 -45.8704245,-67.9346895 -45.8701032,-67.93292309 -45.87290945,-67.9305589 -45.8765722,-67.9309773 -45.8765423,-67.9323184 -45.875011,-67.9336917 -45.8726132,-67.92916705 -45.87686758,-67.9288745 -45.8790371,-67.9299796 -45.8786337,-67.9304302 -45.8776552,-67.9309022 -45.8766245,-67.9306126 -45.8766543,-67.92746283 -45.879252,-67.9288745 -45.8790371,-67.9299796 -45.8786337,-67.9308271 -45.8793582,-67.9310632 -45.8796271,-67.9308057 -45.8796645,-67.92926139 -45.87980166,-67.9308057 -45.8796645,-67.9309773 -45.8795823,-67.9308271 -45.8793582,-67.9319429 -45.8795524,-67.9332089 -45.8799333,-67.9339921 -45.8795524,-67.9349685 -45.8793358,-67.935698 -45.8793209,-67.93512028 -45.8793768,-67.9380155 -45.8812404,-67.938627 -45.880852,-67.9384768 -45.8805682,-67.9371035 -45.8800827,-67.9358482 -45.8797093,-67.9335737 -45.8797616,-67.934432 -45.8794255,-67.9350007 -45.8792835,-67.9357088 -45.8792686,-67.93588984 -45.88149225,-67.9369104 -45.8822487,-67.9367441 -45.8819686,-67.9385787 -45.881274,-67.938568 -45.8809641,-67.9379243 -45.8811844,-67.93623372 -45.88237227,-67.9369962 -45.8822636,-67.9367441 -45.8819686,-67.9343677 -45.8832719,-67.93288041 -45.88347512,,-67.93297197 -45.88384007,-67.9325545 -45.8880964,-67.9324257 -45.8875363,-67.933048 -45.8868642,-67.9335093 -45.8836304,-67.93195275 -45.88880085,,-67.93184093 -45.88869985,-67.929883 -45.8876782,-67.9306018 -45.8878724,-67.9317605 -45.8883727,-67.9326189 -45.888201,-67.92838162 -45.88770662,-67.9286492 -45.8892166,-67.9288638 -45.8878724,-67.9292393 -45.8876931,-67.92758265 -45.88993498,-67.929368 -45.8925994,-67.9296148 -45.8919423,-67.9287994 -45.8913897,-67.9285097 -45.8910014,-67.9286277 -45.8901127,-67.92819602 -45.89300211,-67.9235637 -45.895743,-67.9241538 -45.8953249,-67.9267287 -45.8949142,-67.9271579 -45.8944961,-67.9267287 -45.8942048,-67.9257309 -45.8936448,-67.9256558 -45.8930698,-67.9268682 -45.8923604,-67.9289711 -45.8934208,-67.9293036 -45.893361,-67.92261639 -45.89612501,-67.9221904 -45.8981548,-67.9232204 -45.8984983,-67.9230487 -45.8980652,-67.9224908 -45.89755,-67.9236388 -45.8964449,-67.92046749 -45.89809236,-67.9312027 -45.9008128,-67.9299688 -45.9015296,-67.9282737 -45.9003723,-67.9263103 -45.8994316,-67.9232204 -45.8984983,-67.9221046 -45.8981623,-67.93028301 -45.90068278,-67.9313636 -45.9007755,-67.9299688 -45.9015296,-67.9309559 -45.9024778,-67.931664 -45.9022687,-67.9323721 -45.9010144,-67.9335737 -45.900447,-67.9371786 -45.9012832,-67.9379082 -45.9021045,-67.9396677 -45.9026719,-67.941041 -45.9025674,-67.94048121 -45.90255833,-67.9417276 -45.9060912,-67.9426718 -45.9047623,-67.9416203 -45.9047773,-67.9445601 -45.9035379,-67.942543 -45.9026271,-67.94070253 -45.90708056,-67.9419637 -45.9061061,-67.9426718 -45.9047623,-67.9415345 -45.9048967,-67.938745 -45.9059568,-67.9340029 -45.9072707,-67.9353547 -45.9073006,-67.93482704 -45.9074612,-67.922008 -45.9097193,-67.9201412 -45.9109884,-67.9196906 -45.9109585,-67.9200125 -45.9097492,-67.9210854 -45.909585,-67.9227591 -45.90851,-67.9267287 -45.9077933,-67.9317927 -45.9075544,-67.9344964 -45.9080023,-67.9353762 -45.9076142,-67.92132124 -45.90950332,-67.9221797 -45.9097492,-67.9201412 -45.9109884,-67.91924 -45.911063,-67.9191971 -45.9115109,-67.91938339 -45.91141146,-67.9150558 -45.9126903,-67.9162359 -45.9122126,-67.9164505 -45.9115408,-67.9181457 -45.910645,-67.9202914 -45.9111078,-67.91361731 -45.91301639,-67.9095197 -45.9178556,-67.9090691 -45.9168107,-67.9049706 -45.9149894,-67.9050565 -45.9146311,-67.908597 -45.9143027,-67.9105282 -45.9135114,-67.9126954 -45.9130636,-67.9141974 -45.9123171,-67.90949828 -45.91775832,-67.9105067 -45.9207068,-67.9081678 -45.9205276,-67.9078245 -45.9200798,-67.9065156 -45.9195574,-67.9081035 -45.9191991,-67.9097772 -45.9180049,-67.91006087 -45.92075561,-67.9186392 -45.925737,-67.9181242 -45.9258713,-67.9160213 -45.924319,-67.9144335 -45.9239011,-67.9125881 -45.9236324,-67.911365 -45.9232891,-67.908361 -45.9205575,-67.9107213 -45.9206172,-67.91781996 -45.92567691,-67.9183388 -45.9258713,-67.9167509 -45.9248116,-67.9175448 -45.9264683,-67.9174805 -45.9272444,-67.9163647 -45.9281549,-67.9153562 -45.9282295,-67.9142404 -45.9287071,-67.9133177 -45.9295131,-67.9126954 -45.9289758,-67.912631 -45.9280206,-67.9141116 -45.9273489,-67.9158497 -45.9268415,-67.9161072 -45.9264235,-67.9158711 -45.9259907,-67.91406535 -45.92603076,-67.9160428 -45.9260952,-67.9158497 -45.9268415,-67.9124379 -45.928125,-67.9126954 -45.9289758,-67.9133177 -45.9295131,-67.9122019 -45.9304384,-67.9106355 -45.9306175,-67.9069018 -45.9297071,-67.9082537 -45.9278265,-67.90777463 -45.92772469,-67.9082537 -45.9278265,-67.9069018 -45.9297071,-67.9044557 -45.9301399,-67.9031253 -45.9268564,-67.9025245 -45.9264086,-67.90071017 -45.92674612;-67.90071017 -45.92674612,-67.9082537 -45.9278265,-67.9069018 -45.9297071,-67.9044557 -45.9301399,-67.9031253 -45.9268564,-67.9025245 -45.9264086,-67.90777463 -45.92772469,-67.9160428 -45.9260952,-67.9158497 -45.9268415,-67.9124379 -45.928125,-67.9126954 -45.9289758,-67.9133177 -45.9295131,-67.9122019 -45.9304384,-67.9106355 -45.9306175,-67.9069018 -45.9297071,-67.9082537 -45.9278265,-67.91406535 -45.92603076,-67.9183388 -45.9258713,-67.9167509 -45.9248116,-67.9175448 -45.9264683,-67.9174805 -45.9272444,-67.9163647 -45.9281549,-67.9153562 -45.9282295,-67.9142404 -45.9287071,-67.9133177 -45.9295131,-67.9126954 -45.9289758,-67.912631 -45.9280206,-67.9141116 -45.9273489,-67.9158497 -45.9268415,-67.9161072 -45.9264235,-67.9158711 -45.9259907,-67.91781996 -45.92567691,-67.9186392 -45.925737,-67.9181242 -45.9258713,-67.9160213 -45.924319,-67.9144335 -45.9239011,-67.9125881 -45.9236324,-67.911365 -45.9232891,-67.908361 -45.9205575,-67.9107213 -45.9206172,-67.91006087 -45.92075561,-67.9105067 -45.9207068,-67.9081678 -45.9205276,-67.9078245 -45.9200798,-67.9065156 -45.9195574,-67.9081035 -45.9191991,-67.9097772 -45.9180049,-67.90949828 -45.91775832,-67.9095197 -45.9178556,-67.9090691 -45.9168107,-67.9049706 -45.9149894,-67.9050565 -45.9146311,-67.908597 -45.9143027,-67.9105282 -45.9135114,-67.9126954 -45.9130636,-67.9141974 -45.9123171,-67.91361731 -45.91301639,-67.9152703 -45.9126754,-67.9162359 -45.9122126,-67.9164505 -45.9115408,-67.9124379 -45.9113168,-67.9118156 -45.9111227,-67.91156522 -45.91091836;-67.91156522 -45.91091836,-67.9152703 -45.9126754,-67.9162359 -45.9122126,-67.9164505 -45.9115408,-67.9124379 -45.9113168,-67.9118156 -45.9111227,-67.91361731 -45.91301639,-67.9095197 -45.9178556,-67.9090691 -45.9168107,-67.9049706 -45.9149894,-67.9050565 -45.9146311,-67.908597 -45.9143027,-67.9105282 -45.9135114,-67.9126954 -45.9130636,-67.9141974 -45.9123171,-67.90949828 -45.91775832,-67.9105067 -45.9207068,-67.9081678 -45.9205276,-67.9078245 -45.9200798,-67.9065156 -45.9195574,-67.9081035 -45.9191991,-67.9097772 -45.9180049,-67.91006087 -45.92075561,-67.9186392 -45.925737,-67.9181242 -45.9258713,-67.9160213 -45.924319,-67.9144335 -45.9239011,-67.9125881 -45.9236324,-67.911365 -45.9232891,-67.908361 -45.9205575,-67.9107213 -45.9206172,-67.91781996 -45.92567691,-67.9183388 -45.9258713,-67.9167509 -45.9248116,-67.9175448 -45.9264683,-67.9174805 -45.9272444,-67.9163647 -45.9281549,-67.9153562 -45.9282295,-67.9142404 -45.9287071,-67.9133177 -45.9295131,-67.9126954 -45.9289758,-67.912631 -45.9280206,-67.9141116 -45.9273489,-67.9158497 -45.9268415,-67.9161072 -45.9264235,-67.9158711 -45.9259907,-67.91406535 -45.92603076,-67.9160428 -45.9260952,-67.9158497 -45.9268415,-67.9124379 -45.928125,-67.9126954 -45.9289758,-67.9133177 -45.9295131,-67.9122019 -45.9304384,-67.9106355 -45.9306175,-67.9069018 -45.9297071,-67.9082537 -45.9278265,-67.90777463 -45.92772469,-67.9082537 -45.9278265,-67.9069018 -45.9297071,-67.9044557 -45.9301399,-67.9031253 -45.9268564,-67.9025245 -45.9264086,-67.90071017 -45.92674612,-67.9025245 -45.9264086,-67.9055715 -45.9264683,-67.90418073 -45.92703668;-67.90418073 -45.92703668,-67.9025245 -45.9264086,-67.9055715 -45.9264683,-67.90071017 -45.92674612,-67.9082537 -45.9278265,-67.9069018 -45.9297071,-67.9044557 -45.9301399,-67.9031253 -45.9268564,-67.9025245 -45.9264086,-67.90777463 -45.92772469,-67.9160428 -45.9260952,-67.9158497 -45.9268415,-67.9124379 -45.928125,-67.9126954 -45.9289758,-67.9133177 -45.9295131,-67.9122019 -45.9304384,-67.9106355 -45.9306175,-67.9069018 -45.9297071,-67.9082537 -45.9278265,-67.91406535 -45.92603076,-67.9183388 -45.9258713,-67.9167509 -45.9248116,-67.9175448 -45.9264683,-67.9174805 -45.9272444,-67.9163647 -45.9281549,-67.9153562 -45.9282295,-67.9142404 -45.9287071,-67.9133177 -45.9295131,-67.9126954 -45.9289758,-67.912631 -45.9280206,-67.9141116 -45.9273489,-67.9158497 -45.9268415,-67.9161072 -45.9264235,-67.9158711 -45.9259907,-67.91781996 -45.92567691,-67.9287672 -45.9270653,-67.927587 -45.9266922,-67.9265141 -45.9266325,-67.9261708 -45.9260206,-67.926321 -45.9254982,-67.9253769 -45.9248713,-67.9232097 -45.9249011,-67.922008 -45.9242593,-67.9200339 -45.9239458,-67.9162788 -45.9243787,-67.9181242 -45.9258713,-67.9186392 -45.925737,-67.92882882 -45.92622679,-67.9366422 -45.9271698,-67.9355264 -45.9268564,-67.9335093 -45.9267071,-67.9319644 -45.9271698,-67.9287672 -45.9270653,-67.93584321 -45.92709528,-67.9435515 -45.9227219,-67.9384983 -45.9223039,-67.9381764 -45.9219979,-67.9378438 -45.9222592,-67.9378438 -45.9241399,-67.9368353 -45.9265728,-67.9433277 -45.92278492;-67.9433277 -45.92278492,-67.9437661 -45.9226174,-67.9421139 -45.9226995,-67.9384983 -45.9223039,-67.9381764 -45.9219979,-67.9380584 -45.9212964,-67.9374897 -45.9206471,-67.9373181 -45.9201097,-67.9376721 -45.9193932,-67.9375219 -45.920244,-67.9378974 -45.9205575,-67.93749101 -45.92107433,-67.9378974 -45.9205575,-67.9375219 -45.920244,-67.9376721 -45.9193932,-67.9373181 -45.9201097,-67.9375005 -45.9207814,-67.9381657 -45.9214382,-67.9378438 -45.9222592,-67.9378653 -45.9235428,-67.9352689 -45.9230204,-67.9323292 -45.9215277,-67.9315567 -45.9216173,-67.92974857 -45.92193359,-67.9315567 -45.9216173,-67.9323292 -45.9215277,-67.9268146 -45.9178258,-67.9294968 -45.9176466,-67.9304409 -45.9174227,-67.9300117 -45.9168704,-67.9294324 -45.9165121,-67.92776392 -45.91634643,-67.9294324 -45.9165121,-67.930162 -45.916945,-67.9304409 -45.9174227,-67.9261708 -45.9179004,-67.9190469 -45.9157209,-67.9196262 -45.9152282,-67.91936766 -45.91518342,,-67.9198102 -45.91487479,-67.9231882 -45.9122723,-67.9249692 -45.9120036,-67.9255915 -45.9130038,-67.9226518 -45.9145117,-67.9209566 -45.9155119,-67.9190469 -45.9157209,-67.9196262 -45.9152282,-67.92178415 -45.91276334,-67.9250765 -45.911063,-67.9249692 -45.9120036,-67.9233384 -45.9123171,-67.92339949 -45.91107871,-67.9191971 -45.9115109,-67.9193473 -45.9122574,-67.9206347 -45.9121827,-67.9237676 -45.911287,-67.91938339 -45.91141146,-67.9221797 -45.9097492,-67.9201412 -45.9109884,-67.91924 -45.911063,-67.9191971 -45.9115109,-67.92132124 -45.90950332,-67.922008 -45.9097193,-67.9201412 -45.9109884,-67.9196906 -45.9109585,-67.9200125 -45.9097492,-67.9210854 -45.909585,-67.9227591 -45.90851,-67.9267287 -45.9077933,-67.9317927 -45.9075544,-67.9344964 -45.9080023,-67.9353762 -45.9076142,-67.93482704 -45.9074612,-67.9419637 -45.9061061,-67.9426718 -45.9047623,-67.9415345 -45.9048967,-67.938745 -45.9059568,-67.9340029 -45.9072707,-67.9353547 -45.9073006,-67.94070253 -45.90708056,-67.9417276 -45.9060912,-67.9426718 -45.9047623,-67.9416203 -45.9047773,-67.9445601 -45.9035379,-67.942543 -45.9026271,-67.94048121 -45.90255833,-67.9313636 -45.9007755,-67.9299688 -45.9015296,-67.9309559 -45.9024778,-67.931664 -45.9022687,-67.9323721 -45.9010144,-67.9335737 -45.900447,-67.9371786 -45.9012832,-67.9379082 -45.9021045,-67.9396677 -45.9026719,-67.941041 -45.9025674,-67.93028301 -45.90068278,-67.9312027 -45.9008128,-67.9299688 -45.9015296,-67.9282737 -45.9003723,-67.9263103 -45.8994316,-67.9232204 -45.8984983,-67.9221046 -45.8981623,-67.92046749 -45.89809236,-67.9221904 -45.8981548,-67.9232204 -45.8984983,-67.9230487 -45.8980652,-67.9224908 -45.89755,-67.9236388 -45.8964449,-67.92261639 -45.89612501,-67.9235637 -45.895743,-67.9241538 -45.8953249,-67.9267287 -45.8949142,-67.9271579 -45.8944961,-67.9267287 -45.8942048,-67.9257309 -45.8936448,-67.9256558 -45.8930698,-67.9268682 -45.8923604,-67.9289711 -45.8934208,-67.9293036 -45.893361,-67.92819602 -45.89300211,-67.929368 -45.8925994,-67.9296148 -45.8919423,-67.9287994 -45.8913897,-67.9285097 -45.8910014,-67.9286277 -45.8901127,-67.92758265 -45.88993498,-67.9286492 -45.8892166,-67.9288638 -45.8878724,-67.9292393 -45.8876931,-67.92838162 -45.88770662,-67.929883 -45.8876782,-67.9306018 -45.8878724,-67.9317605 -45.8883727,-67.9326189 -45.888201,-67.93184093 -45.88869985,,-67.93195275 -45.88880085,-67.9325545 -45.8880964,-67.9324257 -45.8875363,-67.933048 -45.8868642,-67.9335093 -45.8836304,-67.93297197 -45.88384007,,-67.93288041 -45.88347512,-67.9369962 -45.8822636,-67.9367441 -45.8819686,-67.9343677 -45.8832719,-67.93623372 -45.88237227,-67.9369104 -45.8822487,-67.9367441 -45.8819686,-67.9385787 -45.881274,-67.938568 -45.8809641,-67.9379243 -45.8811844,-67.93588984 -45.88149225,-67.9380155 -45.8812404,-67.938627 -45.880852,-67.9384768 -45.8805682,-67.9371035 -45.8800827,-67.9358482 -45.8797093,-67.9335737 -45.8797616,-67.934432 -45.8794255,-67.9350007 -45.8792835,-67.9357088 -45.8792686,-67.93512028 -45.8793768,-67.9308057 -45.8796645,-67.9309773 -45.8795823,-67.9308271 -45.8793582,-67.9319429 -45.8795524,-67.9332089 -45.8799333,-67.9339921 -45.8795524,-67.9349685 -45.8793358,-67.935698 -45.8793209,-67.92926139 -45.87980166,-67.9288745 -45.8790371,-67.9299796 -45.8786337,-67.9308271 -45.8793582,-67.9310632 -45.8796271,-67.9308057 -45.8796645,-67.92746283 -45.879252,-67.9288745 -45.8790371,-67.9299796 -45.8786337,-67.9304302 -45.8776552,-67.9309022 -45.8766245,-67.9306126 -45.8766543,-67.92916705 -45.87686758,-67.9305589 -45.8765722,-67.9309773 -45.8765423,-67.9323184 -45.875011,-67.9336917 -45.8726132,-67.93292309 -45.87290945,-67.9337347 -45.872531,-67.9350007 -45.8704245,-67.9346895 -45.8701032,-67.933282 -45.87018527,-67.936492 -45.8696625,-67.9362881 -45.8694234,-67.9350436 -45.8703273,-67.9347003 -45.8699986,-67.93551008 -45.87004015,-67.9383588 -45.8674437,-67.9380584 -45.8682655,-67.9363847 -45.8693786,-67.9365671 -45.8696326,-67.9400271 -45.8665472</t>
  </si>
  <si>
    <t>-67.9400271 -45.8665472,-67.9383588 -45.8674437,-67.9380584 -45.8682655,-67.9363847 -45.8693786,-67.9365671 -45.8696326,-67.93551008 -45.87004015,-67.936492 -45.8696625,-67.9362881 -45.8694234,-67.9350436 -45.8703273,-67.9347003 -45.8699986,-67.933282 -45.87018527,-67.9337347 -45.872531,-67.9350007 -45.8704245,-67.9346895 -45.8701032,-67.93292309 -45.87290945,-67.9305589 -45.8765722,-67.9309773 -45.8765423,-67.9323184 -45.875011,-67.9336917 -45.8726132,-67.92916705 -45.87686758,-67.9288745 -45.8790371,-67.9299796 -45.8786337,-67.9304302 -45.8776552,-67.9309022 -45.8766245,-67.9306126 -45.8766543,-67.92746283 -45.879252,-67.9288745 -45.8790371,-67.9299045 -45.8786188,-67.929765 -45.8784918,-67.9247224 -45.8798512,-67.9241753 -45.8796943,-67.92260289 -45.87981886,-67.9231775 -45.8798138,-67.9230273 -45.8801051,-67.9220295 -45.8802022,-67.9198301 -45.8807027,-67.9191542 -45.8814645,-67.9198301 -45.8813375,-67.91930941 -45.88137118,-67.9183173 -45.8833018,-67.9179525 -45.8832943,-67.9178452 -45.8829358,-67.9186606 -45.8819873,-67.9191113 -45.8815466,-67.9197979 -45.8813898,-67.91747464 -45.88372353,-67.9166651 -45.8823159,-67.9170835 -45.8822711,-67.9178345 -45.8833989,-67.9184783 -45.8832943,-67.91541483 -45.88231338,-67.911365 -45.8831076,-67.9142618 -45.8826968,-67.9159892 -45.8825026,-67.90970498 -45.88326091,-67.9076958 -45.8841084,-67.9082644 -45.8839366,-67.9093373 -45.8833167,-67.9103136 -45.8831972,-67.90591516 -45.88446218,,-67.90594775 -45.88423937,-67.9066443 -45.8844071,-67.9062474 -45.8852585,-67.908833 -45.885968,-67.9091012 -45.8864012,-67.90705336 -45.88840606,-67.9052818 -45.8875736,-67.90654780000001 -45.8882084,-67.9074919 -45.8882756,-67.90362098 -45.8874036,-67.9039729 -45.8871629,-67.9034686 -45.8869165,-67.9041123 -45.886192,-67.9042947 -45.8847656,-67.90316820000001 -45.883637900000004,-67.90293219 -45.8836944,-67.90316820000001 -45.883637900000004,-67.9026854 -45.8831823,-67.9021275 -45.8832794,-67.900722 -45.8842279,-67.9001105 -45.8851465,-67.8995955 -45.8843175,-67.89811074 -45.88424629,-67.896452 -45.8842129,-67.8972995 -45.8841607,-67.8987801 -45.8833839,-67.8993165 -45.8836304,-67.89478887 -45.88442779,-67.895658 -45.88465360000001,-67.8955078 -45.8872675,-67.89402720000001 -45.888186,-67.89313670000001 -45.8879097,-67.8935552 -45.8866999,-67.891624 -45.8850718,-67.88986813 -45.88509226,-67.8916669 -45.8851316,-67.891463 -45.8853332,-67.8890061 -45.8855946,-67.8886521 -45.8849672,-67.88725199 -45.88498287,-67.8877938 -45.885251,-67.8862166 -45.8849523,-67.88477851 -45.88530377,-67.8847039 -45.885542300000004,-67.8854334 -45.8851465,-67.88304639 -45.88588109,-67.8838027 -45.88608,-67.882483 -45.8868716,-67.88085052 -45.88709026,-67.8783846 -45.8885519,-67.8803802 -45.8880143,-67.8826654 -45.8868044,-67.8823113 -45.8868119,-67.87661058 -45.88889945,-67.8765285 -45.89045620000001,-67.877773 -45.8901799,-67.8803802 -45.8880143,-67.8783846 -45.8885519,-67.87484305 -45.89067788,-67.8792322 -45.8901127,-67.877934 -45.8900903,-67.8765285 -45.89045620000001,-67.87813787 -45.88993585,-67.8789854 -45.8901127,-67.8777838 -45.8901052,-67.8751981 -45.8927935,-67.8739536 -45.8942571,-67.87230402 -45.89457162,-67.8732026 -45.8945633,-67.872076 -45.8946753,-67.8709388 -45.89427200000001,-67.8709924 -45.8932789,-67.86962065 -45.89326713,,-67.8703009 -45.89288745;-67.8703009 -45.89288745,,-67.86962065 -45.89326713,-67.8732026 -45.8945633,-67.872076 -45.8946753,-67.8709388 -45.89427200000001,-67.8709924 -45.8932789,-67.87230402 -45.89457162,-67.8727734 -45.8946678,-67.8694153 -45.8954742,-67.8682566 -45.89504860000001,-67.86797017 -45.89505687,-67.8685999 -45.895295,-67.8667116 -45.8956833,-67.8646088 -45.8956833,-67.86301998 -45.89560501,-67.8636646 -45.8957132,-67.8630209 -45.8961014,-67.8661537 -45.8966391,-67.86618307 -45.89684928,-67.8667545 -45.8970572,-67.8640938 -45.8981025,-67.8651237 -45.89867,-67.86456115 -45.89914262,-67.8660679 -45.8992972,-67.8682137 -45.8998049,-67.86778786 -45.90024848;-67.86778786 -45.90024848,-67.8660679 -45.8992972,-67.8682137 -45.8998049,-67.86456115 -45.89914262,-67.8703165 -45.8982817,-67.8659606 -45.8989089,-67.8694366 -45.89824775;-67.8694366 -45.89824775,-67.8703165 -45.8982817,-67.8659606 -45.8989089,-67.86456115 -45.89914262,-67.8667545 -45.8970572,-67.8640938 -45.8981025,-67.8651237 -45.89867,-67.86618307 -45.89684928,-67.8636646 -45.8957132,-67.8630209 -45.8961014,-67.8661537 -45.8966391,-67.86301998 -45.89560501,-67.8685999 -45.895295,-67.8667116 -45.8956833,-67.8646088 -45.8956833,-67.86797017 -45.89505687,-67.86816 -45.8950113,-67.8676021 -45.8944886,-67.866143 -45.8944961,-67.86504739 -45.89456671,-67.8660572 -45.8945035,-67.8649414 -45.8945185,-67.8640723 -45.8941302,-67.8626239 -45.893936,-67.8611112 -45.8934058,-67.8592336 -45.8931445,-67.8576779 -45.8937045,-67.8559321 -45.89402021,,-67.85521863 -45.89409907;-67.85521863 -45.89409907,,-67.8559321 -45.89402021;-67.8559321 -45.89402021,-67.8660572 -45.8945035,-67.8649414 -45.8945185,-67.8640723 -45.8941302,-67.8626239 -45.893936,-67.8611112 -45.8934058,-67.8592336 -45.8931445,-67.8576779 -45.8937045,-67.86504739 -45.89456671,-67.86816 -45.8950113,-67.8676021 -45.8944886,-67.866143 -45.8944961,-67.86797017 -45.89505687,-67.8727734 -45.8946678,-67.8694153 -45.8954742,-67.8682566 -45.89504860000001,-67.87230402 -45.89457162,-67.8789854 -45.8901127,-67.8777838 -45.8901052,-67.8751981 -45.8927935,-67.8739536 -45.8942571,-67.87813787 -45.88993585,-67.8792322 -45.8901127,-67.877934 -45.8900903,-67.8765285 -45.89045620000001,-67.87484305 -45.89067788,-67.8765285 -45.89045620000001,-67.877773 -45.8901799,-67.8803802 -45.8880143,-67.8783846 -45.8885519,-67.87661058 -45.88889945,-67.8783846 -45.8885519,-67.8803802 -45.8880143,-67.8826654 -45.8868044,-67.8823113 -45.8868119,-67.88085052 -45.88709026,-67.8838027 -45.88608,-67.882483 -45.8868716,-67.88304639 -45.88588109,-67.8847039 -45.885542300000004,-67.8854334 -45.8851465,-67.88477851 -45.88530377,-67.8877938 -45.885251,-67.8862166 -45.8849523,-67.88725199 -45.88498287,-67.8916669 -45.8851316,-67.891463 -45.8853332,-67.8890061 -45.8855946,-67.8886521 -45.8849672,-67.88986813 -45.88509226,-67.895658 -45.88465360000001,-67.8955078 -45.8872675,-67.89402720000001 -45.888186,-67.89313670000001 -45.8879097,-67.8935552 -45.8866999,-67.891624 -45.8850718,-67.89478887 -45.88442779,-67.896452 -45.8842129,-67.8972995 -45.8841607,-67.8987801 -45.8833839,-67.8993165 -45.8836304,-67.89811074 -45.88424629,-67.90316820000001 -45.883637900000004,-67.9026854 -45.8831823,-67.9021275 -45.8832794,-67.900722 -45.8842279,-67.9001105 -45.8851465,-67.8995955 -45.8843175,-67.90293219 -45.8836944,-67.9039729 -45.8871629,-67.9034686 -45.8869165,-67.9041123 -45.886192,-67.9042947 -45.8847656,-67.90316820000001 -45.883637900000004,-67.90362098 -45.8874036,-67.9052818 -45.8875736,-67.90654780000001 -45.8882084,-67.9074919 -45.8882756,-67.90705336 -45.88840606,-67.9066443 -45.8844071,-67.9062474 -45.8852585,-67.908833 -45.885968,-67.9091012 -45.8864012,-67.90594775 -45.88423937,,-67.90591516 -45.88446218,-67.9076958 -45.8841084,-67.9082644 -45.8839366,-67.9093373 -45.8833167,-67.9103136 -45.8831972,-67.90970498 -45.88326091,-67.911365 -45.8831076,-67.9142618 -45.8826968,-67.9159892 -45.8825026,-67.91541483 -45.88231338,-67.9166651 -45.8823159,-67.9170835 -45.8822711,-67.9178345 -45.8833989,-67.9184783 -45.8832943,-67.91747464 -45.88372353,-67.9183173 -45.8833018,-67.9179525 -45.8832943,-67.9178452 -45.8829358,-67.9186606 -45.8819873,-67.9191113 -45.8815466,-67.9197979 -45.8813898,-67.91930941 -45.88137118,-67.9231775 -45.8798138,-67.9230273 -45.8801051,-67.9220295 -45.8802022,-67.9198301 -45.8807027,-67.9191542 -45.8814645,-67.9198301 -45.8813375,-67.92260289 -45.87981886,-67.9288745 -45.8790371,-67.9299045 -45.8786188,-67.929765 -45.8784918,-67.9247224 -45.8798512,-67.9241753 -45.8796943,-67.92746283 -45.879252,-67.9288745 -45.8790371,-67.9299796 -45.8786337,-67.9304302 -45.8776552,-67.9309022 -45.8766245,-67.9306126 -45.8766543,-67.92916705 -45.87686758,-67.9305589 -45.8765722,-67.9309773 -45.8765423,-67.9323184 -45.875011,-67.9336917 -45.8726132,-67.93292309 -45.87290945,-67.9337347 -45.872531,-67.9350007 -45.8704245,-67.9346895 -45.8701032,-67.933282 -45.87018527,-67.936492 -45.8696625,-67.9362881 -45.8694234,-67.9350436 -45.8703273,-67.9347003 -45.8699986,-67.93551008 -45.87004015,-67.9383588 -45.8674437,-67.9380584 -45.8682655,-67.9363847 -45.8693786,-67.9365671 -45.8696326,-67.9400271 -45.8665472</t>
  </si>
  <si>
    <t>-67.9400271 -45.8665472,-67.9383588 -45.8674437,-67.9380584 -45.8682655,-67.9363847 -45.8693786,-67.9365671 -45.8696326,-67.93551008 -45.87004015,-67.936492 -45.8696625,-67.9362881 -45.8694234,-67.9350436 -45.8703273,-67.9347003 -45.8699986,-67.933282 -45.87018527,-67.9337347 -45.872531,-67.9350007 -45.8704245,-67.9346895 -45.8701032,-67.93292309 -45.87290945,-67.9305589 -45.8765722,-67.9309773 -45.8765423,-67.9323184 -45.875011,-67.9336917 -45.8726132,-67.92916705 -45.87686758,-67.9288745 -45.8790371,-67.9299796 -45.8786337,-67.9304302 -45.8776552,-67.9309022 -45.8766245,-67.9306126 -45.8766543,-67.92746283 -45.879252,-67.9288745 -45.8790371,-67.9299045 -45.8786188,-67.929765 -45.8784918,-67.9247224 -45.8798512,-67.9241753 -45.8796943,-67.92260289 -45.87981886,-67.9231775 -45.8798138,-67.9230273 -45.8801051,-67.9220295 -45.8802022,-67.9198301 -45.8807027,-67.9191542 -45.8814645,-67.9198301 -45.8813375,-67.91930941 -45.88137118,-67.9183173 -45.8833018,-67.9179525 -45.8832943,-67.9178452 -45.8829358,-67.9186606 -45.8819873,-67.9191113 -45.8815466,-67.9197979 -45.8813898,-67.91747464 -45.88372353,-67.9166651 -45.8823159,-67.9170835 -45.8822711,-67.9178345 -45.8833989,-67.9184783 -45.8832943,-67.91541483 -45.88231338,-67.911365 -45.8831076,-67.9142618 -45.8826968,-67.9159892 -45.8825026,-67.90970498 -45.88326091,-67.9076958 -45.8841084,-67.9082644 -45.8839366,-67.9093373 -45.8833167,-67.9103136 -45.8831972,-67.90591516 -45.88446218,,-67.90594775 -45.88423937,-67.9066443 -45.8844071,-67.9062474 -45.8852585,-67.908833 -45.885968,-67.9091012 -45.8864012,-67.90705336 -45.88840606,-67.9052818 -45.8875736,-67.90654780000001 -45.8882084,-67.9074919 -45.8882756,-67.90362098 -45.8874036,-67.9039729 -45.8871629,-67.9034686 -45.8869165,-67.9041123 -45.886192,-67.9042947 -45.8847656,-67.90316820000001 -45.883637900000004,-67.90293219 -45.8836944,-67.90316820000001 -45.883637900000004,-67.9026854 -45.8831823,-67.9021275 -45.8832794,-67.900722 -45.8842279,-67.9001105 -45.8851465,-67.8995955 -45.8843175,-67.89811074 -45.88424629,-67.896452 -45.8842129,-67.8972995 -45.8841607,-67.8987801 -45.8833839,-67.8993165 -45.8836304,-67.89478887 -45.88442779,-67.895658 -45.88465360000001,-67.8955078 -45.8872675,-67.89402720000001 -45.888186,-67.89313670000001 -45.8879097,-67.8935552 -45.8866999,-67.891624 -45.8850718,-67.88986813 -45.88509226,-67.8916669 -45.8851316,-67.891463 -45.8853332,-67.8890061 -45.8855946,-67.8886521 -45.8849672,-67.88725199 -45.88498287,-67.8877938 -45.885251,-67.8862166 -45.8849523,-67.88477851 -45.88530377,-67.8847039 -45.885542300000004,-67.8854334 -45.8851465,-67.88304639 -45.88588109,-67.8838027 -45.88608,-67.882483 -45.8868716,-67.88085052 -45.88709026,-67.8783846 -45.8885519,-67.8803802 -45.8880143,-67.8826654 -45.8868044,-67.8823113 -45.8868119,-67.87661058 -45.88889945,-67.8765285 -45.89045620000001,-67.877773 -45.8901799,-67.8803802 -45.8880143,-67.8783846 -45.8885519,-67.87484305 -45.89067788,-67.8792322 -45.8901127,-67.877934 -45.8900903,-67.8765285 -45.89045620000001,-67.87813787 -45.88993585,-67.8789854 -45.8901127,-67.8777838 -45.8901052,-67.8751981 -45.8927935,-67.8739536 -45.8942571,-67.87230402 -45.89457162,-67.8727734 -45.8946678,-67.8694153 -45.8954742,-67.8682566 -45.89504860000001,-67.86797017 -45.89505687,-67.8685999 -45.895295,-67.8667116 -45.8956833,-67.8646088 -45.8956833,-67.86301998 -45.89560501,-67.8636646 -45.8957132,-67.8625917 -45.8959521,-67.8602743 -45.8948769,-67.85948859 -45.89472907;-67.85948859 -45.89472907,-67.8636646 -45.8957132,-67.8625917 -45.8959521,-67.8602743 -45.8948769,-67.86301998 -45.89560501,-67.8685999 -45.895295,-67.8667116 -45.8956833,-67.8646088 -45.8956833,-67.86797017 -45.89505687,-67.8727734 -45.8946678,-67.8694153 -45.8954742,-67.8682566 -45.89504860000001,-67.87230402 -45.89457162,-67.8789854 -45.8901127,-67.8777838 -45.8901052,-67.8751981 -45.8927935,-67.8739536 -45.8942571,-67.87813787 -45.88993585,-67.8788996 -45.8901426,-67.877934 -45.8900903,-67.8774834 -45.8904786,-67.8777945 -45.8925098,-67.8783524 -45.8919348,-67.87768072 -45.89180609,-67.8782558 -45.8919497,-67.8778267 -45.8923828,-67.8780413 -45.8938315,-67.8791893 -45.8953398,-67.87842608 -45.89585515,-67.8799939 -45.8961761,-67.8810668 -45.8968855,-67.881496 -45.8974007,-67.88049412 -45.89765426,-67.8816462 -45.8976545,-67.8819466 -45.8992972,-67.8823757 -45.8992374,-67.88283131 -45.8994995,-67.8778481 -45.8999691,-67.8795862 -45.8996556,-67.8816676 -45.8998198,-67.8823113 -45.899342,-67.87600509 -45.90013168,-67.875402 -45.9018954,-67.8762174 -45.9018506,-67.8767323 -45.9016117,-67.8774405 -45.9009995,-67.8778481 -45.8999691,-67.87401 -45.90242679,-67.8778911 -45.9022389,-67.8772688 -45.9023733,-67.8762174 -45.9020895,-67.8762174 -45.9018506,-67.875402 -45.9018954,-67.87749311 -45.90223614,-67.8877831 -45.9058523,-67.8869033 -45.9059867,-67.8840923 -45.9048668,-67.8834271 -45.9042397,-67.8832769 -45.9030601,-67.8820109 -45.9031497,-67.8811312 -45.903299,-67.8780627 -45.9027018,-67.8772688 -45.9023733,-67.8778911 -45.9022389,-67.88690397 -45.90593083,-67.8887486 -45.9139369,-67.8892422 -45.9133771,-67.889092 -45.9088982,-67.8895211 -45.9081964,-67.8884697 -45.9068527,-67.8891134 -45.9060464,-67.8899932 -45.905494,-67.890079 -45.9049863,-67.8895855 -45.9049415,-67.8884912 -45.9054641,-67.88780562 -45.91450171,-67.892257 -45.917781,-67.8922355 -45.9171241,-67.8925788 -45.9166017,-67.8926325 -45.9163553,-67.8917956 -45.9155044,-67.8909266 -45.914855,-67.8902507 -45.9144445,-67.8900683 -45.9137279,-67.8889096 -45.913601,-67.888813 -45.9138473,-67.89164408 -45.91850265,-67.895422 -45.9189901,-67.8929543 -45.9186468,-67.8948966 -45.91911867,-67.8951859 -45.9189752,-67.8956151 -45.9181094,-67.8975034 -45.9169749,-67.8979325 -45.9163329,-67.8972459 -45.916945,-67.8964305 -45.9169151,-67.8960013 -45.9166017,-67.89415644 -45.91643339,-67.9095197 -45.9178556,-67.9090691 -45.9168107,-67.90527 -45.9149745,-67.9052067 -45.9146162,-67.9025245 -45.9141235,-67.90171 -45.9145565,-67.89907 -45.9147953,-67.8979325 -45.9163329,-67.8972459 -45.916945,-67.8961945 -45.916945,-67.896 -45.9166,-67.90949828 -45.91775832,-67.9105067 -45.9207068,-67.9081678 -45.9205276,-67.9078245 -45.9200798,-67.9065156 -45.9195574,-67.9081035 -45.9191991,-67.9097772 -45.9180049,-67.91006087 -45.92075561,-67.9009366 -45.9240205,-67.9032111 -45.9240951,-67.9045844 -45.9234831,-67.9111075 -45.9230055,-67.908361 -45.9205575,-67.9102921 -45.920662,-67.89923257 -45.9242339,-67.9032755 -45.9242593,-67.9009366 -45.9240205,-67.90260909 -45.92466322;-67.90260909 -45.92466322,-67.9032755 -45.9242593,-67.9009366 -45.9240205,-67.89923257 -45.9242339,-67.9009366 -45.9240205,-67.9032111 -45.9240951,-67.9045844 -45.9234831,-67.9111075 -45.9230055,-67.908361 -45.9205575,-67.9102921 -45.920662,-67.91006087 -45.92075561,-67.9105067 -45.9207068,-67.9081678 -45.9205276,-67.9078245 -45.9200798,-67.9065156 -45.9195574,-67.9081035 -45.9191991,-67.9097772 -45.9180049,-67.90949828 -45.91775832,-67.9095197 -45.9178556,-67.9090691 -45.9168107,-67.90527 -45.9149745,-67.9052067 -45.9146162,-67.9025245 -45.9141235,-67.90171 -45.9145565,-67.89907 -45.9147953,-67.8979325 -45.9163329,-67.8972459 -45.916945,-67.8961945 -45.916945,-67.896 -45.9166,-67.89415644 -45.91643339,-67.8951859 -45.9189752,-67.8956151 -45.9181094,-67.8975034 -45.9169749,-67.8979325 -45.9163329,-67.8972459 -45.916945,-67.8964305 -45.9169151,-67.8960013 -45.9166017,-67.8948966 -45.91911867,-67.895422 -45.9189901,-67.8929543 -45.9186468,-67.89164408 -45.91850265,-67.892257 -45.917781,-67.8922355 -45.9171241,-67.8925788 -45.9166017,-67.8926325 -45.9163553,-67.8917956 -45.9155044,-67.8909266 -45.914855,-67.8902507 -45.9144445,-67.8900683 -45.9137279,-67.8889096 -45.913601,-67.888813 -45.9138473,-67.88780562 -45.91450171,-67.8887486 -45.9139369,-67.8892422 -45.9133771,-67.889092 -45.9088982,-67.8895211 -45.9081964,-67.8884697 -45.9068527,-67.8891134 -45.9060464,-67.8899932 -45.905494,-67.890079 -45.9049863,-67.8895855 -45.9049415,-67.8884912 -45.9054641,-67.88690397 -45.90593083,-67.8877831 -45.9058523,-67.8869033 -45.9059867,-67.8840923 -45.9048668,-67.8834271 -45.9042397,-67.8832769 -45.9030601,-67.8820109 -45.9031497,-67.8811312 -45.903299,-67.8780627 -45.9027018,-67.8772688 -45.9023733,-67.8778911 -45.9022389,-67.87749311 -45.90223614,-67.8778911 -45.9022389,-67.8772688 -45.9023733,-67.8762174 -45.9020895,-67.8762174 -45.9018506,-67.875402 -45.9018954,-67.87401 -45.90242679,-67.875402 -45.9018954,-67.8762174 -45.9018506,-67.8767323 -45.9016117,-67.8774405 -45.9009995,-67.8778481 -45.8999691,-67.87600509 -45.90013168,-67.8778481 -45.8999691,-67.8795862 -45.8996556,-67.8816676 -45.8998198,-67.8823113 -45.899342,-67.88283131 -45.8994995,-67.8816462 -45.8976545,-67.8819466 -45.8992972,-67.8823757 -45.8992374,-67.88049412 -45.89765426,-67.8799939 -45.8961761,-67.8810668 -45.8968855,-67.881496 -45.8974007,-67.87842608 -45.89585515,-67.8782558 -45.8919497,-67.8778267 -45.8923828,-67.8780413 -45.8938315,-67.8791893 -45.8953398,-67.87768072 -45.89180609,-67.8788996 -45.8901426,-67.877934 -45.8900903,-67.8774834 -45.8904786,-67.8777945 -45.8925098,-67.8783524 -45.8919348,-67.87813787 -45.88993585,-67.8792322 -45.8901127,-67.877934 -45.8900903,-67.8765285 -45.89045620000001,-67.87484305 -45.89067788,-67.8756487 -45.8907699,-67.8751016 -45.891875,-67.87350417 -45.89236821;-67.87350417 -45.89236821,-67.8756487 -45.8907699,-67.8751016 -45.891875,-67.87484305 -45.89067788,-67.8765285 -45.89045620000001,-67.877773 -45.8901799,-67.8803802 -45.8880143,-67.8783846 -45.8885519,-67.87661058 -45.88889945,-67.8783846 -45.8885519,-67.8803802 -45.8880143,-67.8826654 -45.8868044,-67.8823113 -45.8868119,-67.88085052 -45.88709026,-67.8838027 -45.88608,-67.882483 -45.8868716,-67.88304639 -45.88588109,-67.8847039 -45.885542300000004,-67.8854334 -45.8851465,-67.88477851 -45.88530377,-67.8863347 -45.8849448,-67.8869569 -45.8849672,-67.8874826 -45.883847,-67.8903258 -45.883570600000006,-67.88934482 -45.88367092,-67.8808522 -45.8847432,-67.8831053 -45.8843548,-67.884897 -45.8834586,-67.8876114 -45.88378720000001,-67.8901434 -45.8835856,-67.87931365 -45.88515467,-67.8775477 -45.8859232,-67.87784810000001 -45.8854153,-67.8789425 -45.8862742,-67.879554 -45.8862667,-67.8829443 -45.8844743,-67.8806055 -45.8848253,-67.87597578 -45.88674947,,-67.87630061 -45.88642699,-67.8775907 -45.885744,-67.8778374 -45.8851241,-67.8766251 -45.8844594,-67.8767002 -45.8840561,-67.8758872 -45.88413516,-67.8738034 -45.8829806,-67.8739858 -45.8834512,-67.87655 -45.8844445,-67.8765929 -45.8840262,-67.87263059 -45.88283868,-67.8737283 -45.8829508,-67.8736854 -45.8833242,-67.8730094 -45.8829134,-67.8686643 -45.8830254,-67.86703039 -45.88312685,-67.8685462 -45.8831151,-67.8700483 -45.8829059,-67.8648233 -45.8818603,-67.8628063 -45.8810537,-67.8621304 -45.8814645,-67.86071597 -45.88116865,-67.8614116 -45.8855274,-67.862978 -45.884788,-67.8635466 -45.8831599,-67.8632355 -45.8817483,-67.86391140000002 -45.8815093,-67.8628063 -45.8810537,-67.8623772 -45.8814346,-67.85908094 -45.88593849,-67.8609717 -45.8856767,-67.862817 -45.8848403,-67.8617656 -45.8854826,-67.8616369 -45.886192,-67.8618944 -45.8867671,-67.86045923 -45.88724171;-67.86045923 -45.88724171,-67.8609717 -45.8856767,-67.862817 -45.8848403,-67.8617656 -45.8854826,-67.8616369 -45.886192,-67.8618944 -45.8867671,-67.85908094 -45.88593849;-67.85908094 -45.88593849,-67.8614116 -45.8855274,-67.862978 -45.884788,-67.8635466 -45.8831599,-67.8632355 -45.8817483,-67.86391140000002 -45.8815093,-67.8628063 -45.8810537,-67.8623772 -45.8814346,-67.86071597 -45.88116865,-67.8685462 -45.8831151,-67.8700483 -45.8829059,-67.8648233 -45.8818603,-67.8628063 -45.8810537,-67.8621304 -45.8814645,-67.86703039 -45.88312685,-67.8737283 -45.8829508,-67.8736854 -45.8833242,-67.8730094 -45.8829134,-67.8686643 -45.8830254,-67.87263059 -45.88283868,-67.8738034 -45.8829806,-67.8739858 -45.8834512,-67.87655 -45.8844445,-67.8765929 -45.8840262,-67.8758872 -45.88413516,-67.8775907 -45.885744,-67.8778374 -45.8851241,-67.8766251 -45.8844594,-67.8767002 -45.8840561,-67.87630061 -45.88642699,,-67.87597578 -45.88674947,-67.8775477 -45.8859232,-67.87784810000001 -45.8854153,-67.8789425 -45.8862742,-67.879554 -45.8862667,-67.8829443 -45.8844743,-67.8806055 -45.8848253,-67.87931365 -45.88515467,-67.8808522 -45.8847432,-67.8831053 -45.8843548,-67.884897 -45.8834586,-67.8876114 -45.88378720000001,-67.8901434 -45.8835856,-67.88934482 -45.88367092,-67.8863347 -45.8849448,-67.8869569 -45.8849672,-67.8874826 -45.883847,-67.8903258 -45.883570600000006,-67.88477851 -45.88530377,-67.8877938 -45.885251,-67.8862166 -45.8849523,-67.88725199 -45.88498287,-67.8916669 -45.8851316,-67.891463 -45.8853332,-67.8890061 -45.8855946,-67.8886521 -45.8849672,-67.88986813 -45.88509226,-67.895658 -45.88465360000001,-67.8955078 -45.8872675,-67.89402720000001 -45.888186,-67.89313670000001 -45.8879097,-67.8935552 -45.8866999,-67.891624 -45.8850718,-67.89478887 -45.88442779,-67.896452 -45.8842129,-67.8972995 -45.8841607,-67.8987801 -45.8833839,-67.8993165 -45.8836304,-67.89811074 -45.88424629,-67.90316820000001 -45.883637900000004,-67.9026854 -45.8831823,-67.9021275 -45.8832794,-67.900722 -45.8842279,-67.9001105 -45.8851465,-67.8995955 -45.8843175,-67.90293219 -45.8836944,-67.9039729 -45.8871629,-67.9034686 -45.8869165,-67.9041123 -45.886192,-67.9042947 -45.8847656,-67.90316820000001 -45.883637900000004,-67.90362098 -45.8874036,-67.9052818 -45.8875736,-67.90654780000001 -45.8882084,-67.9074919 -45.8882756,-67.90705336 -45.88840606,-67.9066443 -45.8844071,-67.9062474 -45.8852585,-67.908833 -45.885968,-67.9091012 -45.8864012,-67.90594775 -45.88423937,,-67.90591516 -45.88446218,-67.9076958 -45.8841084,-67.9082644 -45.8839366,-67.9093373 -45.8833167,-67.9103136 -45.8831972,-67.90970498 -45.88326091,-67.911365 -45.8831076,-67.9142618 -45.8826968,-67.9159892 -45.8825026,-67.91541483 -45.88231338,-67.9166651 -45.8823159,-67.9170835 -45.8822711,-67.9178345 -45.8833989,-67.9184783 -45.8832943,-67.91747464 -45.88372353,-67.9183173 -45.8833018,-67.9179525 -45.8832943,-67.9178452 -45.8829358,-67.9186606 -45.8819873,-67.9191113 -45.8815466,-67.9197979 -45.8813898,-67.91930941 -45.88137118,-67.9231775 -45.8798138,-67.9230273 -45.8801051,-67.9220295 -45.8802022,-67.9198301 -45.8807027,-67.9191542 -45.8814645,-67.9198301 -45.8813375,-67.92260289 -45.87981886,-67.9288745 -45.8790371,-67.9299045 -45.8786188,-67.929765 -45.8784918,-67.9247224 -45.8798512,-67.9241753 -45.8796943,-67.92746283 -45.879252,-67.9288745 -45.8790371,-67.9299796 -45.8786337,-67.9304302 -45.8776552,-67.9309022 -45.8766245,-67.9306126 -45.8766543,-67.92916705 -45.87686758,-67.9305589 -45.8765722,-67.9309773 -45.8765423,-67.9323184 -45.875011,-67.9336917 -45.8726132,-67.93292309 -45.87290945,-67.9337347 -45.872531,-67.9350007 -45.8704245,-67.9346895 -45.8701032,-67.933282 -45.87018527,-67.936492 -45.8696625,-67.9362881 -45.8694234,-67.9350436 -45.8703273,-67.9347003 -45.8699986,-67.93551008 -45.87004015,-67.9383588 -45.8674437,-67.9380584 -45.8682655,-67.9363847 -45.8693786,-67.9365671 -45.8696326,-67.9400271 -45.8665472</t>
  </si>
  <si>
    <t>-67.9400271 -45.8665472,-67.9383588 -45.8674437,-67.9380101 -45.8666929,-67.9392922 -45.8661064,-67.93822649 -45.86645361,,-67.93820898 -45.86621382,-67.939437 -45.8659907,-67.9410034 -45.8642985,-67.9397787 -45.86446671,-67.9413575 -45.8643508,-67.94191 -45.8638801,-67.9413092 -45.8637717,-67.94026881 -45.86394522,-67.9412395 -45.8636896,-67.94085860000001 -45.8628677,-67.94016816 -45.86304785,-67.9407942 -45.8630844,-67.9403758 -45.8621878,-67.9386914 -45.8624792,-67.93749455 -45.86270022,-67.9389811 -45.8623559,-67.9389596 -45.8618329,-67.9381979 -45.8610783,-67.9390669 -45.8607794,-67.93809539 -45.86091501,-67.9388309 -45.8607794,-67.938112 -45.8611007,-67.9377472 -45.860899,-67.9362881 -45.8614743,-67.9374897 -45.8619749,-67.93652197 -45.86222667,-67.9375219 -45.8620421,-67.9357517 -45.861085800000005,-67.9346144 -45.8614519,-67.93332777 -45.86169272,-67.9343569 -45.8614145,-67.9335523 -45.861549,-67.9334021 -45.8611381,-67.9309666 -45.8609214,-67.92973166 -45.86112334,-67.9307091 -45.86097370000001,-67.9287457 -45.8609588,-67.9288423 -45.860757,-67.92827234 -45.86082887,-67.9288423 -45.860757,-67.9286063 -45.8609812,-67.9269433 -45.8608168,-67.9254305 -45.8610559,-67.9256237 -45.8606898,-67.92472033 -45.86078317,-67.9253769 -45.8604208,-67.9236388 -45.8595317,-67.9233384 -45.8597857,-67.92204432 -45.86025045,-67.9235315 -45.8601219,-67.9222655 -45.8604731,-67.92116295 -45.86077528,-67.9219651 -45.8610335,-67.9157424 -45.8609887,-67.91412974 -45.86109479,-67.9153347 -45.8605702,-67.9157317 -45.8599725,-67.9146159 -45.859457,-67.91347499 -45.85938782,-67.9145408 -45.8594047,-67.9124916 -45.858777,-67.9112792 -45.8592776,-67.91058213 -45.85962973,-67.9112792 -45.8592776,-67.9102921 -45.8588293,-67.9105067 -45.8586425,-67.90964669 -45.85881191,-67.9102653 -45.8586986,-67.9081625 -45.8581195,-67.90707943 -45.8582017,-67.90773330000002 -45.8580522,-67.9073417 -45.8579177,-67.9068965 -45.8568567,-67.9053408 -45.8563822,-67.90400196 -45.85653031,-67.904284 -45.8564084,-67.9033184 -45.8552726,-67.9019022 -45.8551232,-67.90067511 -45.8549717,,-67.90022567 -45.85540767,-67.9008508 -45.8548093,-67.8990161 -45.8545403,-67.898823 -45.8538678,-67.8965485 -45.8545553,-67.89483427 -45.85484841,-67.887429 -45.855564,-67.8894138 -45.853808,-67.8932333 -45.8533447,-67.8969455 -45.8545851,-67.8963768 -45.8546599,-67.88581092 -45.85597227,-67.887429 -45.855564,-67.8882551 -45.8548691,-67.8894138 -45.853808,-67.8920853 -45.8535689,-67.8916454 -45.8538678,-67.8897357 -45.85395,-67.88910 -45.85436,-67.8875685 -45.8562589,-67.885799 -45.8571033,-67.88544 -45.8578281,-67.88523 -45.85794,-67.88402968 -45.85834964,-67.8814316 -45.8592926,-67.8808415 -45.8591357,-67.880863 -45.8587322,-67.8817642 -45.858239,-67.8850043 -45.8580522,-67.88077392 -45.85953999,-67.8820431 -45.8588966,-67.8808415 -45.8591357,-67.8813887 -45.8593822,-67.88161815 -45.85881773,-67.8819573 -45.8589713,-67.8808415 -45.8591357,-67.880863 -45.8587322,-67.8817642 -45.858239,-67.880466 -45.8582689,-67.8791356 -45.85732,-67.87737119 -45.8572649;-67.87737119 -45.8572649,-67.8819573 -45.8589713,-67.8808415 -45.8591357,-67.880863 -45.8587322,-67.8817642 -45.858239,-67.880466 -45.8582689,-67.8791356 -45.85732,-67.88161815 -45.85881773,-67.8820431 -45.8588966,-67.8808415 -45.8591357,-67.8813887 -45.8593822,-67.88077392 -45.85953999,-67.8814316 -45.8592926,-67.8808415 -45.8591357,-67.880863 -45.8587322,-67.8817642 -45.858239,-67.8850043 -45.8580522,-67.88402968 -45.85834964,-67.887429 -45.855564,-67.8882551 -45.8548691,-67.8894138 -45.853808,-67.8920853 -45.8535689,-67.8916454 -45.8538678,-67.8897357 -45.85395,-67.88910 -45.85436,-67.8875685 -45.8562589,-67.885799 -45.8571033,-67.88544 -45.8578281,-67.88523 -45.85794,-67.88581092 -45.85597227,-67.887429 -45.855564,-67.8894138 -45.853808,-67.8932333 -45.8533447,-67.8969455 -45.8545851,-67.8963768 -45.8546599,-67.89483427 -45.85484841,-67.9008508 -45.8548093,-67.8990161 -45.8545403,-67.898823 -45.8538678,-67.8965485 -45.8545553,-67.90022567 -45.85540767,,-67.90067511 -45.8549717,-67.904284 -45.8564084,-67.9033184 -45.8552726,-67.9019022 -45.8551232,-67.90400196 -45.85653031,-67.90773330000002 -45.8580522,-67.9073417 -45.8579177,-67.9068965 -45.8568567,-67.9053408 -45.8563822,-67.90707943 -45.8582017,-67.9079533 -45.8582615,-67.9074919 -45.8604283,-67.90669842 -45.86068564,-67.934314 -45.8614668,-67.9336488 -45.8615341,-67.93349860000001 -45.8611979,-67.9346895 -45.8607645,-67.93353649 -45.86088532,-67.9348075 -45.8606001,-67.9353011 -45.8596736,-67.93453745 -45.8597358,,-67.93392737 -45.859992;-67.93392737 -45.859992,,-67.93453745 -45.8597358,-67.9348075 -45.8606001,-67.9353011 -45.8596736,-67.93353649 -45.86088532,-67.934314 -45.8614668,-67.9336488 -45.8615341,-67.93349860000001 -45.8611979,-67.9346895 -45.8607645,-67.90669842 -45.86068564,-67.9079533 -45.8582615,-67.9074919 -45.8604283,-67.90707943 -45.8582017,-67.90773330000002 -45.8580522,-67.9073417 -45.8579177,-67.9068965 -45.8568567,-67.9053408 -45.8563822,-67.90400196 -45.85653031,-67.904284 -45.8564084,-67.9033184 -45.8552726,-67.9019022 -45.8551232,-67.90067511 -45.8549717,,-67.90022567 -45.85540767,-67.9008508 -45.8548093,-67.8990161 -45.8545403,-67.898823 -45.8538678,-67.8965485 -45.8545553,-67.89483427 -45.85484841,-67.887429 -45.855564,-67.8894138 -45.853808,-67.8932333 -45.8533447,-67.8969455 -45.8545851,-67.8963768 -45.8546599,-67.88581092 -45.85597227,-67.887429 -45.855564,-67.8882551 -45.8548691,-67.8894138 -45.853808,-67.8920853 -45.8535689,-67.8916454 -45.8538678,-67.8897357 -45.85395,-67.88910 -45.85436,-67.8875685 -45.8562589,-67.885799 -45.8571033,-67.88544 -45.8578281,-67.88523 -45.85794,-67.88402968 -45.85834964,-67.8814316 -45.8592926,-67.8808415 -45.8591357,-67.880863 -45.8587322,-67.8817642 -45.858239,-67.8850043 -45.8580522,-67.88077392 -45.85953999,-67.8790283 -45.8588293,-67.880466 -45.8587397,-67.8813028 -45.8593598,-67.87771797 -45.85914466,-67.875917 -45.8590236,-67.8765607 -45.8587098,-67.8784597 -45.8588443,-67.87446619 -45.85953534,-67.8759491 -45.8590983,-67.8764319 -45.8599501,-67.87655 -45.8609588,-67.8760779 -45.8611231,-67.87444477 -45.86135588,-67.8761101 -45.86104100000001,-67.8766465 -45.8610185,-67.8767216 -45.8614071,-67.87598229 -45.86175617,-67.8765821 -45.8616835,-67.8769684 -45.861803,-67.877183 -45.8627295,-67.87624464 -45.86324951,-67.87849190000001 -45.8641416,-67.8785133 -45.863499,-67.8778052 -45.8630732,-67.87711554 -45.86436098,-67.8776658 -45.8646496,-67.876035 -45.8642312,-67.8759491 -45.8638278,-67.8749514 -45.864380600000004,-67.87319628 -45.86441938,-67.8740609 -45.8679218,-67.8740501 -45.8676828,-67.8730416 -45.867115,-67.8732347 -45.8667639,-67.8746724 -45.8662783,-67.8754556 -45.865591,-67.876035 -45.8638054,-67.8748977 -45.8643134,-67.8729107 -45.86822856,-67.8699839 -45.8693413,-67.8700376 -45.8699389,-67.8703916 -45.8701929,-67.8709173 -45.8699239,-67.8707349 -45.8692815,-67.8712177 -45.8686166,-67.8731596 -45.8681236,-67.86891343 -45.86940172,-67.8665292 -45.8704394,-67.8664756 -45.8701107,-67.8674197 -45.8697073,-67.8698659 -45.8700883,-67.8700376 -45.8699389,-67.8700268 -45.8692964,-67.86552841 -45.87071955,-67.8687286 -45.87223970000001,-67.8671408 -45.8717542,-67.8661752 -45.8712611,-67.8662395 -45.8705888,-67.86803091 -45.87230485,-67.8763676 -45.8733901,-67.8744149 -45.8729195,-67.8739214 -45.873240700000004,-67.8715611 -45.8732108,-67.8690612 -45.8723443,-67.87582696 -45.87362031,-67.8773654 -45.8733901,-67.8790176 -45.87315110000001,-67.87856511 -45.87324435;-67.87856511 -45.87324435,-67.8773654 -45.8733901,-67.8790176 -45.87315110000001,-67.87582696 -45.87362031,-67.8763676 -45.8733901,-67.8744149 -45.8729195,-67.8739214 -45.873240700000004,-67.8715611 -45.8732108,-67.8690612 -45.8723443,-67.86803091 -45.87230485,-67.8687286 -45.87223970000001,-67.8671408 -45.8717542,-67.8661752 -45.8712611,-67.8662395 -45.8705888,-67.86552841 -45.87071955,-67.8665292 -45.8704394,-67.8664756 -45.8701107,-67.8674197 -45.8697073,-67.8698659 -45.8700883,-67.8700376 -45.8699389,-67.8700268 -45.8692964,-67.86891343 -45.86940172,-67.8699839 -45.8693413,-67.8700376 -45.8699389,-67.8703916 -45.8701929,-67.8709173 -45.8699239,-67.8707349 -45.8692815,-67.8712177 -45.8686166,-67.8731596 -45.8681236,-67.8729107 -45.86822856,-67.8735942 -45.8680488,-67.8724301 -45.8682281,-67.8724086 -45.8686689,-67.8764427 -45.8695952,-67.87545792 -45.87007243,-67.8773439 -45.8681385,-67.878288 -45.8679816,-67.8767216 -45.8696102,-67.87529512 -45.86884053,-67.8773224 -45.8682132,-67.8784168 -45.867951700000006,-67.8792751 -45.866988,-67.87841593 -45.86693979,-67.8794253 -45.8652025,-67.8813779 -45.8643508,-67.8805947 -45.8648065,-67.8801227 -45.8652622,-67.8801119 -45.8658151,-67.8798544 -45.8661513,-67.87816911 -45.86559299,-67.8800154 -45.8627071,-67.880863 -45.8635887,-67.8814101 -45.8638502,-67.881496 -45.8643508,-67.8795862 -45.8651352,-67.87889297 -45.8626014,-67.8809917 -45.8619301,-67.8822792 -45.8616611,-67.8835666 -45.8617507,-67.8845859 -45.8612277,-67.8843284 -45.8612427,-67.88286864 -45.86153258,-67.8855836 -45.8605329,-67.8847253 -45.8611754,-67.8843284 -45.8612427,-67.88485253 -45.86038085,-67.8862917 -45.8600846,-67.8869355 -45.8600547,-67.8873861 -45.8596438,-67.8876221 -45.8588667,-67.8886843 -45.8579999,-67.8905296 -45.8572453,-67.8915596 -45.8569165,-67.8910661 -45.8570435,-67.89119881 -45.85678635,-67.8960952 -45.8598436,-67.8959692 -45.8585678,-67.8961945 -45.8583138,-67.8955936 -45.8581419,-67.8949177 -45.8572976,-67.8950787 -45.8562589,-67.894907 -45.8558629,-67.8937376 -45.8558928,-67.8932869 -45.8566101,-67.8928149 -45.8568492,-67.8926003 -45.8566998,-67.89506126 -45.86022417,-67.8961086 -45.8601668,-67.8949714 -45.8618927,-67.89369378 -45.862107,-67.8961945 -45.8632674,-67.8952932 -45.8629985,-67.8948426 -45.8620347,-67.8946526 -45.86372426,-67.8962696 -45.8632899,-67.8974175 -45.8625203,-67.8984583 -45.8622177,-67.89779792 -45.86312838,,-67.8975525 -45.86346654,-67.8993487 -45.8636634,-67.8988981 -45.8636933,-67.89861920000001 -45.8635215,-67.89867893 -45.86374335,-67.9039943 -45.8644255,-67.9028034 -45.8637381,-67.8999174 -45.8635812,-67.90314798 -45.8648888,-67.906419 -45.86626330000001,-67.9050887 -45.8652025,-67.9043591 -45.864814,-67.90565529 -45.8665856,-67.9108179 -45.86391,-67.9094768 -45.8638353,-67.9077816 -45.8657329,-67.9066443 -45.8662484,-67.90869072 -45.86438156,-67.9100454 -45.8663754,-67.9094982 -45.8663306,-67.909627 -45.86429100000001,-67.90947109 -45.86641003,-67.9100668 -45.8647318,-67.9098523 -45.8659197,-67.9103565 -45.8661513,-67.90917641 -45.86476613,-67.9122448 -45.8649709,-67.911129 -45.8644105,-67.9103887 -45.8645226,-67.91093971 -45.86527418,-67.9164934 -45.8652398,-67.9147875 -45.8642536,-67.9133606 -45.865322,-67.9120409 -45.8651352,-67.91575239 -45.86551598,-67.9187572 -45.8661064,-67.9176843 -45.8663679,-67.9172981 -45.8656657,-67.91774956 -45.8661538,-67.9224908 -45.8663306,-67.9191971 -45.8656582,-67.92069068 -45.86664171,-67.9258382 -45.86658460000001,-67.9220402 -45.8663903,-67.92478129 -45.86687146,-67.9266429 -45.8657927,-67.9259992 -45.8665696,-67.92617947 -45.86596757,,-67.92568273 -45.86555172,-67.9284239 -45.8655835,-67.9270077 -45.8655162,-67.92761571 -45.86576064,-67.92887450000002 -45.8655984,-67.929647 -45.8660093,-67.9311919 -45.8652622,-67.93025624 -45.86524613,-67.934196 -45.8650755,-67.9339492 -45.8648887,-67.9318678 -45.8652174,-67.93322311 -45.86539389,-67.9364544 -45.8650082,-67.9343033 -45.8651128,-67.93542287 -45.86514387,-67.9374468 -45.8637643,-67.93648120000002 -45.8648999,-67.93638614 -45.8639203,-67.9407513 -45.863103100000004,-67.9403973 -45.8622551,-67.93757020000001 -45.8636746,-67.94016816 -45.86304785,-67.9412395 -45.8636896,-67.94085860000001 -45.8628677,-67.94026881 -45.86394522,-67.9413575 -45.8643508,-67.94191 -45.8638801,-67.9413092 -45.8637717,-67.9397787 -45.86446671,-67.939437 -45.8659907,-67.9410034 -45.8642985,-67.93820898 -45.86621382,,-67.93822649 -45.86645361,-67.9383588 -45.8674437,-67.9380101 -45.8666929,-67.9392922 -45.8661064,-67.9400271 -45.8665472</t>
  </si>
  <si>
    <t>-67.9400271 -45.8665472,-67.9383588 -45.8674437,-67.9380584 -45.8682655,-67.9363847 -45.8693786,-67.9365671 -45.8696326,-67.93551008 -45.87004015,-67.936492 -45.8696625,-67.9362881 -45.8694234,-67.9350436 -45.8703273,-67.9347003 -45.8699986,-67.933282 -45.87018527,-67.9337347 -45.872531,-67.9350007 -45.8704245,-67.9346895 -45.8701032,-67.93292309 -45.87290945,-67.9305589 -45.8765722,-67.9309773 -45.8765423,-67.9323184 -45.875011,-67.9336917 -45.8726132,-67.92916705 -45.87686758,-67.9288745 -45.8790371,-67.9299796 -45.8786337,-67.9304302 -45.8776552,-67.9309022 -45.8766245,-67.9306126 -45.8766543,-67.92746283 -45.879252,-67.9288745 -45.8790371,-67.9299796 -45.8786337,-67.9308271 -45.8793582,-67.9310632 -45.8796271,-67.9308057 -45.8796645,-67.92926139 -45.87980166,-67.9308057 -45.8796645,-67.9309773 -45.8795823,-67.9308271 -45.8793582,-67.9319429 -45.8795524,-67.9332089 -45.8799333,-67.9339921 -45.8795524,-67.9349685 -45.8793358,-67.935698 -45.8793209,-67.93512028 -45.8793768,-67.9364383 -45.8791566,-67.9368889 -45.8790371,-67.9370821 -45.878798,-67.939657 -45.8787906,-67.9398179 -45.8784246,-67.93938002 -45.87863178,-67.9433799 -45.8793582,-67.9425859 -45.8792462,-67.9414809 -45.8788951,-67.9399574 -45.8788802,-67.9395819 -45.8785889,-67.9398179 -45.8784246,-67.94258106 -45.87928487,-67.9468131 -45.8799931,-67.9464698 -45.8794927,-67.9443026 -45.8791491,-67.9459034 -45.88040255,-67.9472744 -45.8827118,-67.9475963 -45.8819051,-67.9476392 -45.8807475,-67.9472208 -45.8805159,-67.94607409 -45.88311995,-67.9472744 -45.8852212,-67.9470921 -45.8844967,-67.9472423 -45.883959,-67.9472315 -45.8831823,-67.94628753 -45.88560005,-67.9487872 -45.8868418,-67.9495382 -45.8874766,-67.9496884 -45.88726,-67.9485726 -45.886095,-67.9476714 -45.8855871,-67.94746568 -45.88694764,-67.948755 -45.886894,-67.9494202 -45.887484,-67.9503751 -45.8875587,-67.9509008 -45.8873571,-67.9508793 -45.8868716,-67.94972726 -45.88693813,-67.951051 -45.8868418,-67.9516089 -45.886207,-67.952832 -45.8866028,-67.95178221 -45.88666191,-67.957381 -45.8868268,-67.9566729 -45.8866327,-67.953701 -45.8868791,-67.9533148 -45.8869911,-67.9529393 -45.8866103,-67.95650174 -45.8868325,-67.9563618 -45.8869613,-67.9570055 -45.8870583,-67.9568553 -45.8866028,-67.957381 -45.8868268,-67.95495587 -45.8875866,-67.9576063 -45.8896124,-67.9577136 -45.888888,-67.9572308 -45.8876483,-67.9565012 -45.8869986,-67.95602222 -45.88970885,-67.958647 -45.8921289,-67.9580784 -45.8917854,-67.958411 -45.8907699,-67.9588509 -45.8902397,-67.9578209 -45.8896422,-67.95792371 -45.89252328,-67.958411 -45.8946678,-67.9585934 -45.8938464,-67.9590118 -45.8934581,-67.9594839 -45.8932714,-67.9597199 -45.892913,-67.9595053 -45.8926741,-67.95753705 -45.89518861,-67.9602778 -45.8973559,-67.959677 -45.8974604,-67.9590976 -45.897326,-67.9587114 -45.8968257,-67.95928 -45.896094,-67.9591405 -45.8953548,-67.95956637 -45.89743693,-67.9642367 -45.8983564,-67.9643333 -45.8976993,-67.9650199 -45.8970721,-67.9652989 -45.8964076,-67.9613721 -45.8972065,-67.96354703 -45.89869944,-67.9693437 -45.9027914,-67.9659963 -45.8987297,-67.965138 -45.8986401,-67.96793825 -45.90348141,-67.9685926 -45.9034484,-67.9653096 -45.9044488,-67.9600525 -45.9049564,-67.9584861 -45.9041651,-67.9576707 -45.9040606,-67.95594313 -45.90408308;-67.95594313 -45.90408308,-67.9576063 -45.9040904, -67.9586792 -45.9041949, -67.9598594 -45.9049266, -67.9530573 -45.9053894, -67.948916 -45.9068676,-67.9477358 -45.9069124,-67.9420066 -45.9072707, -67.9449141 -45.9072931, -67.9463518 -45.9076291,-67.94070253 -45.90708056,-67.9419637 -45.9061061,-67.9426718 -45.9047623,-67.9415345 -45.9048967,-67.938745 -45.9059568,-67.9340029 -45.9072707,-67.9353547 -45.9073006,-67.93482704 -45.9074612,-67.922008 -45.9097193,-67.9201412 -45.9109884,-67.9196906 -45.9109585,-67.9200125 -45.9097492,-67.9210854 -45.909585,-67.9227591 -45.90851,-67.9267287 -45.9077933,-67.9317927 -45.9075544,-67.9344964 -45.9080023,-67.9353762 -45.9076142,-67.92132124 -45.90950332,-67.9221797 -45.9097492,-67.9201412 -45.9109884,-67.91924 -45.911063,-67.9191971 -45.9115109,-67.91938339 -45.91141146;-67.91938339 -45.91141146,-67.9150558 -45.9126903,-67.9162359 -45.9122126,-67.9164505 -45.9115408,-67.9181457 -45.910645,-67.9202914 -45.9111078,-67.91361731 -45.91301639,-67.9115582 -45.9126157,-67.9142189 -45.9121827,-67.9144764 -45.9124216,-67.91006671 -45.91285318,-67.9106355 -45.9125261,-67.9076529 -45.9123768,-67.9041553 -45.9118991,-67.9033184 -45.9115706,-67.9007006 -45.9119737,-67.8999066 -45.9124515,-67.89855752 -45.91238198,-67.8991771 -45.9121305,-67.8986728 -45.9117274,-67.8980076 -45.9113691,-67.8973746 -45.9114288,-67.8960335 -45.9121156,-67.89466992 -45.91293356;-67.89466992 -45.91293356,-67.8991771 -45.9121305,-67.8986728 -45.9117274,-67.8980076 -45.9113691,-67.8973746 -45.9114288,-67.8960335 -45.9121156,-67.89855752 -45.91238198,-67.9106355 -45.9125261,-67.9076529 -45.9123768,-67.9041553 -45.9118991,-67.9033184 -45.9115706,-67.9007006 -45.9119737,-67.8999066 -45.9124515,-67.91006671 -45.91285318,-67.9115582 -45.9126157,-67.9142189 -45.9121827,-67.9144764 -45.9124216,-67.91361731 -45.91301639,-67.9095197 -45.9178556,-67.9090691 -45.9168107,-67.9049706 -45.9149894,-67.9050565 -45.9146311,-67.908597 -45.9143027,-67.9105282 -45.9135114,-67.9126954 -45.9130636,-67.9141974 -45.9123171,-67.90949828 -45.91775832,-67.9105067 -45.9207068,-67.9081678 -45.9205276,-67.9078245 -45.9200798,-67.9065156 -45.9195574,-67.9081035 -45.9191991,-67.9097772 -45.9180049,-67.91006087 -45.92075561,-67.9102921 -45.920662,-67.908361 -45.9205575,-67.9075885 -45.9200201,-67.9060221 -45.9194977,-67.9027176 -45.9217367,-67.90106153 -45.92208325,-67.898984 -45.9215725,-67.9012799 -45.9215277,-67.9016232 -45.9217367,-67.8972875 -45.92186977;-67.8972875 -45.92186977,-67.898984 -45.9215725,-67.9012799 -45.9215277,-67.9016232 -45.9217367,-67.90106153 -45.92208325,-67.9102921 -45.920662,-67.908361 -45.9205575,-67.9075885 -45.9200201,-67.9060221 -45.9194977,-67.9027176 -45.9217367,-67.91006087 -45.92075561,-67.9105067 -45.9207068,-67.9081678 -45.9205276,-67.9078245 -45.9200798,-67.9065156 -45.9195574,-67.9081035 -45.9191991,-67.9097772 -45.9180049,-67.90949828 -45.91775832,-67.9095197 -45.9178556,-67.9090691 -45.9168107,-67.9049706 -45.9149894,-67.9050565 -45.9146311,-67.908597 -45.9143027,-67.9105282 -45.9135114,-67.9126954 -45.9130636,-67.9141974 -45.9123171,-67.91361731 -45.91301639,-67.9150558 -45.9126903,-67.9162359 -45.9122126,-67.9164505 -45.9115408,-67.9181457 -45.910645,-67.9202914 -45.9111078,-67.91938339 -45.91141146,-67.9221797 -45.9097492,-67.9201412 -45.9109884,-67.91924 -45.911063,-67.9191971 -45.9115109,-67.92132124 -45.90950332,-67.922008 -45.9097193,-67.9201412 -45.9109884,-67.9196906 -45.9109585,-67.9200125 -45.9097492,-67.9210854 -45.909585,-67.9227591 -45.90851,-67.9267287 -45.9077933,-67.9317927 -45.9075544,-67.9344964 -45.9080023,-67.9353762 -45.9076142,-67.93482704 -45.9074612,-67.9419637 -45.9061061,-67.9426718 -45.9047623,-67.9415345 -45.9048967,-67.938745 -45.9059568,-67.9340029 -45.9072707,-67.9353547 -45.9073006,-67.94070253 -45.90708056,-67.9417276 -45.9060912,-67.9426718 -45.9047623,-67.9416203 -45.9047773,-67.9445601 -45.9035379,-67.942543 -45.9026271,-67.94048121 -45.90255833,-67.9313636 -45.9007755,-67.9299688 -45.9015296,-67.9309559 -45.9024778,-67.931664 -45.9022687,-67.9323721 -45.9010144,-67.9335737 -45.900447,-67.9371786 -45.9012832,-67.9379082 -45.9021045,-67.9396677 -45.9026719,-67.941041 -45.9025674,-67.93028301 -45.90068278,-67.9312027 -45.9008128,-67.9299688 -45.9015296,-67.9282737 -45.9003723,-67.9263103 -45.8994316,-67.9232204 -45.8984983,-67.9221046 -45.8981623,-67.92046749 -45.89809236,-67.9221904 -45.8981548,-67.9232204 -45.8984983,-67.9230487 -45.8980652,-67.9224908 -45.89755,-67.9236388 -45.8964449,-67.92261639 -45.89612501,-67.9235637 -45.895743,-67.9241538 -45.8953249,-67.9267287 -45.8949142,-67.9271579 -45.8944961,-67.9267287 -45.8942048,-67.9257309 -45.8936448,-67.9256558 -45.8930698,-67.9268682 -45.8923604,-67.9289711 -45.8934208,-67.9293036 -45.893361,-67.92819602 -45.89300211,-67.929368 -45.8925994,-67.9296148 -45.8919423,-67.9287994 -45.8913897,-67.9285097 -45.8910014,-67.9286277 -45.8901127,-67.92758265 -45.88993498,-67.9286492 -45.8892166,-67.9288638 -45.8878724,-67.9292393 -45.8876931,-67.92838162 -45.88770662,-67.929883 -45.8876782,-67.9306018 -45.8878724,-67.9317605 -45.8883727,-67.9326189 -45.888201,-67.93184093 -45.88869985,,-67.93195275 -45.88880085,-67.9325545 -45.8880964,-67.9324257 -45.8875363,-67.933048 -45.8868642,-67.9335093 -45.8836304,-67.93297197 -45.88384007,,-67.93288041 -45.88347512,-67.9369962 -45.8822636,-67.9367441 -45.8819686,-67.9343677 -45.8832719,-67.93623372 -45.88237227,-67.9369104 -45.8822487,-67.9367441 -45.8819686,-67.9385787 -45.881274,-67.938568 -45.8809641,-67.9379243 -45.8811844,-67.93588984 -45.88149225,-67.9380155 -45.8812404,-67.938627 -45.880852,-67.9384768 -45.8805682,-67.9371035 -45.8800827,-67.9358482 -45.8797093,-67.9335737 -45.8797616,-67.934432 -45.8794255,-67.9350007 -45.8792835,-67.9357088 -45.8792686,-67.93512028 -45.8793768,-67.9364383 -45.8791566,-67.9368889 -45.8790371,-67.9370821 -45.878798,-67.939657 -45.8787906,-67.9398179 -45.8784246,-67.93938002 -45.87863178,,-67.93921257 -45.87804782,-67.9512119 -45.8788877,-67.952435 -45.8787607,-67.9518127 -45.8800454,-67.9474354 -45.8786785,-67.9441524 -45.8779764,-67.9427791 -45.8776328,-67.940805 -45.8776926,-67.94944114 -45.87896309,-67.9534543 -45.8773565,-67.9526925 -45.87711,-67.9530144 -45.8775731,-67.9524779 -45.878813,-67.9512334 -45.8789325,-67.95259842 -45.87763583,-67.9538298 -45.8776104,-67.9575419 -45.8788205,-67.9596341 -45.8789624,-67.9602242 -45.8794852,-67.95937836 -45.87978501,-67.967391 -45.8796271,-67.9660606 -45.879657,-67.9619408 -45.879179,-67.959795 -45.8789997,-67.9602242 -45.8794852,-67.96661757 -45.87943084,-67.9708028 -45.8792686,-67.9686999 -45.8795524,-67.9682064 -45.8792238,-67.96993071 -45.87922522,-67.9739785 -45.8781632,-67.9745579 -45.8782677,-67.9740644 -45.8788802,-67.9710174 -45.8792537,-67.97210325 -45.8786421,-67.9764569 -45.8790072,-67.9757595 -45.8787084,-67.9755771 -45.8785142,-67.9742253 -45.8787756,-67.974236 -45.878222900000004,-67.9757414 -45.87911165,-67.9789352 -45.8795823,-67.9791069 -45.8776627,-67.9756737 -45.8784769,-67.9758239 -45.8787234,-67.9765105 -45.8789474,-67.97764389 -45.88001208,-67.9789352 -45.8795823,-67.9789889 -45.8790669,-67.9799759 -45.8791491,-67.97934342 -45.87920812,-67.9797721 -45.879179,-67.9789889 -45.8790669,-67.9792571 -45.8776403,-67.9831409 -45.876744,-67.9844499 -45.8766842,-67.9838705 -45.8772892,-67.98257485 -45.87765379,-67.9838705 -45.8772892,-67.9842675 -45.8766469,-67.9854584 -45.876617,-67.9846001 -45.8763854,-67.98281428 -45.87644776,-67.9865313 -45.8763033,-67.9853833 -45.8764975,-67.98469660000002 -45.8764303,-67.98563419 -45.87640922,-67.9896748 -45.8771548,-67.9892349 -45.8767216,-67.985158 -45.8765946,-67.9863167 -45.8762734,-67.98904006 -45.87741924,-67.9909623 -45.8768411,-67.9909086 -45.8766394,-67.9893529 -45.876729,-67.9896641 -45.8770726,-67.98995293 -45.87688436,-67.9932904 -45.8760792,-67.9926252 -45.8763556,-67.9912949 -45.8766319,-67.99230343 -45.87612978,-67.9940093 -45.875758,-67.9942882 -45.875646,-67.9944921 -45.8759223,-67.9952216 -45.8756385,-67.9962945 -45.874899,-67.99575168 -45.87505796,-67.9970562 -45.8749065,-67.998054 -45.8746002,-67.9989874 -45.8742865,-67.9998994 -45.8736889,-67.99900055 -45.87377745,-68.0009079 -45.8733901,-68.0017447 -45.8731436,-68.0013478 -45.8728149,-68.0005753 -45.8728074,-67.9998672 -45.8727327,-67.9986441 -45.8728074,-67.99707801 -45.87306235,-67.9984939 -45.8727327,-67.9986763 -45.8725609,-67.9987407 -45.872292,-67.99743076 -45.87213204,-68.0036652 -45.8703498,-68.0024529 -45.8706934,-68.0012727 -45.8709175,-68.0001891 -45.8713881,-67.9995775 -45.8718363,-68.00284674 -45.87040916,,-68.00265219 -45.87027578;-68.00265219 -45.87027578,,-68.00284674 -45.87040916,-68.0036652 -45.8703498,-68.0024529 -45.8706934,-68.0012727 -45.8709175,-68.0001891 -45.8713881,-67.9995775 -45.8718363,-67.99743076 -45.87213204,-67.9984939 -45.8727327,-67.9986763 -45.8725609,-67.9987407 -45.872292,-67.99707801 -45.87306235,-68.0009079 -45.8733901,-68.0017447 -45.8731436,-68.0013478 -45.8728149,-68.0005753 -45.8728074,-67.9998672 -45.8727327,-67.9986441 -45.8728074,-67.99900055 -45.87377745,-67.9970562 -45.8749065,-67.998054 -45.8746002,-67.9989874 -45.8742865,-67.9998994 -45.8736889,-67.99575168 -45.87505796,-67.9940093 -45.875758,-67.9942882 -45.875646,-67.9944921 -45.8759223,-67.9952216 -45.8756385,-67.9962945 -45.874899,-67.99230343 -45.87612978,-67.9932904 -45.8760792,-67.9926252 -45.8763556,-67.9912949 -45.8766319,-67.98995293 -45.87688436,-67.9909623 -45.8768411,-67.9909086 -45.8766394,-67.9893529 -45.876729,-67.9896641 -45.8770726,-67.98904006 -45.87741924,-67.9896748 -45.8771548,-67.9892349 -45.8767216,-67.985158 -45.8765946,-67.9863167 -45.8762734,-67.98563419 -45.87640922,-67.9865313 -45.8763033,-67.9853833 -45.8764975,-67.98469660000002 -45.8764303,-67.98281428 -45.87644776,-67.9838705 -45.8772892,-67.9842675 -45.8766469,-67.9854584 -45.876617,-67.9846001 -45.8763854,-67.98257485 -45.87765379,-67.9797721 -45.879179,-67.9789889 -45.8790669,-67.9792571 -45.8776403,-67.9831409 -45.876744,-67.9844499 -45.8766842,-67.9838705 -45.8772892,-67.97934342 -45.87920812,-67.9789352 -45.8795823,-67.9789889 -45.8790669,-67.9799759 -45.8791491,-67.97764389 -45.88001208,-67.9789352 -45.8795823,-67.9791069 -45.8776627,-67.9756737 -45.8784769,-67.9758239 -45.8787234,-67.9765105 -45.8789474,-67.9757414 -45.87911165,-67.9764569 -45.8790072,-67.9757595 -45.8787084,-67.9755771 -45.8785142,-67.9742253 -45.8787756,-67.974236 -45.878222900000004,-67.97210325 -45.8786421,-67.9739785 -45.8781632,-67.9745579 -45.8782677,-67.9740644 -45.8788802,-67.9710174 -45.8792537,-67.96993071 -45.87922522,-67.9708028 -45.8792686,-67.9686999 -45.8795524,-67.9682064 -45.8792238,-67.96661757 -45.87943084,-67.967391 -45.8796271,-67.9660606 -45.879657,-67.9619408 -45.879179,-67.959795 -45.8789997,-67.9602242 -45.8794852,-67.95937836 -45.87978501,-67.9538298 -45.8776104,-67.9575419 -45.8788205,-67.9596341 -45.8789624,-67.9602242 -45.8794852,-67.95259842 -45.87763583,-67.9521346 -45.8759746,-67.9517162 -45.8759074,-67.9513943 -45.8758999,-67.9525959 -45.87702780000001,-67.95337920000001 -45.8774162,-67.95155064 -45.87647635,-67.9521346 -45.8759746,-67.951448 -45.8759597,-67.9509008 -45.8738383,-67.94983615 -45.87396079,-67.9508579 -45.8736739,-67.9509115 -45.8721426,-67.94974928 -45.87213834,-67.9510081 -45.87218,-67.9515123 -45.8715599,-67.9518449 -45.870925,-67.95082673 -45.87123588,-67.9518449 -45.870925,-67.9516733 -45.8706037,-67.9509866 -45.870275,-67.95089010000001 -45.8697222,-67.9517484 -45.8700734,-67.9526281 -45.8699912,-67.95188123 -45.87007275,-67.9526013 -45.869965,-67.9517484 -45.8700734,-67.9508901 -45.8697222,-67.9511476 -45.8693039,-67.95011093 -45.86936834,-67.9511476 -45.8693039,-67.95089010000001 -45.8697222,-67.9506433 -45.8681011,-67.9512978 -45.867892,-67.95075242 -45.86791677,-67.9513514 -45.867951700000006,-67.9506004 -45.8681534,-67.9493558 -45.8665622,-67.9490876 -45.8664576,-67.9492164 -45.8668461,-67.94827454 -45.86749255,-67.949152 -45.8670029,-67.9489589 -45.866338,-67.9464805 -45.8656358,-67.946502 -45.8652099,-67.94551194 -45.86495899,,-67.9454304 -45.86503525,-67.9452038 -45.8642219,-67.9464403 -45.8647635,-67.9400271 -45.8665472</t>
  </si>
  <si>
    <t>-67.9400271 -45.8665472,-67.9383588 -45.8674437,-67.9380101 -45.8666929,-67.9392922 -45.8661064,-67.93822649 -45.86645361,,-67.93820898 -45.86621382,-67.939437 -45.8659907,-67.9410034 -45.8642985,-67.9397787 -45.86446671,-67.9413575 -45.8643508,-67.94191 -45.8638801,-67.9413092 -45.8637717,-67.94026881 -45.86394522,-67.9412395 -45.8636896,-67.94085860000001 -45.8628677,-67.94016816 -45.86304785,-67.9407513 -45.863103100000004,-67.9403973 -45.8622551,-67.93757020000001 -45.8636746,-67.93638614 -45.8639203,-67.9374468 -45.8637643,-67.93648120000002 -45.8648999,-67.93542287 -45.86514387,-67.9364544 -45.8650082,-67.9343033 -45.8651128,-67.93322311 -45.86539389,-67.934196 -45.8650755,-67.9339492 -45.8648887,-67.9318678 -45.8652174,-67.93025624 -45.86524613,-67.92887450000002 -45.8655984,-67.929647 -45.8660093,-67.9311919 -45.8652622,-67.92761571 -45.86576064,-67.9284239 -45.8655835,-67.9270077 -45.8655162,-67.92568273 -45.86555172,,-67.92617947 -45.86596757,-67.9266429 -45.8657927,-67.9259992 -45.8665696,-67.92478129 -45.86687146,-67.9258382 -45.86658460000001,-67.9220402 -45.8663903,-67.92069068 -45.86664171,-67.9224908 -45.8663306,-67.9191971 -45.8656582,-67.91774956 -45.8661538,-67.9187572 -45.8661064,-67.9176843 -45.8663679,-67.9172981 -45.8656657,-67.91575239 -45.86551598,-67.9164934 -45.8652398,-67.9147875 -45.8642536,-67.9133606 -45.865322,-67.9120409 -45.8651352,-67.91093971 -45.86527418,-67.9122448 -45.8649709,-67.911129 -45.8644105,-67.9103887 -45.8645226,-67.90917641 -45.86476613,-67.9100668 -45.8647318,-67.9098523 -45.8659197,-67.9103565 -45.8661513,-67.90947109 -45.86641003,-67.9100454 -45.8663754,-67.9094982 -45.8663306,-67.909627 -45.86429100000001,-67.90869072 -45.86438156,-67.9108179 -45.86391,-67.9094768 -45.8638353,-67.9077816 -45.8657329,-67.9066443 -45.8662484,-67.90565529 -45.8665856,-67.906419 -45.86626330000001,-67.9050887 -45.8652025,-67.9043591 -45.864814,-67.90314798 -45.8648888,-67.9039943 -45.8644255,-67.9028034 -45.8637381,-67.8999174 -45.8635812,-67.89867893 -45.86374335,-67.8993487 -45.8636634,-67.8988981 -45.8636933,-67.89861920000001 -45.8635215,-67.8975525 -45.86346654,,-67.89779792 -45.86312838,-67.8962696 -45.8632899,-67.8974175 -45.8625203,-67.8984583 -45.8622177,-67.8946526 -45.86372426,-67.8961945 -45.8632674,-67.8952932 -45.8629985,-67.8948426 -45.8620347,-67.89369378 -45.862107,-67.8961086 -45.8601668,-67.8949714 -45.8618927,-67.89506126 -45.86022417,-67.8960952 -45.8598436,-67.8959692 -45.8585678,-67.8961945 -45.8583138,-67.8955936 -45.8581419,-67.8949177 -45.8572976,-67.8950787 -45.8562589,-67.894907 -45.8558629,-67.8937376 -45.8558928,-67.8932869 -45.8566101,-67.8928149 -45.8568492,-67.8926003 -45.8566998,-67.89119881 -45.85678635,-67.8915596 -45.8569165,-67.8910661 -45.8570435,-67.8905296 -45.8572453,-67.8862917 -45.8600846,-67.8869355 -45.8600547,-67.8873861 -45.8596438,-67.8876221 -45.8588667,-67.8886843 -45.8579999,-67.88485253 -45.86038085,-67.8855836 -45.8605329,-67.8847253 -45.8611754,-67.8843284 -45.8612427,-67.88286864 -45.86153258,-67.8809917 -45.8619301,-67.8822792 -45.8616611,-67.8835666 -45.8617507,-67.8845859 -45.8612277,-67.8843284 -45.8612427,-67.87889297 -45.8626014,-67.8800154 -45.8627071,-67.880863 -45.8635887,-67.8814101 -45.8638502,-67.881496 -45.8643508,-67.8795862 -45.8651352,-67.87816911 -45.86559299,-67.8794253 -45.8652025,-67.8813779 -45.8643508,-67.8805947 -45.8648065,-67.8801227 -45.8652622,-67.8801119 -45.8658151,-67.8798544 -45.8661513,-67.87841593 -45.86693979,-67.881968 -45.8668087,-67.881099 -45.866046700000005,-67.879715 -45.8662036,-67.88072073 -45.86731686,-67.8820217 -45.866861,-67.8810775 -45.8659421,-67.8805304 -45.8654714,-67.8806269 -45.865195,-67.8815389 -45.8649484,-67.88079329 -45.86488873,-67.8823435 -45.864418,-67.8824079 -45.8637456,-67.8817427 -45.8630807,-67.8819895 -45.8626249,-67.8826332 -45.8624979,-67.8835452 -45.862722,-67.8839958 -45.8626847,-67.88289949 -45.86309075;-67.88289949 -45.86309075,-67.8823435 -45.864418,-67.8824079 -45.8637456,-67.8817427 -45.8630807,-67.8819895 -45.8626249,-67.8826332 -45.8624979,-67.8835452 -45.862722,-67.8839958 -45.8626847,-67.88079329 -45.86488873,-67.8820217 -45.866861,-67.8810775 -45.8659421,-67.8805304 -45.8654714,-67.8806269 -45.865195,-67.8815389 -45.8649484,-67.88072073 -45.86731686,-67.881968 -45.8668087,-67.881099 -45.866046700000005,-67.879715 -45.8662036,-67.87841593 -45.86693979,-67.8773224 -45.8682132,-67.8784168 -45.867951700000006,-67.8792751 -45.866988,-67.87529512 -45.86884053,-67.8755951 -45.8690125,-67.8751016 -45.8692815,-67.8764427 -45.8695952,-67.87545792 -45.87007243,-67.8735942 -45.8680488,-67.8724301 -45.8682281,-67.8724086 -45.8686689,-67.8764427 -45.8695952,-67.8729107 -45.86822856,-67.8699839 -45.8693413,-67.8700376 -45.8699389,-67.8703916 -45.8701929,-67.8709173 -45.8699239,-67.8707349 -45.8692815,-67.8712177 -45.8686166,-67.8731596 -45.8681236,-67.86891343 -45.86940172,-67.8665292 -45.8704394,-67.8664756 -45.8701107,-67.8674197 -45.8697073,-67.8698659 -45.8700883,-67.8700376 -45.8699389,-67.8700268 -45.8692964,-67.86552841 -45.87071955,-67.8665292 -45.8705589,-67.866143 -45.8710594,-67.8657889 -45.8704767,-67.8668725 -45.8688706,-67.86653014 -45.86909111,-67.8668725 -45.8688706,-67.8667974 -45.868646500000004,-67.8676665 -45.8677127,-67.867012 -45.86727940000001,-67.86635342 -45.86702056,-67.8668189 -45.8667639,-67.8664005 -45.866988,-67.8663254 -45.8676305,-67.86498939 -45.86808329,-67.8639972 -45.8691171,-67.8657031 -45.8680713,-67.86235431 -45.86962035,-67.8593409 -45.8716048,-67.85971640000001 -45.8705365,-67.8614008 -45.870529,-67.861948 -45.8698268,-67.8630531 -45.8694832,-67.85882935 -45.87179542,-67.857635 -45.8744807,-67.8541696 -45.874152,-67.8588581 -45.8727103,-67.8593409 -45.8716048,-67.857019 -45.87438052,-67.84873010000001 -45.87312860000001,-67.8543305 -45.8741595,-67.857635 -45.8744807,-67.84711722 -45.87310355,-67.8489339 -45.8731324,-67.8501302 -45.8733565,-67.8485316 -45.8736739,-67.8459191 -45.8729942,-67.84549 -45.8723406,-67.8449106 -45.8726842,-67.84336962 -45.87289033,-67.8464448 -45.8713396,-67.8465736 -45.871657000000006,-67.84484620000002 -45.8726692,-67.84458226 -45.87132178,-67.8433174 -45.8702414,-67.8424054 -45.8705701,-67.8442401 -45.8712014,-67.8457582 -45.8705029,-67.8468794 -45.8714778,-67.8465736 -45.871657000000006,-67.8464073 -45.8713396,-67.84266503 -45.8702826,-67.8403401 -45.8715002,-67.8396213 -45.8713059,-67.8401256 -45.8706859,-67.8424323 -45.8705216,-67.8432369 -45.8702153,-67.83999726 -45.87142467,-67.8404045 -45.871440400000004,-67.8396642 -45.8713657,-67.8393745 -45.8705216,-67.8371751 -45.8699314,-67.8344822 -45.8697969,-67.8345251 -45.8700584,-67.8363597 -45.8707606,-67.83598551 -45.8713908,-67.8363276 -45.8710445,-67.8348899 -45.87091,-67.8336024 -45.8710221,-67.83204724 -45.87132308,-67.8326046 -45.8712686,-67.8287637 -45.8718438,-67.8266931 -45.8718811,-67.8259957 -45.8715076,-67.82435527 -45.87146335,-67.8260922 -45.8716048,-67.8258884 -45.8718886,-67.8219509 -45.871657,-67.8194082 -45.8687287,-67.8185391 -45.8670926,-67.8190756 -45.8667788,-67.8187144 -45.86699435,-67.819097 -45.8668461,-67.8186357 -45.8670552,-67.8192151 -45.868385,-67.81829240000002 -45.8680713,-67.81633269 -45.86814359,-67.8182173 -45.868004,-67.8163826 -45.8667415,-67.8134429 -45.8668909,-67.81175633 -45.86687163;-67.81175633 -45.86687163,-67.8182173 -45.868004,-67.8163826 -45.8667415,-67.8134429 -45.8668909,-67.81633269 -45.86814359,-67.8182173 -45.868004,-67.8160286 -45.8663455,-67.8181314 -45.8648065,-67.8182173 -45.864545,-67.81720169 -45.86444747;-67.81720169 -45.86444747,-67.8182173 -45.868004,-67.8160286 -45.8663455,-67.8181314 -45.8648065,-67.8182173 -45.864545,-67.81633269 -45.86814359,-67.819097 -45.8668461,-67.8186357 -45.8670552,-67.8192151 -45.868385,-67.81829240000002 -45.8680713,-67.8187144 -45.86699435,-67.8260922 -45.8716048,-67.8258884 -45.8718886,-67.8219509 -45.871657,-67.8194082 -45.8687287,-67.8185391 -45.8670926,-67.8190756 -45.8667788,-67.82435527 -45.87146335,-67.8326046 -45.8712686,-67.8287637 -45.8718438,-67.8266931 -45.8718811,-67.8259957 -45.8715076,-67.83204724 -45.87132308,-67.8347504 -45.8724041,-67.8345788 -45.8717915,-67.8335381 -45.8712686,-67.8339131 -45.87269245,-67.8368962 -45.8743761,-67.8363168 -45.8740101,-67.8365743 -45.8734723,-67.8358126 -45.8726879,-67.8366923 -45.875026,-67.835952 -45.87464500000001,-67.8341711 -45.8731585,-67.8321648 -45.8729195,-67.83053849 -45.87304743;-67.83053849 -45.87304743,-67.835952 -45.87464500000001,-67.8341711 -45.8731585,-67.8321648 -45.8729195,-67.8366923 -45.875026,-67.8368962 -45.8743761,-67.8363168 -45.8740101,-67.8365743 -45.8734723,-67.8358126 -45.8726879,-67.8339131 -45.87269245,-67.8347504 -45.8724041,-67.8345788 -45.8717915,-67.8335381 -45.8712686,-67.83204724 -45.87132308,-67.8363276 -45.8710445,-67.8348899 -45.87091,-67.8336024 -45.8710221,-67.83598551 -45.8713908,-67.8404045 -45.871440400000004,-67.8396642 -45.8713657,-67.8393745 -45.8705216,-67.8371751 -45.8699314,-67.8344822 -45.8697969,-67.8345251 -45.8700584,-67.8363597 -45.8707606,-67.83999726 -45.87142467,-67.8403401 -45.8715002,-67.8396213 -45.8713059,-67.8401256 -45.8706859,-67.8424323 -45.8705216,-67.8432369 -45.8702153,-67.84266503 -45.8702826,-67.8433174 -45.8702414,-67.8424054 -45.8705701,-67.8442401 -45.8712014,-67.8457582 -45.8705029,-67.8468794 -45.8714778,-67.8465736 -45.871657000000006,-67.8464073 -45.8713396,-67.84458226 -45.87132178,-67.8464448 -45.8713396,-67.8465736 -45.871657000000006,-67.84484620000002 -45.8726692,-67.84336962 -45.87289033,-67.8489339 -45.8731324,-67.8501302 -45.8733565,-67.8485316 -45.8736739,-67.8459191 -45.8729942,-67.84549 -45.8723406,-67.8449106 -45.8726842,-67.84711722 -45.87310355,-67.84873010000001 -45.87312860000001,-67.8543305 -45.8741595,-67.857635 -45.8744807,-67.857019 -45.87438052,-67.857635 -45.8744807,-67.8541696 -45.874152,-67.8588581 -45.8727103,-67.8593409 -45.8716048,-67.85882935 -45.87179542,-67.8593409 -45.8716048,-67.85971640000001 -45.8705365,-67.8614008 -45.870529,-67.861948 -45.8698268,-67.8630531 -45.8694832,-67.86235431 -45.86962035,-67.8639972 -45.8691171,-67.8657031 -45.8680713,-67.86498939 -45.86808329,-67.8668189 -45.8667639,-67.8664005 -45.866988,-67.8663254 -45.8676305,-67.86635342 -45.86702056,-67.8668725 -45.8688706,-67.8667974 -45.868646500000004,-67.8676665 -45.8677127,-67.867012 -45.86727940000001,-67.86653014 -45.86909111,-67.8665292 -45.8705589,-67.866143 -45.8710594,-67.8657889 -45.8704767,-67.8668725 -45.8688706,-67.86552841 -45.87071955,-67.8665292 -45.8704394,-67.8664756 -45.8701107,-67.8674197 -45.8697073,-67.8698659 -45.8700883,-67.8700376 -45.8699389,-67.8700268 -45.8692964,-67.86891343 -45.86940172,-67.8699839 -45.8693413,-67.8700376 -45.8699389,-67.8703916 -45.8701929,-67.8709173 -45.8699239,-67.8707349 -45.8692815,-67.8712177 -45.8686166,-67.8731596 -45.8681236,-67.8729107 -45.86822856,-67.8735942 -45.8680488,-67.8724301 -45.8682281,-67.8724086 -45.8686689,-67.8764427 -45.8695952,-67.87545792 -45.87007243,-67.8773439 -45.8681385,-67.878288 -45.8679816,-67.8767216 -45.8696102,-67.87529512 -45.86884053,-67.8773224 -45.8682132,-67.8784168 -45.867951700000006,-67.8792751 -45.866988,-67.87841593 -45.86693979,-67.8794253 -45.8652025,-67.8813779 -45.8643508,-67.8805947 -45.8648065,-67.8801227 -45.8652622,-67.8801119 -45.8658151,-67.8798544 -45.8661513,-67.87816911 -45.86559299,-67.8800154 -45.8627071,-67.880863 -45.8635887,-67.8814101 -45.8638502,-67.881496 -45.8643508,-67.8795862 -45.8651352,-67.87889297 -45.8626014,-67.8809917 -45.8619301,-67.8822792 -45.8616611,-67.8835666 -45.8617507,-67.8845859 -45.8612277,-67.8843284 -45.8612427,-67.88286864 -45.86153258,-67.8855836 -45.8605329,-67.8847253 -45.8611754,-67.8843284 -45.8612427,-67.88485253 -45.86038085,-67.8862917 -45.8600846,-67.8869355 -45.8600547,-67.8873861 -45.8596438,-67.8876221 -45.8588667,-67.8886843 -45.8579999,-67.8905296 -45.8572453,-67.8915596 -45.8569165,-67.8910661 -45.8570435,-67.89119881 -45.85678635,-67.8960952 -45.8598436,-67.8959692 -45.8585678,-67.8961945 -45.8583138,-67.8955936 -45.8581419,-67.8949177 -45.8572976,-67.8950787 -45.8562589,-67.894907 -45.8558629,-67.8937376 -45.8558928,-67.8932869 -45.8566101,-67.8928149 -45.8568492,-67.8926003 -45.8566998,-67.89506126 -45.86022417,-67.8961086 -45.8601668,-67.8949714 -45.8618927,-67.89369378 -45.862107,-67.8961945 -45.8632674,-67.8952932 -45.8629985,-67.8948426 -45.8620347,-67.8946526 -45.86372426,-67.8962696 -45.8632899,-67.8974175 -45.8625203,-67.8984583 -45.8622177,-67.89779792 -45.86312838,,-67.8975525 -45.86346654,-67.8993487 -45.8636634,-67.8988981 -45.8636933,-67.89861920000001 -45.8635215,-67.89867893 -45.86374335,-67.9039943 -45.8644255,-67.9028034 -45.8637381,-67.8999174 -45.8635812,-67.90314798 -45.8648888,-67.906419 -45.86626330000001,-67.9050887 -45.8652025,-67.9043591 -45.864814,-67.90565529 -45.8665856,-67.9108179 -45.86391,-67.9094768 -45.8638353,-67.9077816 -45.8657329,-67.9066443 -45.8662484,-67.90869072 -45.86438156,-67.9100454 -45.8663754,-67.9094982 -45.8663306,-67.909627 -45.86429100000001,-67.90947109 -45.86641003,-67.9100668 -45.8647318,-67.9098523 -45.8659197,-67.9103565 -45.8661513,-67.90917641 -45.86476613,-67.9122448 -45.8649709,-67.911129 -45.8644105,-67.9103887 -45.8645226,-67.91093971 -45.86527418,-67.9164934 -45.8652398,-67.9147875 -45.8642536,-67.9133606 -45.865322,-67.9120409 -45.8651352,-67.91575239 -45.86551598,-67.9187572 -45.8661064,-67.9176843 -45.8663679,-67.9172981 -45.8656657,-67.91774956 -45.8661538,-67.9224908 -45.8663306,-67.9191971 -45.8656582,-67.92069068 -45.86664171,-67.9258382 -45.86658460000001,-67.9220402 -45.8663903,-67.92478129 -45.86687146,-67.9266429 -45.8657927,-67.9259992 -45.8665696,-67.92617947 -45.86596757,,-67.92568273 -45.86555172,-67.9284239 -45.8655835,-67.9270077 -45.8655162,-67.92761571 -45.86576064,-67.92887450000002 -45.8655984,-67.929647 -45.8660093,-67.9311919 -45.8652622,-67.93025624 -45.86524613,-67.934196 -45.8650755,-67.9339492 -45.8648887,-67.9318678 -45.8652174,-67.93322311 -45.86539389,-67.9364544 -45.8650082,-67.9343033 -45.8651128,-67.93542287 -45.86514387,-67.9374468 -45.8637643,-67.93648120000002 -45.8648999,-67.93638614 -45.8639203,-67.9407513 -45.863103100000004,-67.9403973 -45.8622551,-67.93757020000001 -45.8636746,-67.94016816 -45.86304785,-67.9412395 -45.8636896,-67.94085860000001 -45.8628677,-67.94026881 -45.86394522,-67.9413575 -45.8643508,-67.94191 -45.8638801,-67.9413092 -45.8637717,-67.9397787 -45.86446671,-67.939437 -45.8659907,-67.9410034 -45.8642985,-67.93820898 -45.86621382,,-67.93822649 -45.86645361,-67.9383588 -45.8674437,-67.9380101 -45.8666929,-67.9392922 -45.8661064,-67.9400271 -45.8665472</t>
  </si>
  <si>
    <t>-67.9400271 -45.8665472,-67.9383588 -45.8674437,-67.9380101 -45.8666929,-67.9392922 -45.8661064,-67.93822649 -45.86645361,,-67.93820898 -45.86621382,-67.939437 -45.8659907,-67.9410034 -45.8642985,-67.9397787 -45.86446671,-67.9413575 -45.8643508,-67.94191 -45.8638801,-67.9413092 -45.8637717,-67.94026881 -45.86394522,-67.9412395 -45.8636896,-67.94085860000001 -45.8628677,-67.94016816 -45.86304785,-67.9407513 -45.863103100000004,-67.9403973 -45.8622551,-67.93757020000001 -45.8636746,-67.93638614 -45.8639203,-67.9374468 -45.8637643,-67.93648120000002 -45.8648999,-67.93542287 -45.86514387,-67.9364544 -45.8650082,-67.9343033 -45.8651128,-67.93322311 -45.86539389,-67.934196 -45.8650755,-67.9339492 -45.8648887,-67.9318678 -45.8652174,-67.93025624 -45.86524613,-67.92887450000002 -45.8655984,-67.929647 -45.8660093,-67.9311919 -45.8652622,-67.92761571 -45.86576064,-67.9284239 -45.8655835,-67.9270077 -45.8655162,-67.92568273 -45.86555172,,-67.92617947 -45.86596757,-67.9266429 -45.8657927,-67.9259992 -45.8665696,-67.92478129 -45.86687146,-67.9258382 -45.86658460000001,-67.9220402 -45.8663903,-67.92069068 -45.86664171,-67.9220402 -45.8663903,-67.9233062 -45.8663605,-67.9220939 -45.86691330000001,-67.9212034 -45.8670029,-67.9194438 -45.8683551,-67.918725 -45.8684821,-67.91712918 -45.86851117,-67.9188001 -45.868512,-67.9194438 -45.8683551,-67.9187143 -45.868885600000006,-67.9161716 -45.8689378,-67.9146481 -45.87009580000001,-67.91316355 -45.8704339,-67.912792 -45.8681833,-67.9137361 -45.8680638,-67.9160964 -45.8689304,-67.9145193 -45.8701256,-67.91127227 -45.86860891;-67.91127227 -45.86860891,-67.914927 -45.8677874,-67.912792 -45.8681833,-67.9143801 -45.8679855,-67.9147553 -45.8672868,-67.9154098 -45.8676977,-67.9130059 -45.86729039,-67.9110271 -45.86621850000001,-67.9131621 -45.8664613,-67.9139614 -45.8669058,-67.90947109 -45.86641003,-67.9100454 -45.8663754,-67.9094982 -45.8663306,-67.909627 -45.86429100000001,-67.90869072 -45.86438156,-67.9108179 -45.86391,-67.9094768 -45.8638353,-67.9077816 -45.8657329,-67.9066443 -45.8662484,-67.90565529 -45.8665856;-67.90565529 -45.8665856,-67.906419 -45.86626330000001,-67.9050887 -45.8652025,-67.9043591 -45.864814,-67.90314798 -45.8648888,-67.9039943 -45.8644255,-67.9028034 -45.8637381,-67.8999174 -45.8635812,-67.89867893 -45.86374335,-67.8993487 -45.8636634,-67.8988981 -45.8636933,-67.89861920000001 -45.8635215,-67.8975525 -45.86346654,,-67.89779792 -45.86312838,-67.8962696 -45.8632899,-67.8974175 -45.8625203,-67.8984583 -45.8622177,-67.8946526 -45.86372426,-67.8961945 -45.8632674,-67.8952932 -45.8629985,-67.8948426 -45.8620347,-67.89369378 -45.862107,-67.8961086 -45.8601668,-67.8949714 -45.8618927,-67.89506126 -45.86022417,-67.8960952 -45.8598436,-67.8959692 -45.8585678,-67.8961945 -45.8583138,-67.8955936 -45.8581419,-67.8949177 -45.8572976,-67.8950787 -45.8562589,-67.894907 -45.8558629,-67.8937376 -45.8558928,-67.8932869 -45.8566101,-67.8928149 -45.8568492,-67.8926003 -45.8566998,-67.89119881 -45.85678635,-67.8915596 -45.8569165,-67.8910661 -45.8570435,-67.8905296 -45.8572453,-67.8874397 -45.861564, -67.8883946 -45.8611157, -67.8893924 -45.859711, -67.8905833 -45.8597558, -67.8910017 -45.8595167, -67.8910661 -45.8584856,-67.8858912 -45.86209946;-67.8858912 -45.86209946,-67.8874397 -45.861564, -67.8883946 -45.8611157, -67.8893924 -45.859711, -67.8905833 -45.8597558, -67.8910017 -45.8595167, -67.8910661 -45.8584856,-67.8905296 -45.8572453,-67.8862917 -45.8600846,-67.8869355 -45.8600547,-67.8873861 -45.8596438,-67.8876221 -45.8588667,-67.8886843 -45.8579999,-67.88485253 -45.86038085,-67.8855836 -45.8605329,-67.8847253 -45.8611754,-67.8843284 -45.8612427,-67.88286864 -45.86153258,-67.8809917 -45.8619301,-67.8822792 -45.8616611,-67.8835666 -45.8617507,-67.8845859 -45.8612277,-67.8843284 -45.8612427,-67.87889297 -45.8626014,-67.8800154 -45.8627071,-67.880863 -45.8635887,-67.8814101 -45.8638502,-67.881496 -45.8643508,-67.8795862 -45.8651352,-67.87816911 -45.86559299,-67.8794253 -45.8652025,-67.8813779 -45.8643508,-67.8805947 -45.8648065,-67.8801227 -45.8652622,-67.8801119 -45.8658151,-67.8798544 -45.8661513,-67.87841593 -45.86693979,-67.8773224 -45.8682132,-67.8784168 -45.867951700000006,-67.8792751 -45.866988,-67.87529512 -45.86884053,-67.8755951 -45.8690125,-67.8751016 -45.8692815,-67.8764427 -45.8695952,-67.87545792 -45.87007243,-67.8735942 -45.8680488,-67.8724301 -45.8682281,-67.8724086 -45.8686689,-67.8764427 -45.8695952,-67.8729107 -45.86822856,-67.8740609 -45.8679218,-67.8740501 -45.8676828,-67.8730416 -45.867115,-67.8732347 -45.8667639,-67.8746724 -45.8662783,-67.8754556 -45.865591,-67.876035 -45.8638054,-67.8748977 -45.8643134,-67.87319628 -45.86441938,-67.8776658 -45.8646496,-67.876035 -45.8642312,-67.8759491 -45.8638278,-67.8749514 -45.864380600000004,-67.87711554 -45.86436098,-67.87849190000001 -45.8641416,-67.8785133 -45.863499,-67.8778052 -45.8630732,-67.87624464 -45.86324951,-67.8765821 -45.8616835,-67.8769684 -45.861803,-67.877183 -45.8627295,-67.87598229 -45.86175617,-67.8761101 -45.86104100000001,-67.8766465 -45.8610185,-67.8767216 -45.8614071,-67.87444477 -45.86135588,-67.8759491 -45.8590983,-67.8764319 -45.8599501,-67.87655 -45.8609588,-67.8760779 -45.8611231,-67.87446619 -45.85953534,-67.875917 -45.8590236,-67.8765607 -45.8587098,-67.8784597 -45.8588443,-67.87771797 -45.85914466,-67.8790283 -45.8588293,-67.880466 -45.8587397,-67.8813028 -45.8593598,-67.88077392 -45.85953999,-67.8814316 -45.8592926,-67.8808415 -45.8591357,-67.880863 -45.8587322,-67.8817642 -45.858239,-67.8850043 -45.8580522,-67.88402968 -45.85834964,-67.8850043 -45.8580522,-67.8858519 -45.8571556,-67.8847897 -45.8575666,-67.8816998 -45.856909,-67.88007662 -45.85706707,-67.8804874 -45.8568642,-67.8787923 -45.8561469,-67.8767753 -45.8558554,-67.87507141 -45.85623923;-67.87507141 -45.85623923,-67.8804874 -45.8568642,-67.8787923 -45.8561469,-67.8767753 -45.8558554,-67.88007662 -45.85706707,-67.8850043 -45.8580522,-67.8858519 -45.8571556,-67.8847897 -45.8575666,-67.8816998 -45.856909,-67.88402968 -45.85834964,-67.887429 -45.855564,-67.8882551 -45.8548691,-67.8894138 -45.853808,-67.8920853 -45.8535689,-67.8916454 -45.8538678,-67.8897357 -45.85395,-67.88910 -45.85436,-67.8875685 -45.8562589,-67.885799 -45.8571033,-67.88544 -45.8578281,-67.88523 -45.85794,-67.88581092 -45.85597227,-67.887429 -45.855564,-67.8894138 -45.853808,-67.8932333 -45.8533447,-67.8969455 -45.8545851,-67.8963768 -45.8546599,-67.89483427 -45.85484841,-67.9008508 -45.8548093,-67.8990161 -45.8545403,-67.898823 -45.8538678,-67.8965485 -45.8545553,-67.90022567 -45.85540767,,-67.90067511 -45.8549717,-67.904284 -45.8564084,-67.9033184 -45.8552726,-67.9019022 -45.8551232,-67.90400196 -45.85653031,,-67.90333441 -45.85910192,-67.9030502 -45.8613174,-67.9044557 -45.8590236,-67.90205676 -45.86168943,-67.9030716 -45.8617209,-67.9028249 -45.8625427,-67.9043055 -45.8629013,-67.90319984 -45.86293935,-67.9044235 -45.8629088,-67.9052603 -45.8632077,-67.9067302 -45.8626996,-67.90593482 -45.8627285;-67.90593482 -45.8627285,-67.9044235 -45.8629088,-67.9052603 -45.8632077,-67.9067302 -45.8626996,-67.90319984 -45.86293935,-67.9030716 -45.8617209,-67.9028249 -45.8625427,-67.9043055 -45.8629013,-67.90205676 -45.86168943;-67.90205676 -45.86168943,-67.9030502 -45.8613174,-67.9044557 -45.8590236,-67.90333441 -45.85910192;-67.90333441 -45.85910192,,-67.90400196 -45.85653031,-67.90773330000002 -45.8580522,-67.9073417 -45.8579177,-67.9068965 -45.8568567,-67.9053408 -45.8563822,-67.90707943 -45.8582017,-67.9102653 -45.8586986,-67.9081625 -45.8581195,-67.90964669 -45.85881191,-67.9112792 -45.8592776,-67.9102921 -45.8588293,-67.9105067 -45.8586425,-67.91058213 -45.85962973,-67.9145408 -45.8594047,-67.9124916 -45.858777,-67.9112792 -45.8592776,-67.91347499 -45.85938782,-67.9153347 -45.8605702,-67.9157317 -45.8599725,-67.9146159 -45.859457,-67.91412974 -45.86109479,-67.9219651 -45.8610335,-67.9157424 -45.8609887,-67.92116295 -45.86077528,-67.9235315 -45.8601219,-67.9222655 -45.8604731,-67.92204432 -45.86025045,-67.9253769 -45.8604208,-67.9236388 -45.8595317,-67.9233384 -45.8597857,-67.92472033 -45.86078317,-67.9288423 -45.860757,-67.9286063 -45.8609812,-67.9269433 -45.8608168,-67.9254305 -45.8610559,-67.9256237 -45.8606898,-67.92827234 -45.86082887,-67.9307091 -45.86097370000001,-67.9287457 -45.8609588,-67.9288423 -45.860757,-67.92973166 -45.86112334,-67.9343569 -45.8614145,-67.9335523 -45.861549,-67.9334021 -45.8611381,-67.9309666 -45.8609214,-67.93332777 -45.86169272,-67.9375219 -45.8620421,-67.9357517 -45.861085800000005,-67.9346144 -45.8614519,-67.93652197 -45.86222667,-67.9388309 -45.8607794,-67.938112 -45.8611007,-67.9377472 -45.860899,-67.9362881 -45.8614743,-67.9374897 -45.8619749,-67.93809539 -45.86091501,-67.9389811 -45.8623559,-67.9389596 -45.8618329,-67.9381979 -45.8610783,-67.9390669 -45.8607794,-67.93749455 -45.86270022,-67.9407942 -45.8630844,-67.9403758 -45.8621878,-67.9386914 -45.8624792,-67.94016816 -45.86304785,-67.9412395 -45.8636896,-67.94085860000001 -45.8628677,-67.94026881 -45.86394522,-67.9413575 -45.8643508,-67.94191 -45.8638801,-67.9413092 -45.8637717,-67.9397787 -45.86446671,-67.939437 -45.8659907,-67.9410034 -45.8642985,-67.93820898 -45.86621382,,-67.93822649 -45.86645361,-67.9383588 -45.8674437,-67.9380101 -45.8666929,-67.9392922 -45.8661064,-67.9400271 -45.8665472</t>
  </si>
  <si>
    <t>-67.9400271 -45.8665472,-67.9383588 -45.8674437,-67.9380584 -45.8682655,-67.9363847 -45.8693786,-67.9365671 -45.8696326,-67.93551008 -45.87004015,-67.936492 -45.8696625,-67.9362881 -45.8694234,-67.9350436 -45.8703273,-67.9347003 -45.8699986,-67.933282 -45.87018527,-67.9337347 -45.872531,-67.9350007 -45.8704245,-67.9346895 -45.8701032,-67.93292309 -45.87290945,-67.9305589 -45.8765722,-67.9309773 -45.8765423,-67.9323184 -45.875011,-67.9336917 -45.8726132,-67.92916705 -45.87686758,-67.9288745 -45.8790371,-67.9299796 -45.8786337,-67.9304302 -45.8776552,-67.9309022 -45.8766245,-67.9306126 -45.8766543,-67.92746283 -45.879252,-67.9288745 -45.8790371,-67.9299796 -45.8786337,-67.9308271 -45.8793582,-67.9310632 -45.8796271,-67.9308057 -45.8796645,-67.92926139 -45.87980166,-67.9308057 -45.8796645,-67.9309773 -45.8795823,-67.9308271 -45.8793582,-67.9319429 -45.8795524,-67.9332089 -45.8799333,-67.9339921 -45.8795524,-67.9349685 -45.8793358,-67.935698 -45.8793209,-67.93512028 -45.8793768,-67.9364383 -45.8791566,-67.9368889 -45.8790371,-67.9370821 -45.878798,-67.939657 -45.8787906,-67.9398179 -45.8784246,-67.93938002 -45.87863178,-67.9433799 -45.8793582,-67.9425859 -45.8792462,-67.9414809 -45.8788951,-67.9399574 -45.8788802,-67.9395819 -45.8785889,-67.9398179 -45.8784246,-67.94258106 -45.87928487,-67.9468131 -45.8799931,-67.9464698 -45.8794927,-67.9443026 -45.8791491,-67.9459034 -45.88040255,-67.9472744 -45.8827118,-67.9475963 -45.8819051,-67.9476392 -45.8807475,-67.9472208 -45.8805159,-67.94607409 -45.88311995,-67.9472744 -45.8852212,-67.9470921 -45.8844967,-67.9472423 -45.883959,-67.9472315 -45.8831823,-67.94628753 -45.88560005,-67.9487872 -45.8868418,-67.9495382 -45.8874766,-67.9496884 -45.88726,-67.9485726 -45.886095,-67.9476714 -45.8855871,-67.94746568 -45.88694764,-67.948755 -45.886894,-67.9494202 -45.887484,-67.9503751 -45.8875587,-67.9509008 -45.8873571,-67.9508793 -45.8868716,-67.94972726 -45.88693813,-67.951051 -45.8868418,-67.9516089 -45.886207,-67.952832 -45.8866028,-67.95178221 -45.88666191,-67.957381 -45.8868268,-67.9566729 -45.8866327,-67.953701 -45.8868791,-67.9533148 -45.8869911,-67.9529393 -45.8866103,-67.95650174 -45.8868325,-67.9573059 -45.8868268,-67.956748 -45.8864908,-67.9563725 -45.8857215,-67.9556644 -45.8849971,-67.9546167 -45.88506443,-67.960428 -45.8852436,-67.9597843 -45.8853855,-67.9578102 -45.8852959,-67.9558897 -45.8849448,-67.95958113 -45.88533853,-67.9643977 -45.8867746,-67.9641402 -45.8867895,-67.9629064 -45.8855274,-67.9625845 -45.8842055,-67.9620588 -45.8840412,-67.9608893 -45.8848926,-67.96291589 -45.88644251,-67.9671872 -45.8881412,-67.9659748 -45.8870061,-67.9642153 -45.8869314,-67.9642582 -45.8866849,-67.96633372 -45.88873533,-67.9702985 -45.892002,-67.9693437 -45.8927189,-67.9695046 -45.8920393,-67.9694617 -45.8909565,-67.9689038 -45.8902247,-67.9675949 -45.8891494,-67.9695987 -45.89181892,-67.9699337 -45.8946379,-67.9693973 -45.8950411,-67.9688287 -45.894847,-67.9686248 -45.893936,-67.9694724 -45.8926591,-67.9702985 -45.892002,-67.96939983 -45.89469974,-67.9721761 -45.8962209,-67.9716182 -45.8947873,-67.9710388 -45.8947723,-67.97161551 -45.8965517,-67.9729271 -45.8958177,-67.9726696 -45.8949515,-67.97168684 -45.8946769,-67.9725194 -45.8940704,-67.9735279 -45.8935179,-67.97316911 -45.89352066,-67.9749441 -45.8933834,-67.9761243 -45.8929055,-67.9766607 -45.892353,-67.97648439 -45.89266109;-67.97648439 -45.89266109,-67.9749441 -45.8933834,-67.9761243 -45.8929055,-67.9766607 -45.892353,-67.97316911 -45.89352066,-67.9725194 -45.8940704,-67.9735279 -45.8935179,-67.97168684 -45.8946769,-67.9729271 -45.8958177,-67.9726696 -45.8949515,-67.97161551 -45.8965517,-67.9721761 -45.8962209,-67.9716182 -45.8947873,-67.9710388 -45.8947723,-67.96939983 -45.89469974,-67.9698801 -45.8941675,-67.9696119 -45.8937568,-67.9699659 -45.8935029,-67.96948958 -45.89363794;-67.96948958 -45.89363794,-67.9698801 -45.8941675,-67.9696119 -45.8937568,-67.9699659 -45.8935029,-67.96939983 -45.89469974,-67.9699337 -45.8946379,-67.9693973 -45.8950411,-67.9688287 -45.894847,-67.9686248 -45.893936,-67.9694724 -45.8926591,-67.9702985 -45.892002,-67.9695987 -45.89181892;-67.9695987 -45.89181892,-67.9702985 -45.892002,-67.9693437 -45.8927189,-67.9695046 -45.8920393,-67.9694617 -45.8909565,-67.9689038 -45.8902247,-67.9675949 -45.8891494,-67.96633372 -45.88873533,-67.9670262 -45.8881263,-67.9660714 -45.8869613,-67.9657602 -45.8876259,-67.9651165 -45.8877678,-67.9650307 -45.887947,-67.964462 -45.8880815,-67.96290254 -45.88863388,-67.9609108 -45.8902845,-67.9623485 -45.8909491,-67.9621017 -45.8899111,-67.962445 -45.8899634,-67.9637861 -45.8886864,-67.95958813 -45.89007642,-67.963196 -45.8927189,-67.9626918 -45.8927114,-67.9624236 -45.8909043,-67.9618871 -45.8908445,-67.9608786 -45.8903442,-67.96212496 -45.89267136,-67.9636359 -45.8920916,-67.9636359 -45.890964,-67.96267485 -45.89061558;-67.96267485 -45.89061558,-67.9636359 -45.8920916,-67.9636359 -45.890964,-67.96212496 -45.89267136,-67.9612112 -45.8971319,-67.9633784 -45.8962807,-67.9639149 -45.8957132,-67.9634535 -45.8934357,-67.9631853 -45.892801,-67.95956637 -45.89743693,-67.9602778 -45.8973559,-67.959677 -45.8974604,-67.9590976 -45.897326,-67.9587114 -45.8968257,-67.95928 -45.896094,-67.9591405 -45.8953548,-67.95753705 -45.89518861,-67.958411 -45.8946678,-67.9585934 -45.8938464,-67.9590118 -45.8934581,-67.9594839 -45.8932714,-67.9597199 -45.892913,-67.9595053 -45.8926741,-67.95792371 -45.89252328,-67.958647 -45.8921289,-67.9580784 -45.8917854,-67.958411 -45.8907699,-67.9588509 -45.8902397,-67.9578209 -45.8896422,-67.95602222 -45.88970885,-67.9576063 -45.8896124,-67.9577136 -45.888888,-67.9572308 -45.8876483,-67.9565012 -45.8869986,-67.95495587 -45.8875866,-67.9563618 -45.8869613,-67.9570055 -45.8870583,-67.9568553 -45.8866028,-67.957381 -45.8868268,-67.95650174 -45.8868325,-67.957381 -45.8868268,-67.9566729 -45.8866327,-67.953701 -45.8868791,-67.9533148 -45.8869911,-67.9529393 -45.8866103,-67.95178221 -45.88666191,-67.951051 -45.8868418,-67.9516089 -45.886207,-67.952832 -45.8866028,-67.94972726 -45.88693813,-67.948755 -45.886894,-67.9494202 -45.887484,-67.9503751 -45.8875587,-67.9509008 -45.8873571,-67.9508793 -45.8868716,-67.94746568 -45.88694764,-67.9487872 -45.8868418,-67.9495382 -45.8874766,-67.9496884 -45.88726,-67.9485726 -45.886095,-67.9476714 -45.8855871,-67.94628753 -45.88560005,-67.9472744 -45.8852212,-67.9470921 -45.8844967,-67.9472423 -45.883959,-67.9472315 -45.8831823,-67.94607409 -45.88311995,-67.9472744 -45.8827118,-67.9475963 -45.8819051,-67.9476392 -45.8807475,-67.9472208 -45.8805159,-67.9459034 -45.88040255,-67.9468131 -45.8799931,-67.9464698 -45.8794927,-67.9443026 -45.8791491,-67.94258106 -45.87928487,-67.9433799 -45.8793582,-67.9425859 -45.8792462,-67.9414809 -45.8788951,-67.9399574 -45.8788802,-67.9395819 -45.8785889,-67.9398179 -45.8784246,-67.93938002 -45.87863178,-67.9364383 -45.8791566,-67.9368889 -45.8790371,-67.9370821 -45.878798,-67.939657 -45.8787906,-67.9398179 -45.8784246,-67.93512028 -45.8793768,-67.9308057 -45.8796645,-67.9309773 -45.8795823,-67.9308271 -45.8793582,-67.9319429 -45.8795524,-67.9332089 -45.8799333,-67.9339921 -45.8795524,-67.9349685 -45.8793358,-67.935698 -45.8793209,-67.92926139 -45.87980166,-67.9288745 -45.8790371,-67.9299796 -45.8786337,-67.9308271 -45.8793582,-67.9310632 -45.8796271,-67.9308057 -45.8796645,-67.92746283 -45.879252,-67.9288745 -45.8790371,-67.9299796 -45.8786337,-67.9304302 -45.8776552,-67.9309022 -45.8766245,-67.9306126 -45.8766543,-67.92916705 -45.87686758,-67.9305589 -45.8765722,-67.9309773 -45.8765423,-67.9323184 -45.875011,-67.9336917 -45.8726132,-67.93292309 -45.87290945,-67.9337347 -45.872531,-67.9350007 -45.8704245,-67.9346895 -45.8701032,-67.933282 -45.87018527,-67.936492 -45.8696625,-67.9362881 -45.8694234,-67.9350436 -45.8703273,-67.9347003 -45.8699986,-67.93551008 -45.87004015,-67.9383588 -45.8674437,-67.9380584 -45.8682655,-67.9363847 -45.8693786,-67.9365671 -45.8696326,-67.9400271 -45.8665472</t>
  </si>
  <si>
    <t>-67.9400271 -45.8665472,-67.9383588 -45.8674437,-67.9380584 -45.8682655,-67.9363847 -45.8693786,-67.9365671 -45.8696326,-67.93551008 -45.87004015,-67.936492 -45.8696625,-67.9362881 -45.8694234,-67.9350436 -45.8703273,-67.9347003 -45.8699986,-67.933282 -45.87018527,-67.9337347 -45.872531,-67.9350007 -45.8704245,-67.9346895 -45.8701032,-67.93292309 -45.87290945,-67.9305589 -45.8765722,-67.9309773 -45.8765423,-67.9323184 -45.875011,-67.9336917 -45.8726132,-67.92916705 -45.87686758,-67.9288745 -45.8790371,-67.9299796 -45.8786337,-67.9304302 -45.8776552,-67.9309022 -45.8766245,-67.9306126 -45.8766543,-67.92746283 -45.879252,-67.9288745 -45.8790371,-67.9299796 -45.8786337,-67.9308271 -45.8793582,-67.9310632 -45.8796271,-67.9308057 -45.8796645,-67.92926139 -45.87980166,-67.9308057 -45.8796645,-67.9309773 -45.8795823,-67.9308271 -45.8793582,-67.9319429 -45.8795524,-67.9332089 -45.8799333,-67.9339921 -45.8795524,-67.9349685 -45.8793358,-67.935698 -45.8793209,-67.93512028 -45.8793768,-67.9364383 -45.8791566,-67.9368889 -45.8790371,-67.9370821 -45.878798,-67.939657 -45.8787906,-67.9398179 -45.8784246,-67.93938002 -45.87863178,-67.9433799 -45.8793582,-67.9425859 -45.8792462,-67.9414809 -45.8788951,-67.9399574 -45.8788802,-67.9395819 -45.8785889,-67.9398179 -45.8784246,-67.94258106 -45.87928487,-67.9468131 -45.8799931,-67.9464698 -45.8794927,-67.9443026 -45.8791491,-67.9459034 -45.88040255,-67.9472744 -45.8827118,-67.9475963 -45.8819051,-67.9476392 -45.8807475,-67.9472208 -45.8805159,-67.94607409 -45.88311995,-67.9472744 -45.8852212,-67.9470921 -45.8844967,-67.9472423 -45.883959,-67.9472315 -45.8831823,-67.94628753 -45.88560005,-67.9487872 -45.8868418,-67.9495382 -45.8874766,-67.9496884 -45.88726,-67.9485726 -45.886095,-67.9476714 -45.8855871,-67.94746568 -45.88694764,-67.948755 -45.886894,-67.9494202 -45.887484,-67.9503751 -45.8875587,-67.9509008 -45.8873571,-67.9508793 -45.8868716,-67.94972726 -45.88693813,-67.951051 -45.8868418,-67.9516089 -45.886207,-67.952832 -45.8866028,-67.95178221 -45.88666191,-67.957381 -45.8868268,-67.9566729 -45.8866327,-67.953701 -45.8868791,-67.9533148 -45.8869911,-67.9529393 -45.8866103,-67.95650174 -45.8868325,-67.9573059 -45.8868268,-67.956748 -45.8864908,-67.9563725 -45.8857215,-67.9556644 -45.8849971,-67.9546167 -45.88506443,-67.960428 -45.8852436,-67.9597843 -45.8853855,-67.9578102 -45.8852959,-67.9558897 -45.8849448,-67.95958113 -45.88533853,-67.9643977 -45.8867746,-67.9641402 -45.8867895,-67.9629064 -45.8855274,-67.9625845 -45.8842055,-67.9620588 -45.8840412,-67.9608893 -45.8848926,-67.96291589 -45.88644251,-67.9642582 -45.8866849,-67.9660714 -45.8869613,-67.9663503 -45.8865505,-67.9662859 -45.88549,-67.9665112 -45.8837798,-67.9671657 -45.8837275,-67.9670477 -45.8843548,-67.96615149 -45.88487087,-67.9689896 -45.8855572,-67.9684317 -45.8850942,-67.9680133 -45.8843399,-67.9672301 -45.8837872,-67.9670477 -45.8843548,-67.96828667 -45.88589528,-67.9702342 -45.8858709,-67.9697192 -45.8860352,-67.9691613 -45.8857589,-67.96952973 -45.8860392,-67.9752874 -45.8886341,-67.9738069 -45.8884922,-67.9698479 -45.8860651,-67.9702234 -45.8859307,-67.97417558 -45.88870119,-67.9753625 -45.8886192,-67.9764462 -45.8884623,-67.9771543 -45.8881561,-67.9769289 -45.888649,-67.97595558 -45.88889979,-67.9770148 -45.8886117,-67.9772186 -45.8879396,-67.9777443 -45.8870285,-67.97698555 -45.88678202,-67.978431 -45.8864236,-67.9788816 -45.8861846,-67.9784632 -45.8858858,-67.9806626 -45.8847357,-67.98040649 -45.88457225,,-67.98007424 -45.88464396;-67.98007424 -45.88464396,,-67.98040649 -45.88457225,-67.978431 -45.8864236,-67.9788816 -45.8861846,-67.9784632 -45.8858858,-67.9806626 -45.8847357,-67.97698555 -45.88678202,-67.9770148 -45.8886117,-67.9772186 -45.8879396,-67.9777443 -45.8870285,-67.97595558 -45.88889979,-67.9753625 -45.8886192,-67.9764462 -45.8884623,-67.9771543 -45.8881561,-67.9769289 -45.888649,-67.97417558 -45.88870119,-67.9752874 -45.8886341,-67.9738069 -45.8884922,-67.9698479 -45.8860651,-67.9702234 -45.8859307,-67.96952973 -45.8860392,-67.9702342 -45.8858709,-67.9697192 -45.8860352,-67.9691613 -45.8857589,-67.96828667 -45.88589528,-67.9689896 -45.8855572,-67.9684317 -45.8850942,-67.9680133 -45.8843399,-67.9672301 -45.8837872,-67.9670477 -45.8843548,-67.96615149 -45.88487087,-67.9642582 -45.8866849,-67.9660714 -45.8869613,-67.9663503 -45.8865505,-67.9662859 -45.88549,-67.9665112 -45.8837798,-67.9671657 -45.8837275,-67.9670477 -45.8843548,-67.96291589 -45.88644251,-67.9643977 -45.8867746,-67.9641402 -45.8867895,-67.9629064 -45.8855274,-67.9625845 -45.8842055,-67.9620588 -45.8840412,-67.9608893 -45.8848926,-67.95958113 -45.88533853,-67.960428 -45.8852436,-67.9597843 -45.8853855,-67.9578102 -45.8852959,-67.9558897 -45.8849448,-67.9546167 -45.88506443,-67.9573059 -45.8868268,-67.956748 -45.8864908,-67.9563725 -45.8857215,-67.9556644 -45.8849971,-67.95650174 -45.8868325,-67.957381 -45.8868268,-67.9566729 -45.8866327,-67.953701 -45.8868791,-67.9533148 -45.8869911,-67.9529393 -45.8866103,-67.95178221 -45.88666191,-67.951051 -45.8868418,-67.9516089 -45.886207,-67.952832 -45.8866028,-67.94972726 -45.88693813,-67.948755 -45.886894,-67.9494202 -45.887484,-67.9503751 -45.8875587,-67.9509008 -45.8873571,-67.9508793 -45.8868716,-67.94746568 -45.88694764,-67.9487872 -45.8868418,-67.9495382 -45.8874766,-67.9496884 -45.88726,-67.9485726 -45.886095,-67.9476714 -45.8855871,-67.94628753 -45.88560005,-67.9472744 -45.8852212,-67.9470921 -45.8844967,-67.9472423 -45.883959,-67.9472315 -45.8831823,-67.94607409 -45.88311995,-67.9472744 -45.8827118,-67.9475963 -45.8819051,-67.9476392 -45.8807475,-67.9472208 -45.8805159,-67.9459034 -45.88040255,-67.9468131 -45.8799931,-67.9464698 -45.8794927,-67.9443026 -45.8791491,-67.94258106 -45.87928487,-67.9433799 -45.8793582,-67.9425859 -45.8792462,-67.9414809 -45.8788951,-67.9399574 -45.8788802,-67.9395819 -45.8785889,-67.9398179 -45.8784246,-67.93938002 -45.87863178,-67.9364383 -45.8791566,-67.9368889 -45.8790371,-67.9370821 -45.878798,-67.939657 -45.8787906,-67.9398179 -45.8784246,-67.93512028 -45.8793768,-67.9308057 -45.8796645,-67.9309773 -45.8795823,-67.9308271 -45.8793582,-67.9319429 -45.8795524,-67.9332089 -45.8799333,-67.9339921 -45.8795524,-67.9349685 -45.8793358,-67.935698 -45.8793209,-67.92926139 -45.87980166,-67.9288745 -45.8790371,-67.9299796 -45.8786337,-67.9308271 -45.8793582,-67.9310632 -45.8796271,-67.9308057 -45.8796645,-67.92746283 -45.879252,-67.9288745 -45.8790371,-67.9299796 -45.8786337,-67.9304302 -45.8776552,-67.9309022 -45.8766245,-67.9306126 -45.8766543,-67.92916705 -45.87686758,-67.9305589 -45.8765722,-67.9309773 -45.8765423,-67.9323184 -45.875011,-67.9336917 -45.8726132,-67.93292309 -45.87290945,-67.9337347 -45.872531,-67.9350007 -45.8704245,-67.9346895 -45.8701032,-67.933282 -45.87018527,-67.936492 -45.8696625,-67.9362881 -45.8694234,-67.9350436 -45.8703273,-67.9347003 -45.8699986,-67.93551008 -45.87004015,-67.9383588 -45.8674437,-67.9380584 -45.8682655,-67.9363847 -45.8693786,-67.9365671 -45.8696326,-67.9400271 -45.8665472,-67.9427254 -45.8635364,-67.9464859 -45.8623447,-67.9469097 -45.862016,-67.94569946 -45.86221924,-67.9469097 -45.8620944,-67.9481596 -45.8620048,-67.94727301 -45.86217176,-67.9483044 -45.861911400000004,-67.9473495 -45.8614183,-67.94655091 -45.86160389,-67.9479718 -45.8615453,-67.9493934 -45.8606973,-67.9489589 -45.8606599,-67.94780419 -45.86081977,-67.9494631 -45.8607197,-67.9496992 -45.8604582,-67.9489589 -45.8596363,-67.9496777 -45.8591282,-67.9500318 -45.8586351,-67.9503858 -45.8584632,-67.94942594 -45.85854239,-67.95038580000002 -45.8584109,-67.9492486 -45.8582839,-67.9486799 -45.8563934,-67.9455793 -45.8575815,-67.94451337 -45.85788474,-67.9455793 -45.8575815,-67.9449892 -45.8573947,-67.9450321 -45.8569464,-67.9437447 -45.8569987,-67.9429507 -45.8566475,-67.94127839 -45.85682198,-67.9418778 -45.8559601,-67.9390132 -45.8553324,-67.93784211 -45.85566073,-67.9390132 -45.8553324,-67.9377794 -45.8546898,-67.9357088 -45.8545104,-67.93449161 -45.85473418,-67.9352367 -45.8545328,-67.933563 -45.8546898,-67.9313636 -45.8564457,-67.93015362 -45.85669955,-67.9309988 -45.8565279,-67.9294109 -45.8566176,-67.9285955 -45.8575143,-67.92745639 -45.85783394,-67.9283702 -45.8576637,-67.9275548 -45.8572154,-67.9269218 -45.8575143,-67.9259026 -45.8575367,-67.9241967 -45.8567969,-67.92272998 -45.85731085,-67.9241967 -45.8567969,-67.924701 -45.8556761,-67.9241431 -45.854488,-67.92327551 -45.85450965,-67.9244971 -45.8543161,-67.9239607 -45.8526497,-67.9270506 -45.8518203,-67.9288852 -45.8523882,-67.9308057 -45.8510879,-67.9312563 -45.8523135,-67.93089091 -45.85239801,-67.9313636 -45.8522761,-67.9309022 -45.8511926,-67.9317391 -45.8517754,-67.9345393 -45.8509983,-67.9352582 -45.8516036,-67.93449334 -45.85185974;-67.93449334 -45.85185974,-67.9313636 -45.8522761,-67.9309022 -45.8511926,-67.9317391 -45.8517754,-67.9345393 -45.8509983,-67.9352582 -45.8516036,-67.93089091 -45.85239801,-67.9244971 -45.8543161,-67.9239607 -45.8526497,-67.9270506 -45.8518203,-67.9288852 -45.8523882,-67.9308057 -45.8510879,-67.9312563 -45.8523135,-67.92327551 -45.85450965,-67.9241967 -45.8567969,-67.924701 -45.8556761,-67.9241431 -45.854488,-67.92272998 -45.85731085,-67.9283702 -45.8576637,-67.9275548 -45.8572154,-67.9269218 -45.8575143,-67.9259026 -45.8575367,-67.9241967 -45.8567969,-67.92745639 -45.85783394,-67.9309988 -45.8565279,-67.9294109 -45.8566176,-67.9285955 -45.8575143,-67.93015362 -45.85669955,-67.9352367 -45.8545328,-67.933563 -45.8546898,-67.9313636 -45.8564457,-67.93449161 -45.85473418,-67.9390132 -45.8553324,-67.9377794 -45.8546898,-67.9357088 -45.8545104,-67.93784211 -45.85566073,-67.9418778 -45.8559601,-67.9390132 -45.8553324,-67.94127839 -45.85682198,-67.9455793 -45.8575815,-67.9449892 -45.8573947,-67.9450321 -45.8569464,-67.9437447 -45.8569987,-67.9429507 -45.8566475,-67.94451337 -45.85788474,-67.95038580000002 -45.8584109,-67.9492486 -45.8582839,-67.9486799 -45.8563934,-67.9455793 -45.8575815,-67.94942594 -45.85854239,-67.9494631 -45.8607197,-67.9496992 -45.8604582,-67.9489589 -45.8596363,-67.9496777 -45.8591282,-67.9500318 -45.8586351,-67.9503858 -45.8584632,-67.94780419 -45.86081977,-67.9479718 -45.8615453,-67.9493934 -45.8606973,-67.9489589 -45.8606599,-67.94655091 -45.86160389,-67.9483044 -45.861911400000004,-67.9473495 -45.8614183,-67.94727301 -45.86217176,-67.9469097 -45.8620944,-67.9481596 -45.8620048,-67.94569946 -45.86221924,-67.9427254 -45.8635364,-67.9464859 -45.8623447,-67.9469097 -45.862016,-67.9400271 -45.8665472</t>
  </si>
  <si>
    <t>-67.9400271 -45.8665472,-67.9427254 -45.8635364,-67.9445654 -45.863047,-67.94562220000002 -45.8635738,-67.94453448 -45.86385281;-67.94453448 -45.86385281,-67.9427254 -45.8635364,-67.9445654 -45.863047,-67.94562220000002 -45.8635738,-67.9400271 -45.8665472,-67.9427254 -45.8635364,-67.9464859 -45.8623447,-67.9469097 -45.862016,-67.94569946 -45.86221924,-67.9469097 -45.8620944,-67.9481596 -45.8620048,-67.94727301 -45.86217176,-67.9483044 -45.861911400000004,-67.9473495 -45.8614183,-67.94655091 -45.86160389,,-67.94614101 -45.86156482;-67.94614101 -45.86156482,,-67.94655091 -45.86160389,-67.9479718 -45.8615453,-67.9493934 -45.8606973,-67.9489589 -45.8606599,-67.94780419 -45.86081977,-67.9494631 -45.8607197,-67.9496992 -45.8604582,-67.9489589 -45.8596363,-67.9496777 -45.8591282,-67.9500318 -45.8586351,-67.9503858 -45.8584632,-67.94942594 -45.85854239;-67.94942594 -45.85854239,-67.9494631 -45.8607197,-67.9496992 -45.8604582,-67.9489589 -45.8596363,-67.9496777 -45.8591282,-67.9500318 -45.8586351,-67.9503858 -45.8584632,-67.94780419 -45.86081977,-67.9479718 -45.8615453,-67.9493934 -45.8606973,-67.9489589 -45.8606599,-67.94655091 -45.86160389;-67.94655091 -45.86160389,-67.9479718 -45.8615453,-67.9493934 -45.8606973,-67.9489589 -45.8606599,-67.94780419 -45.86081977,-67.9549134 -45.858239,-67.9527032 -45.8590684,-67.9493666 -45.8607794,-67.9491198 -45.8606898,-67.9539623 -45.85805836,-67.9549778 -45.85820170000001,-67.9571986 -45.85672970000001,-67.9579175 -45.8564981,-67.9585719 -45.8567521,-67.95773843 -45.85672753,-67.9586148 -45.8568044,-67.9579926 -45.8564383,-67.9605138 -45.8553847,-67.9615545 -45.8546374,-67.963078 -45.8525451,-67.9633892 -45.8522836,-67.9675841 -45.8512224,-67.9699767 -45.8512598,-67.9700732 -45.8515064,-67.9697835 -45.8517381,-67.96836168 -45.85192469,-67.9697835 -45.8517381,-67.9700947 -45.8517082,-67.9702342 -45.8514018,-67.9710817 -45.8516335,-67.97135 -45.8516633,-67.97067338 -45.85178783,-67.9748797 -45.8534568,-67.9738176 -45.8522612,-67.9730666 -45.8517007,-67.9728305 -45.8516858,-67.9720902 -45.8515438,-67.97404757 -45.85313584,-67.9750836 -45.8543983,-67.9752016 -45.8534194,-67.97353981 -45.85482131;-67.97353981 -45.85482131,-67.9721439 -45.8564532,-67.9723585 -45.855833,-67.9728305 -45.8549363,-67.9739249 -45.8544805,-67.9741395 -45.8540023,-67.9740536 -45.853539,-67.9744184 -45.8538977,-67.9746437 -45.8541517,-67.9750943 -45.8540247,-67.9749548 -45.854488,-67.97079424 -45.85669528,-67.9716182 -45.8586425,-67.9730558 -45.8570659,-67.9720259 -45.8565877,-67.97062811 -45.85914674,-67.97135 -45.8605329,-67.9716933 -45.8600771,-67.9713929 -45.8591282,-67.96999638 -45.86075838,-67.9688287 -45.8612875,-67.9708672 -45.860772,-67.9674538 -45.86158535,-67.9682064 -45.8628939,-67.968421 -45.8615714,-67.96738506 -45.86316959,-67.96923640000001 -45.8639249,-67.9690218 -45.8637232,-67.9683566 -45.8633944,-67.9682493 -45.8630657,-67.96827866 -45.86435695;-67.96827866 -45.86435695,-67.96923640000001 -45.8639249,-67.9690218 -45.8637232,-67.9683566 -45.8633944,-67.9682493 -45.8630657,-67.96738506 -45.86316959;-67.96738506 -45.86316959,-67.9682064 -45.8628939,-67.968421 -45.8615714,-67.9674538 -45.86158535;-67.9674538 -45.86158535,-67.9688287 -45.8612875,-67.9708672 -45.860772,-67.96999638 -45.86075838,-67.97135 -45.8605329,-67.9716933 -45.8600771,-67.9713929 -45.8591282,-67.97062811 -45.85914674,-67.9716182 -45.8586425,-67.9730558 -45.8570659,-67.9720259 -45.8565877,-67.97079424 -45.85669528,-67.9721439 -45.8564532,-67.9723585 -45.855833,-67.9728305 -45.8549363,-67.9739249 -45.8544805,-67.9741395 -45.8540023,-67.9740536 -45.853539,-67.9744184 -45.8538977,-67.9746437 -45.8541517,-67.9750943 -45.8540247,-67.9749548 -45.854488,-67.97353981 -45.85482131,-67.9750836 -45.8543983,-67.9752016 -45.8534194,-67.97404757 -45.85313584,-67.9748797 -45.8534568,-67.9738176 -45.8522612,-67.9730666 -45.8517007,-67.9728305 -45.8516858,-67.9720902 -45.8515438,-67.97067338 -45.85178783,-67.9697835 -45.8517381,-67.9700947 -45.8517082,-67.9702342 -45.8514018,-67.9710817 -45.8516335,-67.97135 -45.8516633,-67.96836168 -45.85192469,-67.9586148 -45.8568044,-67.9579926 -45.8564383,-67.9605138 -45.8553847,-67.9615545 -45.8546374,-67.963078 -45.8525451,-67.9633892 -45.8522836,-67.9675841 -45.8512224,-67.9699767 -45.8512598,-67.9700732 -45.8515064,-67.9697835 -45.8517381,-67.95773843 -45.85672753,-67.9549778 -45.85820170000001,-67.9571986 -45.85672970000001,-67.9579175 -45.8564981,-67.9585719 -45.8567521,-67.9539623 -45.85805836,-67.9549134 -45.858239,-67.9527032 -45.8590684,-67.9493666 -45.8607794,-67.9491198 -45.8606898,-67.94780419 -45.86081977,-67.9479718 -45.8615453,-67.9493934 -45.8606973,-67.9489589 -45.8606599,-67.94655091 -45.86160389,-67.9483044 -45.861911400000004,-67.9473495 -45.8614183,-67.94727301 -45.86217176,-67.9469097 -45.8620944,-67.9481596 -45.8620048,-67.94569946 -45.86221924,-67.9427254 -45.8635364,-67.9464859 -45.8623447,-67.9469097 -45.862016,-67.9400271 -45.8665472</t>
  </si>
  <si>
    <t>-67.9400271 -45.8665472,-67.9383588 -45.8674437,-67.9380584 -45.8682655,-67.9363847 -45.8693786,-67.9365671 -45.8696326,-67.93551008 -45.87004015,-67.936492 -45.8696625,-67.9362881 -45.8694234,-67.9350436 -45.8703273,-67.9347003 -45.8699986,-67.933282 -45.87018527,-67.9337347 -45.872531,-67.9350007 -45.8704245,-67.9346895 -45.8701032,-67.93292309 -45.87290945,-67.9305589 -45.8765722,-67.9309773 -45.8765423,-67.9323184 -45.875011,-67.9336917 -45.8726132,-67.92916705 -45.87686758,-67.9288745 -45.8790371,-67.9299796 -45.8786337,-67.9304302 -45.8776552,-67.9309022 -45.8766245,-67.9306126 -45.8766543,-67.92746283 -45.879252,-67.9288745 -45.8790371,-67.9299045 -45.8786188,-67.929765 -45.8784918,-67.9247224 -45.8798512,-67.9241753 -45.8796943,-67.92260289 -45.87981886,-67.9231775 -45.8798138,-67.9230273 -45.8801051,-67.9220295 -45.8802022,-67.9198301 -45.8807027,-67.9191542 -45.8814645,-67.9198301 -45.8813375,-67.91930941 -45.88137118,-67.9183173 -45.8833018,-67.9179525 -45.8832943,-67.9178452 -45.8829358,-67.9186606 -45.8819873,-67.9191113 -45.8815466,-67.9197979 -45.8813898,-67.91747464 -45.88372353,-67.9166651 -45.8823159,-67.9170835 -45.8822711,-67.9178345 -45.8833989,-67.9184783 -45.8832943,-67.91541483 -45.88231338,-67.911365 -45.8831076,-67.9142618 -45.8826968,-67.9159892 -45.8825026,-67.90970498 -45.88326091,-67.9076958 -45.8841084,-67.9082644 -45.8839366,-67.9093373 -45.8833167,-67.9103136 -45.8831972,-67.90591516 -45.88446218,,-67.90594775 -45.88423937,-67.9066443 -45.8844071,-67.9062474 -45.8852585,-67.908833 -45.885968,-67.9091012 -45.8864012,-67.90705336 -45.88840606,-67.9052818 -45.8875736,-67.90654780000001 -45.8882084,-67.9074919 -45.8882756,-67.90362098 -45.8874036,-67.9039729 -45.8871629,-67.9034686 -45.8869165,-67.9041123 -45.886192,-67.9042947 -45.8847656,-67.90316820000001 -45.883637900000004,-67.90293219 -45.8836944,-67.90316820000001 -45.883637900000004,-67.9026854 -45.8831823,-67.9021275 -45.8832794,-67.900722 -45.8842279,-67.9001105 -45.8851465,-67.8995955 -45.8843175,-67.89811074 -45.88424629,-67.896452 -45.8842129,-67.8972995 -45.8841607,-67.8987801 -45.8833839,-67.8993165 -45.8836304,-67.89478887 -45.88442779,-67.895658 -45.88465360000001,-67.8955078 -45.8872675,-67.89402720000001 -45.888186,-67.89313670000001 -45.8879097,-67.8935552 -45.8866999,-67.891624 -45.8850718,-67.88986813 -45.88509226,-67.8916669 -45.8851316,-67.891463 -45.8853332,-67.8890061 -45.8855946,-67.8886521 -45.8849672,-67.88725199 -45.88498287,-67.8877938 -45.885251,-67.8862166 -45.8849523,-67.88477851 -45.88530377,-67.8847039 -45.885542300000004,-67.8854334 -45.8851465,-67.88304639 -45.88588109,-67.8838027 -45.88608,-67.882483 -45.8868716,-67.88085052 -45.88709026,-67.8783846 -45.8885519,-67.8803802 -45.8880143,-67.8826654 -45.8868044,-67.8823113 -45.8868119,-67.87661058 -45.88889945,-67.8765285 -45.89045620000001,-67.877773 -45.8901799,-67.8803802 -45.8880143,-67.8783846 -45.8885519,-67.87484305 -45.89067788,-67.8792322 -45.8901127,-67.877934 -45.8900903,-67.8765285 -45.89045620000001,-67.87813787 -45.88993585,-67.8788996 -45.8901426,-67.877934 -45.8900903,-67.8774834 -45.8904786,-67.8777945 -45.8925098,-67.8783524 -45.8919348,-67.87768072 -45.89180609,-67.8782558 -45.8919497,-67.8778267 -45.8923828,-67.8780413 -45.8938315,-67.8791893 -45.8953398,-67.87842608 -45.89585515,-67.8799939 -45.8961761,-67.8810668 -45.8968855,-67.881496 -45.8974007,-67.88049412 -45.89765426,-67.8816462 -45.8976545,-67.8819466 -45.8992972,-67.8823757 -45.8992374,-67.88283131 -45.8994995,-67.8778481 -45.8999691,-67.8795862 -45.8996556,-67.8816676 -45.8998198,-67.8823113 -45.899342,-67.87600509 -45.90013168,-67.875402 -45.9018954,-67.8762174 -45.9018506,-67.8767323 -45.9016117,-67.8774405 -45.9009995,-67.8778481 -45.8999691,-67.87401 -45.90242679,-67.8778911 -45.9022389,-67.8772688 -45.9023733,-67.8762174 -45.9020895,-67.8762174 -45.9018506,-67.875402 -45.9018954,-67.87749311 -45.90223614,-67.8877831 -45.9058523,-67.8869033 -45.9059867,-67.8840923 -45.9048668,-67.8834271 -45.9042397,-67.8832769 -45.9030601,-67.8820109 -45.9031497,-67.8811312 -45.903299,-67.8780627 -45.9027018,-67.8772688 -45.9023733,-67.8778911 -45.9022389,-67.88690397 -45.90593083,-67.8887486 -45.9139369,-67.8892422 -45.9133771,-67.889092 -45.9088982,-67.8895211 -45.9081964,-67.8884697 -45.9068527,-67.8891134 -45.9060464,-67.8899932 -45.905494,-67.890079 -45.9049863,-67.8895855 -45.9049415,-67.8884912 -45.9054641,-67.88780562 -45.91450171,-67.892257 -45.917781,-67.8922355 -45.9171241,-67.8925788 -45.9166017,-67.8926325 -45.9163553,-67.8917956 -45.9155044,-67.8909266 -45.914855,-67.8902507 -45.9144445,-67.8900683 -45.9137279,-67.8889096 -45.913601,-67.888813 -45.9138473,-67.89164408 -45.91850265,-67.895422 -45.9189901,-67.8929543 -45.9186468,-67.8948966 -45.91911867,-67.8951859 -45.9189752,-67.8956151 -45.9181094,-67.8975034 -45.9169749,-67.8979325 -45.9163329,-67.8972459 -45.916945,-67.8964305 -45.9169151,-67.8960013 -45.9166017,-67.89415644 -45.91643339;-67.89415644 -45.91643339,-67.8951859 -45.9189752,-67.8956151 -45.9181094,-67.8975034 -45.9169749,-67.8979325 -45.9163329,-67.8972459 -45.916945,-67.8964305 -45.9169151,-67.8960013 -45.9166017,-67.8948966 -45.91911867,-67.895422 -45.9189901,-67.8929543 -45.9186468,-67.89164408 -45.91850265,-67.892257 -45.917781,-67.8922355 -45.9171241,-67.8925788 -45.9166017,-67.8926325 -45.9163553,-67.8917956 -45.9155044,-67.8909266 -45.914855,-67.8902507 -45.9144445,-67.8900683 -45.9137279,-67.8889096 -45.913601,-67.888813 -45.9138473,-67.88780562 -45.91450171,-67.8887486 -45.9139369,-67.8892422 -45.9133771,-67.889092 -45.9088982,-67.8895211 -45.9081964,-67.8884697 -45.9068527,-67.8891134 -45.9060464,-67.8899932 -45.905494,-67.890079 -45.9049863,-67.8895855 -45.9049415,-67.8884912 -45.9054641,-67.88690397 -45.90593083,-67.8877831 -45.9058523,-67.8869033 -45.9059867,-67.8840923 -45.9048668,-67.8834271 -45.9042397,-67.8832769 -45.9030601,-67.8820109 -45.9031497,-67.8811312 -45.903299,-67.8780627 -45.9027018,-67.8772688 -45.9023733,-67.8778911 -45.9022389,-67.87749311 -45.90223614,-67.8778911 -45.9022389,-67.8772688 -45.9023733,-67.8762174 -45.9020895,-67.8762174 -45.9018506,-67.875402 -45.9018954,-67.87401 -45.90242679,-67.875402 -45.9018954,-67.8762174 -45.9018506,-67.8767323 -45.9016117,-67.8774405 -45.9009995,-67.8778481 -45.8999691,-67.87600509 -45.90013168,-67.8778481 -45.8999691,-67.8795862 -45.8996556,-67.8816676 -45.8998198,-67.8823113 -45.899342,-67.88283131 -45.8994995,-67.8816462 -45.8976545,-67.8819466 -45.8992972,-67.8823757 -45.8992374,-67.88049412 -45.89765426,-67.8799939 -45.8961761,-67.8810668 -45.8968855,-67.881496 -45.8974007,-67.87842608 -45.89585515,-67.8782558 -45.8919497,-67.8778267 -45.8923828,-67.8780413 -45.8938315,-67.8791893 -45.8953398,-67.87768072 -45.89180609,-67.8788996 -45.8901426,-67.877934 -45.8900903,-67.8774834 -45.8904786,-67.8777945 -45.8925098,-67.8783524 -45.8919348,-67.87813787 -45.88993585,-67.8792322 -45.8901127,-67.877934 -45.8900903,-67.8765285 -45.89045620000001,-67.87484305 -45.89067788,-67.8765285 -45.89045620000001,-67.877773 -45.8901799,-67.8803802 -45.8880143,-67.8783846 -45.8885519,-67.87661058 -45.88889945,-67.8783846 -45.8885519,-67.8803802 -45.8880143,-67.8826654 -45.8868044,-67.8823113 -45.8868119,-67.88085052 -45.88709026,-67.8838027 -45.88608,-67.882483 -45.8868716,-67.88304639 -45.88588109,-67.8847039 -45.885542300000004,-67.8854334 -45.8851465,-67.88477851 -45.88530377,-67.8863347 -45.8849448,-67.8869569 -45.8849672,-67.8874826 -45.883847,-67.8903258 -45.883570600000006,-67.88934482 -45.88367092,-67.8808522 -45.8847432,-67.8831053 -45.8843548,-67.884897 -45.8834586,-67.8876114 -45.88378720000001,-67.8901434 -45.8835856,-67.87931365 -45.88515467,-67.8775477 -45.8859232,-67.87784810000001 -45.8854153,-67.8789425 -45.8862742,-67.879554 -45.8862667,-67.8829443 -45.8844743,-67.8806055 -45.8848253,-67.87597578 -45.88674947,,-67.87630061 -45.88642699,-67.8775907 -45.885744,-67.8778374 -45.8851241,-67.8766251 -45.8844594,-67.8767002 -45.8840561,-67.8758872 -45.88413516,-67.8738034 -45.8829806,-67.8739858 -45.8834512,-67.87655 -45.8844445,-67.8765929 -45.8840262,-67.87263059 -45.88283868,-67.8737283 -45.8829508,-67.8736854 -45.8833242,-67.8730094 -45.8829134,-67.8686643 -45.8830254,-67.86703039 -45.88312685,-67.8685462 -45.8831151,-67.8700483 -45.8829059,-67.8648233 -45.8818603,-67.8628063 -45.8810537,-67.8621304 -45.8814645,-67.86071597 -45.88116865,-67.8614116 -45.8855274,-67.862978 -45.884788,-67.8635466 -45.8831599,-67.8632355 -45.8817483,-67.86391140000002 -45.8815093,-67.8628063 -45.8810537,-67.8623772 -45.8814346,-67.85908094 -45.88593849,-67.8609717 -45.8856767,-67.862817 -45.8848403,-67.8617656 -45.8854826,-67.8616369 -45.886192,-67.8618944 -45.8867671,-67.86045923 -45.88724171,-67.8618944 -45.8867671,-67.8616261 -45.8862443,-67.8603601 -45.88681940000001,-67.8594589 -45.8868119,-67.8584075 -45.8873347,-67.856369 -45.8871629,-67.8557789 -45.8865655,-67.85399644 -45.88640005,-67.8548133 -45.885968,-67.8544056 -45.8857215,-67.8542554 -45.8852884,-67.85284989 -45.88522411,-67.8535903 -45.8848851,-67.8530109 -45.8845938,-67.8524315 -45.8844893,-67.85093028 -45.88433862;-67.85093028 -45.88433862,-67.8516591 -45.8844445,-67.8505969 -45.8845789,-67.84921346 -45.88477072,-67.84983520000002 -45.8848851,-67.8485048 -45.8854826,-67.849406 -45.8856842,-67.84894709 -45.88576073,-67.8493631 -45.8856319,-67.8480864 -45.8853183,-67.8494918 -45.8833541,-67.849642 -45.8827043,-67.8493738 -45.8815317,-67.8484726 -45.8806578,-67.8487837 -45.8803516,-67.8495455 -45.8807549,-67.8485758 -45.88086765,-67.8494382 -45.880628,-67.84873010000001 -45.8802396,-67.8461766 -45.8806653,-67.8457046 -45.880515900000006,-67.84518194 -45.88032275,-67.8455973 -45.8806504,-67.8449214 -45.8812852,-67.8420246 -45.8795972,-67.8425181 -45.87953,-67.84221298 -45.87973382,-67.842561 -45.8794628,-67.8420246 -45.8792462,-67.8431511 -45.8775283,-67.8462946 -45.877095,-67.8445137 -45.8768261,-67.84286672 -45.87711998,-67.8467989 -45.878081,-67.8463697 -45.8770502,-67.8443956 -45.8768859,-67.84627973 -45.87829114,-67.8467667 -45.8780212,-67.846477 -45.87698300000001,-67.8477967 -45.8764751,-67.84644226 -45.87649326,-67.847904 -45.8759074,-67.8490949 -45.8742491,-67.8510368 -45.8734349,-67.8488266 -45.8731585,-67.84711722 -45.87310355,-67.84873010000001 -45.87312860000001,-67.8543305 -45.8741595,-67.857635 -45.8744807,-67.857019 -45.87438052,-67.857635 -45.8744807,-67.8541696 -45.874152,-67.8588581 -45.8727103,-67.8593409 -45.8716048,-67.85882935 -45.87179542,-67.8593409 -45.8716048,-67.85971640000001 -45.8705365,-67.8614008 -45.870529,-67.861948 -45.8698268,-67.8630531 -45.8694832,-67.86235431 -45.86962035,-67.8640509 -45.869035,-67.8651345 -45.867384,-67.8649521 -45.8657329,-67.8658748 -45.8655237,-67.86542164 -45.86561862,-67.8659713 -45.8654266,-67.8650701 -45.8654864,-67.864598 -45.8658599,-67.86331328 -45.86669187,-67.8639328 -45.8659271,-67.8645658 -45.8647542,-67.8655207 -45.8635513,-67.864423 -45.86337238,-67.8653276 -45.8635663,-67.8648341 -45.8637904,-67.8645015 -45.8630059,-67.8653491 -45.8606898,-67.8640616 -45.8614295,-67.86252974 -45.86187269,-67.8624094 -45.863118,-67.8626776 -45.8630433,-67.8629673 -45.8618852,-67.86065193 -45.86323966,-67.8602636 -45.865718,-67.861079 -45.8639473,-67.8626132 -45.863499,-67.8626776 -45.8631255,-67.8624094 -45.863118,-67.85866168 -45.86600634,-67.8526247 -45.8697596,-67.8538263 -45.8702526,-67.8549314 -45.8699538,-67.8559613 -45.868639,-67.8556073 -45.8677276,-67.8560793 -45.8663007,-67.8592122 -45.8657703,-67.85135619 -45.86956645;-67.85135619 -45.86956645,-67.8526247 -45.8697596,-67.8538263 -45.8702526,-67.8549314 -45.8699538,-67.8559613 -45.868639,-67.8556073 -45.8677276,-67.8560793 -45.8663007,-67.8592122 -45.8657703,-67.85866168 -45.86600634,-67.8602636 -45.865718,-67.861079 -45.8639473,-67.8626132 -45.863499,-67.8626776 -45.8631255,-67.8624094 -45.863118,-67.86065193 -45.86323966,-67.8624094 -45.863118,-67.8626776 -45.8630433,-67.8629673 -45.8618852,-67.86252974 -45.86187269,-67.8653276 -45.8635663,-67.8648341 -45.8637904,-67.8645015 -45.8630059,-67.8653491 -45.8606898,-67.8640616 -45.8614295,-67.864423 -45.86337238,-67.8639328 -45.8659271,-67.8645658 -45.8647542,-67.8655207 -45.8635513,-67.86331328 -45.86669187,-67.8659713 -45.8654266,-67.8650701 -45.8654864,-67.864598 -45.8658599,-67.86542164 -45.86561862,-67.8640509 -45.869035,-67.8651345 -45.867384,-67.8649521 -45.8657329,-67.8658748 -45.8655237,-67.86235431 -45.86962035,-67.8593409 -45.8716048,-67.85971640000001 -45.8705365,-67.8614008 -45.870529,-67.861948 -45.8698268,-67.8630531 -45.8694832,-67.85882935 -45.87179542,-67.857635 -45.8744807,-67.8541696 -45.874152,-67.8588581 -45.8727103,-67.8593409 -45.8716048,-67.857019 -45.87438052,-67.84873010000001 -45.87312860000001,-67.8543305 -45.8741595,-67.857635 -45.8744807,-67.84711722 -45.87310355,-67.847904 -45.8759074,-67.8490949 -45.8742491,-67.8510368 -45.8734349,-67.8488266 -45.8731585,-67.84644226 -45.87649326,-67.8467667 -45.8780212,-67.846477 -45.87698300000001,-67.8477967 -45.8764751,-67.84627973 -45.87829114,-67.8467989 -45.878081,-67.8463697 -45.8770502,-67.8443956 -45.8768859,-67.84286672 -45.87711998,-67.842561 -45.8794628,-67.8420246 -45.8792462,-67.8431511 -45.8775283,-67.8462946 -45.877095,-67.8445137 -45.8768261,-67.84221298 -45.87973382,-67.8455973 -45.8806504,-67.8449214 -45.8812852,-67.8420246 -45.8795972,-67.8425181 -45.87953,-67.84518194 -45.88032275,-67.8494382 -45.880628,-67.84873010000001 -45.8802396,-67.8461766 -45.8806653,-67.8457046 -45.880515900000006,-67.8485758 -45.88086765,-67.8493631 -45.8856319,-67.8480864 -45.8853183,-67.8494918 -45.8833541,-67.849642 -45.8827043,-67.8493738 -45.8815317,-67.8484726 -45.8806578,-67.8487837 -45.8803516,-67.8495455 -45.8807549,-67.84894709 -45.88576073,-67.84983520000002 -45.8848851,-67.8485048 -45.8854826,-67.849406 -45.8856842,-67.84921346 -45.88477072,-67.8516591 -45.8844445,-67.8505969 -45.8845789,-67.85093028 -45.88433862,-67.8535903 -45.8848851,-67.8530109 -45.8845938,-67.8524315 -45.8844893,-67.85284989 -45.88522411,-67.8548133 -45.885968,-67.8544056 -45.8857215,-67.8542554 -45.8852884,-67.85399644 -45.88640005;-67.85399644 -45.88640005,-67.8618944 -45.8867671,-67.8616261 -45.8862443,-67.8603601 -45.88681940000001,-67.8594589 -45.8868119,-67.8584075 -45.8873347,-67.856369 -45.8871629,-67.8557789 -45.8865655,-67.86045923 -45.88724171,-67.8609717 -45.8856767,-67.862817 -45.8848403,-67.8617656 -45.8854826,-67.8616369 -45.886192,-67.8618944 -45.8867671,-67.85908094 -45.88593849,-67.8614116 -45.8855274,-67.862978 -45.884788,-67.8635466 -45.8831599,-67.8632355 -45.8817483,-67.86391140000002 -45.8815093,-67.8628063 -45.8810537,-67.8623772 -45.8814346,-67.86071597 -45.88116865,-67.8685462 -45.8831151,-67.8700483 -45.8829059,-67.8648233 -45.8818603,-67.8628063 -45.8810537,-67.8621304 -45.8814645,-67.86703039 -45.88312685,-67.8737283 -45.8829508,-67.8736854 -45.8833242,-67.8730094 -45.8829134,-67.8686643 -45.8830254,-67.87263059 -45.88283868,-67.8738034 -45.8829806,-67.8739858 -45.8834512,-67.87655 -45.8844445,-67.8765929 -45.8840262,-67.8758872 -45.88413516,-67.8775907 -45.885744,-67.8778374 -45.8851241,-67.8766251 -45.8844594,-67.8767002 -45.8840561,-67.87630061 -45.88642699,,-67.87597578 -45.88674947,-67.8775477 -45.8859232,-67.87784810000001 -45.8854153,-67.8789425 -45.8862742,-67.879554 -45.8862667,-67.8829443 -45.8844743,-67.8806055 -45.8848253,-67.87931365 -45.88515467,-67.8808522 -45.8847432,-67.8831053 -45.8843548,-67.884897 -45.8834586,-67.8876114 -45.88378720000001,-67.8901434 -45.8835856,-67.88934482 -45.88367092,-67.8863347 -45.8849448,-67.8869569 -45.8849672,-67.8874826 -45.883847,-67.8903258 -45.883570600000006,-67.88477851 -45.88530377,-67.8877938 -45.885251,-67.8862166 -45.8849523,-67.88725199 -45.88498287,-67.8916669 -45.8851316,-67.891463 -45.8853332,-67.8890061 -45.8855946,-67.8886521 -45.8849672,-67.88986813 -45.88509226,-67.895658 -45.88465360000001,-67.8955078 -45.8872675,-67.89402720000001 -45.888186,-67.89313670000001 -45.8879097,-67.8935552 -45.8866999,-67.891624 -45.8850718,-67.89478887 -45.88442779,-67.896452 -45.8842129,-67.8972995 -45.8841607,-67.8987801 -45.8833839,-67.8993165 -45.8836304,-67.89811074 -45.88424629,-67.90316820000001 -45.883637900000004,-67.9026854 -45.8831823,-67.9021275 -45.8832794,-67.900722 -45.8842279,-67.9001105 -45.8851465,-67.8995955 -45.8843175,-67.90293219 -45.8836944,-67.9039729 -45.8871629,-67.9034686 -45.8869165,-67.9041123 -45.886192,-67.9042947 -45.8847656,-67.90316820000001 -45.883637900000004,-67.90362098 -45.8874036,-67.9052818 -45.8875736,-67.90654780000001 -45.8882084,-67.9074919 -45.8882756,-67.90705336 -45.88840606,-67.9066443 -45.8844071,-67.9062474 -45.8852585,-67.908833 -45.885968,-67.9091012 -45.8864012,-67.90594775 -45.88423937,,-67.90591516 -45.88446218,-67.9076958 -45.8841084,-67.9082644 -45.8839366,-67.9093373 -45.8833167,-67.9103136 -45.8831972,-67.90970498 -45.88326091,-67.911365 -45.8831076,-67.9142618 -45.8826968,-67.9159892 -45.8825026,-67.91541483 -45.88231338,-67.9166651 -45.8823159,-67.9170835 -45.8822711,-67.9178345 -45.8833989,-67.9184783 -45.8832943,-67.91747464 -45.88372353,-67.9183173 -45.8833018,-67.9179525 -45.8832943,-67.9178452 -45.8829358,-67.9186606 -45.8819873,-67.9191113 -45.8815466,-67.9197979 -45.8813898,-67.91930941 -45.88137118,-67.9231775 -45.8798138,-67.9230273 -45.8801051,-67.9220295 -45.8802022,-67.9198301 -45.8807027,-67.9191542 -45.8814645,-67.9198301 -45.8813375,-67.92260289 -45.87981886,-67.9288745 -45.8790371,-67.9299045 -45.8786188,-67.929765 -45.8784918,-67.9247224 -45.8798512,-67.9241753 -45.8796943,-67.92746283 -45.879252,-67.9288745 -45.8790371,-67.9299796 -45.8786337,-67.9304302 -45.8776552,-67.9309022 -45.8766245,-67.9306126 -45.8766543,-67.92916705 -45.87686758,-67.9305589 -45.8765722,-67.9309773 -45.8765423,-67.9323184 -45.875011,-67.9336917 -45.8726132,-67.93292309 -45.87290945,-67.9337347 -45.872531,-67.9350007 -45.8704245,-67.9346895 -45.8701032,-67.933282 -45.87018527,-67.936492 -45.8696625,-67.9362881 -45.8694234,-67.9350436 -45.8703273,-67.9347003 -45.8699986,-67.93551008 -45.87004015,-67.9383588 -45.8674437,-67.9380584 -45.8682655,-67.9363847 -45.8693786,-67.9365671 -45.8696326,-67.9400271 -45.8665472</t>
  </si>
  <si>
    <t>-67.9400271 -45.8665472,-67.9383588 -45.8674437,-67.9380101 -45.8666929,-67.9392922 -45.8661064,-67.93822649 -45.86645361,,-67.93820898 -45.86621382,-67.939437 -45.8659907,-67.9410034 -45.8642985,-67.9397787 -45.86446671,-67.9413575 -45.8643508,-67.94191 -45.8638801,-67.9413092 -45.8637717,-67.94026881 -45.86394522,-67.9412395 -45.8636896,-67.94085860000001 -45.8628677,-67.94016816 -45.86304785,-67.9407513 -45.863103100000004,-67.9403973 -45.8622551,-67.93757020000001 -45.8636746,-67.93638614 -45.8639203,-67.9374468 -45.8637643,-67.93648120000002 -45.8648999,-67.93542287 -45.86514387,-67.9364544 -45.8650082,-67.9343033 -45.8651128,-67.93322311 -45.86539389,-67.934196 -45.8650755,-67.9339492 -45.8648887,-67.9318678 -45.8652174,-67.93025624 -45.86524613,-67.92887450000002 -45.8655984,-67.929647 -45.8660093,-67.9311919 -45.8652622,-67.92761571 -45.86576064,-67.9284239 -45.8655835,-67.9270077 -45.8655162,-67.92568273 -45.86555172,,-67.92617947 -45.86596757,-67.9266429 -45.8657927,-67.9259992 -45.8665696,-67.92478129 -45.86687146,-67.9258382 -45.86658460000001,-67.9220402 -45.8663903,-67.92069068 -45.86664171,-67.9224908 -45.8663306,-67.9191971 -45.8656582,-67.91774956 -45.8661538,-67.9187572 -45.8661064,-67.9176843 -45.8663679,-67.9172981 -45.8656657,-67.91575239 -45.86551598,-67.9164934 -45.8652398,-67.9147875 -45.8642536,-67.9133606 -45.865322,-67.9120409 -45.8651352,-67.91093971 -45.86527418,-67.9122448 -45.8649709,-67.911129 -45.8644105,-67.9103887 -45.8645226,-67.90917641 -45.86476613,-67.9100668 -45.8647318,-67.9098523 -45.8659197,-67.9103565 -45.8661513,-67.90947109 -45.86641003,-67.9100454 -45.8663754,-67.9094982 -45.8663306,-67.909627 -45.86429100000001,-67.90869072 -45.86438156,-67.9108179 -45.86391,-67.9094768 -45.8638353,-67.9077816 -45.8657329,-67.9066443 -45.8662484,-67.90565529 -45.8665856,-67.906419 -45.86626330000001,-67.9050887 -45.8652025,-67.9043591 -45.864814,-67.90314798 -45.8648888,-67.9039943 -45.8644255,-67.9028034 -45.8637381,-67.8999174 -45.8635812,-67.89867893 -45.86374335,-67.8993487 -45.8636634,-67.8988981 -45.8636933,-67.89861920000001 -45.8635215,-67.8975525 -45.86346654,,-67.89779792 -45.86312838,-67.8962696 -45.8632899,-67.8974175 -45.8625203,-67.8984583 -45.8622177,-67.8946526 -45.86372426,-67.8961945 -45.8632674,-67.8952932 -45.8629985,-67.8948426 -45.8620347,-67.89369378 -45.862107,-67.8961086 -45.8601668,-67.8949714 -45.8618927,-67.89506126 -45.86022417,-67.8960952 -45.8598436,-67.8959692 -45.8585678,-67.8961945 -45.8583138,-67.8955936 -45.8581419,-67.8949177 -45.8572976,-67.8950787 -45.8562589,-67.894907 -45.8558629,-67.8937376 -45.8558928,-67.8932869 -45.8566101,-67.8928149 -45.8568492,-67.8926003 -45.8566998,-67.89119881 -45.85678635,-67.8915596 -45.8569165,-67.8910661 -45.8570435,-67.8905296 -45.8572453,-67.8862917 -45.8600846,-67.8869355 -45.8600547,-67.8873861 -45.8596438,-67.8876221 -45.8588667,-67.8886843 -45.8579999,-67.88485253 -45.86038085,-67.8861415 -45.8600696,-67.8866887 -45.8595317,-67.8869033 -45.8586351,-67.88574793 -45.85866319,,-67.88589584 -45.85818603;-67.88589584 -45.85818603,,-67.88574793 -45.85866319,-67.8861415 -45.8600696,-67.8866887 -45.8595317,-67.8869033 -45.8586351,-67.88485253 -45.86038085,-67.8855836 -45.8605329,-67.8847253 -45.8611754,-67.8843284 -45.8612427,-67.88286864 -45.86153258,-67.8809917 -45.8619301,-67.8822792 -45.8616611,-67.8835666 -45.8617507,-67.8845859 -45.8612277,-67.8843284 -45.8612427,-67.87889297 -45.8626014,-67.8800154 -45.8627071,-67.880863 -45.8635887,-67.8814101 -45.8638502,-67.881496 -45.8643508,-67.8795862 -45.8651352,-67.87816911 -45.86559299,-67.8794253 -45.8652025,-67.8813779 -45.8643508,-67.8805947 -45.8648065,-67.8801227 -45.8652622,-67.8801119 -45.8658151,-67.8798544 -45.8661513,-67.87841593 -45.86693979,-67.8773224 -45.8682132,-67.8784168 -45.867951700000006,-67.8792751 -45.866988,-67.87529512 -45.86884053,-67.8755951 -45.8690125,-67.8751016 -45.8692815,-67.8764427 -45.8695952,-67.87545792 -45.87007243,-67.8735942 -45.8680488,-67.8724301 -45.8682281,-67.8724086 -45.8686689,-67.8764427 -45.8695952,-67.8729107 -45.86822856,-67.8699839 -45.8693413,-67.8700376 -45.8699389,-67.8703916 -45.8701929,-67.8709173 -45.8699239,-67.8707349 -45.8692815,-67.8712177 -45.8686166,-67.8731596 -45.8681236,-67.86891343 -45.86940172,-67.8665292 -45.8704394,-67.8664756 -45.8701107,-67.8674197 -45.8697073,-67.8698659 -45.8700883,-67.8700376 -45.8699389,-67.8700268 -45.8692964,-67.86552841 -45.87071955,-67.8687286 -45.87223970000001,-67.8671408 -45.8717542,-67.8661752 -45.8712611,-67.8662395 -45.8705888,-67.86803091 -45.87230485,-67.8686213 -45.87223970000001,-67.8679776 -45.8725012,-67.867173 -45.87342,-67.86601994 -45.87390747,-67.8666043 -45.8740773,-67.8655958 -45.8758999,-67.8658319 -45.8761464,-67.86520975 -45.8764158,-67.8690398 -45.8759074,-67.8681815 -45.8748691,-67.8664434 -45.8762585,-67.86877282 -45.87598303,-67.8721726 -45.8748019,-67.868793 -45.8753024,-67.8683639 -45.8750633,-67.8691471 -45.8759522,-67.87226293 -45.87472228,-67.8772473 -45.875646,-67.87714 -45.874899,-67.8760457 -45.8739578,-67.8750265 -45.8733005,-67.8741574 -45.8732108,-67.8737283 -45.8741819,-67.87580898 -45.87623664,-67.8836632 -45.8741296,-67.884264 -45.8734723,-67.8839421 -45.8733229,-67.8833306 -45.8736515,-67.8822899 -45.87404,-67.8816032 -45.8749737,-67.8808522 -45.875153,-67.8791678 -45.8762809,-67.8782129 -45.8766021,-67.8774083 -45.8765572,-67.88196942 -45.87464989,-67.8803158 -45.8771847,-67.8813779 -45.8760792,-67.8823113 -45.875519,-67.8828478 -45.87486160000001,-67.87897854 -45.87766371,-67.8797901 -45.8776627,-67.8789961 -45.8782677,-67.8770435 -45.8780959,-67.87551597 -45.87817057,-67.8762603 -45.8779017,-67.8751016 -45.8782379,-67.8734457 -45.87858353;-67.8734457 -45.87858353,-67.8762603 -45.8779017,-67.8751016 -45.8782379,-67.87551597 -45.87817057,-67.8797901 -45.8776627,-67.8789961 -45.8782677,-67.8770435 -45.8780959,-67.87897854 -45.87766371,-67.8803158 -45.8771847,-67.8813779 -45.8760792,-67.8823113 -45.875519,-67.8828478 -45.87486160000001,-67.88196942 -45.87464989,-67.8836632 -45.8741296,-67.884264 -45.8734723,-67.8839421 -45.8733229,-67.8833306 -45.8736515,-67.8822899 -45.87404,-67.8816032 -45.8749737,-67.8808522 -45.875153,-67.8791678 -45.8762809,-67.8782129 -45.8766021,-67.8774083 -45.8765572,-67.87580898 -45.87623664,-67.8772473 -45.875646,-67.87714 -45.874899,-67.8760457 -45.8739578,-67.8750265 -45.8733005,-67.8741574 -45.8732108,-67.8737283 -45.8741819,-67.87226293 -45.87472228,-67.8721726 -45.8748019,-67.868793 -45.8753024,-67.8683639 -45.8750633,-67.8691471 -45.8759522,-67.86877282 -45.87598303,-67.8690398 -45.8759074,-67.8681815 -45.8748691,-67.8664434 -45.8762585,-67.86520975 -45.8764158,-67.8666043 -45.8740773,-67.8655958 -45.8758999,-67.8658319 -45.8761464,-67.86601994 -45.87390747,-67.8661001 -45.8724788,-67.8660786 -45.8739279,-67.8666043 -45.8740773,-67.86537325 -45.87244509;-67.86537325 -45.87244509,-67.8661001 -45.8724788,-67.8660786 -45.8739279,-67.8666043 -45.8740773,-67.86601994 -45.87390747,-67.8686213 -45.87223970000001,-67.8679776 -45.8725012,-67.867173 -45.87342,-67.86803091 -45.87230485,-67.8687286 -45.87223970000001,-67.8671408 -45.8717542,-67.8661752 -45.8712611,-67.8662395 -45.8705888,-67.86552841 -45.87071955,-67.8665292 -45.8704394,-67.8664756 -45.8701107,-67.8674197 -45.8697073,-67.8698659 -45.8700883,-67.8700376 -45.8699389,-67.8700268 -45.8692964,-67.86891343 -45.86940172,-67.8699839 -45.8693413,-67.8700376 -45.8699389,-67.8703916 -45.8701929,-67.8709173 -45.8699239,-67.8707349 -45.8692815,-67.8712177 -45.8686166,-67.8731596 -45.8681236,-67.8729107 -45.86822856,-67.8735942 -45.8680488,-67.8724301 -45.8682281,-67.8724086 -45.8686689,-67.8764427 -45.8695952,-67.87545792 -45.87007243,-67.8773439 -45.8681385,-67.878288 -45.8679816,-67.8767216 -45.8696102,-67.87529512 -45.86884053,-67.8773224 -45.8682132,-67.8784168 -45.867951700000006,-67.8792751 -45.866988,-67.87841593 -45.86693979,-67.8794253 -45.8652025,-67.8813779 -45.8643508,-67.8805947 -45.8648065,-67.8801227 -45.8652622,-67.8801119 -45.8658151,-67.8798544 -45.8661513,-67.87816911 -45.86559299,-67.8800154 -45.8627071,-67.880863 -45.8635887,-67.8814101 -45.8638502,-67.881496 -45.8643508,-67.8795862 -45.8651352,-67.87889297 -45.8626014,-67.8809917 -45.8619301,-67.8822792 -45.8616611,-67.8835666 -45.8617507,-67.8845859 -45.8612277,-67.8843284 -45.8612427,-67.88286864 -45.86153258,-67.8855836 -45.8605329,-67.8847253 -45.8611754,-67.8843284 -45.8612427,-67.88485253 -45.86038085,-67.8862917 -45.8600846,-67.8869355 -45.8600547,-67.8873861 -45.8596438,-67.8876221 -45.8588667,-67.8886843 -45.8579999,-67.8905296 -45.8572453,-67.8915596 -45.8569165,-67.8910661 -45.8570435,-67.89119881 -45.85678635,-67.8960952 -45.8598436,-67.8959692 -45.8585678,-67.8961945 -45.8583138,-67.8955936 -45.8581419,-67.8949177 -45.8572976,-67.8950787 -45.8562589,-67.894907 -45.8558629,-67.8937376 -45.8558928,-67.8932869 -45.8566101,-67.8928149 -45.8568492,-67.8926003 -45.8566998,-67.89506126 -45.86022417,-67.8961086 -45.8601668,-67.8949714 -45.8618927,-67.89369378 -45.862107,-67.8961945 -45.8632674,-67.8952932 -45.8629985,-67.8948426 -45.8620347,-67.8946526 -45.86372426,-67.8962696 -45.8632899,-67.8974175 -45.8625203,-67.8984583 -45.8622177,-67.89779792 -45.86312838,,-67.8975525 -45.86346654,-67.8993487 -45.8636634,-67.8988981 -45.8636933,-67.89861920000001 -45.8635215,-67.89867893 -45.86374335,-67.9039943 -45.8644255,-67.9028034 -45.8637381,-67.8999174 -45.8635812,-67.90314798 -45.8648888,-67.906419 -45.86626330000001,-67.9050887 -45.8652025,-67.9043591 -45.864814,-67.90565529 -45.8665856,-67.9108179 -45.86391,-67.9094768 -45.8638353,-67.9077816 -45.8657329,-67.9066443 -45.8662484,-67.90869072 -45.86438156,-67.9100454 -45.8663754,-67.9094982 -45.8663306,-67.909627 -45.86429100000001,-67.90947109 -45.86641003,-67.9100668 -45.8647318,-67.9098523 -45.8659197,-67.9103565 -45.8661513,-67.90917641 -45.86476613,-67.9122448 -45.8649709,-67.911129 -45.8644105,-67.9103887 -45.8645226,-67.91093971 -45.86527418,-67.9164934 -45.8652398,-67.9147875 -45.8642536,-67.9133606 -45.865322,-67.9120409 -45.8651352,-67.91575239 -45.86551598,-67.9187572 -45.8661064,-67.9176843 -45.8663679,-67.9172981 -45.8656657,-67.91774956 -45.8661538,-67.9224908 -45.8663306,-67.9191971 -45.8656582,-67.92069068 -45.86664171,-67.9258382 -45.86658460000001,-67.9220402 -45.8663903,-67.92478129 -45.86687146,-67.9266429 -45.8657927,-67.9259992 -45.8665696,-67.92617947 -45.86596757,,-67.92568273 -45.86555172,-67.9284239 -45.8655835,-67.9270077 -45.8655162,-67.92761571 -45.86576064,-67.92887450000002 -45.8655984,-67.929647 -45.8660093,-67.9311919 -45.8652622,-67.93025624 -45.86524613,-67.934196 -45.8650755,-67.9339492 -45.8648887,-67.9318678 -45.8652174,-67.93322311 -45.86539389,-67.9364544 -45.8650082,-67.9343033 -45.8651128,-67.93542287 -45.86514387,-67.9374468 -45.8637643,-67.93648120000002 -45.8648999,-67.93638614 -45.8639203,-67.9407513 -45.863103100000004,-67.9403973 -45.8622551,-67.93757020000001 -45.8636746,-67.94016816 -45.86304785,-67.9412395 -45.8636896,-67.94085860000001 -45.8628677,-67.94026881 -45.86394522,-67.9413575 -45.8643508,-67.94191 -45.8638801,-67.9413092 -45.8637717,-67.9397787 -45.86446671,-67.939437 -45.8659907,-67.9410034 -45.8642985,-67.93820898 -45.86621382,,-67.93822649 -45.86645361,-67.9383588 -45.8674437,-67.9380101 -45.8666929,-67.9392922 -45.8661064,-67.9400271 -45.8665472</t>
  </si>
  <si>
    <t>-67.9400271 -45.8665472,-67.9383588 -45.8674437,-67.9380584 -45.8682655,-67.9363847 -45.8693786,-67.9365671 -45.8696326,-67.93551008 -45.87004015,-67.936492 -45.8696625,-67.9362881 -45.8694234,-67.9350436 -45.8703273,-67.9347003 -45.8699986,-67.933282 -45.87018527,-67.9337347 -45.872531,-67.9350007 -45.8704245,-67.9346895 -45.8701032,-67.93292309 -45.87290945,-67.9305589 -45.8765722,-67.9309773 -45.8765423,-67.9323184 -45.875011,-67.9336917 -45.8726132,-67.92916705 -45.87686758,-67.9288745 -45.8790371,-67.9299796 -45.8786337,-67.9304302 -45.8776552,-67.9309022 -45.8766245,-67.9306126 -45.8766543,-67.92746283 -45.879252,-67.9288745 -45.8790371,-67.9299045 -45.8786188,-67.929765 -45.8784918,-67.9247224 -45.8798512,-67.9241753 -45.8796943,-67.92260289 -45.87981886,-67.9231775 -45.8798138,-67.9230273 -45.8801051,-67.9220295 -45.8802022,-67.9198301 -45.8807027,-67.9191542 -45.8814645,-67.9198301 -45.8813375,-67.91930941 -45.88137118,-67.9183173 -45.8833018,-67.9179525 -45.8832943,-67.9178452 -45.8829358,-67.9186606 -45.8819873,-67.9191113 -45.8815466,-67.9197979 -45.8813898,-67.91747464 -45.88372353,-67.9166651 -45.8823159,-67.9170835 -45.8822711,-67.9178345 -45.8833989,-67.9184783 -45.8832943,-67.91541483 -45.88231338,-67.911365 -45.8831076,-67.9142618 -45.8826968,-67.9159892 -45.8825026,-67.90970498 -45.88326091,-67.9076958 -45.8841084,-67.9082644 -45.8839366,-67.9093373 -45.8833167,-67.9103136 -45.8831972,-67.90591516 -45.88446218,,-67.90594775 -45.88423937,-67.9066443 -45.8844071,-67.9062474 -45.8852585,-67.908833 -45.885968,-67.9091012 -45.8864012,-67.90705336 -45.88840606,-67.9052818 -45.8875736,-67.90654780000001 -45.8882084,-67.9074919 -45.8882756,-67.90362098 -45.8874036,-67.9022241 -45.8892913,-67.9030609 -45.889239,-67.9032218 -45.8889477,-67.9028785 -45.8877678,-67.9034686 -45.8869165,-67.9039729 -45.8871629,-67.90098858 -45.88903898;-67.90098858 -45.88903898,-67.9020846 -45.8894257,-67.9013014 -45.8899484,-67.8996277 -45.8906877,-67.899971 -45.8910611,-67.9025245 -45.8912403,-67.90201018 -45.89143448,-67.88692 -45.8969,-67.88699 -45.8967,-67.88813 -45.89656,-67.89097 -45.89695,-67.89245 -45.89689,-67.89426 -45.89522,-67.895143 -45.89461,-67.8961408 -45.8936821,-67.9025245 -45.8916958,-67.905325 -45.89145,-67.90461 -45.89114,-67.90381 -45.89112,-67.88552167 -45.89738087,-67.8830731 -45.8952726,-67.8847253 -45.8956385,-67.8855407 -45.8952726,-67.8875041 -45.895855,-67.8877079 -45.8965569,-67.8870857 -45.8966764,-67.8869247 -45.8969004,-67.88155956 -45.89544783;-67.88155956 -45.89544783,-67.8829336 -45.8947051, -67.8827405 -45.8942496, -67.8828049 -45.8923978, -67.883749 -45.8924127,-67.88335575 -45.89262218;-67.88335575 -45.89262218,-67.8829336 -45.8947051, -67.8827405 -45.8942496, -67.8828049 -45.8923978, -67.883749 -45.8924127,-67.88155956 -45.89544783,-67.8830731 -45.8952726,-67.8847253 -45.8956385,-67.8855407 -45.8952726,-67.8875041 -45.895855,-67.8877079 -45.8965569,-67.8870857 -45.8966764,-67.8869247 -45.8969004,-67.88552167 -45.89738087,-67.88692 -45.8969,-67.88699 -45.8967,-67.88813 -45.89656,-67.89097 -45.89695,-67.89245 -45.89689,-67.89426 -45.89522,-67.895143 -45.89461,-67.8961408 -45.8936821,-67.9025245 -45.8916958,-67.905325 -45.89145,-67.90461 -45.89114,-67.90381 -45.89112,-67.90201018 -45.89143448,-67.9020846 -45.8894257,-67.9013014 -45.8899484,-67.8996277 -45.8906877,-67.899971 -45.8910611,-67.9025245 -45.8912403,-67.90098858 -45.88903898,-67.9022241 -45.8892913,-67.9030609 -45.889239,-67.9032218 -45.8889477,-67.9028785 -45.8877678,-67.9034686 -45.8869165,-67.9039729 -45.8871629,-67.90362098 -45.8874036,-67.9052818 -45.8875736,-67.90654780000001 -45.8882084,-67.9074919 -45.8882756,-67.90705336 -45.88840606,-67.9066443 -45.8844071,-67.9062474 -45.8852585,-67.908833 -45.885968,-67.9091012 -45.8864012,-67.90594775 -45.88423937,,-67.90591516 -45.88446218,-67.9076958 -45.8841084,-67.9082644 -45.8839366,-67.9093373 -45.8833167,-67.9103136 -45.8831972,-67.90970498 -45.88326091,-67.911365 -45.8831076,-67.9142618 -45.8826968,-67.9159892 -45.8825026,-67.91541483 -45.88231338,-67.9166651 -45.8823159,-67.9170835 -45.8822711,-67.9178345 -45.8833989,-67.9184783 -45.8832943,-67.91747464 -45.88372353,-67.9183173 -45.8833018,-67.9179525 -45.8832943,-67.9178452 -45.8829358,-67.9186606 -45.8819873,-67.9191113 -45.8815466,-67.9197979 -45.8813898,-67.91930941 -45.88137118,-67.9231775 -45.8798138,-67.9230273 -45.8801051,-67.9220295 -45.8802022,-67.9198301 -45.8807027,-67.9191542 -45.8814645,-67.9198301 -45.8813375,-67.92260289 -45.87981886,-67.9288745 -45.8790371,-67.9299045 -45.8786188,-67.929765 -45.8784918,-67.9247224 -45.8798512,-67.9241753 -45.8796943,-67.92746283 -45.879252,-67.9288745 -45.8790371,-67.9299796 -45.8786337,-67.9304302 -45.8776552,-67.9309022 -45.8766245,-67.9306126 -45.8766543,-67.92916705 -45.87686758,-67.9305589 -45.8765722,-67.9309773 -45.8765423,-67.9323184 -45.875011,-67.9336917 -45.8726132,-67.93292309 -45.87290945,-67.9337347 -45.872531,-67.9350007 -45.8704245,-67.9346895 -45.8701032,-67.933282 -45.87018527,-67.936492 -45.8696625,-67.9362881 -45.8694234,-67.9350436 -45.8703273,-67.9347003 -45.8699986,-67.93551008 -45.87004015,-67.9383588 -45.8674437,-67.9380584 -45.8682655,-67.9363847 -45.8693786,-67.9365671 -45.8696326,-67.9400271 -45.8665472</t>
  </si>
  <si>
    <t>-67.9400271 -45.8665472,-67.9452038 -45.8642219,-67.9464403 -45.8647635,-67.9454304 -45.86503525,,-67.94551194 -45.86495899,-67.949152 -45.8670029,-67.9489589 -45.866338,-67.9464805 -45.8656358,-67.946502 -45.8652099,-67.94827454 -45.86749255,-67.9581213 -45.8673466,-67.9581428 -45.8669731,-67.9568553 -45.866226,-67.9523492 -45.8659869,-67.9491305 -45.866226,-67.9489803 -45.8668834,-67.95709848 -45.86769228,-67.9570484 -45.8711267,-67.9574454 -45.8693637,-67.9580891 -45.8675707,-67.95610675 -45.87170205,-67.9571235 -45.8715898,-67.9572952 -45.8723443,-67.9570484 -45.87342,-67.95743470000001 -45.8736217,-67.95650202 -45.87386891,-67.9575098 -45.8735619,-67.9580784 -45.8727253,-67.95720623 -45.87256309,-67.9578531 -45.8725273,-67.9577994 -45.8722659,-67.9585719 -45.8716197,-67.9589689 -45.871291,-67.9592746 -45.8712275,-67.958393 -45.87134586,-67.9597306 -45.8712088,-67.9617476 -45.871029500000006,-67.96108026 -45.87118338;-67.96108026 -45.87118338,-67.9597306 -45.8712088,-67.9617476 -45.871029500000006,-67.958393 -45.87134586,-67.9578531 -45.8725273,-67.9577994 -45.8722659,-67.9585719 -45.8716197,-67.9589689 -45.871291,-67.9592746 -45.8712275,-67.95720623 -45.87256309,-67.9575098 -45.8735619,-67.9580784 -45.8727253,-67.95650202 -45.87386891,-67.9571235 -45.8715898,-67.9572952 -45.8723443,-67.9570484 -45.87342,-67.95743470000001 -45.8736217,-67.95610675 -45.87170205,-67.9570484 -45.8711267,-67.9574454 -45.8693637,-67.9580891 -45.8675707,-67.95709848 -45.86769228,-67.9581213 -45.8673466,-67.9581428 -45.8669731,-67.9568553 -45.866226,-67.9523492 -45.8659869,-67.9491305 -45.866226,-67.9489803 -45.8668834,-67.94827454 -45.86749255,-67.949152 -45.8670029,-67.9489589 -45.866338,-67.9464805 -45.8656358,-67.946502 -45.8652099,-67.94551194 -45.86495899,,-67.9454304 -45.86503525,-67.9452038 -45.8642219,-67.9464403 -45.8647635,-67.9400271 -45.8665472,-67.9427254 -45.8635364,-67.9464859 -45.8623447,-67.9469097 -45.862016,-67.94569946 -45.86221924,-67.9469097 -45.8620944,-67.9481596 -45.8620048,-67.94727301 -45.86217176,-67.9483044 -45.861911400000004,-67.9473495 -45.8614183,-67.94655091 -45.86160389,-67.9479718 -45.8615453,-67.9493934 -45.8606973,-67.9489589 -45.8606599,-67.94780419 -45.86081977,-67.9494631 -45.8607197,-67.9496992 -45.8604582,-67.9489589 -45.8596363,-67.9496777 -45.8591282,-67.9500318 -45.8586351,-67.9503858 -45.8584632,-67.94942594 -45.85854239,-67.95038580000002 -45.8584109,-67.9492486 -45.8582839,-67.9486799 -45.8563934,-67.9455793 -45.8575815,-67.94451337 -45.85788474,-67.9455793 -45.8575815,-67.9449892 -45.8573947,-67.9450321 -45.8569464,-67.9437447 -45.8569987,-67.9429507 -45.8566475,-67.94127839 -45.85682198,-67.9418778 -45.8559601,-67.9390132 -45.8553324,-67.93784211 -45.85566073,-67.9390132 -45.8553324,-67.9377794 -45.8546898,-67.9357088 -45.8545104,-67.93449161 -45.85473418,-67.9352367 -45.8545328,-67.933563 -45.8546898,-67.9313636 -45.8564457,-67.93015362 -45.85669955,-67.9309988 -45.8565279,-67.9294109 -45.8566176,-67.9285955 -45.8575143,-67.92745639 -45.85783394,-67.9283702 -45.8576637,-67.9275548 -45.8572154,-67.9269218 -45.8575143,-67.9259026 -45.8575367,-67.9241967 -45.8567969,-67.92272998 -45.85731085,-67.9236388 -45.8571407,-67.9227161 -45.8570659,-67.92158978 -45.85720014;-67.92158978 -45.85720014,-67.9236388 -45.8571407,-67.9227161 -45.8570659,-67.92272998 -45.85731085,-67.9283702 -45.8576637,-67.9275548 -45.8572154,-67.9269218 -45.8575143,-67.9259026 -45.8575367,-67.9241967 -45.8567969,-67.92745639 -45.85783394,-67.9309988 -45.8565279,-67.9294109 -45.8566176,-67.9285955 -45.8575143,-67.93015362 -45.85669955,-67.9352367 -45.8545328,-67.933563 -45.8546898,-67.9313636 -45.8564457,-67.93449161 -45.85473418,-67.9390132 -45.8553324,-67.9377794 -45.8546898,-67.9357088 -45.8545104,-67.93784211 -45.85566073,-67.9418778 -45.8559601,-67.9390132 -45.8553324,-67.94127839 -45.85682198,-67.9455793 -45.8575815,-67.9449892 -45.8573947,-67.9450321 -45.8569464,-67.9437447 -45.8569987,-67.9429507 -45.8566475,-67.94451337 -45.85788474,-67.95038580000002 -45.8584109,-67.9492486 -45.8582839,-67.9486799 -45.8563934,-67.9455793 -45.8575815,-67.94942594 -45.85854239,-67.9494631 -45.8607197,-67.9496992 -45.8604582,-67.9489589 -45.8596363,-67.9496777 -45.8591282,-67.9500318 -45.8586351,-67.9503858 -45.8584632,-67.94780419 -45.86081977,-67.9526496 -45.859838,-67.9510939 -45.8599277,-67.9493344 -45.8608317,-67.949034 -45.8607271,-67.95123788 -45.85994168,-67.9553854 -45.86132490000001,-67.955879 -45.8610634,-67.9528213 -45.8598305,-67.95423318 -45.86162426,-67.9520595 -45.8627594,-67.953347 -45.8623485,-67.9552031 -45.8614668,-67.95083587 -45.86305697,-67.95192 -45.8629761,-67.9497743 -45.8637232,-67.9510617 -45.8642985,-67.952714 -45.8635738,-67.95161951 -45.86368341;-67.95161951 -45.86368341,-67.95192 -45.8629761,-67.9497743 -45.8637232,-67.9510617 -45.8642985,-67.952714 -45.8635738,-67.95083587 -45.86305697,-67.9452789 -45.8642312,-67.9498494 -45.8625128,-67.9518986 -45.8627818,-67.9400271 -45.8665472</t>
  </si>
  <si>
    <t>-67.9400271 -45.8665472,-67.9383588 -45.8674437,-67.9380101 -45.8666929,-67.9392922 -45.8661064,-67.93822649 -45.86645361,,-67.93820898 -45.86621382,-67.939437 -45.8659907,-67.9410034 -45.8642985,-67.9397787 -45.86446671,-67.9413575 -45.8643508,-67.94191 -45.8638801,-67.9413092 -45.8637717,-67.94026881 -45.86394522,-67.9412395 -45.8636896,-67.94085860000001 -45.8628677,-67.94016816 -45.86304785,-67.9407942 -45.8630844,-67.9403758 -45.8621878,-67.9386914 -45.8624792,-67.93749455 -45.86270022,-67.9389811 -45.8623559,-67.9389596 -45.8618329,-67.9381979 -45.8610783,-67.9390669 -45.8607794,-67.93809539 -45.86091501,-67.9388309 -45.8607794,-67.938112 -45.8611007,-67.9377472 -45.860899,-67.9362881 -45.8614743,-67.9374897 -45.8619749,-67.93652197 -45.86222667,-67.9375219 -45.8620421,-67.9357517 -45.861085800000005,-67.9346144 -45.8614519,-67.93332777 -45.86169272,-67.9343569 -45.8614145,-67.9335523 -45.861549,-67.9334021 -45.8611381,-67.9309666 -45.8609214,-67.92973166 -45.86112334,-67.9307091 -45.86097370000001,-67.9287457 -45.8609588,-67.9288423 -45.860757,-67.92827234 -45.86082887,-67.9288423 -45.860757,-67.9286063 -45.8609812,-67.9269433 -45.8608168,-67.9254305 -45.8610559,-67.9256237 -45.8606898,-67.92472033 -45.86078317;-67.92472033 -45.86078317,-67.9253769 -45.8604208,-67.9236388 -45.8595317,-67.9233384 -45.8597857,-67.92204432 -45.86025045,-67.9235315 -45.8601219,-67.9222655 -45.8604731,-67.92116295 -45.86077528,-67.9219651 -45.8610335,-67.9157424 -45.8609887,-67.91412974 -45.86109479,-67.9153347 -45.8605702,-67.9157317 -45.8599725,-67.9146159 -45.859457,-67.91347499 -45.85938782,-67.9145408 -45.8594047,-67.9124916 -45.858777,-67.9112792 -45.8592776,-67.91058213 -45.85962973,-67.9112792 -45.8592776,-67.9102921 -45.8588293,-67.9105067 -45.8586425,-67.90964669 -45.85881191,-67.9102653 -45.8586986,-67.9081625 -45.8581195,-67.90707943 -45.8582017,-67.90773330000002 -45.8580522,-67.9073417 -45.8579177,-67.9068965 -45.8568567,-67.9053408 -45.8563822,-67.90400196 -45.85653031,-67.904284 -45.8564084,-67.9033184 -45.8552726,-67.9019022 -45.8551232,-67.90067511 -45.8549717,,-67.90022567 -45.85540767,-67.9008508 -45.8548093,-67.8990161 -45.8545403,-67.898823 -45.8538678,-67.8965485 -45.8545553,-67.89483427 -45.85484841,-67.887429 -45.855564,-67.8894138 -45.853808,-67.8932333 -45.8533447,-67.8969455 -45.8545851,-67.8963768 -45.8546599,-67.88581092 -45.85597227,-67.887429 -45.855564,-67.8882551 -45.8548691,-67.8894138 -45.853808,-67.8920853 -45.8535689,-67.8916454 -45.8538678,-67.8897357 -45.85395,-67.88910 -45.85436,-67.8875685 -45.8562589,-67.885799 -45.8571033,-67.88544 -45.8578281,-67.88523 -45.85794,-67.88402968 -45.85834964,-67.8814316 -45.8592926,-67.8808415 -45.8591357,-67.880863 -45.8587322,-67.8817642 -45.858239,-67.8850043 -45.8580522,-67.88077392 -45.85953999,-67.8790283 -45.8588293,-67.880466 -45.8587397,-67.8813028 -45.8593598,-67.87771797 -45.85914466,-67.875917 -45.8590236,-67.8765607 -45.8587098,-67.8784597 -45.8588443,-67.87446619 -45.85953534,-67.8758311 -45.8590012,-67.8755307 -45.858777,-67.8718829 -45.8588144,-67.8721619 -45.8576637,-67.8733528 -45.857462,-67.8739536 -45.8579028,-67.87227986 -45.85836679,-67.8721619 -45.8576637,-67.8734279 -45.8573798,-67.8740823 -45.8579103,-67.87029294 -45.85782787,-67.8694689 -45.8577534,-67.8703272 -45.8578879,-67.8705525 -45.8574694,-67.8710139 -45.8575441,-67.86752908 -45.85773082,-67.8666365 -45.8577982,-67.8680527 -45.857716,-67.86509618 -45.85797591,-67.8655958 -45.85783560000001,-67.8642118 -45.8570435,-67.86269634 -45.8576934,-67.8630531 -45.8577608,-67.8618944 -45.8580074,-67.86119926 -45.8582863,-67.8617334 -45.8580597,-67.8595233 -45.8583362,-67.85800456 -45.85865306,-67.8585362 -45.8586425,-67.8567231 -45.8591431,-67.8550386 -45.8605852,-67.85325633 -45.86047853,-67.8547168 -45.8600622,-67.8545237 -45.8589862,-67.8537083 -45.858508,-67.852335 -45.8585529,-67.85051371 -45.8587379,-67.8511226 -45.8587172,-67.8489661 -45.8581942,-67.8504252 -45.8565952,-67.84992667 -45.85649082,-67.851541 -45.8561394,-67.8511119 -45.8555416,-67.8497386 -45.8553249,-67.8490841 -45.8555341,-67.84737753 -45.85568862,-67.8480864 -45.8556163,-67.846477 -45.8561992,-67.8452325 -45.8556537,-67.84359994 -45.85582912,-67.8438914 -45.8557508,-67.8414237 -45.8563262,-67.8377545 -45.8563187,-67.83653581 -45.85644197,-67.8371108 -45.8561767,-67.8326368 -45.8556313,-67.83154193 -45.85548135,-67.8319716 -45.855437,-67.8292787 -45.855108200000004,-67.82760578 -45.8552439,-67.8277767 -45.8550036,-67.8251696 -45.8547271,-67.824676 -45.8544207,-67.82322995 -45.85451391,-67.8244078 -45.8540994,-67.8225088 -45.8518801,-67.82163737 -45.8516816,-67.8223801 -45.8515886,-67.8209639 -45.8504751,-67.8196657 -45.8504079,-67.81800483 -45.85079524,-67.8185713 -45.8505798,-67.816962 -45.851073,-67.8161895 -45.8523658,-67.81497943 -45.85259887,-67.816329 -45.8519921,-67.8167796 -45.8511701,-67.8158462 -45.8513121,-67.8150415 -45.8533148,-67.8138399 -45.8541293,-67.81217316 -45.85421245,-67.809999 -45.85395,-67.81053540000002 -45.8542265,-67.8125417 -45.8543386,-67.80813131 -45.85419968,-67.8093982 -45.8548467,-67.8103423 -45.8545851,-67.808851 -45.8544506,-67.8103101 -45.854219,-67.8097093 -45.8539126,-67.8072436 -45.85498762,-67.8098595 -45.8560647,-67.809999 -45.8550036,-67.8090441 -45.8548691,-67.80907829 -45.8565264,,-67.80847992 -45.85663136,-67.8079927 -45.8589788,-67.8088081 -45.8589563,-67.8109431 -45.8570659,-67.8101277 -45.85677450000001,-67.80665538 -45.85865673;-67.80665538 -45.85865673,-67.8079927 -45.8589788,-67.8088081 -45.8589563,-67.8109431 -45.8570659,-67.8101277 -45.85677450000001,-67.80847992 -45.85663136,,-67.80907829 -45.8565264,-67.8125632 -45.8568492,-67.810396 -45.8571033,-67.8101599 -45.8566923,-67.81224182 -45.85671416,-67.8138077 -45.8564532,-67.814548 -45.8566699,-67.813561 -45.8597484,-67.8137219 -45.8605777,-67.81282229 -45.86107452,-67.8186142 -45.8634617,-67.8183568 -45.8624605,-67.8160179 -45.8615565,-67.8143764 -45.8610559,-67.81720169 -45.86444747,-67.8182173 -45.868004,-67.8160286 -45.8663455,-67.8181314 -45.8648065,-67.8182173 -45.864545,-67.81633269 -45.86814359,-67.8222084 -45.867638,-67.8207171 -45.86819080000001,-67.8187966 -45.8682506,-67.81829240000002 -45.8680713,-67.82151826 -45.86746063,-67.8236783 -45.8675633,-67.8205454 -45.8682207,-67.8219295 -45.8676529,-67.82310921 -45.86764419,-67.8240538 -45.8675707,-67.8247404 -45.8675782,-67.82420567 -45.8676006,-67.8260171 -45.8673092,-67.8273904 -45.8671897,-67.8286672 -45.8675334,-67.82802493 -45.86737435,-67.8295791 -45.8671673,-67.8291285 -45.8657628,-67.8280771 -45.86528460000001,-67.82626659 -45.86542128;-67.82626659 -45.86542128,-67.8295791 -45.8671673,-67.8291285 -45.8657628,-67.8280771 -45.86528460000001,-67.82802493 -45.86737435,-67.8260171 -45.8673092,-67.8273904 -45.8671897,-67.8286672 -45.8675334,-67.82420567 -45.8676006,-67.8240538 -45.8675707,-67.8247404 -45.8675782,-67.82310921 -45.86764419,-67.8236783 -45.8675633,-67.8205454 -45.8682207,-67.8219295 -45.8676529,-67.82151826 -45.86746063,-67.8222084 -45.867638,-67.8207171 -45.86819080000001,-67.8187966 -45.8682506,-67.81829240000002 -45.8680713,-67.81633269 -45.86814359,-67.8182173 -45.868004,-67.8160286 -45.8663455,-67.8181314 -45.8648065,-67.8182173 -45.864545,-67.81720169 -45.86444747,-67.8186142 -45.8634617,-67.8183568 -45.8624605,-67.8160179 -45.8615565,-67.8143764 -45.8610559,-67.81282229 -45.86107452,-67.8138077 -45.8564532,-67.814548 -45.8566699,-67.813561 -45.8597484,-67.8137219 -45.8605777,-67.81224182 -45.85671416,-67.8125632 -45.8568492,-67.810396 -45.8571033,-67.8101599 -45.8566923,-67.80907829 -45.8565264,-67.8098595 -45.8560647,-67.809999 -45.8550036,-67.8090441 -45.8548691,-67.8072436 -45.85498762,-67.807982 -45.8550559,-67.8067052 -45.8553548,-67.80486959 -45.85565241,-67.8067052 -45.8553548,-67.8072202 -45.8551381,-67.8064048 -45.853539,-67.80441533 -45.8533642,-67.805289 -45.8529487,-67.8034651 -45.8522612,-67.8028214 -45.85306820000001,-67.8021669 -45.8529711,-67.80053473 -45.85338776,-67.8040767 -45.8510805,-67.8027248 -45.8530309,-67.8023279 -45.8529561,-67.80300362 -45.85086721;-67.80300362 -45.85086721,-67.8040767 -45.8510805,-67.8027248 -45.8530309,-67.8023279 -45.8529561,-67.80053473 -45.85338776,-67.805289 -45.8529487,-67.8034651 -45.8522612,-67.8028214 -45.85306820000001,-67.8021669 -45.8529711,-67.80441533 -45.8533642,-67.8064048 -45.853539,-67.8089046 -45.854361,-67.8103852 -45.8542265,-67.8098702 -45.8539126,-67.80813131 -45.85419968,-67.809999 -45.85395,-67.81053540000002 -45.8542265,-67.8125417 -45.8543386,-67.81217316 -45.85421245,-67.816329 -45.8519921,-67.8167796 -45.8511701,-67.8158462 -45.8513121,-67.8150415 -45.8533148,-67.8138399 -45.8541293,-67.81497943 -45.85259887,-67.8185713 -45.8505798,-67.816962 -45.851073,-67.8161895 -45.8523658,-67.81800483 -45.85079524;-67.81800483 -45.85079524,-67.8223801 -45.8515886,-67.8209639 -45.8504751,-67.8196657 -45.8504079,-67.82163737 -45.8516816,-67.8244078 -45.8540994,-67.8225088 -45.8518801,-67.82322995 -45.85451391,-67.8277767 -45.8550036,-67.8251696 -45.8547271,-67.824676 -45.8544207,-67.82760578 -45.8552439,-67.8319716 -45.855437,-67.8292787 -45.855108200000004,-67.83154193 -45.85548135,-67.8371108 -45.8561767,-67.8326368 -45.8556313,-67.83653581 -45.85644197,-67.8438914 -45.8557508,-67.8414237 -45.8563262,-67.8377545 -45.8563187,-67.84359994 -45.85582912,-67.8480864 -45.8556163,-67.846477 -45.8561992,-67.8452325 -45.8556537,-67.84737753 -45.85568862,-67.851541 -45.8561394,-67.8511119 -45.8555416,-67.8497386 -45.8553249,-67.8490841 -45.8555341,-67.84992667 -45.85649082,-67.8511226 -45.8587172,-67.8489661 -45.8581942,-67.8504252 -45.8565952,-67.85051371 -45.8587379,-67.8547168 -45.8600622,-67.8545237 -45.8589862,-67.8537083 -45.858508,-67.852335 -45.8585529,-67.85325633 -45.86047853,-67.8585362 -45.8586425,-67.8567231 -45.8591431,-67.8550386 -45.8605852,-67.85800456 -45.85865306,-67.8617334 -45.8580597,-67.8595233 -45.8583362,-67.86119926 -45.8582863,-67.8630531 -45.8577608,-67.8618944 -45.8580074,-67.86269634 -45.8576934,-67.8655958 -45.85783560000001,-67.8642118 -45.8570435,-67.86509618 -45.85797591,-67.8666365 -45.8577982,-67.8680527 -45.857716,-67.86752908 -45.85773082,-67.8694689 -45.8577534,-67.8703272 -45.8578879,-67.8705525 -45.8574694,-67.8710139 -45.8575441,-67.87029294 -45.85782787,-67.8721619 -45.8576637,-67.8734279 -45.8573798,-67.8740823 -45.8579103,-67.87227986 -45.85836679,-67.8758311 -45.8590012,-67.8755307 -45.858777,-67.8718829 -45.8588144,-67.8721619 -45.8576637,-67.8733528 -45.857462,-67.8739536 -45.8579028,-67.87446619 -45.85953534,-67.875917 -45.8590236,-67.8765607 -45.8587098,-67.8784597 -45.8588443,-67.87771797 -45.85914466,-67.8790283 -45.8588293,-67.880466 -45.8587397,-67.8813028 -45.8593598,-67.88077392 -45.85953999,-67.8814316 -45.8592926,-67.8808415 -45.8591357,-67.880863 -45.8587322,-67.8817642 -45.858239,-67.8850043 -45.8580522,-67.88402968 -45.85834964,-67.887429 -45.855564,-67.8882551 -45.8548691,-67.8894138 -45.853808,-67.8920853 -45.8535689,-67.8916454 -45.8538678,-67.8897357 -45.85395,-67.88910 -45.85436,-67.8875685 -45.8562589,-67.885799 -45.8571033,-67.88544 -45.8578281,-67.88523 -45.85794,-67.88581092 -45.85597227,-67.887429 -45.855564,-67.8894138 -45.853808,-67.8932333 -45.8533447,-67.8969455 -45.8545851,-67.8963768 -45.8546599,-67.89483427 -45.85484841,-67.9008508 -45.8548093,-67.8990161 -45.8545403,-67.898823 -45.8538678,-67.8965485 -45.8545553,-67.90022567 -45.85540767,,-67.90067511 -45.8549717,-67.904284 -45.8564084,-67.9033184 -45.8552726,-67.9019022 -45.8551232,-67.90400196 -45.85653031,-67.90773330000002 -45.8580522,-67.9073417 -45.8579177,-67.9068965 -45.8568567,-67.9053408 -45.8563822,-67.90707943 -45.8582017,-67.9102653 -45.8586986,-67.9081625 -45.8581195,-67.90964669 -45.85881191,-67.9112792 -45.8592776,-67.9102921 -45.8588293,-67.9105067 -45.8586425,-67.91058213 -45.85962973,-67.9145408 -45.8594047,-67.9124916 -45.858777,-67.9112792 -45.8592776,-67.91347499 -45.85938782,-67.9153347 -45.8605702,-67.9157317 -45.8599725,-67.9146159 -45.859457,-67.91412974 -45.86109479,-67.9219651 -45.8610335,-67.9157424 -45.8609887,-67.92116295 -45.86077528,-67.9235315 -45.8601219,-67.9222655 -45.8604731,-67.92204432 -45.86025045,-67.9253769 -45.8604208,-67.9236388 -45.8595317,-67.9233384 -45.8597857,-67.92472033 -45.86078317,-67.9288423 -45.860757,-67.9286063 -45.8609812,-67.9269433 -45.8608168,-67.9254305 -45.8610559,-67.9256237 -45.8606898,-67.92827234 -45.86082887,-67.9307091 -45.86097370000001,-67.9287457 -45.8609588,-67.9288423 -45.860757,-67.92973166 -45.86112334,-67.9343569 -45.8614145,-67.9335523 -45.861549,-67.9334021 -45.8611381,-67.9309666 -45.8609214,-67.93332777 -45.86169272,-67.9375219 -45.8620421,-67.9357517 -45.861085800000005,-67.9346144 -45.8614519,-67.93652197 -45.86222667,-67.9388309 -45.8607794,-67.938112 -45.8611007,-67.9377472 -45.860899,-67.9362881 -45.8614743,-67.9374897 -45.8619749,-67.93809539 -45.86091501,-67.9389811 -45.8623559,-67.9389596 -45.8618329,-67.9381979 -45.8610783,-67.9390669 -45.8607794,-67.93749455 -45.86270022,-67.9407942 -45.8630844,-67.9403758 -45.8621878,-67.9386914 -45.8624792,-67.94016816 -45.86304785,-67.9412395 -45.8636896,-67.94085860000001 -45.8628677,-67.94026881 -45.86394522,-67.9413575 -45.8643508,-67.94191 -45.8638801,-67.9413092 -45.8637717,-67.9397787 -45.86446671,-67.939437 -45.8659907,-67.9410034 -45.8642985,-67.93820898 -45.86621382,,-67.93822649 -45.86645361,-67.9383588 -45.8674437,-67.9380101 -45.8666929,-67.9392922 -45.8661064,-67.9400271 -45.8665472</t>
  </si>
  <si>
    <t>-67.9400271 -45.8665472,-67.9383588 -45.8674437,-67.9380584 -45.8682655,-67.9363847 -45.8693786,-67.9365671 -45.8696326,-67.93551008 -45.87004015,-67.936492 -45.8696625,-67.9362881 -45.8694234,-67.9350436 -45.8703273,-67.9347003 -45.8699986,-67.933282 -45.87018527,-67.9337347 -45.872531,-67.9350007 -45.8704245,-67.9346895 -45.8701032,-67.93292309 -45.87290945,-67.9305589 -45.8765722,-67.9309773 -45.8765423,-67.9323184 -45.875011,-67.9336917 -45.8726132,-67.92916705 -45.87686758,-67.9288745 -45.8790371,-67.9299796 -45.8786337,-67.9304302 -45.8776552,-67.9309022 -45.8766245,-67.9306126 -45.8766543,-67.92746283 -45.879252,-67.9288745 -45.8790371,-67.9299796 -45.8786337,-67.9308271 -45.8793582,-67.9310632 -45.8796271,-67.9308057 -45.8796645,-67.92926139 -45.87980166,-67.9308057 -45.8796645,-67.9309773 -45.8795823,-67.9308271 -45.8793582,-67.9319429 -45.8795524,-67.9332089 -45.8799333,-67.9339921 -45.8795524,-67.9349685 -45.8793358,-67.935698 -45.8793209,-67.93512028 -45.8793768,-67.9364383 -45.8791566,-67.9368889 -45.8790371,-67.9370821 -45.878798,-67.939657 -45.8787906,-67.9398179 -45.8784246,-67.93938002 -45.87863178,-67.9433799 -45.8793582,-67.9425859 -45.8792462,-67.9414809 -45.8788951,-67.9399574 -45.8788802,-67.9395819 -45.8785889,-67.9398179 -45.8784246,-67.94258106 -45.87928487,-67.9468131 -45.8799931,-67.9464698 -45.8794927,-67.9443026 -45.8791491,-67.9459034 -45.88040255,-67.9472744 -45.8827118,-67.9475963 -45.8819051,-67.9476392 -45.8807475,-67.9472208 -45.8805159,-67.94607409 -45.88311995,-67.9472744 -45.8852212,-67.9470921 -45.8844967,-67.9472423 -45.883959,-67.9472315 -45.8831823,-67.94628753 -45.88560005,-67.9487872 -45.8868418,-67.9495382 -45.8874766,-67.9496884 -45.88726,-67.9485726 -45.886095,-67.9476714 -45.8855871,-67.94746568 -45.88694764,-67.948696 -45.886909,-67.9494202 -45.887484,-67.9491949 -45.8880889,-67.9491842 -45.8890224,-67.94851142 -45.88940859,-67.9492593 -45.8893958,-67.9482508 -45.8911806,-67.94741116 -45.89163645;-67.94741116 -45.89163645,-67.953701 -45.8891792,-67.9537976 -45.8898588,-67.9529715 -45.8906056,-67.9515767 -45.8903293,-67.9498279 -45.8905906,-67.9490983 -45.8910462,-67.95220821 -45.8890951,-67.9531646 -45.88667,-67.9533255 -45.8870733,-67.9523599 -45.8875064,-67.9523385 -45.888074,-67.9529393 -45.8886416,-67.95178221 -45.88666191,-67.957381 -45.8868268,-67.9566729 -45.8866327,-67.953701 -45.8868791,-67.9533148 -45.8869911,-67.9529393 -45.8866103,-67.95650174 -45.8868325,-67.9563618 -45.8869613,-67.9570055 -45.8870583,-67.9568553 -45.8866028,-67.957381 -45.8868268,-67.95495587 -45.8875866,-67.9576063 -45.8896124,-67.9577136 -45.888888,-67.9572308 -45.8876483,-67.9565012 -45.8869986,-67.95602222 -45.88970885,-67.9555678 -45.8902546,-67.9566729 -45.8896124,-67.95416096 -45.89058835,-67.9546666 -45.8908595,-67.9532504 -45.8922185,-67.9515231 -45.8917406,-67.95045121 -45.89176951;-67.95045121 -45.89176951,-67.9546666 -45.8908595,-67.9532504 -45.8922185,-67.9515231 -45.8917406,-67.95416096 -45.89058835,-67.9555678 -45.8902546,-67.9566729 -45.8896124,-67.95602222 -45.88970885,-67.9577458 -45.889687,-67.9589152 -45.8901575,-67.9578638 -45.8892315,-67.9582071 -45.8887536,-67.9595053 -45.8884474,-67.9607284 -45.889,-67.9613507 -45.8890224,-67.9625523 -45.8881561,-67.9630458 -45.8861696,-67.9629171 -45.8856469,-67.9631639 -45.8856543,-67.96399 -45.8867447,-67.9643333 -45.8867223,-67.96291589 -45.88644251,-67.9671872 -45.8881412,-67.9659748 -45.8870061,-67.9642153 -45.8869314,-67.9642582 -45.8866849,-67.96633372 -45.88873533;-67.96633372 -45.88873533,-67.9702985 -45.892002,-67.9693437 -45.8927189,-67.9695046 -45.8920393,-67.9694617 -45.8909565,-67.9689038 -45.8902247,-67.9675949 -45.8891494,-67.9695987 -45.89181892,-67.9702985 -45.892002,-67.969805 -45.8925695,-67.9693437 -45.8927189,-67.9691291 -45.8925844,-67.9689145 -45.8911731,-67.96747113 -45.89098947;-67.96747113 -45.89098947,-67.9702985 -45.892002,-67.969805 -45.8925695,-67.9693437 -45.8927189,-67.9691291 -45.8925844,-67.9689145 -45.8911731,-67.9695987 -45.89181892,-67.9699337 -45.8946379,-67.9693973 -45.8950411,-67.9688287 -45.894847,-67.9686248 -45.893936,-67.9694724 -45.8926591,-67.9702985 -45.892002,-67.96939983 -45.89469974,-67.9721761 -45.8962209,-67.9716182 -45.8947873,-67.9710388 -45.8947723,-67.97161551 -45.8965517,-67.9729271 -45.8958177,-67.9726696 -45.8949515,-67.97168684 -45.8946769,-67.9725194 -45.8940704,-67.9735279 -45.8935179,-67.97316911 -45.89352066,-67.9749441 -45.8933834,-67.9761243 -45.8929055,-67.9766607 -45.892353,-67.97648439 -45.89266109,-67.9806304 -45.8917854,-67.9784203 -45.8917854,-67.9782271 -45.8926517,-67.98023252 -45.89201679;-67.98023252 -45.89201679,-67.9825401 -45.8906205,-67.9820251 -45.8918004,-67.98197943 -45.89056257,-67.9825187 -45.8903218,-67.979182 -45.8900455,-67.97751751 -45.89013616,-67.9778516 -45.8901202,-67.977283 -45.8901052,-67.9767358 -45.889926,-67.97500117 -45.89011334,-67.9755127 -45.8898364,-67.9753196 -45.8896348,-67.9751372 -45.889239,-67.9736996 -45.8884922,-67.9752123 -45.8886192,-67.97417558 -45.88870119;-67.97417558 -45.88870119,-67.9753625 -45.8886192,-67.9764462 -45.8884623,-67.9771543 -45.8881561,-67.9769289 -45.888649,-67.97595558 -45.88889979,-67.9770148 -45.8886117,-67.9772186 -45.8879396,-67.9777443 -45.8870285,-67.97698555 -45.88678202,-67.9778302 -45.8870135,-67.9771757 -45.8878873,-67.9771113 -45.8870583,-67.9760706 -45.8855946,-67.9760921 -45.885154,-67.976414 -45.8844445,-67.9765964 -45.8829881,-67.97565115 -45.88292201,-67.9766071 -45.8824279,-67.9764247 -45.8817184,-67.9768002 -45.8819051,-67.97621382 -45.88197066;-67.97621382 -45.88197066,-67.9766071 -45.8824279,-67.9764247 -45.8817184,-67.9768002 -45.8819051,-67.97565115 -45.88292201,-67.9766285 -45.88254,-67.9760277 -45.8820396,-67.9747617 -45.8818006,-67.9745471 -45.8818454,-67.97327478 -45.88212301,-67.9741502 -45.8819201,-67.9734421 -45.8820844,-67.9724014 -45.8825176,-67.9714251 -45.8825474,-67.96961317 -45.88291315,-67.9670584 -45.8844071,-67.9672515 -45.8836677,-67.9703629 -45.8832122,-67.96615149 -45.88487087,-67.9642582 -45.8866849,-67.9660714 -45.8869613,-67.9663503 -45.8865505,-67.9662859 -45.88549,-67.9665112 -45.8837798,-67.9671657 -45.8837275,-67.9670477 -45.8843548,-67.96291589 -45.88644251,-67.9643977 -45.8867746,-67.9641402 -45.8867895,-67.9629064 -45.8855274,-67.9625845 -45.8842055,-67.9620588 -45.8840412,-67.9608893 -45.8848926,-67.95958113 -45.88533853,-67.960428 -45.8852436,-67.9597843 -45.8853855,-67.9578102 -45.8852959,-67.9558897 -45.8849448,-67.9546167 -45.88506443,-67.9573059 -45.8868268,-67.956748 -45.8864908,-67.9563725 -45.8857215,-67.9556644 -45.8849971,-67.95650174 -45.8868325,-67.957381 -45.8868268,-67.9566729 -45.8866327,-67.953701 -45.8868791,-67.9533148 -45.8869911,-67.9529393 -45.8866103,-67.95178221 -45.88666191,-67.951051 -45.8868418,-67.9516089 -45.886207,-67.952832 -45.8866028,-67.94972726 -45.88693813,-67.948755 -45.886894,-67.9494202 -45.887484,-67.9503751 -45.8875587,-67.9509008 -45.8873571,-67.9508793 -45.8868716,-67.94746568 -45.88694764,-67.9487872 -45.8868418,-67.9495382 -45.8874766,-67.9496884 -45.88726,-67.9485726 -45.886095,-67.9476714 -45.8855871,-67.94628753 -45.88560005,-67.9472744 -45.8852212,-67.9470921 -45.8844967,-67.9472423 -45.883959,-67.9472315 -45.8831823,-67.94607409 -45.88311995,-67.9472744 -45.8827118,-67.9475963 -45.8819051,-67.9476392 -45.8807475,-67.9472208 -45.8805159,-67.9459034 -45.88040255,-67.9468131 -45.8799931,-67.9464698 -45.8794927,-67.9443026 -45.8791491,-67.94258106 -45.87928487,-67.9433799 -45.8793582,-67.9425859 -45.8792462,-67.9414809 -45.8788951,-67.9399574 -45.8788802,-67.9395819 -45.8785889,-67.9398179 -45.8784246,-67.93938002 -45.87863178,-67.9364383 -45.8791566,-67.9368889 -45.8790371,-67.9370821 -45.878798,-67.939657 -45.8787906,-67.9398179 -45.8784246,-67.93512028 -45.8793768,-67.9308057 -45.8796645,-67.9309773 -45.8795823,-67.9308271 -45.8793582,-67.9319429 -45.8795524,-67.9332089 -45.8799333,-67.9339921 -45.8795524,-67.9349685 -45.8793358,-67.935698 -45.8793209,-67.92926139 -45.87980166,-67.9288745 -45.8790371,-67.9299796 -45.8786337,-67.9308271 -45.8793582,-67.9310632 -45.8796271,-67.9308057 -45.8796645,-67.92746283 -45.879252,-67.9288745 -45.8790371,-67.9299796 -45.8786337,-67.9304302 -45.8776552,-67.9309022 -45.8766245,-67.9306126 -45.8766543,-67.92916705 -45.87686758,-67.9305589 -45.8765722,-67.9309773 -45.8765423,-67.9323184 -45.875011,-67.9336917 -45.8726132,-67.93292309 -45.87290945,-67.9337347 -45.872531,-67.9350007 -45.8704245,-67.9346895 -45.8701032,-67.933282 -45.87018527,-67.936492 -45.8696625,-67.9362881 -45.8694234,-67.9350436 -45.8703273,-67.9347003 -45.8699986,-67.93551008 -45.87004015,-67.9383588 -45.8674437,-67.9380584 -45.8682655,-67.9363847 -45.8693786,-67.9365671 -45.8696326,-67.9400271 -45.8665472</t>
  </si>
  <si>
    <t>-67.9400271 -45.8665472,-67.9383588 -45.8674437,-67.9380584 -45.8682655,-67.9363847 -45.8693786,-67.9365671 -45.8696326,-67.93551008 -45.87004015,-67.936492 -45.8696625,-67.9362881 -45.8694234,-67.9350436 -45.8703273,-67.9347003 -45.8699986,-67.933282 -45.87018527,-67.9337347 -45.872531,-67.9350007 -45.8704245,-67.9346895 -45.8701032,-67.93292309 -45.87290945,-67.9305589 -45.8765722,-67.9309773 -45.8765423,-67.9323184 -45.875011,-67.9336917 -45.8726132,-67.92916705 -45.87686758,-67.9288745 -45.8790371,-67.9299796 -45.8786337,-67.9304302 -45.8776552,-67.9309022 -45.8766245,-67.9306126 -45.8766543,-67.92746283 -45.879252,-67.9288745 -45.8790371,-67.9299796 -45.8786337,-67.9308271 -45.8793582,-67.9310632 -45.8796271,-67.9308057 -45.8796645,-67.92926139 -45.87980166,-67.9308057 -45.8796645,-67.9309773 -45.8795823,-67.9308271 -45.8793582,-67.9319429 -45.8795524,-67.9332089 -45.8799333,-67.9339921 -45.8795524,-67.9349685 -45.8793358,-67.935698 -45.8793209,-67.93512028 -45.8793768,-67.9364383 -45.8791566,-67.9368889 -45.8790371,-67.9370821 -45.878798,-67.939657 -45.8787906,-67.9398179 -45.8784246,-67.93938002 -45.87863178,-67.9433799 -45.8793582,-67.9425859 -45.8792462,-67.9414809 -45.8788951,-67.9399574 -45.8788802,-67.9395819 -45.8785889,-67.9398179 -45.8784246,-67.94258106 -45.87928487,-67.9468131 -45.8799931,-67.9464698 -45.8794927,-67.9443026 -45.8791491,-67.9459034 -45.88040255,-67.9472744 -45.8827118,-67.9475963 -45.8819051,-67.9476392 -45.8807475,-67.9472208 -45.8805159,-67.94607409 -45.88311995,-67.9472744 -45.8852212,-67.9470921 -45.8844967,-67.9472423 -45.883959,-67.9472315 -45.8831823,-67.94628753 -45.88560005,-67.9487872 -45.8868418,-67.9495382 -45.8874766,-67.9496884 -45.88726,-67.9485726 -45.886095,-67.9476714 -45.8855871,-67.94746568 -45.88694764,-67.948755 -45.886894,-67.9494202 -45.887484,-67.9503751 -45.8875587,-67.9509008 -45.8873571,-67.9508793 -45.8868716,-67.94972726 -45.88693813,-67.951051 -45.8868418,-67.9516089 -45.886207,-67.952832 -45.8866028,-67.95178221 -45.88666191,-67.957381 -45.8868268,-67.9566729 -45.8866327,-67.953701 -45.8868791,-67.9533148 -45.8869911,-67.9529393 -45.8866103,-67.95650174 -45.8868325,-67.9563618 -45.8869613,-67.9570055 -45.8870583,-67.9568553 -45.8866028,-67.957381 -45.8868268,-67.95495587 -45.8875866,-67.9576063 -45.8896124,-67.9577136 -45.888888,-67.9572308 -45.8876483,-67.9565012 -45.8869986,-67.95602222 -45.88970885,-67.958647 -45.8921289,-67.9580784 -45.8917854,-67.958411 -45.8907699,-67.9588509 -45.8902397,-67.9578209 -45.8896422,-67.95792371 -45.89252328,-67.958411 -45.8946678,-67.9585934 -45.8938464,-67.9590118 -45.8934581,-67.9594839 -45.8932714,-67.9597199 -45.892913,-67.9595053 -45.8926741,-67.95753705 -45.89518861;-67.95753705 -45.89518861,-67.9602778 -45.8973559,-67.959677 -45.8974604,-67.9590976 -45.897326,-67.9587114 -45.8968257,-67.95928 -45.896094,-67.9591405 -45.8953548,-67.95956637 -45.89743693,-67.9612112 -45.8971319,-67.9633784 -45.8962807,-67.9639149 -45.8957132,-67.9634535 -45.8934357,-67.9631853 -45.892801,-67.96212496 -45.89267136,-67.963196 -45.8927189,-67.9626918 -45.8927114,-67.9624236 -45.8909043,-67.9618871 -45.8908445,-67.9608786 -45.8903442,-67.95958813 -45.89007642;-67.95958813 -45.89007642,-67.963196 -45.8927189,-67.9626918 -45.8927114,-67.9624236 -45.8909043,-67.9618871 -45.8908445,-67.9608786 -45.8903442,-67.96212496 -45.89267136,-67.9612112 -45.8971319,-67.9633784 -45.8962807,-67.9639149 -45.8957132,-67.9634535 -45.8934357,-67.9631853 -45.892801,-67.95956637 -45.89743693,-67.9642367 -45.8983564,-67.9643333 -45.8976993,-67.9650199 -45.8970721,-67.9652989 -45.8964076,-67.9613721 -45.8972065,-67.96354703 -45.89869944,-67.9693437 -45.9027914,-67.9659963 -45.8987297,-67.965138 -45.8986401,-67.96793825 -45.90348141;-67.96793825 -45.90348141,-67.9693437 -45.9027914,-67.9659963 -45.8987297,-67.965138 -45.8986401,-67.96354703 -45.89869944,-67.9642367 -45.8983564,-67.9643333 -45.8976993,-67.9650199 -45.8970721,-67.9652989 -45.8964076,-67.9613721 -45.8972065,-67.95956637 -45.89743693,-67.9602778 -45.8973559,-67.959677 -45.8974604,-67.9590976 -45.897326,-67.9587114 -45.8968257,-67.95928 -45.896094,-67.9591405 -45.8953548,-67.95753705 -45.89518861,-67.958411 -45.8946678,-67.9585934 -45.8938464,-67.9590118 -45.8934581,-67.9594839 -45.8932714,-67.9597199 -45.892913,-67.9595053 -45.8926741,-67.95792371 -45.89252328,-67.958647 -45.8921289,-67.9580784 -45.8917854,-67.958411 -45.8907699,-67.9588509 -45.8902397,-67.9578209 -45.8896422,-67.95602222 -45.88970885,-67.9576063 -45.8896124,-67.9577136 -45.888888,-67.9572308 -45.8876483,-67.9565012 -45.8869986,-67.95495587 -45.8875866,-67.9563618 -45.8869613,-67.9570055 -45.8870583,-67.9568553 -45.8866028,-67.957381 -45.8868268,-67.95650174 -45.8868325,-67.957381 -45.8868268,-67.9566729 -45.8866327,-67.953701 -45.8868791,-67.9533148 -45.8869911,-67.9529393 -45.8866103,-67.95178221 -45.88666191,-67.951051 -45.8868418,-67.9516089 -45.886207,-67.952832 -45.8866028,-67.94972726 -45.88693813,-67.948755 -45.886894,-67.9494202 -45.887484,-67.9503751 -45.8875587,-67.9509008 -45.8873571,-67.9508793 -45.8868716,-67.94746568 -45.88694764,-67.9487872 -45.8868418,-67.9495382 -45.8874766,-67.9496884 -45.88726,-67.9485726 -45.886095,-67.9476714 -45.8855871,-67.94628753 -45.88560005,-67.9472744 -45.8852212,-67.9470921 -45.8844967,-67.9472423 -45.883959,-67.9472315 -45.8831823,-67.94607409 -45.88311995,-67.9472744 -45.8827118,-67.9475963 -45.8819051,-67.9476392 -45.8807475,-67.9472208 -45.8805159,-67.9459034 -45.88040255,-67.9468131 -45.8799931,-67.9464698 -45.8794927,-67.9443026 -45.8791491,-67.94258106 -45.87928487,-67.9433799 -45.8793582,-67.9425859 -45.8792462,-67.9414809 -45.8788951,-67.9399574 -45.8788802,-67.9395819 -45.8785889,-67.9398179 -45.8784246,-67.93938002 -45.87863178,-67.9364383 -45.8791566,-67.9368889 -45.8790371,-67.9370821 -45.878798,-67.939657 -45.8787906,-67.9398179 -45.8784246,-67.93512028 -45.8793768,-67.9308057 -45.8796645,-67.9309773 -45.8795823,-67.9308271 -45.8793582,-67.9319429 -45.8795524,-67.9332089 -45.8799333,-67.9339921 -45.8795524,-67.9349685 -45.8793358,-67.935698 -45.8793209,-67.92926139 -45.87980166,-67.9288745 -45.8790371,-67.9299796 -45.8786337,-67.9308271 -45.8793582,-67.9310632 -45.8796271,-67.9308057 -45.8796645,-67.92746283 -45.879252,-67.9288745 -45.8790371,-67.9299045 -45.8786188,-67.929765 -45.8784918,-67.9247224 -45.8798512,-67.9241753 -45.8796943,-67.92260289 -45.87981886,-67.9231775 -45.8798138,-67.9230273 -45.8801051,-67.9220295 -45.8802022,-67.9198301 -45.8807027,-67.9191542 -45.8814645,-67.9198301 -45.8813375,-67.91930941 -45.88137118,-67.9183173 -45.8833018,-67.9179525 -45.8832943,-67.9178452 -45.8829358,-67.9186606 -45.8819873,-67.9191113 -45.8815466,-67.9197979 -45.8813898,-67.91747464 -45.88372353,-67.9166651 -45.8823159,-67.9170835 -45.8822711,-67.9178345 -45.8833989,-67.9184783 -45.8832943,-67.91541483 -45.88231338,-67.911365 -45.8831076,-67.9142618 -45.8826968,-67.9159892 -45.8825026,-67.90970498 -45.88326091,-67.9076958 -45.8841084,-67.9082644 -45.8839366,-67.9093373 -45.8833167,-67.9103136 -45.8831972,-67.90591516 -45.88446218,,-67.90594775 -45.88423937,-67.9066443 -45.8844071,-67.9062474 -45.8852585,-67.908833 -45.885968,-67.9091012 -45.8864012,-67.90705336 -45.88840606,-67.9052818 -45.8875736,-67.90654780000001 -45.8882084,-67.9074919 -45.8882756,-67.90362098 -45.8874036,-67.9022241 -45.8892913,-67.9030609 -45.889239,-67.9032218 -45.8889477,-67.9028785 -45.8877678,-67.9034686 -45.8869165,-67.9039729 -45.8871629,-67.90098858 -45.88903898,-67.9052174 -45.8898887,-67.9046273 -45.8890523,-67.9033613 -45.8891643,-67.9021382 -45.8893659,-67.90475618 -45.89004619,-67.908082 -45.8906056,-67.9061723 -45.8899111,-67.90753763 -45.89070583,-67.9155815 -45.891315,-67.9156137 -45.8917929,-67.9101205 -45.891778,-67.9101098 -45.8913822,-67.9085004 -45.8909043,-67.91464614 -45.89123186,-67.9154849 -45.8913374,-67.9156995 -45.8918153,-67.9161823 -45.8920468,-67.9130065 -45.8949441,-67.9139829 -45.893137,-67.91314953 -45.89274698;-67.91314953 -45.89274698,-67.9123414 -45.8967361,-67.9125881 -45.8958401,-67.913264 -45.8944587,-67.9140687 -45.8931669,-67.91162615 -45.89729001;-67.91162615 -45.89729001,-67.9123414 -45.8967361,-67.9125881 -45.8958401,-67.913264 -45.8944587,-67.9140687 -45.8931669,-67.91314953 -45.89274698,-67.9154849 -45.8913374,-67.9156995 -45.8918153,-67.9161823 -45.8920468,-67.9130065 -45.8949441,-67.9139829 -45.893137,-67.91464614 -45.89123186,-67.9155815 -45.891315,-67.9156137 -45.8917929,-67.9101205 -45.891778,-67.9101098 -45.8913822,-67.9085004 -45.8909043,-67.90753763 -45.89070583,-67.908082 -45.8906056,-67.9061723 -45.8899111,-67.90475618 -45.89004619,-67.9052174 -45.8898887,-67.9046273 -45.8890523,-67.9033613 -45.8891643,-67.9021382 -45.8893659,-67.90098858 -45.88903898,-67.9022241 -45.8892913,-67.9030609 -45.889239,-67.9032218 -45.8889477,-67.9028785 -45.8877678,-67.9034686 -45.8869165,-67.9039729 -45.8871629,-67.90362098 -45.8874036,-67.9052818 -45.8875736,-67.90654780000001 -45.8882084,-67.9074919 -45.8882756,-67.90705336 -45.88840606,-67.9066443 -45.8844071,-67.9062474 -45.8852585,-67.908833 -45.885968,-67.9091012 -45.8864012,-67.90594775 -45.88423937,,-67.90591516 -45.88446218,-67.9076958 -45.8841084,-67.9082644 -45.8839366,-67.9093373 -45.8833167,-67.9103136 -45.8831972,-67.90970498 -45.88326091,-67.911365 -45.8831076,-67.9142618 -45.8826968,-67.9159892 -45.8825026,-67.91541483 -45.88231338,-67.9166651 -45.8823159,-67.9170835 -45.8822711,-67.9178345 -45.8833989,-67.9184783 -45.8832943,-67.91747464 -45.88372353,-67.9183173 -45.8833018,-67.9179525 -45.8832943,-67.9178452 -45.8829358,-67.9186606 -45.8819873,-67.9191113 -45.8815466,-67.9197979 -45.8813898,-67.91930941 -45.88137118,-67.9231775 -45.8798138,-67.9230273 -45.8801051,-67.9220295 -45.8802022,-67.9198301 -45.8807027,-67.9191542 -45.8814645,-67.9198301 -45.8813375,-67.92260289 -45.87981886,-67.9288745 -45.8790371,-67.9299045 -45.8786188,-67.929765 -45.8784918,-67.9247224 -45.8798512,-67.9241753 -45.8796943,-67.92746283 -45.879252,-67.9288745 -45.8790371,-67.9299796 -45.8786337,-67.9304302 -45.8776552,-67.9309022 -45.8766245,-67.9306126 -45.8766543,-67.92916705 -45.87686758,-67.9305589 -45.8765722,-67.9309773 -45.8765423,-67.9323184 -45.875011,-67.9336917 -45.8726132,-67.93292309 -45.87290945,-67.9337347 -45.872531,-67.9350007 -45.8704245,-67.9346895 -45.8701032,-67.933282 -45.87018527,-67.936492 -45.8696625,-67.9362881 -45.8694234,-67.9350436 -45.8703273,-67.9347003 -45.8699986,-67.93551008 -45.87004015,-67.9383588 -45.8674437,-67.9380584 -45.8682655,-67.9363847 -45.8693786,-67.9365671 -45.8696326,-67.9400271 -45.8665472</t>
  </si>
  <si>
    <t>-67.9400271 -45.8665472,-67.9383588 -45.8674437,-67.9380584 -45.8682655,-67.9363847 -45.8693786,-67.9365671 -45.8696326,-67.93551008 -45.87004015,-67.936492 -45.8696625,-67.9362881 -45.8694234,-67.9350436 -45.8703273,-67.9347003 -45.8699986,-67.933282 -45.87018527,-67.934829 -45.8699464,-67.9352367 -45.8689827,-67.9338956 -45.8684298,-67.9331553 -45.8691993,-67.9323077 -45.8697148,-67.9319537 -45.8703348,-67.9324794 -45.8705739,-67.93187364 -45.8708609,-67.9326403 -45.8707009,-67.9319537 -45.8703348,-67.931664 -45.8708503,-67.9311275 -45.8713582,-67.9311597 -45.8717019,-67.9314923 -45.8717243,-67.93045899 -45.87199061,-67.9310846 -45.8724489,-67.9311812 -45.8718139,-67.9314172 -45.8718438,-67.92978725 -45.87284116;-67.92978725 -45.87284116,-67.9310846 -45.8724489,-67.9311812 -45.8718139,-67.9314172 -45.8718438,-67.93045899 -45.87199061,-67.9326403 -45.8707009,-67.9319537 -45.8703348,-67.931664 -45.8708503,-67.9311275 -45.8713582,-67.9311597 -45.8717019,-67.9314923 -45.8717243,-67.93187364 -45.8708609,-67.934829 -45.8699464,-67.9352367 -45.8689827,-67.9338956 -45.8684298,-67.9331553 -45.8691993,-67.9323077 -45.8697148,-67.9319537 -45.8703348,-67.9324794 -45.8705739,-67.933282 -45.87018527,-67.9337347 -45.872531,-67.9350007 -45.8704245,-67.9346895 -45.8701032,-67.93292309 -45.87290945,-67.9305589 -45.8765722,-67.9309773 -45.8765423,-67.9323184 -45.875011,-67.9336917 -45.8726132,-67.92916705 -45.87686758,-67.9288745 -45.8790371,-67.9299796 -45.8786337,-67.9304302 -45.8776552,-67.9309022 -45.8766245,-67.9306126 -45.8766543,-67.92746283 -45.879252,-67.9288745 -45.8790371,-67.9299045 -45.8786188,-67.929765 -45.8784918,-67.9247224 -45.8798512,-67.9241753 -45.8796943,-67.92260289 -45.87981886,-67.9231775 -45.8798138,-67.9230273 -45.8801051,-67.9220295 -45.8802022,-67.9198301 -45.8807027,-67.9191542 -45.8814645,-67.9198301 -45.8813375,-67.91930941 -45.88137118,-67.9183173 -45.8833018,-67.9179525 -45.8832943,-67.9178452 -45.8829358,-67.9186606 -45.8819873,-67.9191113 -45.8815466,-67.9197979 -45.8813898,-67.91747464 -45.88372353,-67.9166651 -45.8823159,-67.9170835 -45.8822711,-67.9178345 -45.8833989,-67.9184783 -45.8832943,-67.91541483 -45.88231338,-67.9166651 -45.8823159,-67.9169762 -45.8821367,-67.9166543 -45.8815466,-67.913146 -45.8824205,-67.9128242 -45.8814645,-67.91214619 -45.88124859,-67.9129636 -45.879291,-67.9124808 -45.8793284,-67.9120302 -45.8802545,-67.9124165 -45.8806728,-67.9129958 -45.8809193,-67.91191949 -45.87938061,-67.9140365 -45.879418,-67.9132962 -45.8793806,-67.9129636 -45.879291,-67.91353665 -45.87940202;-67.91353665 -45.87940202,-67.9153132 -45.8792537,-67.9169548 -45.8786935,-67.91624678 -45.87867996,-67.9178238 -45.878447,-67.9194975 -45.8781632,-67.9207098 -45.8777001,-67.9215896 -45.8770278,-67.9210664 -45.87704706;-67.9210664 -45.87704706,-67.9178238 -45.878447,-67.9194975 -45.8781632,-67.9207098 -45.8777001,-67.9215896 -45.8770278,-67.91624678 -45.87867996,-67.9153132 -45.8792537,-67.9169548 -45.8786935,-67.91353665 -45.87940202,-67.9140365 -45.879418,-67.9132962 -45.8793806,-67.9129636 -45.879291,-67.91191949 -45.87938061,-67.9128456 -45.8792537,-67.9124808 -45.8793284,-67.9119766 -45.880389,-67.9108071 -45.880613,-67.90902811 -45.88062544,-67.9108071 -45.880613,-67.9116762 -45.8803665,-67.9099488 -45.8795972,-67.9089832 -45.8795748,-67.908479 -45.879291,-67.9081464 -45.8778345,-67.9075241 -45.8768784,-67.9078567 -45.8763107,-67.9075456 -45.8753322,-67.9072452 -45.8752799,-67.9064727 -45.8764004,-67.90493501 -45.87690763,-67.9065692 -45.87642280000001,-67.9066443 -45.8758626,-67.9054427 -45.876363,-67.9050243 -45.8759149,-67.90388535 -45.87594679,-67.9027498 -45.8764153,-67.9023206 -45.8766319,-67.9053462 -45.8764079,-67.9049706 -45.8759672,-67.90200809 -45.87637167,-67.8998315 -45.8761838,-67.9001212 -45.8769457,-67.900883 -45.8771399,-67.9025674 -45.8764527,-67.89805175 -45.8762384,,-67.89781334 -45.87614703,-67.8996062 -45.8756758,-67.8981364 -45.8751081,-67.8992522 -45.8749438,-67.89863672 -45.87485225,-67.8992522 -45.8749438,-67.8973424 -45.8751455,-67.8966451 -45.875362100000004,-67.8955722 -45.8745031,-67.89489679 -45.87455424;-67.89489679 -45.87455424,-67.8954864 -45.8744359,-67.8949392 -45.8739429,-67.895143 -45.8733378,-67.8949499 -45.8727701,-67.89420174 -45.8725767,-67.8951538 -45.8720604,-67.8954649 -45.8713209,-67.8950679 -45.870671,-67.8955185 -45.8706112,-67.89468537 -45.87097799,-67.8955185 -45.8706112,-67.895025 -45.8705813,-67.8944993 -45.8697073,-67.89334262 -45.86982277,-67.8929329 -45.86721210000001,-67.894392 -45.8695056,-67.89194102 -45.86726393,-67.8926647 -45.8667714,-67.8914416 -45.865972,-67.88982897 -45.86617984,-67.8914094 -45.8658749,-67.893244 -45.8652249,-67.8924736 -45.86523062,-67.8942311 -45.8647841,-67.8944886 -45.8644778,-67.8944886 -45.8640444,-67.8955936 -45.8639772,-67.8958511 -45.8637307,-67.8946526 -45.86372426,-67.8962696 -45.8632899,-67.8974175 -45.8625203,-67.8984583 -45.8622177,-67.89779792 -45.86312838,,-67.8975525 -45.86346654,-67.8993487 -45.8636634,-67.8988981 -45.8636933,-67.89861920000001 -45.8635215,-67.89867893 -45.86374335,-67.9039943 -45.8644255,-67.9028034 -45.8637381,-67.8999174 -45.8635812,-67.90314798 -45.8648888,-67.906419 -45.86626330000001,-67.9050887 -45.8652025,-67.9043591 -45.864814,-67.90565529 -45.8665856,-67.9044342 -45.868273,-67.9057431 -45.8668087,-67.9061723 -45.8665771,-67.90323768 -45.86872225;-67.90323768 -45.86872225,-67.9044342 -45.868273,-67.9057431 -45.8668087,-67.9061723 -45.8665771,-67.90565529 -45.8665856,-67.9108179 -45.86391,-67.9094768 -45.8638353,-67.9077816 -45.8657329,-67.9066443 -45.8662484,-67.90869072 -45.86438156,-67.9100454 -45.8663754,-67.9094982 -45.8663306,-67.909627 -45.86429100000001,-67.90947109 -45.86641003,-67.9100668 -45.8647318,-67.9098523 -45.8659197,-67.9103565 -45.8661513,-67.90917641 -45.86476613,-67.9122448 -45.8649709,-67.911129 -45.8644105,-67.9103887 -45.8645226,-67.91093971 -45.86527418,-67.9164934 -45.8652398,-67.9147875 -45.8642536,-67.9133606 -45.865322,-67.9120409 -45.8651352,-67.91575239 -45.86551598,-67.9187572 -45.8661064,-67.9176843 -45.8663679,-67.9172981 -45.8656657,-67.91774956 -45.8661538,-67.9224908 -45.8663306,-67.9191971 -45.8656582,-67.92069068 -45.86664171,-67.9258382 -45.86658460000001,-67.9220402 -45.8663903,-67.92478129 -45.86687146,-67.9266429 -45.8657927,-67.9259992 -45.8665696,-67.92617947 -45.86596757,,-67.92568273 -45.86555172,-67.9284239 -45.8655835,-67.9270077 -45.8655162,-67.92761571 -45.86576064,-67.92887450000002 -45.8655984,-67.929647 -45.8660093,-67.9311919 -45.8652622,-67.93025624 -45.86524613,-67.934196 -45.8650755,-67.9339492 -45.8648887,-67.9318678 -45.8652174,-67.93322311 -45.86539389,-67.9364544 -45.8650082,-67.9343033 -45.8651128,-67.93542287 -45.86514387,-67.9374468 -45.8637643,-67.93648120000002 -45.8648999,-67.93638614 -45.8639203,-67.9407513 -45.863103100000004,-67.9403973 -45.8622551,-67.93757020000001 -45.8636746,-67.94016816 -45.86304785,-67.9412395 -45.8636896,-67.94085860000001 -45.8628677,-67.94026881 -45.86394522,-67.9413575 -45.8643508,-67.94191 -45.8638801,-67.9413092 -45.8637717,-67.9397787 -45.86446671,-67.939437 -45.8659907,-67.9410034 -45.8642985,-67.93820898 -45.86621382;-67.93820898 -45.86621382,,-67.93822649 -45.86645361,-67.9383588 -45.8674437,-67.9380101 -45.8666929,-67.9392922 -45.8661064,-67.9400271 -45.8665472</t>
  </si>
  <si>
    <t>-67.9400271 -45.8665472,-67.9383588 -45.8674437,-67.9380584 -45.8682655,-67.9363847 -45.8693786,-67.9365671 -45.8696326,-67.93551008 -45.87004015,-67.936492 -45.8696625,-67.9362881 -45.8694234,-67.9350436 -45.8703273,-67.9347003 -45.8699986,-67.933282 -45.87018527,-67.9337347 -45.872531,-67.9350007 -45.8704245,-67.9346895 -45.8701032,-67.93292309 -45.87290945,-67.9305589 -45.8765722,-67.9309773 -45.8765423,-67.9323184 -45.875011,-67.9336917 -45.8726132,-67.92916705 -45.87686758,-67.9288745 -45.8790371,-67.9299796 -45.8786337,-67.9304302 -45.8776552,-67.9309022 -45.8766245,-67.9306126 -45.8766543,-67.92746283 -45.879252,-67.9288745 -45.8790371,-67.9299796 -45.8786337,-67.9308271 -45.8793582,-67.9310632 -45.8796271,-67.9308057 -45.8796645,-67.92926139 -45.87980166,-67.9308057 -45.8796645,-67.9309773 -45.8795823,-67.9308271 -45.8793582,-67.9319429 -45.8795524,-67.9332089 -45.8799333,-67.9339921 -45.8795524,-67.9349685 -45.8793358,-67.935698 -45.8793209,-67.93512028 -45.8793768,-67.9364383 -45.8791566,-67.9368889 -45.8790371,-67.9370821 -45.878798,-67.939657 -45.8787906,-67.9398179 -45.8784246,-67.93938002 -45.87863178,-67.9433799 -45.8793582,-67.9425859 -45.8792462,-67.9414809 -45.8788951,-67.9399574 -45.8788802,-67.9395819 -45.8785889,-67.9398179 -45.8784246,-67.94258106 -45.87928487,-67.9468131 -45.8799931,-67.9464698 -45.8794927,-67.9443026 -45.8791491,-67.9459034 -45.88040255,-67.9472744 -45.8827118,-67.9475963 -45.8819051,-67.9476392 -45.8807475,-67.9472208 -45.8805159,-67.94607409 -45.88311995,-67.9472744 -45.8852212,-67.9470921 -45.8844967,-67.9472423 -45.883959,-67.9472315 -45.8831823,-67.94628753 -45.88560005,-67.9487872 -45.8868418,-67.9495382 -45.8874766,-67.9496884 -45.88726,-67.9485726 -45.886095,-67.9476714 -45.8855871,-67.94746568 -45.88694764,-67.948755 -45.886894,-67.9494202 -45.887484,-67.9503751 -45.8875587,-67.9509008 -45.8873571,-67.9508793 -45.8868716,-67.94972726 -45.88693813,-67.951051 -45.8868418,-67.9516089 -45.886207,-67.952832 -45.8866028,-67.95178221 -45.88666191,-67.957381 -45.8868268,-67.9566729 -45.8866327,-67.953701 -45.8868791,-67.9533148 -45.8869911,-67.9529393 -45.8866103,-67.95650174 -45.8868325,-67.9573059 -45.8868268,-67.956748 -45.8864908,-67.9563725 -45.8857215,-67.9556644 -45.8849971,-67.9546167 -45.88506443,-67.960428 -45.8852436,-67.9597843 -45.8853855,-67.9578102 -45.8852959,-67.9558897 -45.8849448,-67.95958113 -45.88533853,-67.9643977 -45.8867746,-67.9641402 -45.8867895,-67.9629064 -45.8855274,-67.9625845 -45.8842055,-67.9620588 -45.8840412,-67.9608893 -45.8848926,-67.96291589 -45.88644251,-67.9643333 -45.8867223,-67.9649127 -45.8864982,-67.9649878 -45.8851316,-67.9646873 -45.8835781,-67.9646981 -45.8825101,-67.9644513 -45.8818827,-67.9668546 -45.8822114,-67.96626762 -45.88229113,-67.9668546 -45.8821665,-67.9643869 -45.8818304,-67.9643548 -45.8816139,-67.9637325 -45.8815541,-67.9633892 -45.8809342,-67.96284278 -45.88109503,,NA,-67.9564691 -45.881106,-67.9562545 -45.8807027,-67.9636574 -45.8816139,-67.9634643 -45.8809267,-67.95567193 -45.88166569,,-67.95587565 -45.8814008,-67.9600096 -45.8822562,-67.9586792 -45.8818827,-67.9575849 -45.8812778,-67.9572201 -45.8810686,-67.9562652 -45.8809641,-67.9564691 -45.881106,-67.95934777 -45.88250641;-67.95934777 -45.88250641,-67.9600096 -45.8822562,-67.9586792 -45.8818827,-67.9575849 -45.8812778,-67.9572201 -45.8810686,-67.9562652 -45.8809641,-67.9564691 -45.881106,-67.95587565 -45.8814008,,-67.95567193 -45.88166569,-67.9564691 -45.881106,-67.9562545 -45.8807027,-67.9636574 -45.8816139,-67.9634643 -45.8809267,NA,,-67.96284278 -45.88109503,-67.9668546 -45.8821665,-67.9643869 -45.8818304,-67.9643548 -45.8816139,-67.9637325 -45.8815541,-67.9633892 -45.8809342,-67.96626762 -45.88229113,-67.9643333 -45.8867223,-67.9649127 -45.8864982,-67.9649878 -45.8851316,-67.9646873 -45.8835781,-67.9646981 -45.8825101,-67.9644513 -45.8818827,-67.9668546 -45.8822114,-67.96291589 -45.88644251,-67.9643977 -45.8867746,-67.9641402 -45.8867895,-67.9629064 -45.8855274,-67.9625845 -45.8842055,-67.9620588 -45.8840412,-67.9608893 -45.8848926,-67.95958113 -45.88533853,-67.960428 -45.8852436,-67.9597843 -45.8853855,-67.9578102 -45.8852959,-67.9558897 -45.8849448,-67.9546167 -45.88506443,-67.9573059 -45.8868268,-67.956748 -45.8864908,-67.9563725 -45.8857215,-67.9556644 -45.8849971,-67.95650174 -45.8868325,-67.957381 -45.8868268,-67.9566729 -45.8866327,-67.953701 -45.8868791,-67.9533148 -45.8869911,-67.9529393 -45.8866103,-67.95178221 -45.88666191,-67.951051 -45.8868418,-67.9516089 -45.886207,-67.952832 -45.8866028,-67.94972726 -45.88693813,-67.948755 -45.886894,-67.9494202 -45.887484,-67.9503751 -45.8875587,-67.9509008 -45.8873571,-67.9508793 -45.8868716,-67.94746568 -45.88694764,-67.9487872 -45.8868418,-67.9495382 -45.8874766,-67.9496884 -45.88726,-67.9485726 -45.886095,-67.9476714 -45.8855871,-67.94628753 -45.88560005,-67.9472744 -45.8852212,-67.9470921 -45.8844967,-67.9472423 -45.883959,-67.9472315 -45.8831823,-67.94607409 -45.88311995,-67.9472744 -45.8827118,-67.9475963 -45.8819051,-67.9476392 -45.8807475,-67.9472208 -45.8805159,-67.9459034 -45.88040255,-67.9468131 -45.8799931,-67.9464698 -45.8794927,-67.9443026 -45.8791491,-67.94258106 -45.87928487,-67.9433799 -45.8793582,-67.9425859 -45.8792462,-67.9414809 -45.8788951,-67.9399574 -45.8788802,-67.9395819 -45.8785889,-67.9398179 -45.8784246,-67.93938002 -45.87863178,-67.9364383 -45.8791566,-67.9368889 -45.8790371,-67.9370821 -45.878798,-67.939657 -45.8787906,-67.9398179 -45.8784246,-67.93512028 -45.8793768,-67.9308057 -45.8796645,-67.9309773 -45.8795823,-67.9308271 -45.8793582,-67.9319429 -45.8795524,-67.9332089 -45.8799333,-67.9339921 -45.8795524,-67.9349685 -45.8793358,-67.935698 -45.8793209,-67.92926139 -45.87980166,-67.9288745 -45.8790371,-67.9299796 -45.8786337,-67.9308271 -45.8793582,-67.9310632 -45.8796271,-67.9308057 -45.8796645,-67.92746283 -45.879252,-67.9288745 -45.8790371,-67.9299045 -45.8786188,-67.929765 -45.8784918,-67.9247224 -45.8798512,-67.9241753 -45.8796943,-67.92260289 -45.87981886,-67.9231775 -45.8798138,-67.9230273 -45.8801051,-67.9220295 -45.8802022,-67.9198301 -45.8807027,-67.9191542 -45.8814645,-67.9198301 -45.8813375,-67.91930941 -45.88137118,-67.9183173 -45.8833018,-67.9179525 -45.8832943,-67.9178452 -45.8829358,-67.9186606 -45.8819873,-67.9191113 -45.8815466,-67.9197979 -45.8813898,-67.91747464 -45.88372353,-67.9183924 -45.8832943,-67.9178345 -45.8833989,-67.9181349 -45.883832,-67.9182851 -45.8847656,-67.9179955 -45.8868492,-67.9182959 -45.887021,-67.918725 -45.8867895,-67.9189289 -45.8859232,-67.91833856 -45.88592331,-67.9233921 -45.8855124,-67.9230702 -45.8860053,-67.9223835 -45.8861323,-67.9201627 -45.8858186,-67.92270003 -45.88530946,,-67.92210109 -45.88545145;-67.92210109 -45.88545145,,-67.92270003 -45.88530946,-67.9233921 -45.8855124,-67.9230702 -45.8860053,-67.9223835 -45.8861323,-67.9201627 -45.8858186,-67.91833856 -45.88592331,-67.9183924 -45.8832943,-67.9178345 -45.8833989,-67.9181349 -45.883832,-67.9182851 -45.8847656,-67.9179955 -45.8868492,-67.9182959 -45.887021,-67.918725 -45.8867895,-67.9189289 -45.8859232,-67.91747464 -45.88372353,-67.9183173 -45.8833018,-67.9179525 -45.8832943,-67.9178452 -45.8829358,-67.9186606 -45.8819873,-67.9191113 -45.8815466,-67.9197979 -45.8813898,-67.91930941 -45.88137118,-67.9231775 -45.8798138,-67.9230273 -45.8801051,-67.9220295 -45.8802022,-67.9198301 -45.8807027,-67.9191542 -45.8814645,-67.9198301 -45.8813375,-67.92260289 -45.87981886,-67.9288745 -45.8790371,-67.9299045 -45.8786188,-67.929765 -45.8784918,-67.9247224 -45.8798512,-67.9241753 -45.8796943,-67.92746283 -45.879252,-67.9288745 -45.8790371,-67.9299796 -45.8786337,-67.9304302 -45.8776552,-67.9309022 -45.8766245,-67.9306126 -45.8766543,-67.92916705 -45.87686758,-67.9305589 -45.8765722,-67.9309773 -45.8765423,-67.9323184 -45.875011,-67.9336917 -45.8726132,-67.93292309 -45.87290945,-67.9337347 -45.872531,-67.9350007 -45.8704245,-67.9346895 -45.8701032,-67.933282 -45.87018527,-67.936492 -45.8696625,-67.9362881 -45.8694234,-67.9350436 -45.8703273,-67.9347003 -45.8699986,-67.93551008 -45.87004015,-67.9383588 -45.8674437,-67.9380584 -45.8682655,-67.9363847 -45.8693786,-67.9365671 -45.8696326,-67.9400271 -45.8665472,-67.9452038 -45.8642219,-67.9464403 -45.8647635,-67.9454304 -45.86503525,,-67.94551194 -45.86495899,-67.949152 -45.8670029,-67.9489589 -45.866338,-67.9464805 -45.8656358,-67.946502 -45.8652099,-67.94827454 -45.86749255,-67.9581213 -45.8673466,-67.9581428 -45.8669731,-67.9568553 -45.866226,-67.9523492 -45.8659869,-67.9491305 -45.866226,-67.9489803 -45.8668834,-67.95709848 -45.86769228,-67.9570484 -45.8711267,-67.9574454 -45.8693637,-67.9580891 -45.8675707,-67.95610675 -45.87170205,-67.9571235 -45.8715898,-67.9572952 -45.8723443,-67.9570484 -45.87342,-67.95743470000001 -45.8736217,-67.95650202 -45.87386891,-67.9575098 -45.8735619,-67.9580784 -45.8727253,-67.95720623 -45.87256309,-67.9630244 -45.8733005,-67.9618549 -45.87156740000001,-67.9611683 -45.8714553,-67.9596126 -45.871724300000004,-67.95881870000001 -45.8720007,-67.96214261 -45.87344787,-67.9666829 -45.8734274,-67.9651701 -45.87286720000001,-67.9644513 -45.8730315,-67.9638612 -45.8733752,-67.9632068 -45.8733901,-67.96572509 -45.87368099,-67.96696190000002 -45.8736067,-67.9677129 -45.8742267,-67.9679918 -45.8746077,-67.9672039 -45.87497495,-67.9711676 -45.8706262,-67.9712427 -45.8723667,-67.9717791 -45.8732033,-67.9711139 -45.8738906,-67.9693866 -45.8740474,-67.9686463 -45.874533,-67.96992116 -45.87035971,-67.9710925 -45.8705739,-67.9709744 -45.8714329,-67.9711354 -45.8722173,-67.9706633 -45.8714479,-67.9697943 -45.8691545,-67.9688479 -45.86924263,-67.96972990000002 -45.8689453,-67.96923640000001 -45.8685867,-67.9698372 -45.8679667,-67.96898996 -45.86789944,-67.9704916 -45.8675259,-67.9713821 -45.8670777,-67.9725838 -45.8673092,-67.97170451 -45.86764851,-67.9784846 -45.8638128,-67.9773581 -45.8639025,-67.9769611 -45.8641416,-67.9760814 -45.864545,-67.975781 -45.8649709,-67.9756951 -45.8656806,-67.9747403 -45.8664725,-67.9738927 -45.8666518,-67.9742575 -45.8674213,-67.9730237 -45.867369,-67.97781889 -45.86412305;-67.97781889 -45.86412305,-67.9784846 -45.8638128,-67.9773581 -45.8639025,-67.9769611 -45.8641416,-67.9760814 -45.864545,-67.975781 -45.8649709,-67.9756951 -45.8656806,-67.9747403 -45.8664725,-67.9738927 -45.8666518,-67.9742575 -45.8674213,-67.9730237 -45.867369,-67.97170451 -45.86764851,-67.9732597 -45.8674138,-67.9739678 -45.8674661,-67.9742575 -45.8672345,-67.9737854 -45.8666444,-67.9743755 -45.8664576,-67.9735065 -45.8661812,-67.9728949 -45.8655461,-67.97157481 -45.86531756,-67.9780984 -45.8649709,-67.9776263 -45.8648289,-67.9768217 -45.8650007,-67.9760063 -45.86583,-67.9748476 -45.8665622,-67.9738605 -45.866353,-67.9728091 -45.865591,-67.97746123 -45.86525028,-67.9770362 -45.8661886,-67.9775405 -45.8660019,-67.9780447 -45.8660616,-67.9790211 -45.8666444,-67.9791498 -45.8664875,-67.9789352 -45.8662036,-67.978828 -45.8655685,-67.9785597 -45.8651502,-67.97572674 -45.86647737,-67.9788494 -45.8686091,-67.9777122 -45.8662932,-67.9771221 -45.8662409,-67.97752558 -45.86902372,-67.9788065 -45.8706037,-67.9790211 -45.8702228,-67.978828 -45.868893,-67.9773795 -45.87092197,-67.9761887 -45.8726132,-67.9763067 -45.8720604,-67.9778838 -45.8710893,-67.97564136 -45.8729339,-67.9800725 -45.873800900000006,-67.9795146 -45.8726879,-67.9796112 -45.8723816,-67.9792464 -45.872165,-67.9787529 -45.8722173,-67.9783773 -45.8729942,-67.9778409 -45.873195900000006,-67.9771113 -45.8730315,-67.97905112 -45.87422359,-67.9801047 -45.8737412,-67.9795146 -45.8726879,-67.9791605 -45.8735694,-67.9792249 -45.8748467,-67.9793966 -45.8748467,-67.9797721 -45.8758476,-67.9800725 -45.876012,-67.97932522 -45.87631183,-67.9764569 -45.8790072,-67.9757595 -45.8787084,-67.9756951 -45.8784321,-67.9790318 -45.877588,-67.9792678 -45.8765199,-67.9792786 -45.8747272,-67.9798257 -45.8760045,-67.9801154 -45.8760643,-67.9757414 -45.87911165,-67.9681206 -45.8652323,-67.9681742 -45.8649709,-67.9665112 -45.8645301,-67.96624300000002 -45.8629312,-67.966944 -45.86563196,,-67.96619834 -45.86562036;-67.96619834 -45.86562036,,-67.966944 -45.86563196,-67.9681206 -45.8652323,-67.9681742 -45.8649709,-67.9665112 -45.8645301,-67.96624300000002 -45.8629312,-67.9757414 -45.87911165,-67.9764569 -45.8790072,-67.9757595 -45.8787084,-67.9755771 -45.8785142,-67.9742253 -45.8787756,-67.974236 -45.878222900000004,-67.97210325 -45.8786421,-67.9739785 -45.8781632,-67.9745579 -45.8782677,-67.9740644 -45.8788802,-67.9710174 -45.8792537,-67.96993071 -45.87922522,-67.9708028 -45.8792686,-67.9686999 -45.8795524,-67.9682064 -45.8792238,-67.96661757 -45.87943084,-67.967391 -45.8796271,-67.9660606 -45.879657,-67.9619408 -45.879179,-67.959795 -45.8789997,-67.9602242 -45.8794852,-67.95937836 -45.87978501,-67.9538298 -45.8776104,-67.9575419 -45.8788205,-67.9596341 -45.8789624,-67.9602242 -45.8794852,-67.95259842 -45.87763583,-67.9521346 -45.8759746,-67.9517162 -45.8759074,-67.9513943 -45.8758999,-67.9525959 -45.87702780000001,-67.95337920000001 -45.8774162,-67.95155064 -45.87647635,-67.9521346 -45.8759746,-67.951448 -45.8759597,-67.9509008 -45.8738383,-67.94983615 -45.87396079,-67.9508579 -45.8736739,-67.9509115 -45.8721426,-67.94974928 -45.87213834,-67.9510081 -45.87218,-67.9515123 -45.8715599,-67.9518449 -45.870925,-67.95082673 -45.87123588,-67.9518449 -45.870925,-67.9516733 -45.8706037,-67.9509866 -45.870275,-67.95089010000001 -45.8697222,-67.9517484 -45.8700734,-67.9526281 -45.8699912,-67.95188123 -45.87007275,-67.9526013 -45.869965,-67.9517484 -45.8700734,-67.9508901 -45.8697222,-67.9511476 -45.8693039,-67.95011093 -45.86936834,-67.9511476 -45.8693039,-67.95089010000001 -45.8697222,-67.9506433 -45.8681011,-67.9512978 -45.867892,-67.95075242 -45.86791677,-67.9513514 -45.867951700000006,-67.9506004 -45.8681534,-67.9493558 -45.8665622,-67.9490876 -45.8664576,-67.9492164 -45.8668461,-67.94827454 -45.86749255,-67.949152 -45.8670029,-67.9489589 -45.866338,-67.9464805 -45.8656358,-67.946502 -45.8652099,-67.94551194 -45.86495899,,-67.9454304 -45.86503525,-67.9452038 -45.8642219,-67.9464403 -45.8647635,-67.9400271 -45.8665472</t>
  </si>
  <si>
    <t>-67.9400271 -45.8665472,-67.9383588 -45.8674437,-67.9380101 -45.8666929,-67.9392922 -45.8661064,-67.93822649 -45.86645361,,-67.93820898 -45.86621382,-67.939437 -45.8659907,-67.9410034 -45.8642985,-67.9397787 -45.86446671,-67.9413575 -45.8643508,-67.94191 -45.8638801,-67.9413092 -45.8637717,-67.94026881 -45.86394522,-67.9412395 -45.8636896,-67.94085860000001 -45.8628677,-67.94016816 -45.86304785,-67.9407513 -45.863103100000004,-67.9403973 -45.8622551,-67.93757020000001 -45.8636746,-67.93638614 -45.8639203,-67.9374468 -45.8637643,-67.93648120000002 -45.8648999,-67.93542287 -45.86514387,-67.9364544 -45.8650082,-67.9343033 -45.8651128,-67.93322311 -45.86539389,-67.934196 -45.8650755,-67.9339492 -45.8648887,-67.9318678 -45.8652174,-67.93025624 -45.86524613,-67.92887450000002 -45.8655984,-67.929647 -45.8660093,-67.9311919 -45.8652622,-67.92761571 -45.86576064,-67.9284239 -45.8655835,-67.9270077 -45.8655162,-67.92568273 -45.86555172,,-67.92617947 -45.86596757,-67.9266429 -45.8657927,-67.9259992 -45.8665696,-67.92478129 -45.86687146,-67.9258382 -45.86658460000001,-67.9220402 -45.8663903,-67.92069068 -45.86664171,-67.9224908 -45.8663306,-67.9191971 -45.8656582,-67.91774956 -45.8661538,-67.9187572 -45.8661064,-67.9176843 -45.8663679,-67.9172981 -45.8656657,-67.91575239 -45.86551598,-67.9164934 -45.8652398,-67.9147875 -45.8642536,-67.9133606 -45.865322,-67.9120409 -45.8651352,-67.91093971 -45.86527418,-67.9122448 -45.8649709,-67.911129 -45.8644105,-67.9103887 -45.8645226,-67.90917641 -45.86476613,-67.9100668 -45.8647318,-67.9098523 -45.8659197,-67.9103565 -45.8661513,-67.90947109 -45.86641003,-67.9100454 -45.8663754,-67.9094982 -45.8663306,-67.909627 -45.86429100000001,-67.90869072 -45.86438156,-67.9108179 -45.86391,-67.9094768 -45.8638353,-67.9077816 -45.8657329,-67.9066443 -45.8662484,-67.90565529 -45.8665856,-67.906419 -45.86626330000001,-67.9050887 -45.8652025,-67.9043591 -45.864814,-67.90314798 -45.8648888,-67.9039943 -45.8644255,-67.9028034 -45.8637381,-67.8999174 -45.8635812,-67.89867893 -45.86374335,-67.8993487 -45.8636634,-67.8988981 -45.8636933,-67.89861920000001 -45.8635215,-67.8975525 -45.86346654,,-67.89779792 -45.86312838,-67.8962696 -45.8632899,-67.8974175 -45.8625203,-67.8984583 -45.8622177,-67.8946526 -45.86372426,-67.8961945 -45.8632674,-67.8952932 -45.8629985,-67.8948426 -45.8620347,-67.89369378 -45.862107,-67.8961086 -45.8601668,-67.8949714 -45.8618927,-67.89506126 -45.86022417,-67.8960952 -45.8598436,-67.8959692 -45.8585678,-67.8961945 -45.8583138,-67.8955936 -45.8581419,-67.8949177 -45.8572976,-67.8950787 -45.8562589,-67.894907 -45.8558629,-67.8937376 -45.8558928,-67.8932869 -45.8566101,-67.8928149 -45.8568492,-67.8926003 -45.8566998,-67.89119881 -45.85678635,-67.8915596 -45.8569165,-67.8910661 -45.8570435,-67.8905296 -45.8572453,-67.8862917 -45.8600846,-67.8869355 -45.8600547,-67.8873861 -45.8596438,-67.8876221 -45.8588667,-67.8886843 -45.8579999,-67.88485253 -45.86038085,-67.8855836 -45.8605329,-67.8847253 -45.8611754,-67.8843284 -45.8612427,-67.88286864 -45.86153258,-67.8809917 -45.8619301,-67.8822792 -45.8616611,-67.8835666 -45.8617507,-67.8845859 -45.8612277,-67.8843284 -45.8612427,-67.87889297 -45.8626014,-67.8800154 -45.8627071,-67.880863 -45.8635887,-67.8814101 -45.8638502,-67.881496 -45.8643508,-67.8795862 -45.8651352,-67.87816911 -45.86559299,-67.8794253 -45.8652025,-67.8813779 -45.8643508,-67.8805947 -45.8648065,-67.8801227 -45.8652622,-67.8801119 -45.8658151,-67.8798544 -45.8661513,-67.87841593 -45.86693979,-67.8773224 -45.8682132,-67.8784168 -45.867951700000006,-67.8792751 -45.866988,-67.87529512 -45.86884053,-67.8755951 -45.8690125,-67.8751016 -45.8692815,-67.8764427 -45.8695952,-67.87545792 -45.87007243,-67.8735942 -45.8680488,-67.8724301 -45.8682281,-67.8724086 -45.8686689,-67.8764427 -45.8695952,-67.8729107 -45.86822856,-67.8699839 -45.8693413,-67.8700376 -45.8699389,-67.8703916 -45.8701929,-67.8709173 -45.8699239,-67.8707349 -45.8692815,-67.8712177 -45.8686166,-67.8731596 -45.8681236,-67.86891343 -45.86940172,-67.8665292 -45.8704394,-67.8664756 -45.8701107,-67.8674197 -45.8697073,-67.8698659 -45.8700883,-67.8700376 -45.8699389,-67.8700268 -45.8692964,-67.86552841 -45.87071955,-67.8665292 -45.8705589,-67.866143 -45.8710594,-67.8657889 -45.8704767,-67.8668725 -45.8688706,-67.86653014 -45.86909111,-67.8668725 -45.8688706,-67.8667974 -45.868646500000004,-67.8676665 -45.8677127,-67.867012 -45.86727940000001,-67.86635342 -45.86702056,-67.8668189 -45.8667639,-67.8664005 -45.866988,-67.8663254 -45.8676305,-67.86498939 -45.86808329,-67.8639972 -45.8691171,-67.8657031 -45.8680713,-67.86235431 -45.86962035,-67.8593409 -45.8716048,-67.85971640000001 -45.8705365,-67.8614008 -45.870529,-67.861948 -45.8698268,-67.8630531 -45.8694832,-67.85882935 -45.87179542,-67.857635 -45.8744807,-67.8541696 -45.874152,-67.8588581 -45.8727103,-67.8593409 -45.8716048,-67.857019 -45.87438052,-67.84873010000001 -45.87312860000001,-67.8543305 -45.8741595,-67.857635 -45.8744807,-67.84711722 -45.87310355,-67.8489339 -45.8731324,-67.8501302 -45.8733565,-67.8485316 -45.8736739,-67.8459191 -45.8729942,-67.84549 -45.8723406,-67.8449106 -45.8726842,-67.84336962 -45.87289033,-67.8464448 -45.8713396,-67.8465736 -45.871657000000006,-67.84484620000002 -45.8726692,-67.84458226 -45.87132178,-67.8433174 -45.8702414,-67.8424054 -45.8705701,-67.8442401 -45.8712014,-67.8457582 -45.8705029,-67.8468794 -45.8714778,-67.8465736 -45.871657000000006,-67.8464073 -45.8713396,-67.84266503 -45.8702826,-67.8403401 -45.8715002,-67.8396213 -45.8713059,-67.8401256 -45.8706859,-67.8424323 -45.8705216,-67.8432369 -45.8702153,-67.83999726 -45.87142467,-67.8404045 -45.871440400000004,-67.8396642 -45.8713657,-67.8393745 -45.8705216,-67.8371751 -45.8699314,-67.8344822 -45.8697969,-67.8345251 -45.8700584,-67.8363597 -45.8707606,-67.83598551 -45.8713908,-67.8363276 -45.8710445,-67.8348899 -45.87091,-67.8336024 -45.8710221,-67.83204724 -45.87132308,-67.8326046 -45.8712686,-67.8287637 -45.8718438,-67.8266931 -45.8718811,-67.8259957 -45.8715076,-67.82435527 -45.87146335,-67.8260922 -45.8716048,-67.8265107 -45.8718513,-67.8220475 -45.8717168,-67.8213286 -45.8718064,-67.8198588 -45.8704394,-67.81826245 -45.87021787,-67.8187859 -45.8699314,-67.8176165 -45.8689677,-67.8157818 -45.8684597,-67.81380528 -45.86885432;-67.81380528 -45.86885432,-67.8187859 -45.8699314,-67.8176165 -45.8689677,-67.8157818 -45.8684597,-67.81826245 -45.87021787,-67.8260922 -45.8716048,-67.8265107 -45.8718513,-67.8220475 -45.8717168,-67.8213286 -45.8718064,-67.8198588 -45.8704394,-67.82435527 -45.87146335,-67.8260922 -45.8716048,-67.8258884 -45.8718886,-67.8219509 -45.871657,-67.8194082 -45.8687287,-67.8185391 -45.8670926,-67.8190756 -45.8667788,-67.8187144 -45.86699435,-67.819097 -45.8668461,-67.8186357 -45.8670552,-67.8192151 -45.868385,-67.81829240000002 -45.8680713,-67.81633269 -45.86814359,-67.8222084 -45.867638,-67.8207171 -45.86819080000001,-67.8187966 -45.8682506,-67.81829240000002 -45.8680713,-67.82151826 -45.86746063,-67.8236783 -45.8675633,-67.8205454 -45.8682207,-67.8219295 -45.8676529,-67.82310921 -45.86764419,-67.8240538 -45.8675707,-67.8247404 -45.8675782,-67.82420567 -45.8676006;-67.82420567 -45.8676006,-67.8240538 -45.8675707,-67.8247404 -45.8675782,-67.82310921 -45.86764419,-67.8236783 -45.8675633,-67.8205454 -45.8682207,-67.8219295 -45.8676529,-67.82151826 -45.86746063,-67.8222084 -45.867638,-67.8207171 -45.86819080000001,-67.8187966 -45.8682506,-67.81829240000002 -45.8680713,-67.81633269 -45.86814359,-67.8182173 -45.868004,-67.8160286 -45.8663455,-67.8181314 -45.8648065,-67.8182173 -45.864545,-67.81720169 -45.86444747,-67.8186142 -45.8634617,-67.8183568 -45.8624605,-67.8160179 -45.8615565,-67.8143764 -45.8610559,-67.81282229 -45.86107452,-67.8138077 -45.8564532,-67.814548 -45.8566699,-67.813561 -45.8597484,-67.8137219 -45.8605777,-67.81224182 -45.85671416,-67.8125632 -45.8568492,-67.810396 -45.8571033,-67.8101599 -45.8566923,-67.80907829 -45.8565264,-67.8098595 -45.8560647,-67.809999 -45.8550036,-67.8090441 -45.8548691,-67.8072436 -45.85498762,-67.8093982 -45.8548467,-67.8103423 -45.8545851,-67.808851 -45.8544506,-67.8103101 -45.854219,-67.8097093 -45.8539126,-67.80813131 -45.85419968,-67.809999 -45.85395,-67.81053540000002 -45.8542265,-67.8125417 -45.8543386,-67.81217316 -45.85421245,-67.816329 -45.8519921,-67.8167796 -45.8511701,-67.8158462 -45.8513121,-67.8150415 -45.8533148,-67.8138399 -45.8541293,-67.81497943 -45.85259887,-67.8185713 -45.8505798,-67.816962 -45.851073,-67.8161895 -45.8523658,-67.81800483 -45.85079524,-67.8223801 -45.8515886,-67.8209639 -45.8504751,-67.8196657 -45.8504079,-67.82163737 -45.8516816,-67.8244078 -45.8540994,-67.8225088 -45.8518801,-67.82322995 -45.85451391,-67.8277767 -45.8550036,-67.8251696 -45.8547271,-67.824676 -45.8544207,-67.82760578 -45.8552439;-67.82760578 -45.8552439,-67.8319716 -45.855437,-67.8292787 -45.855108200000004,-67.83154193 -45.85548135,-67.8371108 -45.8561767,-67.8326368 -45.8556313,-67.83653581 -45.85644197,-67.8438914 -45.8557508,-67.8414237 -45.8563262,-67.8377545 -45.8563187,-67.84359994 -45.85582912,-67.8480864 -45.8556163,-67.846477 -45.8561992,-67.8452325 -45.8556537,-67.84737753 -45.85568862,-67.851541 -45.8561394,-67.8511119 -45.8555416,-67.8497386 -45.8553249,-67.8490841 -45.8555341,-67.84992667 -45.85649082,-67.8511226 -45.8587172,-67.8489661 -45.8581942,-67.8504252 -45.8565952,-67.85051371 -45.8587379,-67.8547168 -45.8600622,-67.8545237 -45.8589862,-67.8537083 -45.858508,-67.852335 -45.8585529,-67.85325633 -45.86047853,-67.8585362 -45.8586425,-67.8567231 -45.8591431,-67.8550386 -45.8605852,-67.85800456 -45.85865306,-67.8617334 -45.8580597,-67.8595233 -45.8583362,-67.86119926 -45.8582863,-67.8630531 -45.8577608,-67.8618944 -45.8580074,-67.86269634 -45.8576934,-67.8655958 -45.85783560000001,-67.8642118 -45.8570435,-67.86509618 -45.85797591,-67.8666365 -45.8577982,-67.8680527 -45.857716,-67.86752908 -45.85773082,-67.8694689 -45.8577534,-67.8703272 -45.8578879,-67.8705525 -45.8574694,-67.8710139 -45.8575441,-67.87029294 -45.85782787,-67.8721619 -45.8576637,-67.8734279 -45.8573798,-67.8740823 -45.8579103,-67.87227986 -45.85836679,-67.8758311 -45.8590012,-67.8755307 -45.858777,-67.8718829 -45.8588144,-67.8721619 -45.8576637,-67.8733528 -45.857462,-67.8739536 -45.8579028,-67.87446619 -45.85953534,-67.875917 -45.8590236,-67.876507 -45.8586575,-67.8763676 -45.8580597,-67.87463577 -45.85800361,-67.8743291 -45.8564159,-67.8760457 -45.8568941,-67.8756917 -45.8576936,-67.87242565 -45.85686269;-67.87242565 -45.85686269,-67.8743291 -45.8564159,-67.8760457 -45.8568941,-67.8756917 -45.8576936,-67.87463577 -45.85800361,-67.875917 -45.8590236,-67.876507 -45.8586575,-67.8763676 -45.8580597,-67.87446619 -45.85953534,-67.8758311 -45.8590012,-67.8755307 -45.858777,-67.8718829 -45.8588144,-67.8721619 -45.8576637,-67.8733528 -45.857462,-67.8739536 -45.8579028,-67.87227986 -45.85836679,-67.8721619 -45.8576637,-67.8734279 -45.8573798,-67.8740823 -45.8579103,-67.87029294 -45.85782787,-67.8710139 -45.8575441,-67.8706169 -45.8573573,-67.8709602 -45.8560348,-67.86919632 -45.85619455,-67.8696942 -45.8557434,-67.86828880000002 -45.8556612,-67.86649364 -45.8559971;-67.86649364 -45.8559971,-67.8696942 -45.8557434,-67.86828880000002 -45.8556612,-67.86919632 -45.85619455,-67.8710139 -45.8575441,-67.8706169 -45.8573573,-67.8709602 -45.8560348,-67.87029294 -45.85782787,-67.8721619 -45.8576637,-67.8734279 -45.8573798,-67.8740823 -45.8579103,-67.87227986 -45.85836679,-67.8758311 -45.8590012,-67.8755307 -45.858777,-67.8718829 -45.8588144,-67.8721619 -45.8576637,-67.8733528 -45.857462,-67.8739536 -45.8579028,-67.87446619 -45.85953534,-67.875917 -45.8590236,-67.8765607 -45.8587098,-67.8784597 -45.8588443,-67.87771797 -45.85914466,-67.8790283 -45.8588293,-67.880466 -45.8587397,-67.8813028 -45.8593598,-67.88077392 -45.85953999,-67.8814316 -45.8592926,-67.8808415 -45.8591357,-67.880863 -45.8587322,-67.8817642 -45.858239,-67.8850043 -45.8580522,-67.88402968 -45.85834964,-67.887429 -45.855564,-67.8882551 -45.8548691,-67.8894138 -45.853808,-67.8920853 -45.8535689,-67.8916454 -45.8538678,-67.8897357 -45.85395,-67.88910 -45.85436,-67.8875685 -45.8562589,-67.885799 -45.8571033,-67.88544 -45.8578281,-67.88523 -45.85794,-67.88581092 -45.85597227,-67.887429 -45.855564,-67.8894138 -45.853808,-67.8932333 -45.8533447,-67.8969455 -45.8545851,-67.8963768 -45.8546599,-67.89483427 -45.85484841,-67.9008508 -45.8548093,-67.8990161 -45.8545403,-67.898823 -45.8538678,-67.8965485 -45.8545553,-67.90022567 -45.85540767,,-67.90067511 -45.8549717,-67.904284 -45.8564084,-67.9033184 -45.8552726,-67.9019022 -45.8551232,-67.90400196 -45.85653031,-67.90773330000002 -45.8580522,-67.9073417 -45.8579177,-67.9068965 -45.8568567,-67.9053408 -45.8563822,-67.90707943 -45.8582017,-67.9102653 -45.8586986,-67.9081625 -45.8581195,-67.90964669 -45.85881191,-67.9112792 -45.8592776,-67.9102921 -45.8588293,-67.9105067 -45.8586425,-67.91058213 -45.85962973,-67.9145408 -45.8594047,-67.9124916 -45.858777,-67.9112792 -45.8592776,-67.91347499 -45.85938782,-67.9153347 -45.8605702,-67.9157317 -45.8599725,-67.9146159 -45.859457,-67.91412974 -45.86109479,-67.9219651 -45.8610335,-67.9157424 -45.8609887,-67.92116295 -45.86077528,-67.9235315 -45.8601219,-67.9222655 -45.8604731,-67.92204432 -45.86025045,-67.9253769 -45.8604208,-67.9236388 -45.8595317,-67.9233384 -45.8597857,-67.92472033 -45.86078317,-67.9288423 -45.860757,-67.9286063 -45.8609812,-67.9269433 -45.8608168,-67.9254305 -45.8610559,-67.9256237 -45.8606898,-67.92827234 -45.86082887,-67.9307091 -45.86097370000001,-67.9287457 -45.8609588,-67.9288423 -45.860757,-67.92973166 -45.86112334,-67.9343569 -45.8614145,-67.9335523 -45.861549,-67.9334021 -45.8611381,-67.9309666 -45.8609214,-67.93332777 -45.86169272,-67.9375219 -45.8620421,-67.9357517 -45.861085800000005,-67.9346144 -45.8614519,-67.93652197 -45.86222667,-67.9388309 -45.8607794,-67.938112 -45.8611007,-67.9377472 -45.860899,-67.9362881 -45.8614743,-67.9374897 -45.8619749,-67.93809539 -45.86091501,-67.9389811 -45.8623559,-67.9389596 -45.8618329,-67.9381979 -45.8610783,-67.9390669 -45.8607794,-67.93749455 -45.86270022,-67.9407942 -45.8630844,-67.9403758 -45.8621878,-67.9386914 -45.8624792,-67.94016816 -45.86304785,-67.9412395 -45.8636896,-67.94085860000001 -45.8628677,-67.94026881 -45.86394522,-67.9413575 -45.8643508,-67.94191 -45.8638801,-67.9413092 -45.8637717,-67.9397787 -45.86446671,-67.939437 -45.8659907,-67.9410034 -45.8642985,-67.93820898 -45.86621382,,-67.93822649 -45.86645361,-67.9383588 -45.8674437,-67.9380101 -45.8666929,-67.9392922 -45.8661064,-67.9400271 -45.8665472</t>
  </si>
  <si>
    <t>-67.9400271 -45.8665472,-67.9383588 -45.8674437,-67.9380584 -45.8682655,-67.9363847 -45.8693786,-67.9365671 -45.8696326,-67.93551008 -45.87004015,-67.936492 -45.8696625,-67.9362881 -45.8694234,-67.9350436 -45.8703273,-67.9347003 -45.8699986,-67.933282 -45.87018527,-67.9337347 -45.872531,-67.9350007 -45.8704245,-67.9346895 -45.8701032,-67.93292309 -45.87290945,-67.9305589 -45.8765722,-67.9309773 -45.8765423,-67.9323184 -45.875011,-67.9336917 -45.8726132,-67.92916705 -45.87686758,-67.9288745 -45.8790371,-67.9299796 -45.8786337,-67.9304302 -45.8776552,-67.9309022 -45.8766245,-67.9306126 -45.8766543,-67.92746283 -45.879252,-67.9288745 -45.8790371,-67.9299045 -45.8786188,-67.929765 -45.8784918,-67.9247224 -45.8798512,-67.9241753 -45.8796943,-67.92260289 -45.87981886,-67.9231775 -45.8798138,-67.9230273 -45.8801051,-67.9220295 -45.8802022,-67.9198301 -45.8807027,-67.9191542 -45.8814645,-67.9198301 -45.8813375,-67.91930941 -45.88137118,-67.9183173 -45.8833018,-67.9179525 -45.8832943,-67.9178452 -45.8829358,-67.9186606 -45.8819873,-67.9191113 -45.8815466,-67.9197979 -45.8813898,-67.91747464 -45.88372353,-67.9166651 -45.8823159,-67.9170835 -45.8822711,-67.9178345 -45.8833989,-67.9184783 -45.8832943,-67.91541483 -45.88231338,-67.911365 -45.8831076,-67.9142618 -45.8826968,-67.9159892 -45.8825026,-67.90970498 -45.88326091,-67.9076958 -45.8841084,-67.9082644 -45.8839366,-67.9093373 -45.8833167,-67.9103136 -45.8831972,-67.90591516 -45.88446218,,-67.90594775 -45.88423937,-67.9066443 -45.8844071,-67.9062474 -45.8852585,-67.908833 -45.885968,-67.9091012 -45.8864012,-67.90705336 -45.88840606,-67.9052818 -45.8875736,-67.90654780000001 -45.8882084,-67.9074919 -45.8882756,-67.90362098 -45.8874036,-67.9039729 -45.8871629,-67.9034686 -45.8869165,-67.9041123 -45.886192,-67.9042947 -45.8847656,-67.90316820000001 -45.883637900000004,-67.90293219 -45.8836944,-67.90316820000001 -45.883637900000004,-67.9026854 -45.8831823,-67.9021275 -45.8832794,-67.900722 -45.8842279,-67.9001105 -45.8851465,-67.8995955 -45.8843175,-67.89811074 -45.88424629,-67.896452 -45.8842129,-67.8972995 -45.8841607,-67.8987801 -45.8833839,-67.8993165 -45.8836304,-67.89478887 -45.88442779,-67.895658 -45.88465360000001,-67.8955078 -45.8872675,-67.89402720000001 -45.888186,-67.89313670000001 -45.8879097,-67.8935552 -45.8866999,-67.891624 -45.8850718,-67.88986813 -45.88509226,-67.8916669 -45.8851316,-67.891463 -45.8853332,-67.8890061 -45.8855946,-67.8886521 -45.8849672,-67.88725199 -45.88498287,-67.8877938 -45.885251,-67.8862166 -45.8849523,-67.88477851 -45.88530377,-67.8863347 -45.8849448,-67.8869569 -45.8849672,-67.8874826 -45.883847,-67.8903258 -45.883570600000006,-67.88934482 -45.88367092,-67.8808522 -45.8847432,-67.8831053 -45.8843548,-67.884897 -45.8834586,-67.8876114 -45.88378720000001,-67.8901434 -45.8835856,-67.87931365 -45.88515467,-67.8775477 -45.8859232,-67.87784810000001 -45.8854153,-67.8789425 -45.8862742,-67.879554 -45.8862667,-67.8829443 -45.8844743,-67.8806055 -45.8848253,-67.87597578 -45.88674947,,-67.87630061 -45.88642699,-67.8775907 -45.885744,-67.8778374 -45.8851241,-67.8766251 -45.8844594,-67.8767002 -45.8840561,-67.8758872 -45.88413516,-67.8738034 -45.8829806,-67.8739858 -45.8834512,-67.87655 -45.8844445,-67.8765929 -45.8840262,-67.87263059 -45.88283868,-67.8737283 -45.8829508,-67.8736854 -45.8833242,-67.8730094 -45.8829134,-67.8686643 -45.8830254,-67.86703039 -45.88312685,-67.8726017 -45.880389,-67.8697157 -45.8828462,-67.8706813 -45.8831001,-67.8686643 -45.8830254,-67.8724445 -45.87988188,-67.8772688 -45.8789101,-67.8749835 -45.8790146,-67.87362100000001 -45.8797765,-67.87684672 -45.87887091,-67.8785026 -45.8788802,-67.8798115 -45.8793806,-67.87875862 -45.87975391,-67.8797901 -45.8776627,-67.8792536 -45.87817810000001,-67.8798115 -45.8793806,-67.87897854 -45.87766371,-67.8836739 -45.8759821,-67.8838027 -45.8758402,-67.883234 -45.875631,-67.8816783 -45.8762734,-67.8803587 -45.8772818,-67.88220216 -45.87628794,-67.8856909 -45.8773042,-67.88382410000001 -45.8758999,-67.8835773 -45.8759821,-67.88515558 -45.87764642,-67.8866458 -45.877476,-67.8866458 -45.8780437,-67.8858411 -45.8780212,-67.8857124 -45.8785142,-67.88533919 -45.87880887,-67.8864312 -45.8790146,-67.8847039 -45.8811657,-67.8828692 -45.8823084,-67.8824294 -45.8835632,-67.881732 -45.8839964,-67.87992186 -45.88445386;-67.87992186 -45.88445386,-67.881732 -45.8839964,-67.8825152 -45.883593100000006,-67.8827727 -45.8823981,-67.8807878 -45.8819649,-67.8819788 -45.8813674,-67.88159325 -45.88135603;-67.88159325 -45.88135603,-67.881732 -45.8839964,-67.8825152 -45.883593100000006,-67.8827727 -45.8823981,-67.8807878 -45.8819649,-67.8819788 -45.8813674,-67.87992186 -45.88445386,-67.8864312 -45.8790146,-67.8847039 -45.8811657,-67.8828692 -45.8823084,-67.8824294 -45.8835632,-67.881732 -45.8839964,-67.88533919 -45.87880887,-67.8866458 -45.877476,-67.8866458 -45.8780437,-67.8858411 -45.8780212,-67.8857124 -45.8785142,-67.88515558 -45.87764642,-67.8856909 -45.8773042,-67.88382410000001 -45.8758999,-67.8835773 -45.8759821,-67.88220216 -45.87628794,-67.8836739 -45.8759821,-67.8838027 -45.8758402,-67.883234 -45.875631,-67.8816783 -45.8762734,-67.8803587 -45.8772818,-67.87897854 -45.87766371,-67.8797901 -45.8776627,-67.8792536 -45.87817810000001,-67.8798115 -45.8793806,-67.87875862 -45.87975391,-67.8785026 -45.8788802,-67.8798115 -45.8793806,-67.87684672 -45.87887091,-67.8772688 -45.8789101,-67.8749835 -45.8790146,-67.87362100000001 -45.8797765,-67.8724445 -45.87988188,-67.8726017 -45.880389,-67.8697157 -45.8828462,-67.8706813 -45.8831001,-67.8686643 -45.8830254,-67.86703039 -45.88312685,-67.8737283 -45.8829508,-67.8736854 -45.8833242,-67.8730094 -45.8829134,-67.8686643 -45.8830254,-67.87263059 -45.88283868,-67.8738034 -45.8829806,-67.8739858 -45.8834512,-67.87655 -45.8844445,-67.8765929 -45.8840262,-67.8758872 -45.88413516,-67.8775907 -45.885744,-67.8778374 -45.8851241,-67.8766251 -45.8844594,-67.8767002 -45.8840561,-67.87630061 -45.88642699,,-67.87597578 -45.88674947,-67.8775477 -45.8859232,-67.87784810000001 -45.8854153,-67.8789425 -45.8862742,-67.879554 -45.8862667,-67.8829443 -45.8844743,-67.8806055 -45.8848253,-67.87931365 -45.88515467,-67.8808522 -45.8847432,-67.8831053 -45.8843548,-67.884897 -45.8834586,-67.8876114 -45.88378720000001,-67.8901434 -45.8835856,-67.88934482 -45.88367092,-67.8863347 -45.8849448,-67.8869569 -45.8849672,-67.8874826 -45.883847,-67.8903258 -45.883570600000006,-67.88477851 -45.88530377,-67.8847039 -45.885542300000004,-67.8854334 -45.8851465,-67.88304639 -45.88588109,-67.8838027 -45.88608,-67.882483 -45.8868716,-67.88085052 -45.88709026,-67.8783846 -45.8885519,-67.8803802 -45.8880143,-67.8826654 -45.8868044,-67.8823113 -45.8868119,-67.87661058 -45.88889945,-67.8765285 -45.89045620000001,-67.877773 -45.8901799,-67.8803802 -45.8880143,-67.8783846 -45.8885519,-67.87484305 -45.89067788,-67.8792322 -45.8901127,-67.877934 -45.8900903,-67.8765285 -45.89045620000001,-67.87813787 -45.88993585,-67.8788996 -45.8901426,-67.877934 -45.8900903,-67.8774834 -45.8904786,-67.8777945 -45.8925098,-67.8783524 -45.8919348,-67.87768072 -45.89180609,-67.877419 -45.893361,-67.8777194 -45.8924724,-67.8782558 -45.8919497,-67.87597121 -45.89385401;-67.87597121 -45.89385401,-67.877419 -45.893361,-67.8777194 -45.8924724,-67.8782558 -45.8919497,-67.87768072 -45.89180609,-67.8782558 -45.8919497,-67.8778267 -45.8923828,-67.8780413 -45.8938315,-67.8791893 -45.8953398,-67.87842608 -45.89585515,-67.8799939 -45.8961761,-67.8810668 -45.8968855,-67.881496 -45.8974007,-67.88049412 -45.89765426,-67.8816462 -45.8976545,-67.8819466 -45.8992972,-67.8823757 -45.8992374,-67.88283131 -45.8994995,-67.8778481 -45.8999691,-67.8795862 -45.8996556,-67.8816676 -45.8998198,-67.8823113 -45.899342,-67.87600509 -45.90013168,-67.8777301 -45.9000289, -67.8775263 -45.9006635, -67.8726447 -45.9006411,-67.87136842 -45.90083234;-67.87136842 -45.90083234,-67.8777301 -45.9000289, -67.8775263 -45.9006635, -67.8726447 -45.9006411,-67.87600509 -45.90013168,-67.8778481 -45.8999691,-67.8795862 -45.8996556,-67.8816676 -45.8998198,-67.8823113 -45.899342,-67.88283131 -45.8994995,-67.8816462 -45.8976545,-67.8819466 -45.8992972,-67.8823757 -45.8992374,-67.88049412 -45.89765426,-67.8799939 -45.8961761,-67.8810668 -45.8968855,-67.881496 -45.8974007,-67.87842608 -45.89585515,-67.8782558 -45.8919497,-67.8778267 -45.8923828,-67.8780413 -45.8938315,-67.8791893 -45.8953398,-67.87768072 -45.89180609,-67.8788996 -45.8901426,-67.877934 -45.8900903,-67.8774834 -45.8904786,-67.8777945 -45.8925098,-67.8783524 -45.8919348,-67.87813787 -45.88993585,-67.8789854 -45.8901127,-67.8777838 -45.8901052,-67.8751981 -45.8927935,-67.8739536 -45.8942571,-67.87230402 -45.89457162,-67.8727734 -45.8946678,-67.8694153 -45.8954742,-67.8682566 -45.89504860000001,-67.86797017 -45.89505687,-67.86816 -45.8950113,-67.8676021 -45.8944886,-67.866143 -45.8944961,-67.86504739 -45.89456671;-67.86504739 -45.89456671,-67.86816 -45.8950113,-67.8676021 -45.8944886,-67.866143 -45.8944961,-67.86797017 -45.89505687,-67.8727734 -45.8946678,-67.8694153 -45.8954742,-67.8682566 -45.89504860000001,-67.87230402 -45.89457162,-67.8789854 -45.8901127,-67.8777838 -45.8901052,-67.8751981 -45.8927935,-67.8739536 -45.8942571,-67.87813787 -45.88993585,-67.8792322 -45.8901127,-67.877934 -45.8900903,-67.8765285 -45.89045620000001,-67.87484305 -45.89067788,-67.8765285 -45.89045620000001,-67.877773 -45.8901799,-67.8803802 -45.8880143,-67.8783846 -45.8885519,-67.87661058 -45.88889945,-67.8783846 -45.8885519,-67.8803802 -45.8880143,-67.8826654 -45.8868044,-67.8823113 -45.8868119,-67.88085052 -45.88709026,-67.8838027 -45.88608,-67.882483 -45.8868716,-67.88304639 -45.88588109,-67.8847039 -45.885542300000004,-67.8854334 -45.8851465,-67.88477851 -45.88530377,-67.8877938 -45.885251,-67.8862166 -45.8849523,-67.88725199 -45.88498287,-67.8916669 -45.8851316,-67.891463 -45.8853332,-67.8890061 -45.8855946,-67.8886521 -45.8849672,-67.88986813 -45.88509226,-67.895658 -45.88465360000001,-67.8955078 -45.8872675,-67.89402720000001 -45.888186,-67.89313670000001 -45.8879097,-67.8935552 -45.8866999,-67.891624 -45.8850718,-67.89478887 -45.88442779,-67.896452 -45.8842129,-67.8972995 -45.8841607,-67.8987801 -45.8833839,-67.8993165 -45.8836304,-67.89811074 -45.88424629,-67.90316820000001 -45.883637900000004,-67.9026854 -45.8831823,-67.9021275 -45.8832794,-67.900722 -45.8842279,-67.9001105 -45.8851465,-67.8995955 -45.8843175,-67.90293219 -45.8836944,-67.9039729 -45.8871629,-67.9034686 -45.8869165,-67.9041123 -45.886192,-67.9042947 -45.8847656,-67.90316820000001 -45.883637900000004,-67.90362098 -45.8874036,-67.9052818 -45.8875736,-67.90654780000001 -45.8882084,-67.9074919 -45.8882756,-67.90705336 -45.88840606,-67.9066443 -45.8844071,-67.9062474 -45.8852585,-67.908833 -45.885968,-67.9091012 -45.8864012,-67.90594775 -45.88423937,,-67.90591516 -45.88446218,-67.9076958 -45.8841084,-67.9082644 -45.8839366,-67.9093373 -45.8833167,-67.9103136 -45.8831972,-67.90970498 -45.88326091,-67.911365 -45.8831076,-67.9142618 -45.8826968,-67.9159892 -45.8825026,-67.91541483 -45.88231338,-67.9166651 -45.8823159,-67.9170835 -45.8822711,-67.9178345 -45.8833989,-67.9184783 -45.8832943,-67.91747464 -45.88372353,-67.9183173 -45.8833018,-67.9179525 -45.8832943,-67.9178452 -45.8829358,-67.9186606 -45.8819873,-67.9191113 -45.8815466,-67.9197979 -45.8813898,-67.91930941 -45.88137118,-67.9231775 -45.8798138,-67.9230273 -45.8801051,-67.9220295 -45.8802022,-67.9198301 -45.8807027,-67.9191542 -45.8814645,-67.9198301 -45.8813375,-67.92260289 -45.87981886,,-67.9226841 -45.8797625;-67.9226841 -45.8797625,,-67.92260289 -45.87981886,-67.9288745 -45.8790371,-67.9299045 -45.8786188,-67.929765 -45.8784918,-67.9247224 -45.8798512,-67.9241753 -45.8796943,-67.92746283 -45.879252,-67.9288745 -45.8790371,-67.9299796 -45.8786337,-67.9304302 -45.8776552,-67.9309022 -45.8766245,-67.9306126 -45.8766543,-67.92916705 -45.87686758,-67.9305589 -45.8765722,-67.9309773 -45.8765423,-67.9323184 -45.875011,-67.9336917 -45.8726132,-67.93292309 -45.87290945,-67.9337347 -45.872531,-67.9350007 -45.8704245,-67.9346895 -45.8701032,-67.933282 -45.87018527,-67.936492 -45.8696625,-67.9362881 -45.8694234,-67.9350436 -45.8703273,-67.9347003 -45.8699986,-67.93551008 -45.87004015,-67.9383588 -45.8674437,-67.9380584 -45.8682655,-67.9363847 -45.8693786,-67.9365671 -45.8696326,-67.9400271 -45.8665472</t>
  </si>
  <si>
    <t>-67.9400271 -45.8665472,-67.9452038 -45.8642219,-67.9464403 -45.8647635,-67.9454304 -45.86503525,,-67.94551194 -45.86495899,-67.949152 -45.8670029,-67.9489589 -45.866338,-67.9464805 -45.8656358,-67.946502 -45.8652099,-67.94827454 -45.86749255,-67.9581213 -45.8673466,-67.9581428 -45.8669731,-67.9568553 -45.866226,-67.9523492 -45.8659869,-67.9491305 -45.866226,-67.9489803 -45.8668834,-67.95709848 -45.86769228,-67.9570484 -45.8711267,-67.9574454 -45.8693637,-67.9580891 -45.8675707,-67.95610675 -45.87170205,-67.9571235 -45.8715898,-67.9572952 -45.8723443,-67.9570484 -45.87342,-67.95743470000001 -45.8736217,-67.95650202 -45.87386891,-67.9575098 -45.8735619,-67.9580784 -45.8727253,-67.95720623 -45.87256309,-67.9630244 -45.8733005,-67.9618549 -45.87156740000001,-67.9611683 -45.8714553,-67.9596126 -45.871724300000004,-67.95881870000001 -45.8720007,-67.96214261 -45.87344787,-67.9666829 -45.8734274,-67.9651701 -45.87286720000001,-67.9644513 -45.8730315,-67.9638612 -45.8733752,-67.9632068 -45.8733901,-67.96572509 -45.87368099,-67.96696190000002 -45.8736067,-67.9677129 -45.8742267,-67.9679918 -45.8746077,-67.9672039 -45.87497495,-67.9711676 -45.8706262,-67.9712427 -45.8723667,-67.9717791 -45.8732033,-67.9711139 -45.8738906,-67.9693866 -45.8740474,-67.9686463 -45.874533,-67.96992116 -45.87035971,-67.9710925 -45.8705739,-67.9709744 -45.8714329,-67.9711354 -45.8722173,-67.9706633 -45.8714479,-67.9697943 -45.8691545,-67.9688479 -45.86924263,-67.96972990000002 -45.8689453,-67.96923640000001 -45.8685867,-67.9698372 -45.8679667,-67.96898996 -45.86789944,-67.9704916 -45.8675259,-67.9713821 -45.8670777,-67.9725838 -45.8673092,-67.97170451 -45.86764851,-67.9784846 -45.8638128,-67.9773581 -45.8639025,-67.9769611 -45.8641416,-67.9760814 -45.864545,-67.975781 -45.8649709,-67.9756951 -45.8656806,-67.9747403 -45.8664725,-67.9738927 -45.8666518,-67.9742575 -45.8674213,-67.9730237 -45.867369,-67.97781889 -45.86412305,-67.9785061 -45.863768,-67.977562 -45.8638502,-67.9780233 -45.8634692,-67.9789352 -45.8631031,-67.9785919 -45.8629686,-67.97692655 -45.86298292,-67.9785919 -45.8629686,-67.9789352 -45.8631031,-67.9796863 -45.8629088,-67.9804587 -45.8629985,-67.9811132 -45.8627967,-67.98026531 -45.86300386,,-67.96977407 -45.85827673;-67.96977407 -45.85827673,,-67.98026531 -45.86300386,-67.9835165 -45.8632226,-67.9838812 -45.8630209,-67.9841387 -45.8625502,-67.9836881 -45.862991,-67.9831409 -45.8631255,-67.9816282 -45.862737,-67.98206338 -45.86352335,-67.9887307 -45.8607944,-67.9889238 -45.8604806,-67.9867244 -45.8607421,-67.9861665 -45.8609737,-67.9860163 -45.8616088,-67.9854047 -45.8619674,-67.9846215 -45.8621617,-67.9841387 -45.862468,-67.9838812 -45.8630209,-67.9834414 -45.8631927,-67.98715669 -45.86146692,-67.9928935 -45.8605404,-67.9914236 -45.8609588,-67.98931 -45.8614369,-67.9889023 -45.8613323,-67.99220337 -45.86057361,-67.9911339 -45.8618479,-67.9904687 -45.8619002,-67.9910696 -45.8615117,-67.9918849 -45.861295,-67.9930007 -45.8606151,-67.99023202 -45.86204363,-67.9886341 -45.8629088,-67.9906297 -45.8618479,-67.9911232 -45.8617956,-67.98677491 -45.86342245,-67.9859948 -45.8647094,-67.9874003 -45.863783,-67.98422803 -45.86529103,-67.9920459 -45.8642163,-67.9910159 -45.864672,-67.9903078 -45.8650157,-67.9890847 -45.8656208,-67.9855978 -45.8654415,-67.9855227 -45.865322,-67.99158422 -45.86437969,-67.9929578 -45.8671225,-67.9928398 -45.8662783,-67.9924321 -45.8655835,-67.9919815 -45.8652548,-67.992121 -45.8648663,-67.9910159 -45.864672,-67.9918528 -45.8642238,-67.99174523 -45.8677107,-67.9914558 -45.8692516,-67.9914558 -45.8690499,-67.9925716 -45.8679293,-67.99024475 -45.86974641,-67.9910052 -45.8707457,-67.9910266 -45.8705664,-67.99163820000001 -45.8700883,-67.9915524 -45.8697073,-67.9900866 -45.8710699,-67.9930758 -45.87218,-67.992754 -45.8724788,-67.9914343 -45.8718886,-67.9915845 -45.8711565,-67.9912734 -45.8710071,-67.99156523 -45.87210921,-67.9929739 -45.8721949,-67.9927379 -45.872546,-67.993784 -45.8729494,-67.9957634 -45.8725273,-67.9964232 -45.8722024,-67.99553288 -45.87226112,-67.9971957 -45.8714031,-67.9989982 -45.8712611,-67.9998028 -45.8710071,-67.99921407 -45.87121751,,-67.99960904 -45.87080973,-68.0035579 -45.8703423,-68.0025816 -45.8706859,-68.0014014 -45.8705066,-68.00284674 -45.87040916,-68.0041587 -45.8700285,-68.0051243 -45.8686091,-68.00449906 -45.86852742,-68.0070448 -45.8686241,-68.0060685 -45.868385,-68.00620422 -45.86892139,-68.0131066 -45.8689005,-68.0126238 -45.8687212,-68.0113363 -45.868385,-68.01036 -45.8679741,-68.0097055 -45.8679816,-68.0074954 -45.8686166,-68.01223482 -45.86912312,-68.0136108 -45.8697596,-68.012892 -45.8698418,-68.0106711 -45.8695579,-68.0112398 -45.869416,-68.0126882 -45.8689677,-68.01323141 -45.86984796,-68.0170333 -45.8699613,-68.0162179 -45.8701854,-68.0148554 -45.8699837,-68.01624065 -45.87002946,-68.0173981 -45.8697447,-68.018117 -45.8693263,-68.019619 -45.8685942,-68.01888103 -45.86869015,-68.0200803 -45.8683477,-68.0205953 -45.867877,-68.0235457 -45.8671822,-68.0237496 -45.867765,-68.02227322 -45.8681232,-68.0183744 -45.871052,-68.0195653 -45.8706187,-68.020606 -45.8698343,-68.0231166 -45.8688856,-68.0237281 -45.8683701,-68.0236638 -45.8680862,-68.01664295 -45.87109696;-68.01664295 -45.87109696,-68.0183744 -45.871052,-68.0195653 -45.8706187,-68.020606 -45.8698343,-68.0231166 -45.8688856,-68.0237281 -45.8683701,-68.0236638 -45.8680862,-68.02227322 -45.8681232,-68.0200803 -45.8683477,-68.0205953 -45.867877,-68.0235457 -45.8671822,-68.0237496 -45.867765,-68.01888103 -45.86869015,-68.0173981 -45.8697447,-68.018117 -45.8693263,-68.019619 -45.8685942,-68.01624065 -45.87002946,-68.0170333 -45.8699613,-68.0162179 -45.8701854,-68.0148554 -45.8699837,-68.01323141 -45.86984796,-68.0112183 -45.870163,-68.0137074 -45.8697596,-68.00929547 -45.87031042,-68.0100918 -45.8701854,-68.0091584 -45.8701107,-68.0076241 -45.8713582,-68.00605381 -45.87173811,-68.0046093 -45.8728523,-68.0045557 -45.8727178,-68.0070448 -45.8717766,-68.00353282 -45.873189,-68.0041802 -45.8731137,-68.0035472 -45.8731286,-68.0014122 -45.8739055,-68.00013115 -45.87419939,-68.0007684 -45.8741147,-67.9944921 -45.8759223,-67.9942346 -45.8757953,-67.99230343 -45.87612978,-67.9932904 -45.8760792,-67.9926252 -45.8763556,-67.9912949 -45.8766319,-67.98995293 -45.87688436,-67.9909623 -45.8768411,-67.9909086 -45.8766394,-67.9893529 -45.876729,-67.9896641 -45.8770726,-67.98904006 -45.87741924,-67.9896748 -45.8771548,-67.9892349 -45.8767216,-67.985158 -45.8765946,-67.9863167 -45.8762734,-67.98563419 -45.87640922,-67.9865313 -45.8763033,-67.9853833 -45.8764975,-67.98469660000002 -45.8764303,-67.98281428 -45.87644776,-67.9838705 -45.8772892,-67.9842675 -45.8766469,-67.9854584 -45.876617,-67.9846001 -45.8763854,-67.98257485 -45.87765379,-67.9797721 -45.879179,-67.9789889 -45.8790669,-67.9792571 -45.8776403,-67.9831409 -45.876744,-67.9844499 -45.8766842,-67.9838705 -45.8772892,-67.97934342 -45.87920812,-67.9789352 -45.8795823,-67.9789889 -45.8790669,-67.9799759 -45.8791491,-67.97764389 -45.88001208,-67.9789352 -45.8795823,-67.9791069 -45.8776627,-67.9756737 -45.8784769,-67.9758239 -45.8787234,-67.9765105 -45.8789474,-67.9757414 -45.87911165,-67.9764569 -45.8790072,-67.9757595 -45.8787084,-67.9755771 -45.8785142,-67.9742253 -45.8787756,-67.974236 -45.878222900000004,-67.97210325 -45.8786421,-67.9739785 -45.8781632,-67.9745579 -45.8782677,-67.9740644 -45.8788802,-67.9710174 -45.8792537,-67.96993071 -45.87922522,-67.9708028 -45.8792686,-67.9686999 -45.8795524,-67.9682064 -45.8792238,-67.96661757 -45.87943084,-67.967391 -45.8796271,-67.9660606 -45.879657,-67.9619408 -45.879179,-67.959795 -45.8789997,-67.9602242 -45.8794852,-67.95937836 -45.87978501,-67.9538298 -45.8776104,-67.9575419 -45.8788205,-67.9596341 -45.8789624,-67.9602242 -45.8794852,-67.95259842 -45.87763583,-67.9534543 -45.8773565,-67.9526925 -45.87711,-67.9530144 -45.8775731,-67.9524779 -45.878813,-67.9512334 -45.8789325,-67.94944114 -45.87896309,-67.9512119 -45.8788877,-67.952435 -45.8787607,-67.9518127 -45.8800454,-67.9474354 -45.8786785,-67.9441524 -45.8779764,-67.9427791 -45.8776328,-67.940805 -45.8776926,-67.93921257 -45.87804782,,-67.93938002 -45.87863178,-67.9433799 -45.8793582,-67.9425859 -45.8792462,-67.9414809 -45.8788951,-67.9399574 -45.8788802,-67.9395819 -45.8785889,-67.9398179 -45.8784246,-67.94258106 -45.87928487,-67.9468131 -45.8799931,-67.9464698 -45.8794927,-67.9443026 -45.8791491,-67.9459034 -45.88040255,-67.9472744 -45.8827118,-67.9475963 -45.8819051,-67.9476392 -45.8807475,-67.9472208 -45.8805159,-67.94607409 -45.88311995,-67.9472744 -45.8852212,-67.9470921 -45.8844967,-67.9472423 -45.883959,-67.9472315 -45.8831823,-67.94628753 -45.88560005,-67.9471672 -45.8852884,-67.9470921 -45.8848627,-67.9461265 -45.8845565,-67.94483649 -45.8845247,-67.9459763 -45.8845415,-67.9446459 -45.8841607,-67.9436696 -45.8842353,-67.94255555 -45.88454697,-67.9423177 -45.8861323,-67.9425859 -45.8852137,-67.9431438 -45.8846088,-67.9432619 -45.8842802,-67.94198922 -45.88653728,-67.9414594 -45.88785,-67.9417813 -45.8871554,-67.9419315 -45.8865879,-67.9423285 -45.8863414,-67.93992923 -45.88854577,-67.9410625 -45.888776,-67.9401827 -45.8890747,-67.9375863 -45.8886341,-67.93581454 -45.88863383,-67.9351616 -45.890628,-67.9353011 -45.8903069,-67.9351509 -45.889702,-67.9356337 -45.8888283,-67.9361594 -45.8882682,-67.9367387 -45.8882607,-67.93404442 -45.8909633,-67.9365563 -45.8934955,-67.9363203 -45.8936,-67.935344 -45.8928831,-67.935226 -45.8911432,-67.9360062 -45.89335158,-67.9386914 -45.8911283,-67.9384661 -45.8920468,-67.9380691 -45.8922111,-67.9374146 -45.8931968,-67.93808121 -45.89103139,-67.9435515 -45.8903965,-67.9442811 -45.8907549,-67.9443991 -45.8913449,-67.9417706 -45.8920468,-67.9407835 -45.8922185,-67.938906 -45.8918302,-67.9386592 -45.8912328,-67.9388738 -45.8911059,-67.94165257 -45.89056773;-67.94165257 -45.89056773,-67.9435515 -45.8903965,-67.9442811 -45.8907549,-67.9443991 -45.8913449,-67.9417706 -45.8920468,-67.9407835 -45.8922185,-67.938906 -45.8918302,-67.9386592 -45.8912328,-67.9388738 -45.8911059,-67.93808121 -45.89103139,-67.9386914 -45.8911283,-67.9384661 -45.8920468,-67.9380691 -45.8922111,-67.9374146 -45.8931968,-67.9360062 -45.89335158,-67.9365563 -45.8934955,-67.9363203 -45.8936,-67.935344 -45.8928831,-67.935226 -45.8911432,-67.93404442 -45.8909633,-67.9351616 -45.890628,-67.9353011 -45.8903069,-67.9351509 -45.889702,-67.9356337 -45.8888283,-67.9361594 -45.8882682,-67.9367387 -45.8882607,-67.93581454 -45.88863383,-67.9410625 -45.888776,-67.9401827 -45.8890747,-67.9375863 -45.8886341,-67.93992923 -45.88854577,-67.9414594 -45.88785,-67.9417813 -45.8871554,-67.9419315 -45.8865879,-67.9423285 -45.8863414,-67.94198922 -45.88653728,-67.9423177 -45.8861323,-67.9425859 -45.8852137,-67.9431438 -45.8846088,-67.9432619 -45.8842802,-67.94255555 -45.88454697,-67.9434013 -45.8843175,-67.9426825 -45.884086,-67.9423177 -45.8838843,-67.94191 -45.8839814,-67.9418349 -45.8844669,-67.9412127 -45.8843922,-67.94007097 -45.88448059,-67.9413199 -45.8842577,-67.94191 -45.884325,-67.9418242 -45.8848403,-67.9404724 -45.8852734,-67.9399681 -45.8854975,-67.9388416 -45.8850046,-67.9390776 -45.8859083,-67.93803519 -45.88653092;-67.93803519 -45.88653092,-67.9390776 -45.8859083,-67.9388952 -45.8849299,-67.9384875 -45.8844519,-67.9383051 -45.883832,-67.939024 -45.8833317,-67.9396892 -45.8836155,-67.9402363 -45.8833989,-67.93935418 -45.88340612,-67.9404831 -45.883003,-67.9393351 -45.8816139,-67.9395604 -45.8815392,-67.93895804 -45.88204116,-67.9394478 -45.8815018,-67.9390669 -45.8813786,-67.9390454 -45.8810425,-67.9386485 -45.8811881,-67.938568 -45.8809641,-67.9379404 -45.8812105,-67.93588984 -45.88149225,-67.9380155 -45.8812404,-67.938627 -45.880852,-67.9384768 -45.8805682,-67.9371035 -45.8800827,-67.9358482 -45.8797093,-67.9335737 -45.8797616,-67.934432 -45.8794255,-67.9350007 -45.8792835,-67.9357088 -45.8792686,-67.93512028 -45.8793768,-67.9308057 -45.8796645,-67.9309773 -45.8795823,-67.9308271 -45.8793582,-67.9319429 -45.8795524,-67.9332089 -45.8799333,-67.9339921 -45.8795524,-67.9349685 -45.8793358,-67.935698 -45.8793209,-67.92926139 -45.87980166,-67.9288745 -45.8790371,-67.9299796 -45.8786337,-67.9308271 -45.8793582,-67.9310632 -45.8796271,-67.9308057 -45.8796645,-67.92746283 -45.879252,-67.9288745 -45.8790371,-67.9299796 -45.8786337,-67.9304302 -45.8776552,-67.9309022 -45.8766245,-67.9306126 -45.8766543,-67.92916705 -45.87686758,-67.9305589 -45.8765722,-67.9309773 -45.8765423,-67.9323184 -45.875011,-67.9336917 -45.8726132,-67.93292309 -45.87290945,-67.9337347 -45.872531,-67.9350007 -45.8704245,-67.9346895 -45.8701032,-67.933282 -45.87018527,-67.936492 -45.8696625,-67.9362881 -45.8694234,-67.9350436 -45.8703273,-67.9347003 -45.8699986,-67.93551008 -45.87004015,-67.9383588 -45.8674437,-67.9380584 -45.8682655,-67.9363847 -45.8693786,-67.9365671 -45.8696326,-67.9400271 -45.8665472</t>
  </si>
  <si>
    <t>-67.9400271 -45.8665472,-67.9452038 -45.8642219,-67.9464403 -45.8647635,-67.9454304 -45.86503525,,-67.94551194 -45.86495899,-67.949152 -45.8670029,-67.9489589 -45.866338,-67.9464805 -45.8656358,-67.946502 -45.8652099,-67.94827454 -45.86749255,-67.9513514 -45.867951700000006,-67.9506004 -45.8681534,-67.9493558 -45.8665622,-67.9490876 -45.8664576,-67.9492164 -45.8668461,-67.95075242 -45.86791677,-67.9511476 -45.8693039,-67.95089010000001 -45.8697222,-67.9506433 -45.8681011,-67.9512978 -45.867892,-67.95011093 -45.86936834,-67.9526013 -45.869965,-67.9517484 -45.8700734,-67.9508901 -45.8697222,-67.9511476 -45.8693039,-67.95188123 -45.87007275,-67.9518449 -45.870925,-67.9516733 -45.8706037,-67.9509866 -45.870275,-67.95089010000001 -45.8697222,-67.9517484 -45.8700734,-67.9526281 -45.8699912,-67.95082673 -45.87123588,-67.9510081 -45.87218,-67.9515123 -45.8715599,-67.9518449 -45.870925,-67.94974928 -45.87213834,-67.9508579 -45.8736739,-67.9509115 -45.8721426,-67.94983615 -45.87396079,-67.9521346 -45.8759746,-67.951448 -45.8759597,-67.9509008 -45.8738383,-67.95155064 -45.87647635,-67.9521346 -45.8759746,-67.9517162 -45.8759074,-67.9513943 -45.8758999,-67.9525959 -45.87702780000001,-67.95337920000001 -45.8774162,-67.95259842 -45.87763583,-67.9538298 -45.8776104,-67.9575419 -45.8788205,-67.9596341 -45.8789624,-67.9602242 -45.8794852,-67.95937836 -45.87978501,-67.967391 -45.8796271,-67.9660606 -45.879657,-67.9619408 -45.879179,-67.959795 -45.8789997,-67.9602242 -45.8794852,-67.96661757 -45.87943084,-67.9708028 -45.8792686,-67.9686999 -45.8795524,-67.9682064 -45.8792238,-67.96993071 -45.87922522,-67.9739785 -45.8781632,-67.9745579 -45.8782677,-67.9740644 -45.8788802,-67.9710174 -45.8792537,-67.97210325 -45.8786421,-67.9764569 -45.8790072,-67.9757595 -45.8787084,-67.9755771 -45.8785142,-67.9742253 -45.8787756,-67.974236 -45.878222900000004,-67.9757414 -45.87911165,-67.9789352 -45.8795823,-67.9791069 -45.8776627,-67.9756737 -45.8784769,-67.9758239 -45.8787234,-67.9765105 -45.8789474,-67.97764389 -45.88001208,-67.9789352 -45.8795823,-67.9789889 -45.8790669,-67.9799759 -45.8791491,-67.97934342 -45.87920812,-67.9797721 -45.879179,-67.9789889 -45.8790669,-67.9792571 -45.8776403,-67.9831409 -45.876744,-67.9844499 -45.8766842,-67.9838705 -45.8772892,-67.98257485 -45.87765379,-67.9838705 -45.8772892,-67.9842675 -45.8766469,-67.9854584 -45.876617,-67.9846001 -45.8763854,-67.98281428 -45.87644776,-67.9865313 -45.8763033,-67.9853833 -45.8764975,-67.98469660000002 -45.8764303,-67.98563419 -45.87640922,-67.9896748 -45.8771548,-67.9892349 -45.8767216,-67.985158 -45.8765946,-67.9863167 -45.8762734,-67.98904006 -45.87741924,-67.9909623 -45.8768411,-67.9909086 -45.8766394,-67.9893529 -45.876729,-67.9896641 -45.8770726,-67.98995293 -45.87688436,-67.9932904 -45.8760792,-67.9926252 -45.8763556,-67.9912949 -45.8766319,-67.99230343 -45.87612978,-68.0007684 -45.8741147,-67.9944921 -45.8759223,-67.9942346 -45.8757953,-68.00013115 -45.87419939,-68.0041802 -45.8731137,-68.0035472 -45.8731286,-68.0014122 -45.8739055,-68.00353282 -45.873189,-68.0046093 -45.8728523,-68.0045557 -45.8727178,-68.0070448 -45.8717766,-68.00605381 -45.87173811,-68.0100918 -45.8701854,-68.0091584 -45.8701107,-68.0076241 -45.8713582,-68.00929547 -45.87031042,-68.0112183 -45.870163,-68.0137074 -45.8697596,-68.01323141 -45.86984796,-68.0170333 -45.8699613,-68.0162179 -45.8701854,-68.0148554 -45.8699837,-68.01624065 -45.87002946,-68.0173981 -45.8697447,-68.018117 -45.8693263,-68.019619 -45.8685942,-68.01888103 -45.86869015,-68.0200803 -45.8683477,-68.0205953 -45.867877,-68.0235457 -45.8671822,-68.0237496 -45.867765,-68.02227322 -45.8681232;-68.02227322 -45.8681232,-68.0200803 -45.8683477,-68.0205953 -45.867877,-68.0235457 -45.8671822,-68.0237496 -45.867765,-68.01888103 -45.86869015,-68.0173981 -45.8697447,-68.018117 -45.8693263,-68.019619 -45.8685942,-68.01624065 -45.87002946,-68.0170333 -45.8699613,-68.0162179 -45.8701854,-68.0148554 -45.8699837,-68.01323141 -45.86984796,-68.0112183 -45.870163,-68.0137074 -45.8697596,-68.00929547 -45.87031042,-68.0100918 -45.8701854,-68.0091584 -45.8701107,-68.0076241 -45.8713582,-68.00605381 -45.87173811,-68.0046093 -45.8728523,-68.0045557 -45.8727178,-68.0070448 -45.8717766,-68.00353282 -45.873189,-68.0041802 -45.8731137,-68.0035472 -45.8731286,-68.0014122 -45.8739055,-68.00013115 -45.87419939,-68.0007684 -45.8741147,-67.9944921 -45.8759223,-67.9942346 -45.8757953,-67.99230343 -45.87612978,-67.9932904 -45.8760792,-67.9926252 -45.8763556,-67.9912949 -45.8766319,-67.98995293 -45.87688436,-67.9909623 -45.8768411,-67.9909086 -45.8766394,-67.9893529 -45.876729,-67.9896641 -45.8770726,-67.98904006 -45.87741924,-67.9896748 -45.8771548,-67.9892349 -45.8767216,-67.985158 -45.8765946,-67.9863167 -45.8762734,-67.98563419 -45.87640922,-67.9865313 -45.8763033,-67.9853833 -45.8764975,-67.98469660000002 -45.8764303,-67.98281428 -45.87644776,-67.9838705 -45.8772892,-67.9842675 -45.8766469,-67.9854584 -45.876617,-67.9846001 -45.8763854,-67.98257485 -45.87765379,-67.9797721 -45.879179,-67.9789889 -45.8790669,-67.9792571 -45.8776403,-67.9831409 -45.876744,-67.9844499 -45.8766842,-67.9838705 -45.8772892,-67.97934342 -45.87920812,-67.9789352 -45.8795823,-67.9789889 -45.8790669,-67.9799759 -45.8791491,-67.97764389 -45.88001208,-67.9789352 -45.8795823,-67.9791069 -45.8776627,-67.9756737 -45.8784769,-67.9758239 -45.8787234,-67.9765105 -45.8789474,-67.9757414 -45.87911165,-67.9764569 -45.8790072,-67.9757595 -45.8787084,-67.9755771 -45.8785142,-67.9742253 -45.8787756,-67.974236 -45.878222900000004,-67.97210325 -45.8786421,-67.9739785 -45.8781632,-67.9745579 -45.8782677,-67.9740644 -45.8788802,-67.9710174 -45.8792537,-67.96993071 -45.87922522,-67.9708028 -45.8792686,-67.9686999 -45.8795524,-67.9682064 -45.8792238,-67.96661757 -45.87943084,-67.967391 -45.8796271,-67.9660606 -45.879657,-67.9619408 -45.879179,-67.959795 -45.8789997,-67.9602242 -45.8794852,-67.95937836 -45.87978501,-67.9538298 -45.8776104,-67.9575419 -45.8788205,-67.9596341 -45.8789624,-67.9602242 -45.8794852,-67.95259842 -45.87763583,-67.9534543 -45.8773565,-67.9526925 -45.87711,-67.9530144 -45.8775731,-67.9524779 -45.878813,-67.9512334 -45.8789325,-67.94944114 -45.87896309,-67.9512119 -45.8788877,-67.952435 -45.8787607,-67.9518127 -45.8800454,-67.9474354 -45.8786785,-67.9441524 -45.8779764,-67.9427791 -45.8776328,-67.940805 -45.8776926,-67.93921257 -45.87804782,,-67.93938002 -45.87863178,-67.9433799 -45.8793582,-67.9425859 -45.8792462,-67.9414809 -45.8788951,-67.9399574 -45.8788802,-67.9395819 -45.8785889,-67.9398179 -45.8784246,-67.94258106 -45.87928487,-67.9468131 -45.8799931,-67.9464698 -45.8794927,-67.9443026 -45.8791491,-67.9459034 -45.88040255,-67.9472744 -45.8827118,-67.9475963 -45.8819051,-67.9476392 -45.8807475,-67.9472208 -45.8805159,-67.94607409 -45.88311995,-67.9472744 -45.8852212,-67.9470921 -45.8844967,-67.9472423 -45.883959,-67.9472315 -45.8831823,-67.94628753 -45.88560005,-67.9487872 -45.8868418,-67.9495382 -45.8874766,-67.9496884 -45.88726,-67.9485726 -45.886095,-67.9476714 -45.8855871,-67.94746568 -45.88694764,-67.948755 -45.886894,-67.9494202 -45.887484,-67.9503751 -45.8875587,-67.9509008 -45.8873571,-67.9508793 -45.8868716,-67.94972726 -45.88693813,-67.951051 -45.8868418,-67.9516089 -45.886207,-67.952832 -45.8866028,-67.95178221 -45.88666191,-67.957381 -45.8868268,-67.9566729 -45.8866327,-67.953701 -45.8868791,-67.9533148 -45.8869911,-67.9529393 -45.8866103,-67.95650174 -45.8868325,-67.9573059 -45.8868268,-67.956748 -45.8864908,-67.9563725 -45.8857215,-67.9556644 -45.8849971,-67.9546167 -45.88506443,-67.960428 -45.8852436,-67.9597843 -45.8853855,-67.9578102 -45.8852959,-67.9558897 -45.8849448,-67.95958113 -45.88533853,-67.9643977 -45.8867746,-67.9641402 -45.8867895,-67.9629064 -45.8855274,-67.9625845 -45.8842055,-67.9620588 -45.8840412,-67.9608893 -45.8848926,-67.96291589 -45.88644251,-67.9642582 -45.8866849,-67.9660714 -45.8869613,-67.9663503 -45.8865505,-67.9662859 -45.88549,-67.9665112 -45.8837798,-67.9671657 -45.8837275,-67.9670477 -45.8843548,-67.96615149 -45.88487087,-67.9670584 -45.8844071,-67.9672515 -45.8836677,-67.9703629 -45.8832122,-67.96961317 -45.88291315,-67.9741502 -45.8819201,-67.9734421 -45.8820844,-67.9724014 -45.8825176,-67.9714251 -45.8825474,-67.97327478 -45.88212301,-67.9766285 -45.88254,-67.9760277 -45.8820396,-67.9747617 -45.8818006,-67.9745471 -45.8818454,-67.97565115 -45.88292201,-67.9766071 -45.8824279,-67.9764247 -45.8817184,-67.9768002 -45.8819051,-67.97621382 -45.88197066,,-67.97732421 -45.88175802,-67.9768538 -45.8819574,-67.9764032 -45.8816661,-67.9762852 -45.8812703,-67.9767895 -45.8808595,-67.9773152 -45.8806429,-67.9767136 -45.8807484,-67.9774117 -45.8806802,-67.9766285 -45.8808296,-67.9764354 -45.8806429,-67.97501847 -45.88066514,-67.9765213 -45.8806504,-67.9766071 -45.8809043,-67.9752553 -45.8810014,-67.974751 -45.8807997,-67.97266803 -45.88068484;-67.97266803 -45.88068484,-67.9765213 -45.8806504,-67.9766071 -45.8809043,-67.9752553 -45.8810014,-67.974751 -45.8807997,-67.97501847 -45.88066514,-67.9774117 -45.8806802,-67.9766285 -45.8808296,-67.9764354 -45.8806429,-67.9767136 -45.8807484,-67.9768538 -45.8819574,-67.9764032 -45.8816661,-67.9762852 -45.8812703,-67.9767895 -45.8808595,-67.9773152 -45.8806429,-67.97732421 -45.88175802,,-67.97621382 -45.88197066,-67.9766071 -45.8824279,-67.9764247 -45.8817184,-67.9768002 -45.8819051,-67.97565115 -45.88292201,-67.9766285 -45.88254,-67.9760277 -45.8820396,-67.9747617 -45.8818006,-67.9745471 -45.8818454,-67.97327478 -45.88212301,-67.9741502 -45.8819201,-67.9734421 -45.8820844,-67.9724014 -45.8825176,-67.9714251 -45.8825474,-67.96961317 -45.88291315,-67.9670584 -45.8844071,-67.9672515 -45.8836677,-67.9703629 -45.8832122,-67.96615149 -45.88487087,-67.9642582 -45.8866849,-67.9660714 -45.8869613,-67.9663503 -45.8865505,-67.9662859 -45.88549,-67.9665112 -45.8837798,-67.9671657 -45.8837275,-67.9670477 -45.8843548,-67.96291589 -45.88644251,-67.9643977 -45.8867746,-67.9641402 -45.8867895,-67.9629064 -45.8855274,-67.9625845 -45.8842055,-67.9620588 -45.8840412,-67.9608893 -45.8848926,-67.95958113 -45.88533853,-67.960428 -45.8852436,-67.9597843 -45.8853855,-67.9578102 -45.8852959,-67.9558897 -45.8849448,-67.9546167 -45.88506443,-67.9573059 -45.8868268,-67.956748 -45.8864908,-67.9563725 -45.8857215,-67.9556644 -45.8849971,-67.95650174 -45.8868325,-67.957381 -45.8868268,-67.9566729 -45.8866327,-67.953701 -45.8868791,-67.9533148 -45.8869911,-67.9529393 -45.8866103,-67.95178221 -45.88666191,-67.951051 -45.8868418,-67.9516089 -45.886207,-67.952832 -45.8866028,-67.94972726 -45.88693813,-67.948755 -45.886894,-67.9494202 -45.887484,-67.9503751 -45.8875587,-67.9509008 -45.8873571,-67.9508793 -45.8868716,-67.94746568 -45.88694764,-67.9487872 -45.8868418,-67.9495382 -45.8874766,-67.9496884 -45.88726,-67.9485726 -45.886095,-67.9476714 -45.8855871,-67.94628753 -45.88560005,-67.9472744 -45.8852212,-67.9470921 -45.8844967,-67.9472423 -45.883959,-67.9472315 -45.8831823,-67.94607409 -45.88311995,-67.9472744 -45.8827118,-67.9475963 -45.8819051,-67.9476392 -45.8807475,-67.9472208 -45.8805159,-67.9459034 -45.88040255,-67.9468131 -45.8799931,-67.9464698 -45.8794927,-67.9443026 -45.8791491,-67.94258106 -45.87928487,-67.9433799 -45.8793582,-67.9425859 -45.8792462,-67.9414809 -45.8788951,-67.9399574 -45.8788802,-67.9395819 -45.8785889,-67.9398179 -45.8784246,-67.93938002 -45.87863178,-67.9364383 -45.8791566,-67.9368889 -45.8790371,-67.9370821 -45.878798,-67.939657 -45.8787906,-67.9398179 -45.8784246,-67.93512028 -45.8793768,-67.9308057 -45.8796645,-67.9309773 -45.8795823,-67.9308271 -45.8793582,-67.9319429 -45.8795524,-67.9332089 -45.8799333,-67.9339921 -45.8795524,-67.9349685 -45.8793358,-67.935698 -45.8793209,-67.92926139 -45.87980166,-67.9288745 -45.8790371,-67.9299796 -45.8786337,-67.9308271 -45.8793582,-67.9310632 -45.8796271,-67.9308057 -45.8796645,-67.92746283 -45.879252,-67.9288745 -45.8790371,-67.9299796 -45.8786337,-67.9304302 -45.8776552,-67.9309022 -45.8766245,-67.9306126 -45.8766543,-67.92916705 -45.87686758,-67.9305589 -45.8765722,-67.9309773 -45.8765423,-67.9323184 -45.875011,-67.9336917 -45.8726132,-67.93292309 -45.87290945,-67.9337347 -45.872531,-67.9350007 -45.8704245,-67.9346895 -45.8701032,-67.933282 -45.87018527,-67.936492 -45.8696625,-67.9362881 -45.8694234,-67.9350436 -45.8703273,-67.9347003 -45.8699986,-67.93551008 -45.87004015,-67.9383588 -45.8674437,-67.9380584 -45.8682655,-67.9363847 -45.8693786,-67.9365671 -45.8696326,-67.9400271 -45.8665472</t>
  </si>
  <si>
    <t>-67.9400271 -45.8665472,-67.9383588 -45.8674437,-67.9380101 -45.8666929,-67.9392922 -45.8661064,-67.93822649 -45.86645361,,-67.93820898 -45.86621382,-67.939437 -45.8659907,-67.9410034 -45.8642985,-67.9397787 -45.86446671,-67.9413575 -45.8643508,-67.94191 -45.8638801,-67.9413092 -45.8637717,-67.94026881 -45.86394522,-67.9412395 -45.8636896,-67.94085860000001 -45.8628677,-67.94016816 -45.86304785,-67.9407942 -45.8630844,-67.9403758 -45.8621878,-67.9386914 -45.8624792,-67.93749455 -45.86270022,-67.9389811 -45.8623559,-67.9389596 -45.8618329,-67.9381979 -45.8610783,-67.9390669 -45.8607794,-67.93809539 -45.86091501,-67.9388309 -45.8607794,-67.938112 -45.8611007,-67.9377472 -45.860899,-67.9362881 -45.8614743,-67.9374897 -45.8619749,-67.93652197 -45.86222667,-67.9375219 -45.8620421,-67.9357517 -45.861085800000005,-67.9346144 -45.8614519,-67.93332777 -45.86169272,-67.9343569 -45.8614145,-67.9335523 -45.861549,-67.9334021 -45.8611381,-67.9309666 -45.8609214,-67.92973166 -45.86112334,-67.9307091 -45.86097370000001,-67.9287457 -45.8609588,-67.9288423 -45.860757,-67.92827234 -45.86082887,-67.9288423 -45.860757,-67.9286063 -45.8609812,-67.9269433 -45.8608168,-67.9254305 -45.8610559,-67.9256237 -45.8606898,-67.92472033 -45.86078317,-67.9253769 -45.8604208,-67.9236388 -45.8595317,-67.9233384 -45.8597857,-67.92204432 -45.86025045,-67.9235315 -45.8601219,-67.9222655 -45.8604731,-67.92116295 -45.86077528,-67.9219651 -45.8610335,-67.9157424 -45.8609887,-67.91412974 -45.86109479,-67.9153347 -45.8605702,-67.9157317 -45.8599725,-67.9146159 -45.859457,-67.91347499 -45.85938782,-67.9145408 -45.8594047,-67.9124916 -45.858777,-67.9112792 -45.8592776,-67.91058213 -45.85962973,-67.9112792 -45.8592776,-67.9102921 -45.8588293,-67.9105067 -45.8586425,-67.90964669 -45.85881191,-67.9102653 -45.8586986,-67.9081625 -45.8581195,-67.90707943 -45.8582017,-67.90773330000002 -45.8580522,-67.9073417 -45.8579177,-67.9068965 -45.8568567,-67.9053408 -45.8563822,-67.90400196 -45.85653031,-67.904284 -45.8564084,-67.9033184 -45.8552726,-67.9019022 -45.8551232,-67.90067511 -45.8549717,,-67.90022567 -45.85540767,-67.9008508 -45.8548093,-67.8990161 -45.8545403,-67.898823 -45.8538678,-67.8965485 -45.8545553,-67.89483427 -45.85484841,-67.887429 -45.855564,-67.8894138 -45.853808,-67.8932333 -45.8533447,-67.8969455 -45.8545851,-67.8963768 -45.8546599,-67.88581092 -45.85597227,-67.887429 -45.855564,-67.8882551 -45.8548691,-67.8894138 -45.853808,-67.8920853 -45.8535689,-67.8916454 -45.8538678,-67.8897357 -45.85395,-67.88910 -45.85436,-67.8875685 -45.8562589,-67.885799 -45.8571033,-67.88544 -45.8578281,-67.88523 -45.85794,-67.88402968 -45.85834964,-67.8814316 -45.8592926,-67.8808415 -45.8591357,-67.880863 -45.8587322,-67.8817642 -45.858239,-67.8850043 -45.8580522,-67.88077392 -45.85953999,-67.8790283 -45.8588293,-67.880466 -45.8587397,-67.8813028 -45.8593598,-67.87771797 -45.85914466,-67.875917 -45.8590236,-67.8765607 -45.8587098,-67.8784597 -45.8588443,-67.87446619 -45.85953534,-67.8758311 -45.8590012,-67.8755307 -45.858777,-67.8718829 -45.8588144,-67.8721619 -45.8576637,-67.8733528 -45.857462,-67.8739536 -45.8579028,-67.87227986 -45.85836679,-67.8721619 -45.8576637,-67.8734279 -45.8573798,-67.8740823 -45.8579103,-67.87029294 -45.85782787,-67.8694689 -45.8577534,-67.8703272 -45.8578879,-67.8705525 -45.8574694,-67.8710139 -45.8575441,-67.86752908 -45.85773082,-67.8666365 -45.8577982,-67.8680527 -45.857716,-67.86509618 -45.85797591,-67.8655958 -45.85783560000001,-67.8642118 -45.8570435,-67.86269634 -45.8576934,-67.8630531 -45.8577608,-67.8618944 -45.8580074,-67.86119926 -45.8582863,-67.8617334 -45.8580597,-67.8595233 -45.8583362,-67.85800456 -45.85865306,-67.8585362 -45.8586425,-67.8567231 -45.8591431,-67.8550386 -45.8605852,-67.85325633 -45.86047853,-67.8547168 -45.8600622,-67.8545237 -45.8589862,-67.8537083 -45.858508,-67.852335 -45.8585529,-67.85051371 -45.8587379,-67.8511226 -45.8587172,-67.8489661 -45.8581942,-67.8504252 -45.8565952,-67.84992667 -45.85649082,-67.851541 -45.8561394,-67.8511119 -45.8555416,-67.8497386 -45.8553249,-67.8490841 -45.8555341,-67.84737753 -45.85568862,-67.8480864 -45.8556163,-67.846477 -45.8561992,-67.8452325 -45.8556537,-67.84359994 -45.85582912,-67.8438914 -45.8557508,-67.8414237 -45.8563262,-67.8377545 -45.8563187,-67.83653581 -45.85644197,-67.8371108 -45.8561767,-67.8326368 -45.8556313,-67.83154193 -45.85548135,-67.8319716 -45.855437,-67.8292787 -45.855108200000004,-67.82760578 -45.8552439,-67.8277767 -45.8550036,-67.8251696 -45.8547271,-67.824676 -45.8544207,-67.82322995 -45.85451391,-67.8244078 -45.8540994,-67.8225088 -45.8518801,-67.82163737 -45.8516816,-67.8223801 -45.8515886,-67.8209639 -45.8504751,-67.8196657 -45.8504079,-67.81800483 -45.85079524,-67.8185713 -45.8505798,-67.816962 -45.851073,-67.8161895 -45.8523658,-67.81497943 -45.85259887,-67.816329 -45.8519921,-67.8167796 -45.8511701,-67.8158462 -45.8513121,-67.8150415 -45.8533148,-67.8138399 -45.8541293,-67.81217316 -45.85421245,-67.809999 -45.85395,-67.81053540000002 -45.8542265,-67.8125417 -45.8543386,-67.80813131 -45.85419968,-67.8064048 -45.853539,-67.8089046 -45.854361,-67.8103852 -45.8542265,-67.8098702 -45.8539126,-67.80441533 -45.8533642,-67.805289 -45.8529487,-67.8034651 -45.8522612,-67.8028214 -45.85306820000001,-67.8021669 -45.8529711,-67.80053473 -45.85338776,-67.8014696 -45.8535315,-67.799592 -45.8552801,-67.7985406 -45.8554818,-67.7970643 -45.85560927,-67.7944744 -45.8548541,-67.7952468 -45.855108200000004,-67.79841180000001 -45.8550858,-67.7985942 -45.8553996,-67.79352993 -45.85472019,-67.7944744 -45.8548541,-67.794764 -45.8551755,-67.7924466 -45.8554519,-67.7921462 -45.8562515,-67.79068399 -45.85671662,-67.7884984 -45.8575367,-67.7912343 -45.8565653,-67.78733078 -45.85824489,-67.7862132 -45.8584258,-67.7890134 -45.8589713,-67.7900219 -45.8586276,-67.788595 -45.8585155,-67.784266 -45.85856607,-67.7824259 -45.8594121,-67.7837563 -45.8592702,-67.7851295 -45.8585379,-67.78070545 -45.85980557;-67.78070545 -45.85980557,-67.7824259 -45.8594121,-67.7837563 -45.8592702,-67.7851295 -45.8585379,-67.784266 -45.85856607,-67.7862132 -45.8584258,-67.7890134 -45.8589713,-67.7900219 -45.8586276,-67.788595 -45.8585155,-67.78733078 -45.85824489,-67.7884984 -45.8575367,-67.7912343 -45.8565653,-67.79068399 -45.85671662,-67.7944744 -45.8548541,-67.794764 -45.8551755,-67.7924466 -45.8554519,-67.7921462 -45.8562515,-67.79352993 -45.85472019,-67.7944744 -45.8548541,-67.7952468 -45.855108200000004,-67.79841180000001 -45.8550858,-67.7985942 -45.8553996,-67.7970643 -45.85560927,-67.8014696 -45.8535315,-67.799592 -45.8552801,-67.7985406 -45.8554818,-67.80053473 -45.85338776,-67.805289 -45.8529487,-67.8034651 -45.8522612,-67.8028214 -45.85306820000001,-67.8021669 -45.8529711,-67.80441533 -45.8533642,-67.8064048 -45.853539,-67.8089046 -45.854361,-67.8103852 -45.8542265,-67.8098702 -45.8539126,-67.80813131 -45.85419968,-67.809999 -45.85395,-67.81053540000002 -45.8542265,-67.8125417 -45.8543386,-67.81217316 -45.85421245,-67.816329 -45.8519921,-67.8167796 -45.8511701,-67.8158462 -45.8513121,-67.8150415 -45.8533148,-67.8138399 -45.8541293,-67.81497943 -45.85259887,-67.8185713 -45.8505798,-67.816962 -45.851073,-67.8161895 -45.8523658,-67.81800483 -45.85079524,-67.8223801 -45.8515886,-67.8209639 -45.8504751,-67.8196657 -45.8504079,-67.82163737 -45.8516816,-67.8244078 -45.8540994,-67.8225088 -45.8518801,-67.82322995 -45.85451391,-67.8277767 -45.8550036,-67.8251696 -45.8547271,-67.824676 -45.8544207,-67.82760578 -45.8552439,-67.8319716 -45.855437,-67.8292787 -45.855108200000004,-67.83154193 -45.85548135,-67.8371108 -45.8561767,-67.8326368 -45.8556313,-67.83653581 -45.85644197,-67.8438914 -45.8557508,-67.8414237 -45.8563262,-67.8377545 -45.8563187,-67.84359994 -45.85582912,-67.8480864 -45.8556163,-67.846477 -45.8561992,-67.8452325 -45.8556537,-67.84737753 -45.85568862,-67.851541 -45.8561394,-67.8511119 -45.8555416,-67.8497386 -45.8553249,-67.8490841 -45.8555341,-67.84992667 -45.85649082,-67.8511226 -45.8587172,-67.8489661 -45.8581942,-67.8504252 -45.8565952,-67.85051371 -45.8587379,-67.8547168 -45.8600622,-67.8545237 -45.8589862,-67.8537083 -45.858508,-67.852335 -45.8585529,-67.85325633 -45.86047853,-67.8585362 -45.8586425,-67.8567231 -45.8591431,-67.8550386 -45.8605852,-67.85800456 -45.85865306,-67.8617334 -45.8580597,-67.8595233 -45.8583362,-67.86119926 -45.8582863,-67.8630531 -45.8577608,-67.8618944 -45.8580074,-67.86269634 -45.8576934,-67.8655958 -45.85783560000001,-67.8642118 -45.8570435,-67.86509618 -45.85797591,-67.8666258 -45.8579551,-67.8677523 -45.8588443,-67.8689218 -45.8588293,-67.8688896 -45.8591954,-67.86821501 -45.85959306,-67.87273050000002 -45.8603909,-67.8713894 -45.86060760000001,-67.8696728 -45.8603312,-67.8687501 -45.8600248,-67.868396 -45.859329900000006,-67.8688145 -45.8588667,-67.8688037 -45.8592029,-67.87238238 -45.86053745,-67.8762281 -45.861026,-67.8764856 -45.8608841,-67.8761208 -45.8599501,-67.8737497 -45.8604133,-67.87444477 -45.86135588,-67.8761101 -45.86104100000001,-67.8766465 -45.8610185,-67.8767216 -45.8614071,-67.87598229 -45.86175617,-67.8765821 -45.8616835,-67.8769684 -45.861803,-67.877183 -45.8627295,-67.87624464 -45.86324951,-67.87849190000001 -45.8641416,-67.8785133 -45.863499,-67.8778052 -45.8630732,-67.87711554 -45.86436098,-67.8776658 -45.8646496,-67.876035 -45.8642312,-67.8759491 -45.8638278,-67.8749514 -45.864380600000004,-67.87319628 -45.86441938,-67.8740609 -45.8679218,-67.8740501 -45.8676828,-67.8730416 -45.867115,-67.8732347 -45.8667639,-67.8746724 -45.8662783,-67.8754556 -45.865591,-67.876035 -45.8638054,-67.8748977 -45.8643134,-67.8729107 -45.86822856,-67.8735942 -45.8680488,-67.8724301 -45.8682281,-67.8724086 -45.8686689,-67.8764427 -45.8695952,-67.87545792 -45.87007243,-67.8773439 -45.8681385,-67.878288 -45.8679816,-67.8767216 -45.8696102,-67.87529512 -45.86884053,-67.8773224 -45.8682132,-67.8784168 -45.867951700000006,-67.8792751 -45.866988,-67.87841593 -45.86693979,-67.8794253 -45.8652025,-67.8813779 -45.8643508,-67.8805947 -45.8648065,-67.8801227 -45.8652622,-67.8801119 -45.8658151,-67.8798544 -45.8661513,-67.87816911 -45.86559299,-67.8800154 -45.8627071,-67.880863 -45.8635887,-67.8814101 -45.8638502,-67.881496 -45.8643508,-67.8795862 -45.8651352,-67.87889297 -45.8626014,-67.8809917 -45.8619301,-67.8822792 -45.8616611,-67.8835666 -45.8617507,-67.8845859 -45.8612277,-67.8843284 -45.8612427,-67.88286864 -45.86153258,-67.8855836 -45.8605329,-67.8847253 -45.8611754,-67.8843284 -45.8612427,-67.88485253 -45.86038085,-67.8862917 -45.8600846,-67.8869355 -45.8600547,-67.8873861 -45.8596438,-67.8876221 -45.8588667,-67.8886843 -45.8579999,-67.8905296 -45.8572453,-67.892493 -45.8607271, -67.8927398 -45.8607346, -67.8935337 -45.859584, -67.8939092 -45.8579925, -67.8936625 -45.8569015, -67.8923857 -45.8572154,-67.89112374 -45.86105529,-67.8922999 -45.8618479,-67.8926861 -45.8618553,-67.8926969 -45.8608019,-67.892493 -45.8607271,-67.89062946 -45.86210121,-67.8931367 -45.8638427,-67.892611 -45.8618778,-67.8922999 -45.8618479,-67.89177843 -45.86436433,,-67.89192781 -45.86428661,-67.8894031 -45.8649634,-67.8913772 -45.8647617,-67.89289 -45.8643732,-67.88841067 -45.86540133,-67.8926325 -45.866988,-67.8906047 -45.8664053,-67.8895426 -45.86593460000001,-67.8895962 -45.86530710000001,-67.89194102 -45.86726393,-67.8929329 -45.86721210000001,-67.894392 -45.8695056,-67.89334262 -45.86982277,-67.8955185 -45.8706112,-67.895025 -45.8705813,-67.8944993 -45.8697073,-67.89468537 -45.87097799,-67.8951538 -45.8720604,-67.8954649 -45.8713209,-67.8950679 -45.870671,-67.8955185 -45.8706112,-67.89420174 -45.8725767,-67.8954864 -45.8744359,-67.8949392 -45.8739429,-67.895143 -45.8733378,-67.8949499 -45.8727701,-67.89489679 -45.87455424,-67.8992522 -45.8749438,-67.8973424 -45.8751455,-67.8966451 -45.875362100000004,-67.8955722 -45.8745031,-67.89863672 -45.87485225,-67.8996062 -45.8756758,-67.8981364 -45.8751081,-67.8992522 -45.8749438,-67.89781334 -45.87614703,,-67.89805175 -45.8762384,-67.8998315 -45.8761838,-67.9001212 -45.8769457,-67.900883 -45.8771399,-67.9025674 -45.8764527,-67.90200809 -45.87637167,-67.9027498 -45.8764153,-67.9023206 -45.8766319,-67.9053462 -45.8764079,-67.9049706 -45.8759672,-67.90388535 -45.87594679,-67.9065692 -45.87642280000001,-67.9066443 -45.8758626,-67.9054427 -45.876363,-67.9050243 -45.8759149,-67.90493501 -45.87690763,-67.9065907 -45.8763481,-67.9067516 -45.8757356,-67.9067945 -45.8747496,-67.90587404 -45.87465377,-67.9081142 -45.8724638,-67.9093158 -45.872419,-67.9095948 -45.873240700000004,-67.9077601 -45.874406,-67.906816 -45.8746824,-67.90662102 -45.87275785,-67.9082108 -45.8724937,-67.9091656 -45.8723816,-67.909745 -45.8728971,-67.9097986 -45.8720754,-67.910614 -45.87156740000001,-67.91010429 -45.87155616;-67.91010429 -45.87155616,-67.9082108 -45.8724937,-67.9091656 -45.8723816,-67.909745 -45.8728971,-67.9097986 -45.8720754,-67.910614 -45.87156740000001,-67.90662102 -45.87275785,-67.9081142 -45.8724638,-67.9093158 -45.872419,-67.9095948 -45.873240700000004,-67.9077601 -45.874406,-67.906816 -45.8746824,-67.90587404 -45.87465377,-67.9065907 -45.8763481,-67.9067516 -45.8757356,-67.9067945 -45.8747496,-67.90493501 -45.87690763,-67.9108071 -45.880613,-67.9116762 -45.8803665,-67.9099488 -45.8795972,-67.9089832 -45.8795748,-67.908479 -45.879291,-67.9081464 -45.8778345,-67.9075241 -45.8768784,-67.9078567 -45.8763107,-67.9075456 -45.8753322,-67.9072452 -45.8752799,-67.9064727 -45.8764004,-67.90902811 -45.88062544,,-67.90891537 -45.88072557,-67.9107428 -45.880501,-67.9119766 -45.880389,-67.9123414 -45.8806952,-67.9129958 -45.8809193,-67.91210808 -45.8814063,,-67.91214619 -45.88124859,-67.9166651 -45.8823159,-67.9169762 -45.8821367,-67.9166543 -45.8815466,-67.913146 -45.8824205,-67.9128242 -45.8814645,-67.91541483 -45.88231338,-67.9166651 -45.8823159,-67.9170835 -45.8822711,-67.9178345 -45.8833989,-67.9184783 -45.8832943,-67.91747464 -45.88372353,-67.9183173 -45.8833018,-67.9179525 -45.8832943,-67.9178452 -45.8829358,-67.9186606 -45.8819873,-67.9191113 -45.8815466,-67.9197979 -45.8813898,-67.91930941 -45.88137118,-67.9231775 -45.8798138,-67.9230273 -45.8801051,-67.9220295 -45.8802022,-67.9198301 -45.8807027,-67.9191542 -45.8814645,-67.9198301 -45.8813375,-67.92260289 -45.87981886,-67.9288745 -45.8790371,-67.9299045 -45.8786188,-67.929765 -45.8784918,-67.9247224 -45.8798512,-67.9241753 -45.8796943,-67.92746283 -45.879252,-67.9288745 -45.8790371,-67.9299796 -45.8786337,-67.9304302 -45.8776552,-67.9309022 -45.8766245,-67.9306126 -45.8766543,-67.92916705 -45.87686758,-67.9305589 -45.8765722,-67.9309773 -45.8765423,-67.9323184 -45.875011,-67.9336917 -45.8726132,-67.93292309 -45.87290945,-67.9337347 -45.872531,-67.9350007 -45.8704245,-67.9346895 -45.8701032,-67.933282 -45.87018527,-67.936492 -45.8696625,-67.9362881 -45.8694234,-67.9350436 -45.8703273,-67.9347003 -45.8699986,-67.93551008 -45.87004015,-67.9383588 -45.8674437,-67.9380584 -45.8682655,-67.9363847 -45.8693786,-67.9365671 -45.8696326,-67.9400271 -45.8665472</t>
  </si>
  <si>
    <t>-67.9400271 -45.8665472,-67.9383588 -45.8674437,-67.9380584 -45.8682655,-67.9363847 -45.8693786,-67.9365671 -45.8696326,-67.93551008 -45.87004015,-67.936492 -45.8696625,-67.9362881 -45.8694234,-67.9350436 -45.8703273,-67.9347003 -45.8699986,-67.933282 -45.87018527,-67.9337347 -45.872531,-67.9350007 -45.8704245,-67.9346895 -45.8701032,-67.93292309 -45.87290945,-67.9305589 -45.8765722,-67.9309773 -45.8765423,-67.9323184 -45.875011,-67.9336917 -45.8726132,-67.92916705 -45.87686758,-67.9288745 -45.8790371,-67.9299796 -45.8786337,-67.9304302 -45.8776552,-67.9309022 -45.8766245,-67.9306126 -45.8766543,-67.92746283 -45.879252,-67.9288745 -45.8790371,-67.9299796 -45.8786337,-67.9308271 -45.8793582,-67.9310632 -45.8796271,-67.9308057 -45.8796645,-67.92926139 -45.87980166,-67.9308057 -45.8796645,-67.9309773 -45.8795823,-67.9308271 -45.8793582,-67.9319429 -45.8795524,-67.9332089 -45.8799333,-67.9339921 -45.8795524,-67.9349685 -45.8793358,-67.935698 -45.8793209,-67.93512028 -45.8793768,-67.9364383 -45.8791566,-67.9368889 -45.8790371,-67.9370821 -45.878798,-67.939657 -45.8787906,-67.9398179 -45.8784246,-67.93938002 -45.87863178;-67.93938002 -45.87863178,-67.9433799 -45.8793582,-67.9425859 -45.8792462,-67.9414809 -45.8788951,-67.9399574 -45.8788802,-67.9395819 -45.8785889,-67.9398179 -45.8784246,-67.94258106 -45.87928487,-67.9468131 -45.8799931,-67.9464698 -45.8794927,-67.9443026 -45.8791491,-67.9459034 -45.88040255,-67.9472744 -45.8827118,-67.9475963 -45.8819051,-67.9476392 -45.8807475,-67.9472208 -45.8805159,-67.94607409 -45.88311995,-67.9472744 -45.8852212,-67.9470921 -45.8844967,-67.9472423 -45.883959,-67.9472315 -45.8831823,-67.94628753 -45.88560005,-67.9487872 -45.8868418,-67.9495382 -45.8874766,-67.9496884 -45.88726,-67.9485726 -45.886095,-67.9476714 -45.8855871,-67.94746568 -45.88694764,-67.948755 -45.886894,-67.9494202 -45.887484,-67.9503751 -45.8875587,-67.9509008 -45.8873571,-67.9508793 -45.8868716,-67.94972726 -45.88693813,-67.951051 -45.8868418,-67.9516089 -45.886207,-67.952832 -45.8866028,-67.95178221 -45.88666191,-67.957381 -45.8868268,-67.9566729 -45.8866327,-67.953701 -45.8868791,-67.9533148 -45.8869911,-67.9529393 -45.8866103,-67.95650174 -45.8868325,-67.9563618 -45.8869613,-67.9570055 -45.8870583,-67.9568553 -45.8866028,-67.957381 -45.8868268,-67.95495587 -45.8875866,-67.9576063 -45.8896124,-67.9577136 -45.888888,-67.9572308 -45.8876483,-67.9565012 -45.8869986,-67.95602222 -45.88970885,-67.9610395 -45.8924351,-67.9590547 -45.8915988,-67.9585397 -45.8910014,-67.9589152 -45.8901575,-67.9578102 -45.8897468,-67.95993517 -45.89286656;-67.95993517 -45.89286656,-67.9610395 -45.8924351,-67.9590547 -45.8915988,-67.9585397 -45.8910014,-67.9589152 -45.8901575,-67.9578102 -45.8897468,-67.95602222 -45.88970885,-67.9576063 -45.8896124,-67.9577136 -45.888888,-67.9572308 -45.8876483,-67.9565012 -45.8869986,-67.95495587 -45.8875866,-67.9563618 -45.8869613,-67.9570055 -45.8870583,-67.9568553 -45.8866028,-67.957381 -45.8868268,-67.95650174 -45.8868325,-67.957381 -45.8868268,-67.9566729 -45.8866327,-67.953701 -45.8868791,-67.9533148 -45.8869911,-67.9529393 -45.8866103,-67.95178221 -45.88666191,-67.951051 -45.8868418,-67.9516089 -45.886207,-67.952832 -45.8866028,-67.94972726 -45.88693813,-67.948755 -45.886894,-67.9494202 -45.887484,-67.9503751 -45.8875587,-67.9509008 -45.8873571,-67.9508793 -45.8868716,-67.94746568 -45.88694764,-67.9487872 -45.8868418,-67.9495382 -45.8874766,-67.9496884 -45.88726,-67.9485726 -45.886095,-67.9476714 -45.8855871,-67.94628753 -45.88560005,-67.9472744 -45.8852212,-67.9470921 -45.8844967,-67.9472423 -45.883959,-67.9472315 -45.8831823,-67.94607409 -45.88311995,-67.9472744 -45.8827118,-67.9475963 -45.8819051,-67.9476392 -45.8807475,-67.9472208 -45.8805159,-67.9459034 -45.88040255,-67.9468131 -45.8799931,-67.9464698 -45.8794927,-67.9443026 -45.8791491,-67.94258106 -45.87928487,-67.9433799 -45.8793582,-67.9425859 -45.8792462,-67.9414809 -45.8788951,-67.9399574 -45.8788802,-67.9395819 -45.8785889,-67.9398179 -45.8784246,-67.93938002 -45.87863178,,-67.93921257 -45.87804782,-67.9512119 -45.8788877,-67.952435 -45.8787607,-67.9518127 -45.8800454,-67.9474354 -45.8786785,-67.9441524 -45.8779764,-67.9427791 -45.8776328,-67.940805 -45.8776926,-67.94944114 -45.87896309,-67.9534543 -45.8773565,-67.9526925 -45.87711,-67.9530144 -45.8775731,-67.9524779 -45.878813,-67.9512334 -45.8789325,-67.95259842 -45.87763583,-67.9539478 -45.8775432,-67.9560077 -45.8773266,-67.9570484 -45.8767328,-67.9579389 -45.8758215,-67.9585665 -45.8748691,-67.9575956 -45.8754443,-67.95608568 -45.8759708,-67.9669082 -45.8749812,-67.9658675 -45.873868200000004,-67.9650843 -45.8737113,-67.9633462 -45.8741744,-67.9616296 -45.8739877,-67.9602456 -45.873278,-67.9584754 -45.8748915,-67.957499 -45.8754293,-67.96587392 -45.87543336,-67.968936 -45.876467600000005,-67.9687858 -45.8766021,-67.9677987 -45.8763033,-67.9669404 -45.8754816,-67.96782021 -45.87637267;-67.96782021 -45.87637267,-67.968936 -45.876467600000005,-67.9687858 -45.8766021,-67.9677987 -45.8763033,-67.9669404 -45.8754816,-67.96587392 -45.87543336,-67.9669082 -45.8749812,-67.9658675 -45.873868200000004,-67.9650843 -45.8737113,-67.9633462 -45.8741744,-67.9616296 -45.8739877,-67.9602456 -45.873278,-67.9584754 -45.8748915,-67.957499 -45.8754293,-67.95608568 -45.8759708,-67.9539478 -45.8775432,-67.9560077 -45.8773266,-67.9570484 -45.8767328,-67.9579389 -45.8758215,-67.9585665 -45.8748691,-67.9575956 -45.8754443,-67.95259842 -45.87763583,-67.9534543 -45.8773565,-67.9526925 -45.87711,-67.9530144 -45.8775731,-67.9524779 -45.878813,-67.9512334 -45.8789325,-67.94944114 -45.87896309,-67.9512119 -45.8788877,-67.952435 -45.8787607,-67.9518127 -45.8800454,-67.9474354 -45.8786785,-67.9441524 -45.8779764,-67.9427791 -45.8776328,-67.940805 -45.8776926,-67.93921257 -45.87804782,,-67.93938002 -45.87863178,-67.9433799 -45.8793582,-67.9425859 -45.8792462,-67.9414809 -45.8788951,-67.9399574 -45.8788802,-67.9395819 -45.8785889,-67.9398179 -45.8784246,-67.94258106 -45.87928487,-67.9468131 -45.8799931,-67.9464698 -45.8794927,-67.9443026 -45.8791491,-67.9459034 -45.88040255,-67.9472744 -45.8827118,-67.9475963 -45.8819051,-67.9476392 -45.8807475,-67.9472208 -45.8805159,-67.94607409 -45.88311995,-67.9472744 -45.8852212,-67.9470921 -45.8844967,-67.9472423 -45.883959,-67.9472315 -45.8831823,-67.94628753 -45.88560005,-67.9487872 -45.8868418,-67.9495382 -45.8874766,-67.9496884 -45.88726,-67.9485726 -45.886095,-67.9476714 -45.8855871,-67.94746568 -45.88694764,-67.948755 -45.886894,-67.9494202 -45.887484,-67.9503751 -45.8875587,-67.9509008 -45.8873571,-67.9508793 -45.8868716,-67.94972726 -45.88693813,-67.951051 -45.8868418,-67.9516089 -45.886207,-67.952832 -45.8866028,-67.95178221 -45.88666191,-67.957381 -45.8868268,-67.9566729 -45.8866327,-67.953701 -45.8868791,-67.9533148 -45.8869911,-67.9529393 -45.8866103,-67.95650174 -45.8868325,-67.9563618 -45.8869613,-67.9570055 -45.8870583,-67.9568553 -45.8866028,-67.957381 -45.8868268,-67.95495587 -45.8875866,-67.9576063 -45.8896124,-67.9577136 -45.888888,-67.9572308 -45.8876483,-67.9565012 -45.8869986,-67.95602222 -45.88970885,-67.958647 -45.8921289,-67.9580784 -45.8917854,-67.958411 -45.8907699,-67.9588509 -45.8902397,-67.9578209 -45.8896422,-67.95792371 -45.89252328,-67.958411 -45.8946678,-67.9585934 -45.8938464,-67.9590118 -45.8934581,-67.9594839 -45.8932714,-67.9597199 -45.892913,-67.9595053 -45.8926741,-67.95753705 -45.89518861,-67.9602778 -45.8973559,-67.959677 -45.8974604,-67.9590976 -45.897326,-67.9587114 -45.8968257,-67.95928 -45.896094,-67.9591405 -45.8953548,-67.95956637 -45.89743693,-67.9642367 -45.8983564,-67.9643333 -45.8976993,-67.9650199 -45.8970721,-67.9652989 -45.8964076,-67.9613721 -45.8972065,-67.96354703 -45.89869944,-67.9681742 -45.8981175,-67.967155 -45.8982145,-67.966522 -45.8986401,-67.965138 -45.8986401,-67.96764913 -45.89786174;-67.96764913 -45.89786174,-67.9681742 -45.8981175,-67.967155 -45.8982145,-67.966522 -45.8986401,-67.965138 -45.8986401,-67.96354703 -45.89869944,-67.9662001 -45.8964449,-67.9653203 -45.8977964,-67.9651058 -45.8977217,-67.9655027 -45.8963628,-67.9647303 -45.8972513,-67.9640865 -45.8983937,-67.96531388 -45.89614529,-67.9662001 -45.8964449,-67.9652131 -45.8977815,-67.9650414 -45.897662,-67.9655886 -45.8962657,-67.966125 -45.8954817,-67.9668546 -45.8937568,-67.96564342 -45.89329615;-67.96564342 -45.89329615,-67.9649234 -45.8939808,-67.9661894 -45.8928234,-67.9669297 -45.8928981,-67.96375293 -45.89458506;-67.96375293 -45.89458506,-67.9649234 -45.8939808,-67.9661894 -45.8928234,-67.9669297 -45.8928981,-67.96564342 -45.89329615,-67.9667902 -45.8928309,-67.9665112 -45.8926517,-67.9661894 -45.8920169,-67.965138 -45.8917033,-67.964741 -45.8917481,-67.9635823 -45.8909043,-67.96267485 -45.89061558,-67.9636359 -45.8920916,-67.9636359 -45.890964,-67.96212496 -45.89267136,-67.9612112 -45.8971319,-67.9633784 -45.8962807,-67.9639149 -45.8957132,-67.9634535 -45.8934357,-67.9631853 -45.892801,-67.95956637 -45.89743693,-67.9602778 -45.8973559,-67.959677 -45.8974604,-67.9590976 -45.897326,-67.9587114 -45.8968257,-67.95928 -45.896094,-67.9591405 -45.8953548,-67.95753705 -45.89518861,-67.958411 -45.8946678,-67.9585934 -45.8938464,-67.9590118 -45.8934581,-67.9594839 -45.8932714,-67.9597199 -45.892913,-67.9595053 -45.8926741,-67.95792371 -45.89252328,-67.958647 -45.8921289,-67.9580784 -45.8917854,-67.958411 -45.8907699,-67.9588509 -45.8902397,-67.9578209 -45.8896422,-67.95602222 -45.88970885,-67.9576063 -45.8896124,-67.9577136 -45.888888,-67.9572308 -45.8876483,-67.9565012 -45.8869986,-67.95495587 -45.8875866,-67.9563618 -45.8869613,-67.9570055 -45.8870583,-67.9568553 -45.8866028,-67.957381 -45.8868268,-67.95650174 -45.8868325,-67.957381 -45.8868268,-67.9566729 -45.8866327,-67.953701 -45.8868791,-67.9533148 -45.8869911,-67.9529393 -45.8866103,-67.95178221 -45.88666191,-67.951051 -45.8868418,-67.9516089 -45.886207,-67.952832 -45.8866028,-67.94972726 -45.88693813,-67.948755 -45.886894,-67.9494202 -45.887484,-67.9503751 -45.8875587,-67.9509008 -45.8873571,-67.9508793 -45.8868716,-67.94746568 -45.88694764,-67.9487872 -45.8868418,-67.9495382 -45.8874766,-67.9496884 -45.88726,-67.9485726 -45.886095,-67.9476714 -45.8855871,-67.94628753 -45.88560005,-67.9472744 -45.8852212,-67.9470921 -45.8844967,-67.9472423 -45.883959,-67.9472315 -45.8831823,-67.94607409 -45.88311995,-67.9472744 -45.8827118,-67.9475963 -45.8819051,-67.9476392 -45.8807475,-67.9472208 -45.8805159,-67.9459034 -45.88040255,-67.9468131 -45.8799931,-67.9464698 -45.8794927,-67.9443026 -45.8791491,-67.94258106 -45.87928487,-67.9433799 -45.8793582,-67.9425859 -45.8792462,-67.9414809 -45.8788951,-67.9399574 -45.8788802,-67.9395819 -45.8785889,-67.9398179 -45.8784246,-67.93938002 -45.87863178,-67.9364383 -45.8791566,-67.9368889 -45.8790371,-67.9370821 -45.878798,-67.939657 -45.8787906,-67.9398179 -45.8784246,-67.93512028 -45.8793768,-67.9308057 -45.8796645,-67.9309773 -45.8795823,-67.9308271 -45.8793582,-67.9319429 -45.8795524,-67.9332089 -45.8799333,-67.9339921 -45.8795524,-67.9349685 -45.8793358,-67.935698 -45.8793209,-67.92926139 -45.87980166,-67.9288745 -45.8790371,-67.9299796 -45.8786337,-67.9308271 -45.8793582,-67.9310632 -45.8796271,-67.9308057 -45.8796645,-67.92746283 -45.879252,-67.9288745 -45.8790371,-67.9299796 -45.8786337,-67.9304302 -45.8776552,-67.9309022 -45.8766245,-67.9306126 -45.8766543,-67.92916705 -45.87686758,-67.9305589 -45.8765722,-67.9309773 -45.8765423,-67.9323184 -45.875011,-67.9336917 -45.8726132,-67.93292309 -45.87290945,-67.9337347 -45.872531,-67.9350007 -45.8704245,-67.9346895 -45.8701032,-67.933282 -45.87018527,-67.936492 -45.8696625,-67.9362881 -45.8694234,-67.9350436 -45.8703273,-67.9347003 -45.8699986,-67.93551008 -45.87004015,-67.9383588 -45.8674437,-67.9380584 -45.8682655,-67.9363847 -45.8693786,-67.9365671 -45.8696326,-67.9400271 -45.8665472</t>
  </si>
  <si>
    <t>-67.9400271 -45.8665472,-67.9383588 -45.8674437,-67.9380584 -45.8682655,-67.9363847 -45.8693786,-67.9365671 -45.8696326,-67.93551008 -45.87004015,-67.936492 -45.8696625,-67.9362881 -45.8694234,-67.9350436 -45.8703273,-67.9347003 -45.8699986,-67.933282 -45.87018527,-67.9337347 -45.872531,-67.9350007 -45.8704245,-67.9346895 -45.8701032,-67.93292309 -45.87290945,-67.9305589 -45.8765722,-67.9309773 -45.8765423,-67.9323184 -45.875011,-67.9336917 -45.8726132,-67.92916705 -45.87686758,-67.9288745 -45.8790371,-67.9299796 -45.8786337,-67.9304302 -45.8776552,-67.9309022 -45.8766245,-67.9306126 -45.8766543,-67.92746283 -45.879252,-67.9288745 -45.8790371,-67.9299796 -45.8786337,-67.9308271 -45.8793582,-67.9310632 -45.8796271,-67.9308057 -45.8796645,-67.92926139 -45.87980166,-67.9308057 -45.8796645,-67.9309773 -45.8795823,-67.9308271 -45.8793582,-67.9319429 -45.8795524,-67.9332089 -45.8799333,-67.9339921 -45.8795524,-67.9349685 -45.8793358,-67.935698 -45.8793209,-67.93512028 -45.8793768,-67.9364383 -45.8791566,-67.9368889 -45.8790371,-67.9370821 -45.878798,-67.939657 -45.8787906,-67.9398179 -45.8784246,-67.93938002 -45.87863178,-67.9433799 -45.8793582,-67.9425859 -45.8792462,-67.9414809 -45.8788951,-67.9399574 -45.8788802,-67.9395819 -45.8785889,-67.9398179 -45.8784246,-67.94258106 -45.87928487,-67.9468131 -45.8799931,-67.9464698 -45.8794927,-67.9443026 -45.8791491,-67.9459034 -45.88040255,-67.9472744 -45.8827118,-67.9475963 -45.8819051,-67.9476392 -45.8807475,-67.9472208 -45.8805159,-67.94607409 -45.88311995,-67.9472744 -45.8852212,-67.9470921 -45.8844967,-67.9472423 -45.883959,-67.9472315 -45.8831823,-67.94628753 -45.88560005,-67.9487872 -45.8868418,-67.9495382 -45.8874766,-67.9496884 -45.88726,-67.9485726 -45.886095,-67.9476714 -45.8855871,-67.94746568 -45.88694764;-67.94746568 -45.88694764,-67.948755 -45.886894,-67.9494202 -45.887484,-67.9503751 -45.8875587,-67.9509008 -45.8873571,-67.9508793 -45.8868716,-67.94972726 -45.88693813,-67.951051 -45.8868418,-67.9516089 -45.886207,-67.952832 -45.8866028,-67.95178221 -45.88666191,-67.957381 -45.8868268,-67.9566729 -45.8866327,-67.953701 -45.8868791,-67.9533148 -45.8869911,-67.9529393 -45.8866103,-67.95650174 -45.8868325,-67.9563618 -45.8869613,-67.9570055 -45.8870583,-67.9568553 -45.8866028,-67.957381 -45.8868268,-67.95495587 -45.8875866,-67.9576063 -45.8896124,-67.9577136 -45.888888,-67.9572308 -45.8876483,-67.9565012 -45.8869986,-67.95602222 -45.88970885,-67.958647 -45.8921289,-67.9580784 -45.8917854,-67.958411 -45.8907699,-67.9588509 -45.8902397,-67.9578209 -45.8896422,-67.95792371 -45.89252328,-67.958411 -45.8946678,-67.9585934 -45.8938464,-67.9590118 -45.8934581,-67.9594839 -45.8932714,-67.9597199 -45.892913,-67.9595053 -45.8926741,-67.95753705 -45.89518861,-67.9602778 -45.8973559,-67.959677 -45.8974604,-67.9590976 -45.897326,-67.9587114 -45.8968257,-67.95928 -45.896094,-67.9591405 -45.8953548,-67.95956637 -45.89743693,-67.9642367 -45.8983564,-67.9643333 -45.8976993,-67.9650199 -45.8970721,-67.9652989 -45.8964076,-67.9613721 -45.8972065,-67.96354703 -45.89869944,-67.9693437 -45.9027914,-67.9659963 -45.8987297,-67.965138 -45.8986401,-67.96793825 -45.90348141,-67.970438 -45.9058075,-67.9690218 -45.9036126,-67.96980563 -45.90670646,-67.9705238 -45.9066735,-67.9697728 -45.9068527,-67.9681849 -45.9083607,-67.9670477 -45.9085548,-67.9651165 -45.9093461,-67.9646015 -45.9095999,-67.9632926 -45.9097492,-67.9626489 -45.9100179,-67.9595375 -45.9096447,-67.9576575 -45.90959388,-67.9533577 -45.9118095,-67.9582071 -45.9103464,-67.960031 -45.9096148,-67.9595375 -45.9095402,-67.95174739 -45.91238069;-67.95174739 -45.91238069,-67.9533577 -45.9118095,-67.9582071 -45.9103464,-67.960031 -45.9096148,-67.9595375 -45.9095402,-67.9576575 -45.90959388,-67.9595375 -45.9095402,-67.9626489 -45.9100179,-67.9632926 -45.9097492,-67.9646015 -45.9095999,-67.9670477 -45.9085548,-67.962842 -45.9087489,-67.9598165 -45.9075843,-67.9531431 -45.90851,-67.9471993 -45.9112123,-67.9453754 -45.9116005,-67.9437232 -45.9109734,-67.9432511 -45.9099433,-67.94205735 -45.90980155,-67.9382944 -45.9130934,-67.9395604 -45.9136906,-67.9405904 -45.9131382,-67.9431438 -45.9124664,-67.9441524 -45.9118692,-67.9452038 -45.9116154,-67.9438734 -45.9110779,-67.9432511 -45.9099433,-67.93665996 -45.91286222,-67.9371786 -45.9124813,-67.9369533 -45.9118916,-67.9363096 -45.9101747,-67.935183 -45.9100179,-67.9330123 -45.90989279,-67.93396 -45.910003,-67.9332089 -45.9102269,-67.9314494 -45.9103464,-67.9311919 -45.9100478,-67.9308486 -45.9099433,-67.92909659 -45.90983142,-67.9287028 -45.9107794,-67.9314494 -45.9103464,-67.9308486 -45.9099433,-67.92696483 -45.91132509;-67.92696483 -45.91132509,-67.9287028 -45.9107794,-67.9314494 -45.9103464,-67.9308486 -45.9099433,-67.92909659 -45.90983142,-67.9308486 -45.9099433,-67.9312348 -45.9102419,-67.9297328 -45.910421,-67.9279304 -45.9103613,-67.9261494 -45.9116303,-67.9255915 -45.9130038,-67.924819 -45.9119737,-67.9250765 -45.911063,-67.92339949 -45.91107871,-67.9191971 -45.9115109,-67.9193473 -45.9122574,-67.9206347 -45.9121827,-67.9237676 -45.911287,-67.91938339 -45.91141146,-67.9150558 -45.9126903,-67.9162359 -45.9122126,-67.9164505 -45.9115408,-67.9181457 -45.910645,-67.9202914 -45.9111078,-67.91361731 -45.91301639,-67.9095197 -45.9178556,-67.9090691 -45.9168107,-67.9049706 -45.9149894,-67.9050565 -45.9146311,-67.908597 -45.9143027,-67.9105282 -45.9135114,-67.9126954 -45.9130636,-67.9141974 -45.9123171,-67.90949828 -45.91775832,-67.9105067 -45.9207068,-67.9081678 -45.9205276,-67.9078245 -45.9200798,-67.9065156 -45.9195574,-67.9081035 -45.9191991,-67.9097772 -45.9180049,-67.91006087 -45.92075561,-67.9186392 -45.925737,-67.9181242 -45.9258713,-67.9160213 -45.924319,-67.9144335 -45.9239011,-67.9125881 -45.9236324,-67.911365 -45.9232891,-67.908361 -45.9205575,-67.9107213 -45.9206172,-67.91781996 -45.92567691;-67.91781996 -45.92567691,-67.9287672 -45.9270653,-67.927587 -45.9266922,-67.9265141 -45.9266325,-67.9261708 -45.9260206,-67.926321 -45.9254982,-67.9253769 -45.9248713,-67.9232097 -45.9249011,-67.922008 -45.9242593,-67.9200339 -45.9239458,-67.9162788 -45.9243787,-67.9181242 -45.9258713,-67.9186392 -45.925737,-67.92882882 -45.92622679,-67.9366422 -45.9271698,-67.9355264 -45.9268564,-67.9335093 -45.9267071,-67.9319644 -45.9271698,-67.9287672 -45.9270653,-67.93584321 -45.92709528,-67.9435515 -45.9227219,-67.9384983 -45.9223039,-67.9381764 -45.9219979,-67.9378438 -45.9222592,-67.9378438 -45.9241399,-67.9368353 -45.9265728,-67.9433277 -45.92278492,-67.9437661 -45.9226174,-67.9421139 -45.9226995,-67.9384983 -45.9223039,-67.9381764 -45.9219979,-67.9380584 -45.9212964,-67.9374897 -45.9206471,-67.9373181 -45.9201097,-67.9376721 -45.9193932,-67.9375219 -45.920244,-67.9378974 -45.9205575,-67.93749101 -45.92107433,-67.9473066 -45.9191991,-67.9491735 -45.9182736,-67.9488516 -45.9169151,-67.9491198 -45.9161986,-67.9481864 -45.9168405,-67.9482937 -45.9178556,-67.947135 -45.9184079,-67.94559 -45.9178407,-67.9453111 -45.9174227,-67.9465771 -45.9168554,-67.9420924 -45.9173033,-67.9408264 -45.9169002,-67.9406118 -45.9177959,-67.9378867 -45.9191842,-67.9375434 -45.9200649,-67.9378974 -45.9205575,-67.94586231 -45.91962676,-67.9510295 -45.9188259,-67.949667 -45.9168704,-67.9491198 -45.9161986,-67.9486799 -45.916833,-67.9491198 -45.9181243,-67.9471564 -45.9191543,-67.95055552 -45.91916669,-67.958014 -45.9182139,-67.9570055 -45.9184677,-67.9553103 -45.9181691,-67.9540443 -45.919229,-67.95192 -45.9189752,-67.95789863 -45.9184072;-67.95789863 -45.9184072,-67.958014 -45.9182139,-67.9570055 -45.9184677,-67.9553103 -45.9181691,-67.9540443 -45.919229,-67.95192 -45.9189752,-67.95055552 -45.91916669,-67.9510295 -45.9188259,-67.949667 -45.9168704,-67.9491198 -45.9161986,-67.9486799 -45.916833,-67.9491198 -45.9181243,-67.9471564 -45.9191543,-67.94586231 -45.91962676,-67.9473066 -45.9191991,-67.9491735 -45.9182736,-67.9488516 -45.9169151,-67.9491198 -45.9161986,-67.9481864 -45.9168405,-67.9482937 -45.9178556,-67.947135 -45.9184079,-67.94559 -45.9178407,-67.9453111 -45.9174227,-67.9465771 -45.9168554,-67.9420924 -45.9173033,-67.9408264 -45.9169002,-67.9406118 -45.9177959,-67.9378867 -45.9191842,-67.9375434 -45.9200649,-67.9378974 -45.9205575,-67.93749101 -45.92107433,-67.9378974 -45.9205575,-67.9375219 -45.920244,-67.9376721 -45.9193932,-67.9373181 -45.9201097,-67.9375005 -45.9207814,-67.9381657 -45.9214382,-67.9378438 -45.9222592,-67.9378653 -45.9235428,-67.9352689 -45.9230204,-67.9323292 -45.9215277,-67.9315567 -45.9216173,-67.92974857 -45.92193359,-67.9315567 -45.9216173,-67.9323292 -45.9215277,-67.9268146 -45.9178258,-67.9294968 -45.9176466,-67.9304409 -45.9174227,-67.9300117 -45.9168704,-67.9294324 -45.9165121,-67.92776392 -45.91634643,-67.9294324 -45.9165121,-67.930162 -45.916945,-67.9304409 -45.9174227,-67.9261708 -45.9179004,-67.9190469 -45.9157209,-67.9196262 -45.9152282,-67.91936766 -45.91518342,,-67.9198102 -45.91487479,-67.9231882 -45.9122723,-67.9249692 -45.9120036,-67.9255915 -45.9130038,-67.9226518 -45.9145117,-67.9209566 -45.9155119,-67.9190469 -45.9157209,-67.9196262 -45.9152282,-67.92178415 -45.91276334,-67.9250765 -45.911063,-67.9249692 -45.9120036,-67.9233384 -45.9123171,-67.92339949 -45.91107871,-67.9191971 -45.9115109,-67.9193473 -45.9122574,-67.9206347 -45.9121827,-67.9237676 -45.911287,-67.91938339 -45.91141146,-67.9221797 -45.9097492,-67.9201412 -45.9109884,-67.91924 -45.911063,-67.9191971 -45.9115109,-67.92132124 -45.90950332,-67.922008 -45.9097193,-67.9201412 -45.9109884,-67.9196906 -45.9109585,-67.9200125 -45.9097492,-67.9210854 -45.909585,-67.9227591 -45.90851,-67.9267287 -45.9077933,-67.9317927 -45.9075544,-67.9344964 -45.9080023,-67.9353762 -45.9076142,-67.93482704 -45.9074612,-67.9419637 -45.9061061,-67.9426718 -45.9047623,-67.9415345 -45.9048967,-67.938745 -45.9059568,-67.9340029 -45.9072707,-67.9353547 -45.9073006,-67.94070253 -45.90708056,-67.9417276 -45.9060912,-67.9426718 -45.9047623,-67.9416203 -45.9047773,-67.9445601 -45.9035379,-67.942543 -45.9026271,-67.94048121 -45.90255833,-67.9313636 -45.9007755,-67.9299688 -45.9015296,-67.9309559 -45.9024778,-67.931664 -45.9022687,-67.9323721 -45.9010144,-67.9335737 -45.900447,-67.9371786 -45.9012832,-67.9379082 -45.9021045,-67.9396677 -45.9026719,-67.941041 -45.9025674,-67.93028301 -45.90068278,-67.9312027 -45.9008128,-67.9299688 -45.9015296,-67.9282737 -45.9003723,-67.9263103 -45.8994316,-67.9232204 -45.8984983,-67.9221046 -45.8981623,-67.92046749 -45.89809236,-67.9221904 -45.8981548,-67.9232204 -45.8984983,-67.9230487 -45.8980652,-67.9224908 -45.89755,-67.9236388 -45.8964449,-67.92261639 -45.89612501,-67.9235637 -45.895743,-67.9241538 -45.8953249,-67.9267287 -45.8949142,-67.9271579 -45.8944961,-67.9267287 -45.8942048,-67.9257309 -45.8936448,-67.9256558 -45.8930698,-67.9268682 -45.8923604,-67.9289711 -45.8934208,-67.9293036 -45.893361,-67.92819602 -45.89300211,-67.929368 -45.8925994,-67.9296148 -45.8919423,-67.9287994 -45.8913897,-67.9285097 -45.8910014,-67.9286277 -45.8901127,-67.92758265 -45.88993498,-67.9286492 -45.8892166,-67.9288638 -45.8878724,-67.9292393 -45.8876931,-67.92838162 -45.88770662,-67.929883 -45.8876782,-67.9306018 -45.8878724,-67.9317605 -45.8883727,-67.9326189 -45.888201,-67.93184093 -45.88869985,,-67.93195275 -45.88880085,-67.9325545 -45.8880964,-67.9324257 -45.8875363,-67.933048 -45.8868642,-67.9335093 -45.8836304,-67.93297197 -45.88384007,,-67.93288041 -45.88347512,-67.9369962 -45.8822636,-67.9367441 -45.8819686,-67.9343677 -45.8832719,-67.93623372 -45.88237227,-67.9369104 -45.8822487,-67.9367441 -45.8819686,-67.9385787 -45.881274,-67.938568 -45.8809641,-67.9379243 -45.8811844,-67.93588984 -45.88149225,-67.9380155 -45.8812404,-67.938627 -45.880852,-67.9384768 -45.8805682,-67.9371035 -45.8800827,-67.9358482 -45.8797093,-67.9335737 -45.8797616,-67.934432 -45.8794255,-67.9350007 -45.8792835,-67.9357088 -45.8792686,-67.93512028 -45.8793768,-67.9308057 -45.8796645,-67.9309773 -45.8795823,-67.9308271 -45.8793582,-67.9319429 -45.8795524,-67.9332089 -45.8799333,-67.9339921 -45.8795524,-67.9349685 -45.8793358,-67.935698 -45.8793209,-67.92926139 -45.87980166,-67.9288745 -45.8790371,-67.9299796 -45.8786337,-67.9308271 -45.8793582,-67.9310632 -45.8796271,-67.9308057 -45.8796645,-67.92746283 -45.879252,-67.9288745 -45.8790371,-67.9299796 -45.8786337,-67.9304302 -45.8776552,-67.9309022 -45.8766245,-67.9306126 -45.8766543,-67.92916705 -45.87686758,-67.9305589 -45.8765722,-67.9309773 -45.8765423,-67.9323184 -45.875011,-67.9336917 -45.8726132,-67.93292309 -45.87290945,-67.9337347 -45.872531,-67.9350007 -45.8704245,-67.9346895 -45.8701032,-67.933282 -45.87018527,-67.936492 -45.8696625,-67.9362881 -45.8694234,-67.9350436 -45.8703273,-67.9347003 -45.8699986,-67.93551008 -45.87004015,-67.9383588 -45.8674437,-67.9380584 -45.8682655,-67.9363847 -45.8693786,-67.9365671 -45.8696326,-67.9400271 -45.8665472</t>
  </si>
  <si>
    <t>-67.9400271 -45.8665472,-67.9452038 -45.8642219,-67.9464403 -45.8647635,-67.9454304 -45.86503525,,-67.94551194 -45.86495899,-67.949152 -45.8670029,-67.9489589 -45.866338,-67.9464805 -45.8656358,-67.946502 -45.8652099,-67.94827454 -45.86749255,-67.9513514 -45.867951700000006,-67.9506004 -45.8681534,-67.9493558 -45.8665622,-67.9490876 -45.8664576,-67.9492164 -45.8668461,-67.95075242 -45.86791677,-67.9511476 -45.8693039,-67.95089010000001 -45.8697222,-67.9506433 -45.8681011,-67.9512978 -45.867892,-67.95011093 -45.86936834,-67.9526013 -45.869965,-67.9517484 -45.8700734,-67.9508901 -45.8697222,-67.9511476 -45.8693039,-67.95188123 -45.87007275,-67.9518449 -45.870925,-67.9516733 -45.8706037,-67.9509866 -45.870275,-67.95089010000001 -45.8697222,-67.9517484 -45.8700734,-67.9526281 -45.8699912,-67.95082673 -45.87123588,-67.9510081 -45.87218,-67.9515123 -45.8715599,-67.9518449 -45.870925,-67.94974928 -45.87213834,-67.9508579 -45.8736739,-67.9509115 -45.8721426,-67.94983615 -45.87396079,-67.9521346 -45.8759746,-67.951448 -45.8759597,-67.9509008 -45.8738383,-67.95155064 -45.87647635,-67.9521346 -45.8759746,-67.9517162 -45.8759074,-67.9513943 -45.8758999,-67.9525959 -45.87702780000001,-67.95337920000001 -45.8774162,-67.95259842 -45.87763583,-67.9540229 -45.8774984,-67.9559112 -45.8773639,-67.9570377 -45.8767664,-67.9581749 -45.8755115,-67.9592478 -45.87404,-67.960149 -45.8733229,-67.961179 -45.8736441,-67.9631639 -45.8743836,-67.9648268 -45.8746973,-67.96414173 -45.87523514,-67.965728 -45.8759672,-67.9653203 -45.8753546,-67.96522239 -45.87643672;-67.96522239 -45.87643672,-67.965728 -45.8759672,-67.9653203 -45.8753546,-67.96414173 -45.87523514,-67.9540229 -45.8774984,-67.9559112 -45.8773639,-67.9570377 -45.8767664,-67.9581749 -45.8755115,-67.9592478 -45.87404,-67.960149 -45.8733229,-67.961179 -45.8736441,-67.9631639 -45.8743836,-67.9648268 -45.8746973,-67.95259842 -45.87763583,-67.9538298 -45.8776104,-67.9575419 -45.8788205,-67.9596341 -45.8789624,-67.9602242 -45.8794852,-67.95937836 -45.87978501,-67.967391 -45.8796271,-67.9660606 -45.879657,-67.9619408 -45.879179,-67.959795 -45.8789997,-67.9602242 -45.8794852,-67.96661757 -45.87943084,-67.9708028 -45.8792686,-67.9686999 -45.8795524,-67.9682064 -45.8792238,-67.96993071 -45.87922522,-67.9739785 -45.8781632,-67.9745579 -45.8782677,-67.9740644 -45.8788802,-67.9710174 -45.8792537,-67.97210325 -45.8786421,-67.9764569 -45.8790072,-67.9757595 -45.8787084,-67.9755771 -45.8785142,-67.9742253 -45.8787756,-67.974236 -45.878222900000004,-67.9757414 -45.87911165,-67.9789352 -45.8795823,-67.9791069 -45.8776627,-67.9756737 -45.8784769,-67.9758239 -45.8787234,-67.9765105 -45.8789474,-67.97764389 -45.88001208,-67.9789352 -45.8795823,-67.9789889 -45.8790669,-67.9799759 -45.8791491,-67.97934342 -45.87920812,-67.9797721 -45.879179,-67.9789889 -45.8790669,-67.9792571 -45.8776403,-67.9831409 -45.876744,-67.9844499 -45.8766842,-67.9838705 -45.8772892,-67.98257485 -45.87765379,-67.9838705 -45.8772892,-67.9842675 -45.8766469,-67.9854584 -45.876617,-67.9846001 -45.8763854,-67.98281428 -45.87644776,-67.9865313 -45.8763033,-67.9853833 -45.8764975,-67.98469660000002 -45.8764303,-67.98563419 -45.87640922,-67.9896748 -45.8771548,-67.9892349 -45.8767216,-67.985158 -45.8765946,-67.9863167 -45.8762734,-67.98904006 -45.87741924,-67.9909623 -45.8768411,-67.9909086 -45.8766394,-67.9893529 -45.876729,-67.9896641 -45.8770726,-67.98995293 -45.87688436,-67.9932904 -45.8760792,-67.9926252 -45.8763556,-67.9912949 -45.8766319,-67.99230343 -45.87612978,-67.9940093 -45.875758,-67.9942882 -45.875646,-67.9944921 -45.8759223,-67.9952216 -45.8756385,-67.9962945 -45.874899,-67.99575168 -45.87505796,-67.9970562 -45.8749065,-67.998054 -45.8746002,-67.9989874 -45.8742865,-67.9998994 -45.8736889,-67.99900055 -45.87377745,-68.0009079 -45.8733901,-68.0017447 -45.8731436,-68.0013478 -45.8728149,-68.0005753 -45.8728074,-67.9998672 -45.8727327,-67.9986441 -45.8728074,-67.99707801 -45.87306235,-67.9984939 -45.8727327,-67.9986763 -45.8725609,-67.9987407 -45.872292,-67.99743076 -45.87213204,-68.0036652 -45.8703498,-68.0024529 -45.8706934,-68.0012727 -45.8709175,-68.0001891 -45.8713881,-67.9995775 -45.8718363,-68.00284674 -45.87040916,-68.0041587 -45.8700285,-68.0051243 -45.8686091,-68.00449906 -45.86852742,-68.0070448 -45.8686241,-68.0060685 -45.868385,-68.00620422 -45.86892139,-68.0070448 -45.8686241,-68.0067122 -45.8683028,-68.0066907 -45.8679293,-68.0047274 -45.8681086,-68.0029786 -45.8686316,-68.0021524 -45.8685344,-68.0022383 -45.8682132,-68.00126819 -45.86832361,,-68.00080119 -45.86808139,-67.9980218 -45.8692665,-68.0000389 -45.8684074,-68.0017662 -45.8680339,-67.99627751 -45.86960923,-67.9969811 -45.8694981,-67.9958439 -45.8695654,-67.99512510000001 -45.8693413,-67.99505 -45.8690499,-67.99439359 -45.86914058,-67.99505 -45.8690499,-67.9947495 -45.8687287,-67.9952323 -45.8676529,-67.99437986 -45.8677879,-67.9954576 -45.8672868,-67.9960907 -45.8666518,-67.9968202 -45.8663306,-67.99554948 -45.86642106,-67.9970026 -45.8663754,-68.0035257 -45.8657777,-68.003397 -45.8661662,-68.00288598 -45.86648631,-68.0048561 -45.8661961,-68.0066156 -45.864941,-68.00601835 -45.8652672,-68.0066907 -45.8648887,-68.0076134 -45.8646197,-68.0077314 -45.8640818,-68.0066907 -45.862595,-68.0065084 -45.8626847,-68.00524993 -45.86266209,-68.0066907 -45.862595,-68.0062294 -45.8616088,-68.0054569 -45.8608467,-68.004663 -45.8610185,-68.00290781 -45.86119572,-68.0032039 -45.861564,-68.0037832 -45.8611157,-68.0040193 -45.8610858,-68.00170055 -45.8618692,-68.0024529 -45.8617881,-68.0025601 -45.862341,-68.0002105 -45.8608467,-68.0004787 -45.8601219,-67.99931829 -45.86009184,-68.0074525 -45.859442,-68.0054677 -45.8582764,-68.0048132 -45.8581195,-68.0035686 -45.8582092,-68.0016375 -45.8587994,-68.0007148 -45.8595093,-68.00660247 -45.85987417,-68.0073881 -45.8595317,-68.0048668 -45.8579775,-68.0083323 -45.8566475,-68.0111432 -45.8564831,-68.0119586 -45.855833,-68.0093408 -45.8553025,-68.0084181 -45.8553324,-68.0081391 -45.8549139,-68.0071521 -45.8545179,-68.00533143 -45.85441605,-68.0071521 -45.8545179,-68.0081713 -45.855026,-68.0084181 -45.8553324,-68.0044699 -45.8552875,-68.00310693 -45.85560933;-68.00310693 -45.85560933,-68.0071521 -45.8545179,-68.0081713 -45.855026,-68.0084181 -45.8553324,-68.0044699 -45.8552875,-68.00533143 -45.85441605,-68.0073881 -45.8595317,-68.0048668 -45.8579775,-68.0083323 -45.8566475,-68.0111432 -45.8564831,-68.0119586 -45.855833,-68.0093408 -45.8553025,-68.0084181 -45.8553324,-68.0081391 -45.8549139,-68.0071521 -45.8545179,-68.00660247 -45.85987417,-68.0074525 -45.859442,-68.0054677 -45.8582764,-68.0048132 -45.8581195,-68.0035686 -45.8582092,-68.0016375 -45.8587994,-68.0007148 -45.8595093,-67.99931829 -45.86009184,-67.9994917 -45.8615789,-68.0002105 -45.8608467,-68.0004895 -45.8600099,-67.99771431 -45.86216142;-67.99771431 -45.86216142,-67.9994917 -45.8615789,-68.0002105 -45.8608467,-68.0004895 -45.8600099,-67.99931829 -45.86009184,-68.0024529 -45.8617881,-68.0025601 -45.862341,-68.0002105 -45.8608467,-68.0004787 -45.8601219,-68.00170055 -45.8618692,-68.0032039 -45.861564,-68.0037832 -45.8611157,-68.0040193 -45.8610858,-68.00290781 -45.86119572,-68.0066907 -45.862595,-68.0062294 -45.8616088,-68.0054569 -45.8608467,-68.004663 -45.8610185,-68.00524993 -45.86266209,-68.0066907 -45.8648887,-68.0076134 -45.8646197,-68.0077314 -45.8640818,-68.0066907 -45.862595,-68.0065084 -45.8626847,-68.00601835 -45.8652672,-68.0004144 -45.8672271,-68.0020022 -45.8664426,-68.0025816 -45.8662932,-68.0029786 -45.8663007,-68.003751 -45.8658375,-68.0066907 -45.8648887,-67.99912755 -45.86739172,-68.0017018 -45.8670702,-68.0004251 -45.8673989,-68.0009024 -45.8670472;-68.0009024 -45.8670472,-68.0017018 -45.8670702,-68.0004251 -45.8673989,-67.99912755 -45.86739172,-68.0004144 -45.8672271,-68.0020022 -45.8664426,-68.0025816 -45.8662932,-68.0029786 -45.8663007,-68.003751 -45.8658375,-68.0066907 -45.8648887,-68.00601835 -45.8652672,-68.0048561 -45.8661961,-68.0066156 -45.864941,-68.00288598 -45.86648631,-67.9970026 -45.8663754,-68.0035257 -45.8657777,-68.003397 -45.8661662,-67.99554948 -45.86642106,-67.9954576 -45.8672868,-67.9960907 -45.8666518,-67.9968202 -45.8663306,-67.99437986 -45.8677879,-67.99505 -45.8690499,-67.9947495 -45.8687287,-67.9952323 -45.8676529,-67.99439359 -45.86914058,-67.9969811 -45.8694981,-67.9958439 -45.8695654,-67.99512510000001 -45.8693413,-67.99505 -45.8690499,-67.99627751 -45.86960923,-67.9980218 -45.8692665,-68.0000389 -45.8684074,-68.0017662 -45.8680339,-68.00080119 -45.86808139,,-68.00126819 -45.86832361,-68.0070448 -45.8686241,-68.0067122 -45.8683028,-68.0066907 -45.8679293,-68.0047274 -45.8681086,-68.0029786 -45.8686316,-68.0021524 -45.8685344,-68.0022383 -45.8682132,-68.00620422 -45.86892139,-68.0070448 -45.8686241,-68.0060685 -45.868385,-68.00449906 -45.86852742,-68.0041587 -45.8700285,-68.0051243 -45.8686091,-68.00284674 -45.87040916,-68.0036652 -45.8703498,-68.0024529 -45.8706934,-68.0012727 -45.8709175,-68.0001891 -45.8713881,-67.9995775 -45.8718363,-67.99743076 -45.87213204,-67.9984939 -45.8727327,-67.9986763 -45.8725609,-67.9987407 -45.872292,-67.99707801 -45.87306235,-68.0009079 -45.8733901,-68.0017447 -45.8731436,-68.0013478 -45.8728149,-68.0005753 -45.8728074,-67.9998672 -45.8727327,-67.9986441 -45.8728074,-67.99900055 -45.87377745,-68.0015838 -45.8738084,-68.0021203 -45.8736067,-68.0017447 -45.8731436,-68.0009079 -45.8733901,-68.00013115 -45.87419939;-68.00013115 -45.87419939,-68.0015838 -45.8738084,-68.0021203 -45.8736067,-68.0017447 -45.8731436,-68.0009079 -45.8733901,-67.99900055 -45.87377745,-68.0009079 -45.8733901,-68.0017447 -45.8731436,-68.0013478 -45.8728149,-68.0005753 -45.8728074,-67.9998672 -45.8727327,-67.9986441 -45.8728074,-67.99707801 -45.87306235,-67.9984939 -45.8727327,-67.9986763 -45.8725609,-67.9987407 -45.872292,-67.99743076 -45.87213204,-68.0036652 -45.8703498,-68.0024529 -45.8706934,-68.0012727 -45.8709175,-68.0001891 -45.8713881,-67.9995775 -45.8718363,-68.00284674 -45.87040916,-68.0035579 -45.8703423,-68.0025816 -45.8706859,-68.0014014 -45.8705066,-67.99960904 -45.87080973,,-67.99921407 -45.87121751,-67.9971957 -45.8714031,-67.9989982 -45.8712611,-67.9998028 -45.8710071,-67.99553288 -45.87226112,-67.9929739 -45.8721949,-67.9927379 -45.872546,-67.993784 -45.8729494,-67.9957634 -45.8725273,-67.9964232 -45.8722024,-67.99156523 -45.87210921,-67.9930758 -45.87218,-67.992754 -45.8724788,-67.9914343 -45.8718886,-67.9915845 -45.8711565,-67.9912734 -45.8710071,-67.9900866 -45.8710699,-67.9910052 -45.8707457,-67.9910266 -45.8705664,-67.99163820000001 -45.8700883,-67.9915524 -45.8697073,-67.99024475 -45.86974641,-67.9914558 -45.8692516,-67.9914558 -45.8690499,-67.9925716 -45.8679293,-67.99174523 -45.8677107,-67.9929578 -45.8671225,-67.9928398 -45.8662783,-67.9924321 -45.8655835,-67.9919815 -45.8652548,-67.992121 -45.8648663,-67.9910159 -45.864672,-67.9918528 -45.8642238,-67.99158422 -45.86437969,-67.9920459 -45.8642163,-67.9910159 -45.864672,-67.9903078 -45.8650157,-67.9890847 -45.8656208,-67.9855978 -45.8654415,-67.9855227 -45.865322,-67.98422803 -45.86529103,-67.9859948 -45.8647094,-67.9874003 -45.863783,-67.98677491 -45.86342245,-67.9886341 -45.8629088,-67.9906297 -45.8618479,-67.9911232 -45.8617956,-67.99023202 -45.86204363,-67.9952538 -45.8605927,-67.9947281 -45.8608168,-67.9940629 -45.8615789,-67.9931509 -45.862087,-67.9937303 -45.8615714,-67.9916918 -45.8619226,-67.99496681 -45.86045139;-67.99496681 -45.86045139,-67.9952538 -45.8605927,-67.9947281 -45.8608168,-67.9940629 -45.8615789,-67.9931509 -45.862087,-67.9937303 -45.8615714,-67.9916918 -45.8619226,-67.99023202 -45.86204363,-67.9911339 -45.8618479,-67.9904687 -45.8619002,-67.9910696 -45.8615117,-67.9918849 -45.861295,-67.9930007 -45.8606151,-67.99220337 -45.86057361,-67.9928935 -45.8605404,-67.9914236 -45.8609588,-67.98931 -45.8614369,-67.9889023 -45.8613323,-67.98715669 -45.86146692,-67.9887307 -45.8607944,-67.9889238 -45.8604806,-67.9867244 -45.8607421,-67.9861665 -45.8609737,-67.9860163 -45.8616088,-67.9854047 -45.8619674,-67.9846215 -45.8621617,-67.9841387 -45.862468,-67.9838812 -45.8630209,-67.9834414 -45.8631927,-67.98206338 -45.86352335,-67.9835165 -45.8632226,-67.9838812 -45.8630209,-67.9841387 -45.8625502,-67.9836881 -45.862991,-67.9831409 -45.8631255,-67.9816282 -45.862737,-67.98026531 -45.86300386,-67.9785919 -45.8629686,-67.9789352 -45.8631031,-67.9796863 -45.8629088,-67.9804587 -45.8629985,-67.9811132 -45.8627967,-67.97692655 -45.86298292,-67.9785061 -45.863768,-67.977562 -45.8638502,-67.9780233 -45.8634692,-67.9789352 -45.8631031,-67.9785919 -45.8629686,-67.97781889 -45.86412305,-67.9784846 -45.8638128,-67.9773581 -45.8639025,-67.9769611 -45.8641416,-67.9760814 -45.864545,-67.975781 -45.8649709,-67.9756951 -45.8656806,-67.9747403 -45.8664725,-67.9738927 -45.8666518,-67.9742575 -45.8674213,-67.9730237 -45.867369,-67.97170451 -45.86764851,-67.9704916 -45.8675259,-67.9713821 -45.8670777,-67.9725838 -45.8673092,-67.96898996 -45.86789944,-67.96972990000002 -45.8689453,-67.96923640000001 -45.8685867,-67.9698372 -45.8679667,-67.9688479 -45.86924263,-67.9710925 -45.8705739,-67.9709744 -45.8714329,-67.9711354 -45.8722173,-67.9706633 -45.8714479,-67.9697943 -45.8691545,-67.96992116 -45.87035971,-67.9711676 -45.8706262,-67.9712427 -45.8723667,-67.9717791 -45.8732033,-67.9711139 -45.8738906,-67.9693866 -45.8740474,-67.9686463 -45.874533,-67.9672039 -45.87497495,-67.96696190000002 -45.8736067,-67.9677129 -45.8742267,-67.9679918 -45.8746077,-67.96572509 -45.87368099,-67.9666829 -45.8734274,-67.9651701 -45.87286720000001,-67.9644513 -45.8730315,-67.9638612 -45.8733752,-67.9632068 -45.8733901,-67.96214261 -45.87344787,-67.9630244 -45.8733005,-67.9618549 -45.87156740000001,-67.9611683 -45.8714553,-67.9596126 -45.871724300000004,-67.95881870000001 -45.8720007,-67.95720623 -45.87256309,-67.9575098 -45.8735619,-67.9580784 -45.8727253,-67.95650202 -45.87386891,-67.9571235 -45.8715898,-67.9572952 -45.8723443,-67.9570484 -45.87342,-67.95743470000001 -45.8736217,-67.95610675 -45.87170205,-67.9570484 -45.8711267,-67.9574454 -45.8693637,-67.9580891 -45.8675707,-67.95709848 -45.86769228,-67.9581213 -45.8673466,-67.9581428 -45.8669731,-67.9568553 -45.866226,-67.9523492 -45.8659869,-67.9491305 -45.866226,-67.9489803 -45.8668834,-67.94827454 -45.86749255,-67.949152 -45.8670029,-67.9489589 -45.866338,-67.9464805 -45.8656358,-67.946502 -45.8652099,-67.94551194 -45.86495899,,-67.9454304 -45.86503525,-67.9452038 -45.8642219,-67.9464403 -45.8647635,-67.9400271 -45.8665472</t>
  </si>
  <si>
    <t>-67.9400271 -45.8665472,-67.9383588 -45.8674437,-67.9380584 -45.8682655,-67.9363847 -45.8693786,-67.9365671 -45.8696326,-67.93551008 -45.87004015,-67.936492 -45.8696625,-67.9362881 -45.8694234,-67.9350436 -45.8703273,-67.9347003 -45.8699986,-67.933282 -45.87018527,-67.9337347 -45.872531,-67.9350007 -45.8704245,-67.9346895 -45.8701032,-67.93292309 -45.87290945,-67.9305589 -45.8765722,-67.9309773 -45.8765423,-67.9323184 -45.875011,-67.9336917 -45.8726132,-67.92916705 -45.87686758,-67.9288745 -45.8790371,-67.9299796 -45.8786337,-67.9304302 -45.8776552,-67.9309022 -45.8766245,-67.9306126 -45.8766543,-67.92746283 -45.879252,-67.9288745 -45.8790371,-67.9299045 -45.8786188,-67.929765 -45.8784918,-67.9247224 -45.8798512,-67.9241753 -45.8796943,-67.92260289 -45.87981886,-67.9231775 -45.8798138,-67.9230273 -45.8801051,-67.9220295 -45.8802022,-67.9198301 -45.8807027,-67.9191542 -45.8814645,-67.9198301 -45.8813375,-67.91930941 -45.88137118,-67.9183173 -45.8833018,-67.9179525 -45.8832943,-67.9178452 -45.8829358,-67.9186606 -45.8819873,-67.9191113 -45.8815466,-67.9197979 -45.8813898,-67.91747464 -45.88372353,-67.9166651 -45.8823159,-67.9170835 -45.8822711,-67.9178345 -45.8833989,-67.9184783 -45.8832943,-67.91541483 -45.88231338,-67.9166651 -45.8823159,-67.9169762 -45.8821367,-67.9166543 -45.8815466,-67.913146 -45.8824205,-67.9128242 -45.8814645,-67.91214619 -45.88124859,,-67.91210808 -45.8814063,-67.9107428 -45.880501,-67.9119766 -45.880389,-67.9123414 -45.8806952,-67.9129958 -45.8809193,-67.90891537 -45.88072557,,-67.90902811 -45.88062544,-67.9108071 -45.880613,-67.9116762 -45.8803665,-67.9099488 -45.8795972,-67.9089832 -45.8795748,-67.908479 -45.879291,-67.9081464 -45.8778345,-67.9075241 -45.8768784,-67.9078567 -45.8763107,-67.9075456 -45.8753322,-67.9072452 -45.8752799,-67.9064727 -45.8764004,-67.90493501 -45.87690763,-67.9065907 -45.8763481,-67.9067516 -45.8757356,-67.9067945 -45.8747496,-67.90587404 -45.87465377,-67.9081142 -45.8724638,-67.9093158 -45.872419,-67.9095948 -45.873240700000004,-67.9077601 -45.874406,-67.906816 -45.8746824,-67.90662102 -45.87275785,-67.9080391 -45.8724638,-67.9066336 -45.8720156,-67.9049814 -45.8720305,-67.9032111 -45.871096800000004,-67.90168597 -45.87110164,-67.9032648 -45.871029500000006,-67.9040265 -45.8714105,-67.9048419 -45.8714329,-67.90446792 -45.8715682,-67.9061294 -45.8712014,-67.9068482 -45.871037,-67.9080069 -45.871029500000006,-67.90749935 -45.87117618;-67.90749935 -45.87117618,-67.9061294 -45.8712014,-67.9068482 -45.871037,-67.9080069 -45.871029500000006,-67.90446792 -45.8715682,-67.9032648 -45.871029500000006,-67.9040265 -45.8714105,-67.9048419 -45.8714329,-67.90168597 -45.87110164,-67.9080391 -45.8724638,-67.9066336 -45.8720156,-67.9049814 -45.8720305,-67.9032111 -45.871096800000004,-67.90662102 -45.87275785,-67.9081142 -45.8724638,-67.9093158 -45.872419,-67.9095948 -45.873240700000004,-67.9077601 -45.874406,-67.906816 -45.8746824,-67.90587404 -45.87465377,-67.9065907 -45.8763481,-67.9067516 -45.8757356,-67.9067945 -45.8747496,-67.90493501 -45.87690763,-67.9108071 -45.880613,-67.9116762 -45.8803665,-67.9099488 -45.8795972,-67.9089832 -45.8795748,-67.908479 -45.879291,-67.9081464 -45.8778345,-67.9075241 -45.8768784,-67.9078567 -45.8763107,-67.9075456 -45.8753322,-67.9072452 -45.8752799,-67.9064727 -45.8764004,-67.90902811 -45.88062544,,-67.90891537 -45.88072557,-67.9107428 -45.880501,-67.9119766 -45.880389,-67.9123414 -45.8806952,-67.9129958 -45.8809193,-67.91210808 -45.8814063,,-67.91214619 -45.88124859,-67.9166651 -45.8823159,-67.9169762 -45.8821367,-67.9166543 -45.8815466,-67.913146 -45.8824205,-67.9128242 -45.8814645,-67.91541483 -45.88231338,-67.9166651 -45.8823159,-67.9170835 -45.8822711,-67.9178345 -45.8833989,-67.9184783 -45.8832943,-67.91747464 -45.88372353,-67.9183173 -45.8833018,-67.9179525 -45.8832943,-67.9178452 -45.8829358,-67.9186606 -45.8819873,-67.9191113 -45.8815466,-67.9197979 -45.8813898,-67.91930941 -45.88137118,-67.9231775 -45.8798138,-67.9230273 -45.8801051,-67.9220295 -45.8802022,-67.9198301 -45.8807027,-67.9191542 -45.8814645,-67.9198301 -45.8813375,-67.92260289 -45.87981886,-67.9288745 -45.8790371,-67.9299045 -45.8786188,-67.929765 -45.8784918,-67.9247224 -45.8798512,-67.9241753 -45.8796943,-67.92746283 -45.879252,-67.9288745 -45.8790371,-67.9299796 -45.8786337,-67.9308271 -45.8793582,-67.9310632 -45.8796271,-67.9308057 -45.8796645,-67.92926139 -45.87980166,-67.9308057 -45.8796645,-67.9309773 -45.8795823,-67.9308271 -45.8793582,-67.9319429 -45.8795524,-67.9332089 -45.8799333,-67.9339921 -45.8795524,-67.9349685 -45.8793358,-67.935698 -45.8793209,-67.93512028 -45.8793768,-67.9364383 -45.8791566,-67.9368889 -45.8790371,-67.9370821 -45.878798,-67.939657 -45.8787906,-67.9398179 -45.8784246,-67.93938002 -45.87863178,-67.9433799 -45.8793582,-67.9425859 -45.8792462,-67.9414809 -45.8788951,-67.9399574 -45.8788802,-67.9395819 -45.8785889,-67.9398179 -45.8784246,-67.94258106 -45.87928487,-67.9468131 -45.8799931,-67.9464698 -45.8794927,-67.9443026 -45.8791491,-67.9459034 -45.88040255,-67.9472744 -45.8827118,-67.9475963 -45.8819051,-67.9476392 -45.8807475,-67.9472208 -45.8805159,-67.94607409 -45.88311995,-67.9472744 -45.8852212,-67.9470921 -45.8844967,-67.9472423 -45.883959,-67.9472315 -45.8831823,-67.94628753 -45.88560005,-67.9471672 -45.8852884,-67.9470921 -45.8848627,-67.9461265 -45.8845565,-67.94483649 -45.8845247,-67.9459763 -45.8845415,-67.9446459 -45.8841607,-67.9436696 -45.8842353,-67.94255555 -45.88454697,-67.9434013 -45.8843175,-67.9426825 -45.884086,-67.9423177 -45.8838843,-67.94191 -45.8839814,-67.9418349 -45.8844669,-67.9412127 -45.8843922,-67.94007097 -45.88448059,-67.9411805 -45.8856618,-67.9419315 -45.8851988,-67.9424787 -45.8848403,-67.9426825 -45.884086,-67.9423177 -45.8838843,-67.94191 -45.8839814,-67.9418242 -45.8843474,-67.9413629 -45.88431,-67.93991701 -45.8861;-67.93991701 -45.8861,-67.9411805 -45.8856618,-67.9419315 -45.8851988,-67.9424787 -45.8848403,-67.9426825 -45.884086,-67.9423177 -45.8838843,-67.94191 -45.8839814,-67.9418242 -45.8843474,-67.9413629 -45.88431,-67.94007097 -45.88448059,-67.9434013 -45.8843175,-67.9426825 -45.884086,-67.9423177 -45.8838843,-67.94191 -45.8839814,-67.9418349 -45.8844669,-67.9412127 -45.8843922,-67.94255555 -45.88454697,-67.9459763 -45.8845415,-67.9446459 -45.8841607,-67.9436696 -45.8842353,-67.94483649 -45.8845247,-67.9471672 -45.8852884,-67.9470921 -45.8848627,-67.9461265 -45.8845565,-67.94628753 -45.88560005,-67.9472744 -45.8852212,-67.9470921 -45.8844967,-67.9472423 -45.883959,-67.9472315 -45.8831823,-67.94607409 -45.88311995,-67.9472744 -45.8827118,-67.9475963 -45.8819051,-67.9476392 -45.8807475,-67.9472208 -45.8805159,-67.9459034 -45.88040255,-67.9468131 -45.8799931,-67.9464698 -45.8794927,-67.9443026 -45.8791491,-67.94258106 -45.87928487,-67.9433799 -45.8793582,-67.9425859 -45.8792462,-67.9414809 -45.8788951,-67.9399574 -45.8788802,-67.9395819 -45.8785889,-67.9398179 -45.8784246,-67.93938002 -45.87863178,-67.9364383 -45.8791566,-67.9368889 -45.8790371,-67.9370821 -45.878798,-67.939657 -45.8787906,-67.9398179 -45.8784246,-67.93512028 -45.8793768,-67.9308057 -45.8796645,-67.9309773 -45.8795823,-67.9308271 -45.8793582,-67.9319429 -45.8795524,-67.9332089 -45.8799333,-67.9339921 -45.8795524,-67.9349685 -45.8793358,-67.935698 -45.8793209,-67.92926139 -45.87980166,-67.9288745 -45.8790371,-67.9299796 -45.8786337,-67.9308271 -45.8793582,-67.9310632 -45.8796271,-67.9308057 -45.8796645,-67.92746283 -45.879252,-67.9288745 -45.8790371,-67.9299796 -45.8786337,-67.9304302 -45.8776552,-67.9309022 -45.8766245,-67.9306126 -45.8766543,-67.92916705 -45.87686758,-67.9305589 -45.8765722,-67.9309773 -45.8765423,-67.9323184 -45.875011,-67.9336917 -45.8726132,-67.93292309 -45.87290945,-67.9337347 -45.872531,-67.9350007 -45.8704245,-67.9346895 -45.8701032,-67.933282 -45.87018527,-67.936492 -45.8696625,-67.9362881 -45.8694234,-67.9350436 -45.8703273,-67.9347003 -45.8699986,-67.93551008 -45.87004015,-67.9383588 -45.8674437,-67.9380584 -45.8682655,-67.9363847 -45.8693786,-67.9365671 -45.8696326,-67.9400271 -45.8665472</t>
  </si>
  <si>
    <t>-67.9400271 -45.8665472,-67.9383588 -45.8674437,-67.9380584 -45.8682655,-67.9363847 -45.8693786,-67.9365671 -45.8696326,-67.93551008 -45.87004015,-67.936492 -45.8696625,-67.9362881 -45.8694234,-67.9350436 -45.8703273,-67.9347003 -45.8699986,-67.933282 -45.87018527,-67.9337347 -45.872531,-67.9350007 -45.8704245,-67.9346895 -45.8701032,-67.93292309 -45.87290945,-67.9305589 -45.8765722,-67.9309773 -45.8765423,-67.9323184 -45.875011,-67.9336917 -45.8726132,-67.92916705 -45.87686758,-67.9288745 -45.8790371,-67.9299796 -45.8786337,-67.9304302 -45.8776552,-67.9309022 -45.8766245,-67.9306126 -45.8766543,-67.92746283 -45.879252,-67.9288745 -45.8790371,-67.9299796 -45.8786337,-67.9308271 -45.8793582,-67.9310632 -45.8796271,-67.9308057 -45.8796645,-67.92926139 -45.87980166,-67.9309022 -45.8820844,-67.931546 -45.8802844,-67.9315138 -45.8799184,-67.9308915 -45.8797018,-67.92972985 -45.88255921,-67.9307413 -45.885378,-67.9301298 -45.8848478,-67.9305589 -45.8826669,-67.92968482 -45.88517223,-67.9306662 -45.8853705,-67.9301298 -45.8848478,-67.9301834 -45.8845415,-67.9296148 -45.8841457,-67.9283166 -45.8832794,-67.9278016 -45.8828089,-67.927072 -45.8829806,-67.9266322 -45.8833914,-67.9264498 -45.8840636,-67.9268146 -45.883959,-67.92608202 -45.88391758,-67.9273725 -45.8864012,-67.9273295 -45.8861696,-67.9265678 -45.8852062,-67.9264498 -45.8840636,-67.9268146 -45.883959,-67.92643307 -45.88670535,-67.9273081 -45.8864236,-67.9265678 -45.885266,-67.9253983 -45.8869463,-67.92471714 -45.8874919;-67.92471714 -45.8874919,-67.9273081 -45.8864236,-67.9265678 -45.885266,-67.9253983 -45.8869463,-67.92643307 -45.88670535,-67.9273725 -45.8864012,-67.9273295 -45.8861696,-67.9265678 -45.8852062,-67.9264498 -45.8840636,-67.9268146 -45.883959,-67.92608202 -45.88391758,-67.9306662 -45.8853705,-67.9301298 -45.8848478,-67.9301834 -45.8845415,-67.9296148 -45.8841457,-67.9283166 -45.8832794,-67.9278016 -45.8828089,-67.927072 -45.8829806,-67.9266322 -45.8833914,-67.9264498 -45.8840636,-67.9268146 -45.883959,-67.92968482 -45.88517223,-67.9307413 -45.885378,-67.9301298 -45.8848478,-67.9305589 -45.8826669,-67.92972985 -45.88255921,-67.9309022 -45.8820844,-67.931546 -45.8802844,-67.9315138 -45.8799184,-67.9308915 -45.8797018,-67.92926139 -45.87980166,-67.9308057 -45.8796645,-67.9309773 -45.8795823,-67.9308271 -45.8793582,-67.9319429 -45.8795524,-67.9332089 -45.8799333,-67.9339921 -45.8795524,-67.9349685 -45.8793358,-67.935698 -45.8793209,-67.93512028 -45.8793768,-67.9364383 -45.8791566,-67.9368889 -45.8790371,-67.9370821 -45.878798,-67.939657 -45.8787906,-67.9398179 -45.8784246,-67.93938002 -45.87863178,,-67.93921257 -45.87804782,-67.9512119 -45.8788877,-67.952435 -45.8787607,-67.9518127 -45.8800454,-67.9474354 -45.8786785,-67.9441524 -45.8779764,-67.9427791 -45.8776328,-67.940805 -45.8776926,-67.94944114 -45.87896309,-67.9534543 -45.8773565,-67.9526925 -45.87711,-67.9530144 -45.8775731,-67.9524779 -45.878813,-67.9512334 -45.8789325,-67.95259842 -45.87763583,-67.9540229 -45.8774984,-67.9559112 -45.8773639,-67.9570377 -45.8767664,-67.9581749 -45.8755115,-67.9592478 -45.87404,-67.960149 -45.8733229,-67.961179 -45.8736441,-67.9631639 -45.8743836,-67.9648268 -45.8746973,-67.96414173 -45.87523514;-67.96414173 -45.87523514,-67.9540229 -45.8774984,-67.9559112 -45.8773639,-67.9570377 -45.8767664,-67.9581749 -45.8755115,-67.9592478 -45.87404,-67.960149 -45.8733229,-67.961179 -45.8736441,-67.9631639 -45.8743836,-67.9648268 -45.8746973,-67.95259842 -45.87763583,-67.9521346 -45.8759746,-67.9517162 -45.8759074,-67.9513943 -45.8758999,-67.9525959 -45.87702780000001,-67.95337920000001 -45.8774162,-67.95155064 -45.87647635,-67.9521346 -45.8759746,-67.951448 -45.8759597,-67.9509008 -45.8738383,-67.94983615 -45.87396079,-67.9508579 -45.8736739,-67.9509115 -45.8721426,-67.94974928 -45.87213834,-67.9510081 -45.87218,-67.9515123 -45.8715599,-67.9518449 -45.870925,-67.95082673 -45.87123588,-67.9518449 -45.870925,-67.9516733 -45.8706037,-67.9509866 -45.870275,-67.95089010000001 -45.8697222,-67.9517484 -45.8700734,-67.9526281 -45.8699912,-67.95188123 -45.87007275,-67.9526013 -45.869965,-67.9517484 -45.8700734,-67.9508901 -45.8697222,-67.9511476 -45.8693039,-67.95011093 -45.86936834,-67.9511476 -45.8693039,-67.95089010000001 -45.8697222,-67.9506433 -45.8681011,-67.9512978 -45.867892,-67.95075242 -45.86791677,-67.9513514 -45.867951700000006,-67.9506004 -45.8681534,-67.9493558 -45.8665622,-67.9490876 -45.8664576,-67.9492164 -45.8668461,-67.94827454 -45.86749255,-67.949152 -45.8670029,-67.9489589 -45.866338,-67.9464805 -45.8656358,-67.946502 -45.8652099,-67.94551194 -45.86495899,,-67.9454304 -45.86503525,-67.9452038 -45.8642219,-67.9464403 -45.8647635,-67.9400271 -45.8665472</t>
  </si>
  <si>
    <t>-67.9400271 -45.8665472,-67.9383588 -45.8674437,-67.9380584 -45.8682655,-67.9363847 -45.8693786,-67.9365671 -45.8696326,-67.93551008 -45.87004015,-67.936492 -45.8696625,-67.9362881 -45.8694234,-67.9350436 -45.8703273,-67.9347003 -45.8699986,-67.933282 -45.87018527,-67.9337347 -45.872531,-67.9350007 -45.8704245,-67.9346895 -45.8701032,-67.93292309 -45.87290945,-67.9305589 -45.8765722,-67.9309773 -45.8765423,-67.9323184 -45.875011,-67.9336917 -45.8726132,-67.92916705 -45.87686758,-67.9288745 -45.8790371,-67.9299796 -45.8786337,-67.9304302 -45.8776552,-67.9309022 -45.8766245,-67.9306126 -45.8766543,-67.92746283 -45.879252,-67.9288745 -45.8790371,-67.9299045 -45.8786188,-67.929765 -45.8784918,-67.9247224 -45.8798512,-67.9241753 -45.8796943,-67.92260289 -45.87981886,-67.9231775 -45.8798138,-67.9230273 -45.8801051,-67.9220295 -45.8802022,-67.9198301 -45.8807027,-67.9191542 -45.8814645,-67.9198301 -45.8813375,-67.91930941 -45.88137118,-67.9183173 -45.8833018,-67.9179525 -45.8832943,-67.9178452 -45.8829358,-67.9186606 -45.8819873,-67.9191113 -45.8815466,-67.9197979 -45.8813898,-67.91747464 -45.88372353,-67.9166651 -45.8823159,-67.9170835 -45.8822711,-67.9178345 -45.8833989,-67.9184783 -45.8832943,-67.91541483 -45.88231338,-67.911365 -45.8831076,-67.9142618 -45.8826968,-67.9159892 -45.8825026,-67.90970498 -45.88326091,-67.9076958 -45.8841084,-67.9082644 -45.8839366,-67.9093373 -45.8833167,-67.9103136 -45.8831972,-67.90591516 -45.88446218,,-67.90594775 -45.88423937,-67.9066443 -45.8844071,-67.9062474 -45.8852585,-67.908833 -45.885968,-67.9091012 -45.8864012,-67.90705336 -45.88840606,-67.9052818 -45.8875736,-67.90654780000001 -45.8882084,-67.9074919 -45.8882756,-67.90362098 -45.8874036,-67.9039729 -45.8871629,-67.9034686 -45.8869165,-67.9041123 -45.886192,-67.9042947 -45.8847656,-67.90316820000001 -45.883637900000004,-67.90293219 -45.8836944,-67.90316820000001 -45.883637900000004,-67.9026854 -45.8831823,-67.9021275 -45.8832794,-67.900722 -45.8842279,-67.9001105 -45.8851465,-67.8995955 -45.8843175,-67.89811074 -45.88424629,-67.896452 -45.8842129,-67.8972995 -45.8841607,-67.8987801 -45.8833839,-67.8993165 -45.8836304,-67.89478887 -45.88442779,-67.895658 -45.88465360000001,-67.8955078 -45.8872675,-67.89402720000001 -45.888186,-67.89313670000001 -45.8879097,-67.8935552 -45.8866999,-67.891624 -45.8850718,-67.88986813 -45.88509226,-67.8916669 -45.8851316,-67.891463 -45.8853332,-67.8890061 -45.8855946,-67.8886521 -45.8849672,-67.88725199 -45.88498287,-67.8877938 -45.885251,-67.8862166 -45.8849523,-67.88477851 -45.88530377,-67.8863347 -45.8849448,-67.8869569 -45.8849672,-67.8874826 -45.883847,-67.8903258 -45.883570600000006,-67.88934482 -45.88367092,-67.8808522 -45.8847432,-67.8831053 -45.8843548,-67.884897 -45.8834586,-67.8876114 -45.88378720000001,-67.8901434 -45.8835856,-67.87931365 -45.88515467,-67.8775477 -45.8859232,-67.87784810000001 -45.8854153,-67.8789425 -45.8862742,-67.879554 -45.8862667,-67.8829443 -45.8844743,-67.8806055 -45.8848253,-67.87597578 -45.88674947,,-67.87630061 -45.88642699,-67.8775907 -45.885744,-67.8778374 -45.8851241,-67.8766251 -45.8844594,-67.8767002 -45.8840561,-67.8758872 -45.88413516,-67.8738034 -45.8829806,-67.8739858 -45.8834512,-67.87655 -45.8844445,-67.8765929 -45.8840262,-67.87263059 -45.88283868,-67.8737283 -45.8829508,-67.8736854 -45.8833242,-67.8730094 -45.8829134,-67.8686643 -45.8830254,-67.86703039 -45.88312685,-67.8685462 -45.8831151,-67.869308 -45.8829582,-67.8708422 -45.883018,-67.8705847 -45.8839366,-67.8693122 -45.8842458,-67.8672695 -45.88491500000001,-67.867409 -45.8861099,-67.8680742 -45.8863339,-67.8686106 -45.8860875,-67.8688896 -45.8849822,-67.870338 -45.8842577,-67.86589689 -45.88477956,-67.86739830000002 -45.8868567,-67.8667223 -45.8862667,-67.8672802 -45.8848552,-67.86685323 -45.88712476,-67.8674626 -45.88708080000001,-67.866658 -45.886864200000005,-67.8658855 -45.887125600000005,-67.8670657 -45.8886864,-67.86520231 -45.88917465,-67.8652418 -45.8907101,-67.8656602 -45.890351700000004,-67.8659928 -45.88941820000001,-67.86328043 -45.89089136,-67.86183 -45.8907101,-67.8635895 -45.8906578,-67.85994544 -45.89074459,-67.8583002 -45.8906802,-67.8604245 -45.8905832,-67.85652652 -45.89043864,-67.8569698 -45.8905682,-67.8562617 -45.8905682,-67.8551674 -45.8886042,-67.8555107 -45.8875214,-67.8557789 -45.88838020000001,-67.85537987 -45.88855243,-67.8558648 -45.8883652,-67.8555107 -45.8875214,-67.8540516 -45.8893734,-67.85313424 -45.8900104;-67.85313424 -45.8900104,-67.8558648 -45.8883652,-67.8555107 -45.8875214,-67.8540516 -45.8893734,-67.85537987 -45.88855243,-67.8570557 -45.8887461,-67.8588152 -45.88891790000001,-67.85821176 -45.88888764;-67.85821176 -45.88888764,-67.8587294 -45.8888955,-67.8575063 -45.8884847,-67.8558004 -45.8866177,-67.85399644 -45.88640005,-67.8618944 -45.8867671,-67.8616261 -45.8862443,-67.8603601 -45.88681940000001,-67.8594589 -45.8868119,-67.8584075 -45.8873347,-67.856369 -45.8871629,-67.8557789 -45.8865655,-67.86045923 -45.88724171,-67.8609717 -45.8856767,-67.862817 -45.8848403,-67.8617656 -45.8854826,-67.8616369 -45.886192,-67.8618944 -45.8867671,-67.85908094 -45.88593849,-67.8614116 -45.8855274,-67.862978 -45.884788,-67.8635466 -45.8831599,-67.8632355 -45.8817483,-67.86391140000002 -45.8815093,-67.8628063 -45.8810537,-67.8623772 -45.8814346,-67.86071597 -45.88116865,-67.8622806 -45.8814346,-67.8628922 -45.8810985,-67.8613365 -45.8799035,-67.8605962 -45.879896,-67.85926992 -45.88036306,-67.8633642 -45.8805981,-67.8613579 -45.8799707,-67.8608108 -45.8798811,-67.86269956 -45.88077691,-67.8661644 -45.8809417,-67.8650057 -45.8806205,-67.8644371 -45.8807923,-67.86568201 -45.88111505;-67.86568201 -45.88111505,-67.8661644 -45.8809417,-67.8650057 -45.8806205,-67.8644371 -45.8807923,-67.86269956 -45.88077691,-67.8633642 -45.8805981,-67.8613579 -45.8799707,-67.8608108 -45.8798811,-67.85926992 -45.88036306,-67.8622806 -45.8814346,-67.8628922 -45.8810985,-67.8613365 -45.8799035,-67.8605962 -45.879896,-67.86071597 -45.88116865,-67.8685462 -45.8831151,-67.8700483 -45.8829059,-67.8648233 -45.8818603,-67.8628063 -45.8810537,-67.8621304 -45.8814645,-67.86703039 -45.88312685,-67.8737283 -45.8829508,-67.8736854 -45.8833242,-67.8730094 -45.8829134,-67.8686643 -45.8830254,-67.87263059 -45.88283868,-67.8738034 -45.8829806,-67.8739858 -45.8834512,-67.87655 -45.8844445,-67.8765929 -45.8840262,-67.8758872 -45.88413516,-67.8775907 -45.885744,-67.8778374 -45.8851241,-67.8766251 -45.8844594,-67.8767002 -45.8840561,-67.87630061 -45.88642699,,-67.87597578 -45.88674947,-67.8775477 -45.8859232,-67.87784810000001 -45.8854153,-67.8789425 -45.8862742,-67.879554 -45.8862667,-67.8829443 -45.8844743,-67.8806055 -45.8848253,-67.87931365 -45.88515467,-67.8808522 -45.8847432,-67.8831053 -45.8843548,-67.884897 -45.8834586,-67.8876114 -45.88378720000001,-67.8901434 -45.8835856,-67.88934482 -45.88367092,-67.8863347 -45.8849448,-67.8869569 -45.8849672,-67.8874826 -45.883847,-67.8903258 -45.883570600000006,-67.88477851 -45.88530377,-67.8847039 -45.885542300000004,-67.8854334 -45.8851465,-67.88304639 -45.88588109,-67.8838027 -45.88608,-67.882483 -45.8868716,-67.88085052 -45.88709026,-67.8783846 -45.8885519,-67.8803802 -45.8880143,-67.8826654 -45.8868044,-67.8823113 -45.8868119,-67.87661058 -45.88889945,-67.8765285 -45.89045620000001,-67.877773 -45.8901799,-67.8803802 -45.8880143,-67.8783846 -45.8885519,-67.87484305 -45.89067788,-67.8792322 -45.8901127,-67.877934 -45.8900903,-67.8765285 -45.89045620000001,-67.87813787 -45.88993585,-67.8789854 -45.8901127,-67.8777838 -45.8901052,-67.8751981 -45.8927935,-67.8739536 -45.8942571,-67.87230402 -45.89457162,-67.8727734 -45.8946678,-67.8694153 -45.8954742,-67.8682566 -45.89504860000001,-67.86797017 -45.89505687,-67.8685999 -45.895295,-67.8667116 -45.8956833,-67.8646088 -45.8956833,-67.86301998 -45.89560501;-67.86301998 -45.89560501,-67.8685999 -45.895295,-67.8667116 -45.8956833,-67.8646088 -45.8956833,-67.86797017 -45.89505687;-67.86797017 -45.89505687,-67.8727734 -45.8946678,-67.8694153 -45.8954742,-67.8682566 -45.89504860000001,-67.87230402 -45.89457162,-67.8789854 -45.8901127,-67.8777838 -45.8901052,-67.8751981 -45.8927935,-67.8739536 -45.8942571,-67.87813787 -45.88993585,-67.8792322 -45.8901127,-67.877934 -45.8900903,-67.8765285 -45.89045620000001,-67.87484305 -45.89067788,-67.8765285 -45.89045620000001,-67.877773 -45.8901799,-67.8803802 -45.8880143,-67.8783846 -45.8885519,-67.87661058 -45.88889945,-67.8783846 -45.8885519,-67.8803802 -45.8880143,-67.8826654 -45.8868044,-67.8823113 -45.8868119,-67.88085052 -45.88709026,-67.8838027 -45.88608,-67.882483 -45.8868716,-67.88304639 -45.88588109,-67.8847039 -45.885542300000004,-67.8854334 -45.8851465,-67.88477851 -45.88530377,-67.8877938 -45.885251,-67.8862166 -45.8849523,-67.88725199 -45.88498287,-67.8916669 -45.8851316,-67.891463 -45.8853332,-67.8890061 -45.8855946,-67.8886521 -45.8849672,-67.88986813 -45.88509226,-67.895658 -45.88465360000001,-67.8955078 -45.8872675,-67.89402720000001 -45.888186,-67.89313670000001 -45.8879097,-67.8935552 -45.8866999,-67.891624 -45.8850718,-67.89478887 -45.88442779,-67.896452 -45.8842129,-67.8972995 -45.8841607,-67.8987801 -45.8833839,-67.8993165 -45.8836304,-67.89811074 -45.88424629,-67.90316820000001 -45.883637900000004,-67.9026854 -45.8831823,-67.9021275 -45.8832794,-67.900722 -45.8842279,-67.9001105 -45.8851465,-67.8995955 -45.8843175,-67.90293219 -45.8836944,-67.9039729 -45.8871629,-67.9034686 -45.8869165,-67.9041123 -45.886192,-67.9042947 -45.8847656,-67.90316820000001 -45.883637900000004,-67.90362098 -45.8874036,-67.9052818 -45.8875736,-67.90654780000001 -45.8882084,-67.9074919 -45.8882756,-67.90705336 -45.88840606,-67.9066443 -45.8844071,-67.9062474 -45.8852585,-67.908833 -45.885968,-67.9091012 -45.8864012,-67.90594775 -45.88423937,,-67.90591516 -45.88446218,-67.9076958 -45.8841084,-67.9082644 -45.8839366,-67.9093373 -45.8833167,-67.9103136 -45.8831972,-67.90970498 -45.88326091,-67.911365 -45.8831076,-67.9142618 -45.8826968,-67.9159892 -45.8825026,-67.91541483 -45.88231338,-67.9166651 -45.8823159,-67.9169762 -45.8821367,-67.9166543 -45.8815466,-67.913146 -45.8824205,-67.9128242 -45.8814645,-67.91214619 -45.88124859,,-67.91210808 -45.8814063,-67.9107428 -45.880501,-67.9119766 -45.880389,-67.9123414 -45.8806952,-67.9129958 -45.8809193,-67.90891537 -45.88072557,,-67.90902811 -45.88062544,-67.9128993 -45.8770876,-67.9123092 -45.8779241,-67.9113972 -45.8784843,-67.9096162 -45.8795599,-67.9116762 -45.8803665,-67.9107749 -45.88068770000001,-67.91188203 -45.87683257,-67.915163 -45.8739802,-67.9151952 -45.8744657,-67.9132426 -45.8763929,-67.91362407 -45.87400466,-67.9147124 -45.8735918,-67.9146481 -45.8732631,-67.9134893 -45.874167,-67.91213626 -45.87472176,-67.9133713 -45.8748243,-67.9129314 -45.8751081,-67.9124272 -45.8746824,-67.9126096 -45.8741968,-67.9134893 -45.8732108,-67.9135108 -45.8728149,-67.9132533 -45.8730091,-67.91185362 -45.87334554,-67.9137897 -45.8706112,-67.913307 -45.8712462,-67.9130816 -45.8716496,-67.9134786 -45.8724265,-67.9134142 -45.87308380000001,-67.91316355 -45.8704339,-67.912792 -45.8681833,-67.9137361 -45.8680638,-67.9160964 -45.8689304,-67.9145193 -45.8701256,-67.91127227 -45.86860891,-67.914927 -45.8677874,-67.912792 -45.8681833,-67.9143801 -45.8679855,-67.9147553 -45.8672868,-67.9154098 -45.8676977,-67.9130059 -45.86729039,-67.9110271 -45.86621850000001,-67.9131621 -45.8664613,-67.9139614 -45.8669058,-67.90947109 -45.86641003,-67.9100668 -45.8647318,-67.9098523 -45.8659197,-67.9103565 -45.8661513,-67.90917641 -45.86476613,-67.9122448 -45.8649709,-67.911129 -45.8644105,-67.9103887 -45.8645226,-67.91093971 -45.86527418;-67.91093971 -45.86527418,-67.9164934 -45.8652398,-67.9147875 -45.8642536,-67.9133606 -45.865322,-67.9120409 -45.8651352,-67.91575239 -45.86551598,-67.9187572 -45.8661064,-67.9176843 -45.8663679,-67.9172981 -45.8656657,-67.91774956 -45.8661538,-67.9224908 -45.8663306,-67.9191971 -45.8656582,-67.92069068 -45.86664171,-67.9258382 -45.86658460000001,-67.9220402 -45.8663903,-67.92478129 -45.86687146,-67.9266429 -45.8657927,-67.9259992 -45.8665696,-67.92617947 -45.86596757,,-67.92568273 -45.86555172,-67.9284239 -45.8655835,-67.9270077 -45.8655162,-67.92761571 -45.86576064,-67.92887450000002 -45.8655984,-67.929647 -45.8660093,-67.9311919 -45.8652622,-67.93025624 -45.86524613,-67.934196 -45.8650755,-67.9339492 -45.8648887,-67.9318678 -45.8652174,-67.93322311 -45.86539389,-67.9364544 -45.8650082,-67.9343033 -45.8651128,-67.93542287 -45.86514387,-67.9374468 -45.8637643,-67.93648120000002 -45.8648999,-67.93638614 -45.8639203,-67.9407513 -45.863103100000004,-67.9403973 -45.8622551,-67.93757020000001 -45.8636746,-67.94016816 -45.86304785,-67.9412395 -45.8636896,-67.94085860000001 -45.8628677,-67.94026881 -45.86394522,-67.9413575 -45.8643508,-67.94191 -45.8638801,-67.9413092 -45.8637717,-67.9397787 -45.86446671,-67.939437 -45.8659907,-67.9410034 -45.8642985,-67.93820898 -45.86621382,,-67.93822649 -45.86645361,-67.9383588 -45.8674437,-67.9380101 -45.8666929,-67.9392922 -45.8661064,-67.9400271 -45.8665472</t>
  </si>
  <si>
    <t>-67.9400271 -45.8665472,-67.9452038 -45.8642219,-67.9464403 -45.8647635,-67.9454304 -45.86503525,,-67.94551194 -45.86495899,-67.949152 -45.8670029,-67.9489589 -45.866338,-67.9464805 -45.8656358,-67.946502 -45.8652099,-67.94827454 -45.86749255,-67.9513514 -45.867951700000006,-67.9506004 -45.8681534,-67.9493558 -45.8665622,-67.9490876 -45.8664576,-67.9492164 -45.8668461,-67.95075242 -45.86791677,-67.9511476 -45.8693039,-67.95089010000001 -45.8697222,-67.9506433 -45.8681011,-67.9512978 -45.867892,-67.95011093 -45.86936834,-67.9526013 -45.869965,-67.9517484 -45.8700734,-67.9508901 -45.8697222,-67.9511476 -45.8693039,-67.95188123 -45.87007275,-67.9518449 -45.870925,-67.9516733 -45.8706037,-67.9509866 -45.870275,-67.95089010000001 -45.8697222,-67.9517484 -45.8700734,-67.9526281 -45.8699912,-67.95082673 -45.87123588,-67.9510081 -45.87218,-67.9515123 -45.8715599,-67.9518449 -45.870925,-67.94974928 -45.87213834,-67.9508579 -45.8736739,-67.9509115 -45.8721426,-67.94983615 -45.87396079,-67.9521346 -45.8759746,-67.951448 -45.8759597,-67.9509008 -45.8738383,-67.95155064 -45.87647635,-67.9521346 -45.8759746,-67.9517162 -45.8759074,-67.9513943 -45.8758999,-67.9525959 -45.87702780000001,-67.95337920000001 -45.8774162,-67.95259842 -45.87763583,-67.9538298 -45.8776104,-67.9575419 -45.8788205,-67.9596341 -45.8789624,-67.9602242 -45.8794852,-67.95937836 -45.87978501,-67.967391 -45.8796271,-67.9660606 -45.879657,-67.9619408 -45.879179,-67.959795 -45.8789997,-67.9602242 -45.8794852,-67.96661757 -45.87943084,-67.9708028 -45.8792686,-67.9686999 -45.8795524,-67.9682064 -45.8792238,-67.96993071 -45.87922522,-67.9739785 -45.8781632,-67.9745579 -45.8782677,-67.9740644 -45.8788802,-67.9710174 -45.8792537,-67.97210325 -45.8786421,-67.9764569 -45.8790072,-67.9757595 -45.8787084,-67.9755771 -45.8785142,-67.9742253 -45.8787756,-67.974236 -45.878222900000004,-67.9757414 -45.87911165,-67.9789352 -45.8795823,-67.9791069 -45.8776627,-67.9756737 -45.8784769,-67.9758239 -45.8787234,-67.9765105 -45.8789474,-67.97764389 -45.88001208,-67.9789352 -45.8795823,-67.9789889 -45.8790669,-67.9799759 -45.8791491,-67.97934342 -45.87920812,-67.9797721 -45.879179,-67.9789889 -45.8790669,-67.9792571 -45.8776403,-67.9831409 -45.876744,-67.9844499 -45.8766842,-67.9838705 -45.8772892,-67.98257485 -45.87765379,-67.9838705 -45.8772892,-67.9842675 -45.8766469,-67.9854584 -45.876617,-67.9846001 -45.8763854,-67.98281428 -45.87644776,-67.9865313 -45.8763033,-67.9853833 -45.8764975,-67.98469660000002 -45.8764303,-67.98563419 -45.87640922,-67.9896748 -45.8771548,-67.9892349 -45.8767216,-67.985158 -45.8765946,-67.9863167 -45.8762734,-67.98904006 -45.87741924,-67.9909623 -45.8768411,-67.9909086 -45.8766394,-67.9893529 -45.876729,-67.9896641 -45.8770726,-67.98995293 -45.87688436,-67.9932904 -45.8760792,-67.9926252 -45.8763556,-67.9912949 -45.8766319,-67.99230343 -45.87612978,-67.9940093 -45.875758,-67.9942882 -45.875646,-67.9944921 -45.8759223,-67.9952216 -45.8756385,-67.9962945 -45.874899,-67.99575168 -45.87505796,-67.9970562 -45.8749065,-67.998054 -45.8746002,-67.9989874 -45.8742865,-67.9998994 -45.8736889,-67.99900055 -45.87377745,,-67.99919655 -45.8737358;-67.99919655 -45.8737358,,-67.99900055 -45.87377745,-68.0009079 -45.8733901,-68.0017447 -45.8731436,-68.0013478 -45.8728149,-68.0005753 -45.8728074,-67.9998672 -45.8727327,-67.9986441 -45.8728074,-67.99707801 -45.87306235,-67.9984939 -45.8727327,-67.9986763 -45.8725609,-67.9987407 -45.872292,-67.99743076 -45.87213204,-68.0036652 -45.8703498,-68.0024529 -45.8706934,-68.0012727 -45.8709175,-68.0001891 -45.8713881,-67.9995775 -45.8718363,-68.00284674 -45.87040916,-68.0035579 -45.8703423,-68.0025816 -45.8706859,-68.0014014 -45.8705066,-67.99960904 -45.87080973,,-67.99921407 -45.87121751,-67.9971957 -45.8714031,-67.9989982 -45.8712611,-67.9998028 -45.8710071,-67.99553288 -45.87226112,-67.9929739 -45.8721949,-67.9927379 -45.872546,-67.993784 -45.8729494,-67.9957634 -45.8725273,-67.9964232 -45.8722024,-67.99156523 -45.87210921,-67.9930758 -45.87218,-67.992754 -45.8724788,-67.9914343 -45.8718886,-67.9915845 -45.8711565,-67.9912734 -45.8710071,-67.9900866 -45.8710699,-67.9903615 -45.8718289,-67.9906189 -45.8717616,-67.9914665 -45.8719409,-67.9915845 -45.8711565,-67.9914451 -45.871037,-67.98943394 -45.8722328,,-67.98898969 -45.87224246,-67.9888701 -45.8726057,-67.9892778 -45.8719708,-67.9897499 -45.8717542,-67.9904151 -45.8717766,-67.98746766 -45.87309869;-67.98746766 -45.87309869,-67.9888701 -45.8726057,-67.9892778 -45.8719708,-67.9897499 -45.8717542,-67.9904151 -45.8717766,-67.98898969 -45.87224246,,-67.98943394 -45.8722328,-67.9903615 -45.8718289,-67.9906189 -45.8717616,-67.9914665 -45.8719409,-67.9915845 -45.8711565,-67.9914451 -45.871037,-67.9900866 -45.8710699,-67.9910052 -45.8707457,-67.9910266 -45.8705664,-67.99163820000001 -45.8700883,-67.9915524 -45.8697073,-67.99024475 -45.86974641,-67.9914558 -45.8692516,-67.9914558 -45.8690499,-67.9925716 -45.8679293,-67.99174523 -45.8677107,-67.9929578 -45.8671225,-67.9928398 -45.8662783,-67.9924321 -45.8655835,-67.9919815 -45.8652548,-67.992121 -45.8648663,-67.9910159 -45.864672,-67.9918528 -45.8642238,-67.99158422 -45.86437969,-67.9920459 -45.8642163,-67.9910159 -45.864672,-67.9903078 -45.8650157,-67.9890847 -45.8656208,-67.9855978 -45.8654415,-67.9855227 -45.865322,-67.98422803 -45.86529103,-67.9859948 -45.8647094,-67.9874003 -45.863783,-67.98677491 -45.86342245,-67.9886341 -45.8629088,-67.9906297 -45.8618479,-67.9911232 -45.8617956,-67.99023202 -45.86204363,-67.9911339 -45.8618479,-67.9904687 -45.8619002,-67.9910696 -45.8615117,-67.9918849 -45.861295,-67.9930007 -45.8606151,-67.99220337 -45.86057361,-67.9928935 -45.8605404,-67.9914236 -45.8609588,-67.98931 -45.8614369,-67.9889023 -45.8613323,-67.98715669 -45.86146692,-67.9887307 -45.8607944,-67.9889238 -45.8604806,-67.9867244 -45.8607421,-67.9861665 -45.8609737,-67.9860163 -45.8616088,-67.9854047 -45.8619674,-67.9846215 -45.8621617,-67.9841387 -45.862468,-67.9838812 -45.8630209,-67.9834414 -45.8631927,-67.98206338 -45.86352335,-67.9835165 -45.8632226,-67.9838812 -45.8630209,-67.9841387 -45.8625502,-67.9836881 -45.862991,-67.9831409 -45.8631255,-67.9816282 -45.862737,-67.98026531 -45.86300386,-67.9785919 -45.8629686,-67.9789352 -45.8631031,-67.9796863 -45.8629088,-67.9804587 -45.8629985,-67.9811132 -45.8627967,-67.97692655 -45.86298292,-67.9785061 -45.863768,-67.977562 -45.8638502,-67.9780233 -45.8634692,-67.9789352 -45.8631031,-67.9785919 -45.8629686,-67.97781889 -45.86412305,-67.9784846 -45.8638128,-67.9773581 -45.8639025,-67.9769611 -45.8641416,-67.9760814 -45.864545,-67.975781 -45.8649709,-67.9756951 -45.8656806,-67.9747403 -45.8664725,-67.9738927 -45.8666518,-67.9742575 -45.8674213,-67.9730237 -45.867369,-67.97170451 -45.86764851,-67.9704916 -45.8675259,-67.9713821 -45.8670777,-67.9725838 -45.8673092,-67.96898996 -45.86789944,-67.96972990000002 -45.8689453,-67.96923640000001 -45.8685867,-67.9698372 -45.8679667,-67.9688479 -45.86924263,-67.96972990000002 -45.8689453,-67.96923640000001 -45.8687586,-67.9681098 -45.8689901,-67.9667795 -45.868863100000006,-67.9656208 -45.8688333,-67.96419792 -45.86877502;-67.96419792 -45.86877502,-67.96972990000002 -45.8689453,-67.96923640000001 -45.8687586,-67.9681098 -45.8689901,-67.9667795 -45.868863100000006,-67.9656208 -45.8688333,-67.9688479 -45.86924263,-67.9710925 -45.8705739,-67.9709744 -45.8714329,-67.9711354 -45.8722173,-67.9706633 -45.8714479,-67.9697943 -45.8691545,-67.96992116 -45.87035971,-67.9711676 -45.8706262,-67.9712427 -45.8723667,-67.9717791 -45.8732033,-67.9711139 -45.8738906,-67.9693866 -45.8740474,-67.9686463 -45.874533,-67.9672039 -45.87497495,-67.96696190000002 -45.8736067,-67.9677129 -45.8742267,-67.9679918 -45.8746077,-67.96572509 -45.87368099,-67.9666829 -45.8734274,-67.9651701 -45.87286720000001,-67.9644513 -45.8730315,-67.9638612 -45.8733752,-67.9632068 -45.8733901,-67.96214261 -45.87344787,-67.9630244 -45.8733005,-67.9618549 -45.87156740000001,-67.9611683 -45.8714553,-67.9596126 -45.871724300000004,-67.95881870000001 -45.8720007,-67.95720623 -45.87256309,-67.9575098 -45.8735619,-67.9580784 -45.8727253,-67.95650202 -45.87386891,-67.9571235 -45.8715898,-67.9572952 -45.8723443,-67.9570484 -45.87342,-67.95743470000001 -45.8736217,-67.95610675 -45.87170205,-67.9570484 -45.8711267,-67.9574454 -45.8693637,-67.9580891 -45.8675707,-67.95709848 -45.86769228,-67.9581213 -45.8673466,-67.9581428 -45.8669731,-67.9568553 -45.866226,-67.9523492 -45.8659869,-67.9491305 -45.866226,-67.9489803 -45.8668834,-67.94827454 -45.86749255,-67.949152 -45.8670029,-67.9489589 -45.866338,-67.9464805 -45.8656358,-67.946502 -45.8652099,-67.94551194 -45.86495899,,-67.9454304 -45.86503525,-67.9452038 -45.8642219,-67.9464403 -45.8647635,-67.9400271 -45.8665472</t>
  </si>
  <si>
    <t>-67.9400271 -45.8665472,-67.9452038 -45.8642219,-67.9464403 -45.8647635,-67.9454304 -45.86503525,,-67.94551194 -45.86495899,-67.949152 -45.8670029,-67.9489589 -45.866338,-67.9464805 -45.8656358,-67.946502 -45.8652099,-67.94827454 -45.86749255,-67.9513514 -45.867951700000006,-67.9506004 -45.8681534,-67.9493558 -45.8665622,-67.9490876 -45.8664576,-67.9492164 -45.8668461,-67.95075242 -45.86791677,-67.9511476 -45.8693039,-67.95089010000001 -45.8697222,-67.9506433 -45.8681011,-67.9512978 -45.867892,-67.95011093 -45.86936834,-67.9526013 -45.869965,-67.9517484 -45.8700734,-67.9508901 -45.8697222,-67.9511476 -45.8693039,-67.95188123 -45.87007275,-67.9518449 -45.870925,-67.9516733 -45.8706037,-67.9509866 -45.870275,-67.95089010000001 -45.8697222,-67.9517484 -45.8700734,-67.9526281 -45.8699912,-67.95082673 -45.87123588,-67.9510081 -45.87218,-67.9515123 -45.8715599,-67.9518449 -45.870925,-67.94974928 -45.87213834,-67.9508579 -45.8736739,-67.9509115 -45.8721426,-67.94983615 -45.87396079,-67.9521346 -45.8759746,-67.951448 -45.8759597,-67.9509008 -45.8738383,-67.95155064 -45.87647635,-67.9521346 -45.8759746,-67.9517162 -45.8759074,-67.9513943 -45.8758999,-67.9525959 -45.87702780000001,-67.95337920000001 -45.8774162,-67.95259842 -45.87763583,-67.9538298 -45.8776104,-67.9575419 -45.8788205,-67.9596341 -45.8789624,-67.9602242 -45.8794852,-67.95937836 -45.87978501,-67.967391 -45.8796271,-67.9660606 -45.879657,-67.9619408 -45.879179,-67.959795 -45.8789997,-67.9602242 -45.8794852,-67.96661757 -45.87943084,-67.9708028 -45.8792686,-67.9686999 -45.8795524,-67.9682064 -45.8792238,-67.96993071 -45.87922522,-67.9739785 -45.8781632,-67.9745579 -45.8782677,-67.9740644 -45.8788802,-67.9710174 -45.8792537,-67.97210325 -45.8786421,-67.9764569 -45.8790072,-67.9757595 -45.8787084,-67.9755771 -45.8785142,-67.9742253 -45.8787756,-67.974236 -45.878222900000004,-67.9757414 -45.87911165,-67.9764569 -45.8790072,-67.9757595 -45.8787084,-67.9756951 -45.8784321,-67.9790318 -45.877588,-67.9792678 -45.8765199,-67.9792786 -45.8747272,-67.9798257 -45.8760045,-67.9801154 -45.8760643,-67.97932522 -45.87631183,-67.9801047 -45.8737412,-67.9795146 -45.8726879,-67.9791605 -45.8735694,-67.9792249 -45.8748467,-67.9793966 -45.8748467,-67.9797721 -45.8758476,-67.9800725 -45.876012,-67.97905112 -45.87422359,-67.9800725 -45.873800900000006,-67.9795146 -45.8726879,-67.9796112 -45.8723816,-67.9792464 -45.872165,-67.9787529 -45.8722173,-67.9783773 -45.8729942,-67.9778409 -45.873195900000006,-67.9771113 -45.8730315,-67.97564136 -45.8729339,-67.977519 -45.8745479,-67.9775083 -45.8737262,-67.9769719 -45.8730166,-67.97664473 -45.87540708,,-67.97634703 -45.87537427;-67.97634703 -45.87537427,,-67.97664473 -45.87540708,-67.977519 -45.8745479,-67.9775083 -45.8737262,-67.9769719 -45.8730166,-67.97564136 -45.8729339,-67.9761887 -45.8726132,-67.9763067 -45.8720604,-67.9778838 -45.8710893,-67.9773795 -45.87092197,-67.9788065 -45.8706037,-67.9790211 -45.8702228,-67.978828 -45.868893,-67.97752558 -45.86902372,-67.9788494 -45.8686091,-67.9777122 -45.8662932,-67.9771221 -45.8662409,-67.97572674 -45.86647737,-67.9770362 -45.8661886,-67.9775405 -45.8660019,-67.9780447 -45.8660616,-67.9790211 -45.8666444,-67.9791498 -45.8664875,-67.9789352 -45.8662036,-67.978828 -45.8655685,-67.9785597 -45.8651502,-67.97746123 -45.86525028,-67.9780984 -45.8649709,-67.9776263 -45.8648289,-67.9768217 -45.8650007,-67.9760063 -45.86583,-67.9748476 -45.8665622,-67.9738605 -45.866353,-67.9728091 -45.865591,-67.97157481 -45.86531756,-67.9732597 -45.8674138,-67.9739678 -45.8674661,-67.9742575 -45.8672345,-67.9737854 -45.8666444,-67.9743755 -45.8664576,-67.9735065 -45.8661812,-67.9728949 -45.8655461,-67.97170451 -45.86764851,-67.9704916 -45.8675259,-67.9713821 -45.8670777,-67.9725838 -45.8673092,-67.96898996 -45.86789944,-67.96972990000002 -45.8689453,-67.96923640000001 -45.8685867,-67.9698372 -45.8679667,-67.9688479 -45.86924263,-67.9710925 -45.8705739,-67.9709744 -45.8714329,-67.9711354 -45.8722173,-67.9706633 -45.8714479,-67.9697943 -45.8691545,-67.96992116 -45.87035971,-67.9711676 -45.8706262,-67.9712427 -45.8723667,-67.9717791 -45.8732033,-67.9711139 -45.8738906,-67.9693866 -45.8740474,-67.9686463 -45.874533,-67.9672039 -45.87497495;-67.9672039 -45.87497495,-67.96696190000002 -45.8736067,-67.9677129 -45.8742267,-67.9679918 -45.8746077,-67.96572509 -45.87368099,-67.9666829 -45.8734274,-67.9651701 -45.87286720000001,-67.9644513 -45.8730315,-67.9638612 -45.8733752,-67.9632068 -45.8733901,-67.96214261 -45.87344787,-67.9630244 -45.8733005,-67.9618549 -45.87156740000001,-67.9611683 -45.8714553,-67.9596126 -45.871724300000004,-67.95881870000001 -45.8720007,-67.95720623 -45.87256309,-67.9575098 -45.8735619,-67.9580784 -45.8727253,-67.95650202 -45.87386891,-67.9571235 -45.8715898,-67.9572952 -45.8723443,-67.9570484 -45.87342,-67.95743470000001 -45.8736217,-67.95610675 -45.87170205,-67.9570484 -45.8711267,-67.9574454 -45.8693637,-67.9580891 -45.8675707,-67.95709848 -45.86769228,-67.9581213 -45.8673466,-67.9581428 -45.8669731,-67.9568553 -45.866226,-67.9523492 -45.8659869,-67.9491305 -45.866226,-67.9489803 -45.8668834,-67.94827454 -45.86749255,-67.949152 -45.8670029,-67.9489589 -45.866338,-67.9464805 -45.8656358,-67.946502 -45.8652099,-67.94551194 -45.86495899,,-67.9454304 -45.86503525,-67.9452038 -45.8642219,-67.9464403 -45.8647635,-67.9400271 -45.8665472,-67.9383588 -45.8674437,-67.9380101 -45.8666929,-67.9392922 -45.8661064,-67.93822649 -45.86645361,,-67.93820898 -45.86621382,-67.939437 -45.8659907,-67.9410034 -45.8642985,-67.9397787 -45.86446671,-67.9413575 -45.8643508,-67.94191 -45.8638801,-67.9413092 -45.8637717,-67.94026881 -45.86394522,-67.9412395 -45.8636896,-67.94085860000001 -45.8628677,-67.94016816 -45.86304785,-67.9407513 -45.863103100000004,-67.9403973 -45.8622551,-67.93757020000001 -45.8636746,-67.93638614 -45.8639203,-67.9374468 -45.8637643,-67.93648120000002 -45.8648999,-67.93542287 -45.86514387,-67.9364544 -45.8650082,-67.9343033 -45.8651128,-67.93322311 -45.86539389,-67.934196 -45.8650755,-67.9339492 -45.8648887,-67.9318678 -45.8652174,-67.93025624 -45.86524613,-67.92887450000002 -45.8655984,-67.929647 -45.8660093,-67.9311919 -45.8652622,-67.92761571 -45.86576064,-67.9284239 -45.8655835,-67.9270077 -45.8655162,-67.92568273 -45.86555172,,-67.92617947 -45.86596757,-67.9266429 -45.8657927,-67.9259992 -45.8665696,-67.92478129 -45.86687146,-67.9258382 -45.86658460000001,-67.9220402 -45.8663903,-67.92069068 -45.86664171,-67.9224908 -45.8663306,-67.9191971 -45.8656582,-67.91774956 -45.8661538,-67.9187572 -45.8661064,-67.9176843 -45.8663679,-67.9172981 -45.8656657,-67.91575239 -45.86551598,-67.9164934 -45.8652398,-67.9147875 -45.8642536,-67.9133606 -45.865322,-67.9120409 -45.8651352,-67.91093971 -45.86527418,-67.9122448 -45.8649709,-67.911129 -45.8644105,-67.9103887 -45.8645226,-67.90917641 -45.86476613,-67.9100668 -45.8647318,-67.9098523 -45.8659197,-67.9103565 -45.8661513,-67.90947109 -45.86641003,-67.9100454 -45.8663754,-67.9094982 -45.8663306,-67.909627 -45.86429100000001,-67.90869072 -45.86438156,-67.9108179 -45.86391,-67.9094768 -45.8638353,-67.9077816 -45.8657329,-67.9066443 -45.8662484,-67.90565529 -45.8665856,-67.906419 -45.86626330000001,-67.9050887 -45.8652025,-67.9043591 -45.864814,-67.90314798 -45.8648888,-67.9039943 -45.8644255,-67.9028034 -45.8637381,-67.8999174 -45.8635812,-67.89867893 -45.86374335,-67.8993487 -45.8636634,-67.8988981 -45.8636933,-67.89861920000001 -45.8635215,-67.8975525 -45.86346654,,-67.89779792 -45.86312838,-67.8962696 -45.8632899,-67.8974175 -45.8625203,-67.8984583 -45.8622177,-67.8946526 -45.86372426,-67.8961945 -45.8632674,-67.8952932 -45.8629985,-67.8948426 -45.8620347,-67.89369378 -45.862107,-67.8961086 -45.8601668,-67.8949714 -45.8618927,-67.89506126 -45.86022417,-67.8960952 -45.8598436,-67.8959692 -45.8585678,-67.8961945 -45.8583138,-67.8955936 -45.8581419,-67.8949177 -45.8572976,-67.8950787 -45.8562589,-67.894907 -45.8558629,-67.8937376 -45.8558928,-67.8932869 -45.8566101,-67.8928149 -45.8568492,-67.8926003 -45.8566998,-67.89119881 -45.85678635,-67.8915596 -45.8569165,-67.8910661 -45.8570435,-67.8905296 -45.8572453,-67.8862917 -45.8600846,-67.8869355 -45.8600547,-67.8873861 -45.8596438,-67.8876221 -45.8588667,-67.8886843 -45.8579999,-67.88485253 -45.86038085,-67.8855836 -45.8605329,-67.8847253 -45.8611754,-67.8843284 -45.8612427,-67.88286864 -45.86153258,-67.8809917 -45.8619301,-67.8822792 -45.8616611,-67.8835666 -45.8617507,-67.8845859 -45.8612277,-67.8843284 -45.8612427,-67.87889297 -45.8626014,-67.8800154 -45.8627071,-67.880863 -45.8635887,-67.8814101 -45.8638502,-67.881496 -45.8643508,-67.8795862 -45.8651352,-67.87816911 -45.86559299,-67.8794253 -45.8652025,-67.8813779 -45.8643508,-67.8805947 -45.8648065,-67.8801227 -45.8652622,-67.8801119 -45.8658151,-67.8798544 -45.8661513,-67.87841593 -45.86693979,-67.8773224 -45.8682132,-67.8784168 -45.867951700000006,-67.8792751 -45.866988,-67.87529512 -45.86884053,-67.8755951 -45.8690125,-67.8751016 -45.8692815,-67.8764427 -45.8695952,-67.87545792 -45.87007243,-67.8735942 -45.8680488,-67.8724301 -45.8682281,-67.8724086 -45.8686689,-67.8764427 -45.8695952,-67.8729107 -45.86822856,-67.8699839 -45.8693413,-67.8700376 -45.8699389,-67.8703916 -45.8701929,-67.8709173 -45.8699239,-67.8707349 -45.8692815,-67.8712177 -45.8686166,-67.8731596 -45.8681236,-67.86891343 -45.86940172,-67.8665292 -45.8704394,-67.8664756 -45.8701107,-67.8674197 -45.8697073,-67.8698659 -45.8700883,-67.8700376 -45.8699389,-67.8700268 -45.8692964,-67.86552841 -45.87071955,-67.8665292 -45.8705589,-67.866143 -45.8710594,-67.8657889 -45.8704767,-67.8668725 -45.8688706,-67.86653014 -45.86909111,-67.8668725 -45.8688706,-67.8667974 -45.868646500000004,-67.8676665 -45.8677127,-67.867012 -45.86727940000001,-67.86635342 -45.86702056,-67.8668189 -45.8667639,-67.8664005 -45.866988,-67.8663254 -45.8676305,-67.86498939 -45.86808329,-67.8639972 -45.8691171,-67.8657031 -45.8680713,-67.86235431 -45.86962035,-67.8593409 -45.8716048,-67.85971640000001 -45.8705365,-67.8614008 -45.870529,-67.861948 -45.8698268,-67.8630531 -45.8694832,-67.85882935 -45.87179542,-67.857635 -45.8744807,-67.8541696 -45.874152,-67.8588581 -45.8727103,-67.8593409 -45.8716048,-67.857019 -45.87438052,-67.84873010000001 -45.87312860000001,-67.8543305 -45.8741595,-67.857635 -45.8744807,-67.84711722 -45.87310355,-67.8489339 -45.8731324,-67.8501302 -45.8733565,-67.8485316 -45.8736739,-67.8459191 -45.8729942,-67.84549 -45.8723406,-67.8449106 -45.8726842,-67.84336962 -45.87289033,-67.8464448 -45.8713396,-67.8465736 -45.871657000000006,-67.84484620000002 -45.8726692,-67.84458226 -45.87132178,-67.8433174 -45.8702414,-67.8424054 -45.8705701,-67.8442401 -45.8712014,-67.8457582 -45.8705029,-67.8468794 -45.8714778,-67.8465736 -45.871657000000006,-67.8464073 -45.8713396,-67.84266503 -45.8702826,-67.8403401 -45.8715002,-67.8396213 -45.8713059,-67.8401256 -45.8706859,-67.8424323 -45.8705216,-67.8432369 -45.8702153,-67.83999726 -45.87142467,-67.8404045 -45.871440400000004,-67.8396642 -45.8713657,-67.8393745 -45.8705216,-67.8371751 -45.8699314,-67.8344822 -45.8697969,-67.8345251 -45.8700584,-67.8363597 -45.8707606,-67.83598551 -45.8713908,-67.8363276 -45.8710445,-67.8348899 -45.87091,-67.8336024 -45.8710221,-67.83204724 -45.87132308,-67.8347504 -45.8724041,-67.8345788 -45.8717915,-67.8335381 -45.8712686,-67.8339131 -45.87269245,-67.8368962 -45.8743761,-67.8363168 -45.8740101,-67.8365743 -45.8734723,-67.8358126 -45.8726879,-67.8366923 -45.875026,-67.8369284 -45.8751679,-67.8384304 -45.875317300000006,-67.83709911 -45.87528907,-67.8404582 -45.876744,-67.8387737 -45.8754144,-67.83972408 -45.87683377,-67.8388381 -45.8793059,-67.8380656 -45.8795375,-67.8406405 -45.8772519,-67.8405118 -45.8769083,-67.8383257 -45.87925524,-67.8388596 -45.8793582,-67.8365421 -45.8801649,-67.8342998 -45.88042630000001,-67.8343749 -45.8798736,-67.83402097 -45.87975218,-67.8357589 -45.8794553,-67.8374755 -45.877700100000006,-67.8373468 -45.8775656,-67.83580083 -45.87760123;-67.83580083 -45.87760123,-67.8357589 -45.8794553,-67.8374755 -45.877700100000006,-67.8373468 -45.8775656,-67.83402097 -45.87975218,-67.8388596 -45.8793582,-67.8365421 -45.8801649,-67.8342998 -45.88042630000001,-67.8343749 -45.8798736,-67.8383257 -45.87925524,-67.8388381 -45.8793059,-67.8380656 -45.8795375,-67.8406405 -45.8772519,-67.8405118 -45.8769083,-67.83972408 -45.87683377,-67.8404582 -45.876744,-67.8387737 -45.8754144,-67.83709911 -45.87528907,-67.8369284 -45.8751679,-67.8384304 -45.875317300000006,-67.8366923 -45.875026,-67.8368962 -45.8743761,-67.8363168 -45.8740101,-67.8365743 -45.8734723,-67.8358126 -45.8726879,-67.8339131 -45.87269245,-67.8347504 -45.8724041,-67.8345788 -45.8717915,-67.8335381 -45.8712686,-67.83204724 -45.87132308,-67.8363276 -45.8710445,-67.8348899 -45.87091,-67.8336024 -45.8710221,-67.83598551 -45.8713908,-67.8404045 -45.871440400000004,-67.8396642 -45.8713657,-67.8393745 -45.8705216,-67.8371751 -45.8699314,-67.8344822 -45.8697969,-67.8345251 -45.8700584,-67.8363597 -45.8707606,-67.83999726 -45.87142467,-67.8403401 -45.8715002,-67.8396213 -45.8713059,-67.8401256 -45.8706859,-67.8424323 -45.8705216,-67.8432369 -45.8702153,-67.84266503 -45.8702826,-67.8433174 -45.8702414,-67.8424054 -45.8705701,-67.8442401 -45.8712014,-67.8457582 -45.8705029,-67.8468794 -45.8714778,-67.8465736 -45.871657000000006,-67.8464073 -45.8713396,-67.84458226 -45.87132178,-67.8464448 -45.8713396,-67.8465736 -45.871657000000006,-67.84484620000002 -45.8726692,-67.84336962 -45.87289033,-67.8489339 -45.8731324,-67.8501302 -45.8733565,-67.8485316 -45.8736739,-67.8459191 -45.8729942,-67.84549 -45.8723406,-67.8449106 -45.8726842,-67.84711722 -45.87310355,-67.84873010000001 -45.87312860000001,-67.8543305 -45.8741595,-67.857635 -45.8744807,-67.857019 -45.87438052,-67.857635 -45.8744807,-67.8541696 -45.874152,-67.8588581 -45.8727103,-67.8593409 -45.8716048,-67.85882935 -45.87179542,-67.8593409 -45.8716048,-67.85971640000001 -45.8705365,-67.8614008 -45.870529,-67.861948 -45.8698268,-67.8630531 -45.8694832,-67.86235431 -45.86962035,-67.8639972 -45.8691171,-67.8657031 -45.8680713,-67.86498939 -45.86808329,-67.8668189 -45.8667639,-67.8664005 -45.866988,-67.8663254 -45.8676305,-67.86635342 -45.86702056,-67.8682029 -45.8666817,-67.8692436 -45.8661961,-67.8702307 -45.8647318,-67.8701663 -45.8642088,-67.86895092 -45.86422008,-67.8701234 -45.8635663,-67.8698123 -45.86132490000001,-67.8679776 -45.8603237,-67.8670549 -45.8588966,-67.8654027 -45.859457,-67.8654563 -45.8601518,-67.8656709 -45.8602639,-67.86513556 -45.86046435,-67.8688037 -45.8592029,-67.8687608 -45.8588144,-67.8664434 -45.858963800000005,-67.8654027 -45.859457,-67.8655529 -45.8602116,-67.86821501 -45.85959306,-67.87273050000002 -45.8603909,-67.8713894 -45.86060760000001,-67.8696728 -45.8603312,-67.8687501 -45.8600248,-67.868396 -45.859329900000006,-67.8688145 -45.8588667,-67.8688037 -45.8592029,-67.87238238 -45.86053745,-67.8762281 -45.861026,-67.8764856 -45.8608841,-67.8761208 -45.8599501,-67.8737497 -45.8604133,-67.87444477 -45.86135588,-67.8759491 -45.8590983,-67.8764319 -45.8599501,-67.87655 -45.8609588,-67.8760779 -45.8611231,-67.87446619 -45.85953534,-67.875917 -45.8590236,-67.8765607 -45.8587098,-67.8784597 -45.8588443,-67.87771797 -45.85914466;-67.87771797 -45.85914466,-67.8790283 -45.8588293,-67.880466 -45.8587397,-67.8813028 -45.8593598,-67.88077392 -45.85953999,-67.8814316 -45.8592926,-67.8808415 -45.8591357,-67.880863 -45.8587322,-67.8817642 -45.858239,-67.8850043 -45.8580522,-67.88402968 -45.85834964,-67.887429 -45.855564,-67.8882551 -45.8548691,-67.8894138 -45.853808,-67.8920853 -45.8535689,-67.8916454 -45.8538678,-67.8897357 -45.85395,-67.88910 -45.85436,-67.8875685 -45.8562589,-67.885799 -45.8571033,-67.88544 -45.8578281,-67.88523 -45.85794,-67.88581092 -45.85597227,-67.887429 -45.855564,-67.8894138 -45.853808,-67.8932333 -45.8533447,-67.8969455 -45.8545851,-67.8963768 -45.8546599,-67.89483427 -45.85484841,-67.9008508 -45.8548093,-67.8990161 -45.8545403,-67.898823 -45.8538678,-67.8965485 -45.8545553,-67.90022567 -45.85540767,,-67.90067511 -45.8549717,-67.904284 -45.8564084,-67.9033184 -45.8552726,-67.9019022 -45.8551232,-67.90400196 -45.85653031,-67.90773330000002 -45.8580522,-67.9073417 -45.8579177,-67.9068965 -45.8568567,-67.9053408 -45.8563822,-67.90707943 -45.8582017,-67.9102653 -45.8586986,-67.9081625 -45.8581195,-67.90964669 -45.85881191,-67.9112792 -45.8592776,-67.9102921 -45.8588293,-67.9105067 -45.8586425,-67.91058213 -45.85962973,-67.9145408 -45.8594047,-67.9124916 -45.858777,-67.9112792 -45.8592776,-67.91347499 -45.85938782,-67.9153347 -45.8605702,-67.9157317 -45.8599725,-67.9146159 -45.859457,-67.91412974 -45.86109479,-67.9219651 -45.8610335,-67.9157424 -45.8609887,-67.92116295 -45.86077528,-67.9235315 -45.8601219,-67.9222655 -45.8604731,-67.92204432 -45.86025045,-67.9253769 -45.8604208,-67.9236388 -45.8595317,-67.9233384 -45.8597857,-67.92472033 -45.86078317,-67.9288423 -45.860757,-67.9286063 -45.8609812,-67.9269433 -45.8608168,-67.9254305 -45.8610559,-67.9256237 -45.8606898,-67.92827234 -45.86082887,-67.9307091 -45.86097370000001,-67.9287457 -45.8609588,-67.9288423 -45.860757,-67.92973166 -45.86112334,-67.9343569 -45.8614145,-67.9335523 -45.861549,-67.9334021 -45.8611381,-67.9309666 -45.8609214,-67.93332777 -45.86169272,-67.9375219 -45.8620421,-67.9357517 -45.861085800000005,-67.9346144 -45.8614519,-67.93652197 -45.86222667,-67.9388309 -45.8607794,-67.938112 -45.8611007,-67.9377472 -45.860899,-67.9362881 -45.8614743,-67.9374897 -45.8619749,-67.93809539 -45.86091501,-67.9389811 -45.8623559,-67.9389596 -45.8618329,-67.9381979 -45.8610783,-67.9390669 -45.8607794,-67.93749455 -45.86270022,-67.9407942 -45.8630844,-67.9403758 -45.8621878,-67.9386914 -45.8624792,-67.94016816 -45.86304785,-67.9412395 -45.8636896,-67.94085860000001 -45.8628677,-67.94026881 -45.86394522,-67.9413575 -45.8643508,-67.94191 -45.8638801,-67.9413092 -45.8637717,-67.9397787 -45.86446671,-67.939437 -45.8659907,-67.9410034 -45.8642985,-67.93820898 -45.86621382,,-67.93822649 -45.86645361,-67.9383588 -45.8674437,-67.9380101 -45.8666929,-67.9392922 -45.8661064,-67.9400271 -45.8665472</t>
  </si>
  <si>
    <t>-67.9400271 -45.8665472,-67.9383588 -45.8674437,-67.9380101 -45.8666929,-67.9392922 -45.8661064,-67.93822649 -45.86645361,,-67.93820898 -45.86621382,-67.939437 -45.8659907,-67.9410034 -45.8642985,-67.9397787 -45.86446671,-67.9413575 -45.8643508,-67.94191 -45.8638801,-67.9413092 -45.8637717,-67.94026881 -45.86394522,-67.9412395 -45.8636896,-67.94085860000001 -45.8628677,-67.94016816 -45.86304785,-67.9407513 -45.863103100000004,-67.9403973 -45.8622551,-67.93757020000001 -45.8636746,-67.93638614 -45.8639203,-67.9374468 -45.8637643,-67.93648120000002 -45.8648999,-67.93542287 -45.86514387,-67.9364544 -45.8650082,-67.9343033 -45.8651128,-67.93322311 -45.86539389,-67.934196 -45.8650755,-67.9339492 -45.8648887,-67.9318678 -45.8652174,-67.93025624 -45.86524613,-67.92887450000002 -45.8655984,-67.929647 -45.8660093,-67.9311919 -45.8652622,-67.92761571 -45.86576064,-67.9284239 -45.8655835,-67.9270077 -45.8655162,-67.92568273 -45.86555172,,-67.92617947 -45.86596757,-67.9266429 -45.8657927,-67.9259992 -45.8665696,-67.92478129 -45.86687146,-67.9258382 -45.86658460000001,-67.9220402 -45.8663903,-67.92069068 -45.86664171,-67.9224908 -45.8663306,-67.9191971 -45.8656582,-67.91774956 -45.8661538,-67.9187572 -45.8661064,-67.9176843 -45.8663679,-67.9172981 -45.8656657,-67.91575239 -45.86551598,-67.9164934 -45.8652398,-67.9147875 -45.8642536,-67.9133606 -45.865322,-67.9120409 -45.8651352,-67.91093971 -45.86527418,-67.9122448 -45.8649709,-67.911129 -45.8644105,-67.9103887 -45.8645226,-67.90917641 -45.86476613,-67.9100668 -45.8647318,-67.9098523 -45.8659197,-67.9103565 -45.8661513,-67.90947109 -45.86641003,-67.9100454 -45.8663754,-67.9094982 -45.8663306,-67.909627 -45.86429100000001,-67.90869072 -45.86438156,-67.9108179 -45.86391,-67.9094768 -45.8638353,-67.9077816 -45.8657329,-67.9066443 -45.8662484,-67.90565529 -45.8665856,-67.906419 -45.86626330000001,-67.9050887 -45.8652025,-67.9043591 -45.864814,-67.90314798 -45.8648888,-67.9039943 -45.8644255,-67.9028034 -45.8637381,-67.8999174 -45.8635812,-67.89867893 -45.86374335,-67.8993487 -45.8636634,-67.8988981 -45.8636933,-67.89861920000001 -45.8635215,-67.8975525 -45.86346654,,-67.89779792 -45.86312838,-67.8962696 -45.8632899,-67.8974175 -45.8625203,-67.8984583 -45.8622177,-67.8946526 -45.86372426,-67.8961945 -45.8632674,-67.8952932 -45.8629985,-67.8948426 -45.8620347,-67.89369378 -45.862107,-67.8961086 -45.8601668,-67.8949714 -45.8618927,-67.89506126 -45.86022417,-67.8960952 -45.8598436,-67.8959692 -45.8585678,-67.8961945 -45.8583138,-67.8955936 -45.8581419,-67.8949177 -45.8572976,-67.8950787 -45.8562589,-67.894907 -45.8558629,-67.8937376 -45.8558928,-67.8932869 -45.8566101,-67.8928149 -45.8568492,-67.8926003 -45.8566998,-67.89119881 -45.85678635,-67.8915596 -45.8569165,-67.8910661 -45.8570435,-67.8905296 -45.8572453,-67.8862917 -45.8600846,-67.8869355 -45.8600547,-67.8873861 -45.8596438,-67.8876221 -45.8588667,-67.8886843 -45.8579999,-67.88485253 -45.86038085,-67.8855836 -45.8605329,-67.8847253 -45.8611754,-67.8843284 -45.8612427,-67.88286864 -45.86153258,-67.8809917 -45.8619301,-67.8822792 -45.8616611,-67.8835666 -45.8617507,-67.8845859 -45.8612277,-67.8843284 -45.8612427,-67.87889297 -45.8626014,-67.8800154 -45.8627071,-67.880863 -45.8635887,-67.8814101 -45.8638502,-67.881496 -45.8643508,-67.8795862 -45.8651352,-67.87816911 -45.86559299,-67.8794253 -45.8652025,-67.8813779 -45.8643508,-67.8805947 -45.8648065,-67.8801227 -45.8652622,-67.8801119 -45.8658151,-67.8798544 -45.8661513,-67.87841593 -45.86693979,-67.8773224 -45.8682132,-67.8784168 -45.867951700000006,-67.8792751 -45.866988,-67.87529512 -45.86884053,-67.8755951 -45.8690125,-67.8751016 -45.8692815,-67.8764427 -45.8695952,-67.87545792 -45.87007243,-67.8735942 -45.8680488,-67.8724301 -45.8682281,-67.8724086 -45.8686689,-67.8764427 -45.8695952,-67.8729107 -45.86822856,-67.8699839 -45.8693413,-67.8700376 -45.8699389,-67.8703916 -45.8701929,-67.8709173 -45.8699239,-67.8707349 -45.8692815,-67.8712177 -45.8686166,-67.8731596 -45.8681236,-67.86891343 -45.86940172,-67.8665292 -45.8704394,-67.8664756 -45.8701107,-67.8674197 -45.8697073,-67.8698659 -45.8700883,-67.8700376 -45.8699389,-67.8700268 -45.8692964,-67.86552841 -45.87071955,-67.8665292 -45.8705589,-67.866143 -45.8710594,-67.8657889 -45.8704767,-67.8668725 -45.8688706,-67.86653014 -45.86909111,-67.8668725 -45.8688706,-67.8667974 -45.868646500000004,-67.8676665 -45.8677127,-67.867012 -45.86727940000001,-67.86635342 -45.86702056,-67.8668189 -45.8667639,-67.8664005 -45.866988,-67.8663254 -45.8676305,-67.86498939 -45.86808329,-67.8639972 -45.8691171,-67.8657031 -45.8680713,-67.86235431 -45.86962035,-67.8593409 -45.8716048,-67.85971640000001 -45.8705365,-67.8614008 -45.870529,-67.861948 -45.8698268,-67.8630531 -45.8694832,-67.85882935 -45.87179542,-67.857635 -45.8744807,-67.8541696 -45.874152,-67.8588581 -45.8727103,-67.8593409 -45.8716048,-67.857019 -45.87438052,-67.84873010000001 -45.87312860000001,-67.8543305 -45.8741595,-67.857635 -45.8744807,-67.84711722 -45.87310355,-67.8489339 -45.8731324,-67.8501302 -45.8733565,-67.8485316 -45.8736739,-67.8459191 -45.8729942,-67.84549 -45.8723406,-67.8449106 -45.8726842,-67.84336962 -45.87289033,-67.8464448 -45.8713396,-67.8465736 -45.871657000000006,-67.84484620000002 -45.8726692,-67.84458226 -45.87132178,-67.8433174 -45.8702414,-67.8424054 -45.8705701,-67.8442401 -45.8712014,-67.8457582 -45.8705029,-67.8468794 -45.8714778,-67.8465736 -45.871657000000006,-67.8464073 -45.8713396,-67.84266503 -45.8702826,-67.8403401 -45.8715002,-67.8396213 -45.8713059,-67.8401256 -45.8706859,-67.8424323 -45.8705216,-67.8432369 -45.8702153,-67.83999726 -45.87142467,-67.8404045 -45.871440400000004,-67.8396642 -45.8713657,-67.8393745 -45.8705216,-67.8371751 -45.8699314,-67.8344822 -45.8697969,-67.8345251 -45.8700584,-67.8363597 -45.8707606,-67.83598551 -45.8713908,-67.8363276 -45.8710445,-67.8348899 -45.87091,-67.8336024 -45.8710221,-67.83204724 -45.87132308,-67.8347504 -45.8724041,-67.8345788 -45.8717915,-67.8335381 -45.8712686,-67.8339131 -45.87269245,-67.8368962 -45.8743761,-67.8363168 -45.8740101,-67.8365743 -45.8734723,-67.8358126 -45.8726879,-67.8366923 -45.875026,-67.8369284 -45.8751679,-67.8384304 -45.875317300000006,-67.83709911 -45.87528907,-67.8404582 -45.876744,-67.8387737 -45.8754144,-67.83972408 -45.87683377,-67.8388381 -45.8793059,-67.8380656 -45.8795375,-67.8406405 -45.8772519,-67.8405118 -45.8769083,-67.8383257 -45.87925524,-67.8388596 -45.8793582,-67.8365421 -45.8801649,-67.8342998 -45.88042630000001,-67.8343749 -45.8798736,-67.83402097 -45.87975218,-67.8357589 -45.8794553,-67.8374755 -45.877700100000006,-67.8373468 -45.8775656,-67.83580083 -45.87760123,-67.83642410000002 -45.8773117,-67.8357589 -45.877349,-67.8347933 -45.8779316,-67.83319238 -45.87800268;-67.83319238 -45.87800268,-67.83642410000002 -45.8773117,-67.8357589 -45.877349,-67.8347933 -45.8779316,-67.83580083 -45.87760123,-67.8357589 -45.8794553,-67.8374755 -45.877700100000006,-67.8373468 -45.8775656,-67.83402097 -45.87975218,-67.8388596 -45.8793582,-67.8365421 -45.8801649,-67.8342998 -45.88042630000001,-67.8343749 -45.8798736,-67.8383257 -45.87925524,-67.8388381 -45.8793059,-67.8380656 -45.8795375,-67.8406405 -45.8772519,-67.8405118 -45.8769083,-67.83972408 -45.87683377,-67.8404582 -45.876744,-67.8387737 -45.8754144,-67.83709911 -45.87528907,-67.8369284 -45.8751679,-67.8384304 -45.875317300000006,-67.8366923 -45.875026,-67.8368962 -45.8743761,-67.8363168 -45.8740101,-67.8365743 -45.8734723,-67.8358126 -45.8726879,-67.8339131 -45.87269245,-67.8347504 -45.8724041,-67.8345788 -45.8717915,-67.8335381 -45.8712686,-67.83204724 -45.87132308,-67.8326046 -45.8712686,-67.8287637 -45.8718438,-67.8266931 -45.8718811,-67.8259957 -45.8715076,-67.82435527 -45.87146335,-67.8260922 -45.8716048,-67.8258884 -45.8718886,-67.8219509 -45.871657,-67.8194082 -45.8687287,-67.8185391 -45.8670926,-67.8190756 -45.8667788,-67.8187144 -45.86699435,-67.819097 -45.8668461,-67.8186357 -45.8670552,-67.8192151 -45.868385,-67.81829240000002 -45.8680713,-67.81633269 -45.86814359,-67.8182173 -45.868004,-67.8160286 -45.8663455,-67.8181314 -45.8648065,-67.8182173 -45.864545,-67.81720169 -45.86444747,-67.8186142 -45.8634617,-67.8183568 -45.8624605,-67.8160179 -45.8615565,-67.8143764 -45.8610559,-67.81282229 -45.86107452,-67.8138077 -45.8564532,-67.814548 -45.8566699,-67.813561 -45.8597484,-67.8137219 -45.8605777,-67.81224182 -45.85671416,-67.8138828 -45.856371,-67.8149986 -45.8564981,-67.816329 -45.8556985,-67.81537995 -45.85550384;-67.81537995 -45.85550384,-67.8138828 -45.856371,-67.8149986 -45.8564981,-67.816329 -45.8556985,-67.81224182 -45.85671416;-67.81224182 -45.85671416,-67.8138077 -45.8564532,-67.814548 -45.8566699,-67.813561 -45.8597484,-67.8137219 -45.8605777,-67.81282229 -45.86107452,-67.8186142 -45.8634617,-67.8183568 -45.8624605,-67.8160179 -45.8615565,-67.8143764 -45.8610559,-67.81720169 -45.86444747,-67.8182173 -45.868004,-67.8160286 -45.8663455,-67.8181314 -45.8648065,-67.8182173 -45.864545,-67.81633269 -45.86814359,-67.819097 -45.8668461,-67.8186357 -45.8670552,-67.8192151 -45.868385,-67.81829240000002 -45.8680713,-67.8187144 -45.86699435,-67.8260922 -45.8716048,-67.8258884 -45.8718886,-67.8219509 -45.871657,-67.8194082 -45.8687287,-67.8185391 -45.8670926,-67.8190756 -45.8667788,-67.82435527 -45.87146335,-67.8326046 -45.8712686,-67.8287637 -45.8718438,-67.8266931 -45.8718811,-67.8259957 -45.8715076,-67.83204724 -45.87132308,-67.8363276 -45.8710445,-67.8348899 -45.87091,-67.8336024 -45.8710221,-67.83598551 -45.8713908,-67.8404045 -45.871440400000004,-67.8396642 -45.8713657,-67.8393745 -45.8705216,-67.8371751 -45.8699314,-67.8344822 -45.8697969,-67.8345251 -45.8700584,-67.8363597 -45.8707606,-67.83999726 -45.87142467,-67.8403401 -45.8715002,-67.8396213 -45.8713059,-67.8401256 -45.8706859,-67.8424323 -45.8705216,-67.8432369 -45.8702153,-67.84266503 -45.8702826,-67.8433174 -45.8702414,-67.8424054 -45.8705701,-67.8442401 -45.8712014,-67.8457582 -45.8705029,-67.8468794 -45.8714778,-67.8465736 -45.871657000000006,-67.8464073 -45.8713396,-67.84458226 -45.87132178,-67.8464448 -45.8713396,-67.8465736 -45.871657000000006,-67.84484620000002 -45.8726692,-67.84336962 -45.87289033,-67.8489339 -45.8731324,-67.8501302 -45.8733565,-67.8485316 -45.8736739,-67.8459191 -45.8729942,-67.84549 -45.8723406,-67.8449106 -45.8726842,-67.84711722 -45.87310355,-67.847904 -45.8759074,-67.8490949 -45.8742491,-67.8510368 -45.8734349,-67.8488266 -45.8731585,-67.84644226 -45.87649326,-67.8503072 -45.877095,-67.8495133 -45.8766394,-67.8481615 -45.87637800000001,-67.84953817 -45.87734102,-67.8534776 -45.8786225,-67.852689 -45.8781818,-67.8508437 -45.8775395,-67.85276267 -45.87922955,-67.8564656 -45.8801798,-67.855736 -45.8808595,-67.8561974 -45.8788727,-67.8546631 -45.8788802,-67.855851 -45.88011934,-67.8574526 -45.8818977,-67.8570664 -45.8807624,-67.8556824 -45.8812367,-67.8564656 -45.8801798,-67.85651325 -45.88220843,-67.8573883 -45.8816587,-67.8575063 -45.8811433,-67.8592443 -45.8804114,-67.8593087 -45.8795599,-67.8584397 -45.8786113,-67.8589547 -45.8770502,-67.8599954 -45.87787190000001,-67.859516 -45.87831444,-67.8608537 -45.8799333,-67.8613579 -45.8799707,-67.8611863 -45.8784545,-67.86092880000001 -45.8783424,-67.85926992 -45.88036306,-67.8622806 -45.8814346,-67.8628922 -45.8810985,-67.8613365 -45.8799035,-67.8605962 -45.879896,-67.86071597 -45.88116865,-67.8685462 -45.8831151,-67.8700483 -45.8829059,-67.8648233 -45.8818603,-67.8628063 -45.8810537,-67.8621304 -45.8814645,-67.86703039 -45.88312685,-67.8737283 -45.8829508,-67.8736854 -45.8833242,-67.8730094 -45.8829134,-67.8686643 -45.8830254,-67.87263059 -45.88283868,-67.8738034 -45.8829806,-67.8739858 -45.8834512,-67.87655 -45.8844445,-67.8765929 -45.8840262,-67.8758872 -45.88413516,-67.8775907 -45.885744,-67.8778374 -45.8851241,-67.8766251 -45.8844594,-67.8767002 -45.8840561,-67.87630061 -45.88642699,,-67.87597578 -45.88674947,-67.8775477 -45.8859232,-67.87784810000001 -45.8854153,-67.8789425 -45.8862742,-67.879554 -45.8862667,-67.8829443 -45.8844743,-67.8806055 -45.8848253,-67.87931365 -45.88515467,-67.8808522 -45.8847432,-67.8831053 -45.8843548,-67.884897 -45.8834586,-67.8876114 -45.88378720000001,-67.8901434 -45.8835856,-67.88934482 -45.88367092,-67.8863347 -45.8849448,-67.8869569 -45.8849672,-67.8874826 -45.883847,-67.8903258 -45.883570600000006,-67.88477851 -45.88530377,-67.8847039 -45.885542300000004,-67.8854334 -45.8851465,-67.88304639 -45.88588109,-67.8838027 -45.88608,-67.882483 -45.8868716,-67.88085052 -45.88709026,-67.8783846 -45.8885519,-67.8803802 -45.8880143,-67.8826654 -45.8868044,-67.8823113 -45.8868119,-67.87661058 -45.88889945,-67.8765285 -45.89045620000001,-67.877773 -45.8901799,-67.8803802 -45.8880143,-67.8783846 -45.8885519,-67.87484305 -45.89067788,-67.8792322 -45.8901127,-67.877934 -45.8900903,-67.8765285 -45.89045620000001,-67.87813787 -45.88993585,-67.8789854 -45.8901127,-67.8777838 -45.8901052,-67.8751981 -45.8927935,-67.8739536 -45.8942571,-67.87230402 -45.89457162,-67.8727734 -45.8946678,-67.8698874 -45.8956236,-67.8718185 -45.8958326,-67.87162467 -45.89615328;-67.87162467 -45.89615328,-67.8727734 -45.8946678,-67.8698874 -45.8956236,-67.8718185 -45.8958326,-67.87230402 -45.89457162,-67.8789854 -45.8901127,-67.8777838 -45.8901052,-67.8751981 -45.8927935,-67.8739536 -45.8942571,-67.87813787 -45.88993585,-67.8788996 -45.8901426,-67.877934 -45.8900903,-67.8774834 -45.8904786,-67.8777945 -45.8925098,-67.8783524 -45.8919348,-67.87768072 -45.89180609,-67.8782558 -45.8919497,-67.8778267 -45.8923828,-67.8780413 -45.8938315,-67.8791893 -45.8953398,-67.87842608 -45.89585515,-67.8803694 -45.8936299,-67.8794038 -45.8940256,-67.8790176 -45.8951009,-67.8792751 -45.8953174,-67.8799303 -45.89359628;-67.8799303 -45.89359628,-67.8803694 -45.8936299,-67.8794038 -45.8940256,-67.8790176 -45.8951009,-67.8792751 -45.8953174,-67.87842608 -45.89585515,-67.8782558 -45.8919497,-67.8778267 -45.8923828,-67.8780413 -45.8938315,-67.8791893 -45.8953398,-67.87768072 -45.89180609,-67.8788996 -45.8901426,-67.877934 -45.8900903,-67.8774834 -45.8904786,-67.8777945 -45.8925098,-67.8783524 -45.8919348,-67.87813787 -45.88993585,-67.8792322 -45.8901127,-67.877934 -45.8900903,-67.8765285 -45.89045620000001,-67.87484305 -45.89067788,-67.8765285 -45.89045620000001,-67.877773 -45.8901799,-67.8803802 -45.8880143,-67.8783846 -45.8885519,-67.87661058 -45.88889945,-67.8783846 -45.8885519,-67.8803802 -45.8880143,-67.8826654 -45.8868044,-67.8823113 -45.8868119,-67.88085052 -45.88709026,-67.8838027 -45.88608,-67.882483 -45.8868716,-67.88304639 -45.88588109,-67.8847039 -45.885542300000004,-67.8854334 -45.8851465,-67.88477851 -45.88530377,-67.8877938 -45.885251,-67.8862166 -45.8849523,-67.88725199 -45.88498287,-67.8916669 -45.8851316,-67.891463 -45.8853332,-67.8890061 -45.8855946,-67.8886521 -45.8849672,-67.88986813 -45.88509226,-67.895658 -45.88465360000001,-67.8955078 -45.8872675,-67.89402720000001 -45.888186,-67.89313670000001 -45.8879097,-67.8935552 -45.8866999,-67.891624 -45.8850718,-67.89478887 -45.88442779,-67.896452 -45.8842129,-67.8972995 -45.8841607,-67.8987801 -45.8833839,-67.8993165 -45.8836304,-67.89811074 -45.88424629,-67.90316820000001 -45.883637900000004,-67.9026854 -45.8831823,-67.9021275 -45.8832794,-67.900722 -45.8842279,-67.9001105 -45.8851465,-67.8995955 -45.8843175,-67.90293219 -45.8836944,-67.9039729 -45.8871629,-67.9034686 -45.8869165,-67.9041123 -45.886192,-67.9042947 -45.8847656,-67.90316820000001 -45.883637900000004,-67.90362098 -45.8874036,-67.9052818 -45.8875736,-67.90654780000001 -45.8882084,-67.9074919 -45.8882756,-67.90705336 -45.88840606,-67.9066443 -45.8844071,-67.9062474 -45.8852585,-67.908833 -45.885968,-67.9091012 -45.8864012,-67.90594775 -45.88423937,,-67.90591516 -45.88446218,-67.9076958 -45.8841084,-67.9082644 -45.8839366,-67.9093373 -45.8833167,-67.9103136 -45.8831972,-67.90970498 -45.88326091,-67.911365 -45.8831076,-67.9142618 -45.8826968,-67.9159892 -45.8825026,-67.91541483 -45.88231338,-67.9166651 -45.8823159,-67.9170835 -45.8822711,-67.9178345 -45.8833989,-67.9184783 -45.8832943,-67.91747464 -45.88372353,-67.9183173 -45.8833018,-67.9179525 -45.8832943,-67.9178452 -45.8829358,-67.9186606 -45.8819873,-67.9191113 -45.8815466,-67.9197979 -45.8813898,-67.91930941 -45.88137118,-67.9231775 -45.8798138,-67.9230273 -45.8801051,-67.9220295 -45.8802022,-67.9198301 -45.8807027,-67.9191542 -45.8814645,-67.9198301 -45.8813375,-67.92260289 -45.87981886,-67.9288745 -45.8790371,-67.9299045 -45.8786188,-67.929765 -45.8784918,-67.9247224 -45.8798512,-67.9241753 -45.8796943,-67.92746283 -45.879252,-67.9288745 -45.8790371,-67.9299796 -45.8786337,-67.9304302 -45.8776552,-67.9309022 -45.8766245,-67.9306126 -45.8766543,-67.92916705 -45.87686758,-67.9305589 -45.8765722,-67.9309773 -45.8765423,-67.9323184 -45.875011,-67.9336917 -45.8726132,-67.93292309 -45.87290945,-67.9337347 -45.872531,-67.9350007 -45.8704245,-67.9346895 -45.8701032,-67.933282 -45.87018527,-67.936492 -45.8696625,-67.9362881 -45.8694234,-67.9350436 -45.8703273,-67.9347003 -45.8699986,-67.93551008 -45.87004015,-67.9383588 -45.8674437,-67.9380584 -45.8682655,-67.9363847 -45.8693786,-67.9365671 -45.8696326,-67.9400271 -45.8665472</t>
  </si>
  <si>
    <t>-67.9400271 -45.8665472,-67.9383588 -45.8674437,-67.9380584 -45.8682655,-67.9363847 -45.8693786,-67.9365671 -45.8696326,-67.93551008 -45.87004015,-67.936492 -45.8696625,-67.9362881 -45.8694234,-67.9350436 -45.8703273,-67.9347003 -45.8699986,-67.933282 -45.87018527,-67.9337347 -45.872531,-67.9350007 -45.8704245,-67.9346895 -45.8701032,-67.93292309 -45.87290945,-67.9305589 -45.8765722,-67.9309773 -45.8765423,-67.9323184 -45.875011,-67.9336917 -45.8726132,-67.92916705 -45.87686758,-67.9288745 -45.8790371,-67.9299796 -45.8786337,-67.9304302 -45.8776552,-67.9309022 -45.8766245,-67.9306126 -45.8766543,-67.92746283 -45.879252,-67.9288745 -45.8790371,-67.9299045 -45.8786188,-67.929765 -45.8784918,-67.9247224 -45.8798512,-67.9241753 -45.8796943,-67.92260289 -45.87981886,-67.9231775 -45.8798138,-67.9230273 -45.8801051,-67.9220295 -45.8802022,-67.9198301 -45.8807027,-67.9191542 -45.8814645,-67.9198301 -45.8813375,-67.91930941 -45.88137118,-67.9183173 -45.8833018,-67.9179525 -45.8832943,-67.9178452 -45.8829358,-67.9186606 -45.8819873,-67.9191113 -45.8815466,-67.9197979 -45.8813898,-67.91747464 -45.88372353,-67.9166651 -45.8823159,-67.9170835 -45.8822711,-67.9178345 -45.8833989,-67.9184783 -45.8832943,-67.91541483 -45.88231338,-67.911365 -45.8831076,-67.9142618 -45.8826968,-67.9159892 -45.8825026,-67.90970498 -45.88326091,-67.9076958 -45.8841084,-67.9082644 -45.8839366,-67.9093373 -45.8833167,-67.9103136 -45.8831972,-67.90591516 -45.88446218,,-67.90594775 -45.88423937,-67.9066443 -45.8844071,-67.9062474 -45.8852585,-67.908833 -45.885968,-67.9091012 -45.8864012,-67.90705336 -45.88840606,-67.9052818 -45.8875736,-67.90654780000001 -45.8882084,-67.9074919 -45.8882756,-67.90362098 -45.8874036,-67.9039729 -45.8871629,-67.9034686 -45.8869165,-67.9041123 -45.886192,-67.9042947 -45.8847656,-67.90316820000001 -45.883637900000004,-67.90293219 -45.8836944,-67.90316820000001 -45.883637900000004,-67.9026854 -45.8831823,-67.9021275 -45.8832794,-67.900722 -45.8842279,-67.9001105 -45.8851465,-67.8995955 -45.8843175,-67.89811074 -45.88424629,-67.896452 -45.8842129,-67.8972995 -45.8841607,-67.8987801 -45.8833839,-67.8993165 -45.8836304,-67.89478887 -45.88442779,-67.895658 -45.88465360000001,-67.8955078 -45.8872675,-67.89402720000001 -45.888186,-67.89313670000001 -45.8879097,-67.8935552 -45.8866999,-67.891624 -45.8850718,-67.88986813 -45.88509226,-67.8916669 -45.8851316,-67.891463 -45.8853332,-67.8890061 -45.8855946,-67.8886521 -45.8849672,-67.88725199 -45.88498287,-67.8877938 -45.885251,-67.8862166 -45.8849523,-67.88477851 -45.88530377,-67.8847039 -45.885542300000004,-67.8854334 -45.8851465,-67.88304639 -45.88588109,-67.8838027 -45.88608,-67.882483 -45.8868716,-67.88085052 -45.88709026,-67.8783846 -45.8885519,-67.8803802 -45.8880143,-67.8826654 -45.8868044,-67.8823113 -45.8868119,-67.87661058 -45.88889945,-67.8765285 -45.89045620000001,-67.877773 -45.8901799,-67.8803802 -45.8880143,-67.8783846 -45.8885519,-67.87484305 -45.89067788,-67.8792322 -45.8901127,-67.877934 -45.8900903,-67.8765285 -45.89045620000001,-67.87813787 -45.88993585,-67.8788996 -45.8901426,-67.877934 -45.8900903,-67.8774834 -45.8904786,-67.8777945 -45.8925098,-67.8783524 -45.8919348,-67.87768072 -45.89180609,-67.8793395 -45.891315,-67.8811419 -45.8904936,-67.8816247 -45.8907997,-67.88069709 -45.8911118;-67.88069709 -45.8911118,-67.8793395 -45.891315,-67.8811419 -45.8904936,-67.8816247 -45.8907997,-67.87768072 -45.89180609,-67.8788996 -45.8901426,-67.877934 -45.8900903,-67.8774834 -45.8904786,-67.8777945 -45.8925098,-67.8783524 -45.8919348,-67.87813787 -45.88993585,-67.8792322 -45.8901127,-67.877934 -45.8900903,-67.8765285 -45.89045620000001,-67.87484305 -45.89067788,-67.8765285 -45.89045620000001,-67.877773 -45.8901799,-67.8803802 -45.8880143,-67.8783846 -45.8885519,-67.87661058 -45.88889945,-67.8783846 -45.8885519,-67.8803802 -45.8880143,-67.8826654 -45.8868044,-67.8823113 -45.8868119,-67.88085052 -45.88709026,-67.8838027 -45.88608,-67.882483 -45.8868716,-67.88304639 -45.88588109,-67.8847039 -45.885542300000004,-67.8854334 -45.8851465,-67.88477851 -45.88530377,-67.8863347 -45.8849448,-67.8869569 -45.8849672,-67.8874826 -45.883847,-67.8903258 -45.883570600000006,-67.88934482 -45.88367092,-67.8808522 -45.8847432,-67.8831053 -45.8843548,-67.884897 -45.8834586,-67.8876114 -45.88378720000001,-67.8901434 -45.8835856,-67.87931365 -45.88515467,-67.8775477 -45.8859232,-67.87784810000001 -45.8854153,-67.8789425 -45.8862742,-67.879554 -45.8862667,-67.8829443 -45.8844743,-67.8806055 -45.8848253,-67.87597578 -45.88674947,,-67.87630061 -45.88642699,-67.8775907 -45.885744,-67.8778374 -45.8851241,-67.8766251 -45.8844594,-67.8767002 -45.8840561,-67.8758872 -45.88413516,-67.8738034 -45.8829806,-67.8739858 -45.8834512,-67.87655 -45.8844445,-67.8765929 -45.8840262,-67.87263059 -45.88283868,-67.8737283 -45.8829508,-67.8736854 -45.8833242,-67.8730094 -45.8829134,-67.8686643 -45.8830254,-67.86703039 -45.88312685,-67.8726017 -45.880389,-67.8697157 -45.8828462,-67.8706813 -45.8831001,-67.8686643 -45.8830254,-67.8724445 -45.87988188,-67.8772688 -45.8789101,-67.8749835 -45.8790146,-67.87362100000001 -45.8797765,-67.87684672 -45.87887091,-67.8785026 -45.8788802,-67.8798115 -45.8793806,-67.87875862 -45.87975391,-67.8797901 -45.8776627,-67.8792536 -45.87817810000001,-67.8798115 -45.8793806,-67.87897854 -45.87766371,-67.8803158 -45.8771847,-67.8813779 -45.8760792,-67.8823113 -45.875519,-67.8828478 -45.87486160000001,-67.88196942 -45.87464989,-67.8836632 -45.8741296,-67.884264 -45.8734723,-67.8839421 -45.8733229,-67.8833306 -45.8736515,-67.8822899 -45.87404,-67.8816032 -45.8749737,-67.8808522 -45.875153,-67.8791678 -45.8762809,-67.8782129 -45.8766021,-67.8774083 -45.8765572,-67.87580898 -45.87623664,-67.8772473 -45.875646,-67.87714 -45.874899,-67.8760457 -45.8739578,-67.8750265 -45.8733005,-67.8741574 -45.8732108,-67.8737283 -45.8741819,-67.87226293 -45.87472228,-67.8735888 -45.8741744,-67.8739643 -45.8739055,-67.8744149 -45.8726132,-67.8760242 -45.8715599,-67.87563056 -45.87167842;-67.87563056 -45.87167842,-67.8735888 -45.8741744,-67.8739643 -45.8739055,-67.8744149 -45.8726132,-67.8760242 -45.8715599,-67.87226293 -45.87472228,-67.8721726 -45.8748019,-67.868793 -45.8753024,-67.8683639 -45.8750633,-67.8691471 -45.8759522,-67.86877282 -45.87598303,-67.8690398 -45.8759074,-67.8681815 -45.8748691,-67.8664434 -45.8762585,-67.86520975 -45.8764158,-67.8666043 -45.8740773,-67.8655958 -45.8758999,-67.8658319 -45.8761464,-67.86601994 -45.87390747,-67.8686213 -45.87223970000001,-67.8679776 -45.8725012,-67.867173 -45.87342,-67.86803091 -45.87230485,-67.8687286 -45.87223970000001,-67.8671408 -45.8717542,-67.8661752 -45.8712611,-67.8662395 -45.8705888,-67.86552841 -45.87071955,-67.8665292 -45.8704394,-67.8664756 -45.8701107,-67.8674197 -45.8697073,-67.8698659 -45.8700883,-67.8700376 -45.8699389,-67.8700268 -45.8692964,-67.86891343 -45.86940172,-67.8699839 -45.8693413,-67.8700376 -45.8699389,-67.8703916 -45.8701929,-67.8709173 -45.8699239,-67.8707349 -45.8692815,-67.8712177 -45.8686166,-67.8731596 -45.8681236,-67.8729107 -45.86822856,-67.8740609 -45.8679218,-67.8740501 -45.8676828,-67.8730416 -45.867115,-67.8732347 -45.8667639,-67.8746724 -45.8662783,-67.8754556 -45.865591,-67.876035 -45.8638054,-67.8748977 -45.8643134,-67.87319628 -45.86441938,-67.8776658 -45.8646496,-67.876035 -45.8642312,-67.8759491 -45.8638278,-67.8749514 -45.864380600000004,-67.87711554 -45.86436098,-67.87849190000001 -45.8641416,-67.8785133 -45.863499,-67.8778052 -45.8630732,-67.87624464 -45.86324951,-67.8765821 -45.8616835,-67.8769684 -45.861803,-67.877183 -45.8627295,-67.87598229 -45.86175617,-67.8761101 -45.86104100000001,-67.8766465 -45.8610185,-67.8767216 -45.8614071,-67.87444477 -45.86135588,-67.8759491 -45.8590983,-67.8764319 -45.8599501,-67.87655 -45.8609588,-67.8760779 -45.8611231,-67.87446619 -45.85953534,-67.875917 -45.8590236,-67.8765607 -45.8587098,-67.8784597 -45.8588443,-67.87771797 -45.85914466,-67.8790283 -45.8588293,-67.880466 -45.8587397,-67.8813028 -45.8593598,-67.88077392 -45.85953999,-67.8814316 -45.8592926,-67.8808415 -45.8591357,-67.880863 -45.8587322,-67.8817642 -45.858239,-67.8850043 -45.8580522,-67.88402968 -45.85834964,-67.887429 -45.855564,-67.8882551 -45.8548691,-67.8894138 -45.853808,-67.8920853 -45.8535689,-67.8916454 -45.8538678,-67.8897357 -45.85395,-67.88910 -45.85436,-67.8875685 -45.8562589,-67.885799 -45.8571033,-67.88544 -45.8578281,-67.88523 -45.85794,-67.88581092 -45.85597227,-67.887429 -45.855564,-67.8894138 -45.853808,-67.8932333 -45.8533447,-67.8969455 -45.8545851,-67.8963768 -45.8546599,-67.89483427 -45.85484841,-67.9008508 -45.8548093,-67.8990161 -45.8545403,-67.898823 -45.8538678,-67.8965485 -45.8545553,-67.90022567 -45.85540767,,-67.90067511 -45.8549717,-67.904284 -45.8564084,-67.9033184 -45.8552726,-67.9019022 -45.8551232,-67.90400196 -45.85653031,-67.90773330000002 -45.8580522,-67.9073417 -45.8579177,-67.9068965 -45.8568567,-67.9053408 -45.8563822,-67.90707943 -45.8582017,-67.9079533 -45.8582615,-67.9074919 -45.8604283,-67.90669842 -45.86068564,-67.934314 -45.8614668,-67.9336488 -45.8615341,-67.93349860000001 -45.8611979,-67.9346895 -45.8607645,-67.93353649 -45.86088532,-67.9345179 -45.8607346,-67.9318786 -45.8609662,-67.9327154 -45.86017420000001,-67.9316989 -45.86033267;-67.9316989 -45.86033267,-67.9345179 -45.8607346,-67.9318786 -45.8609662,-67.9327154 -45.86017420000001,-67.93353649 -45.86088532,-67.934314 -45.8614668,-67.9336488 -45.8615341,-67.93349860000001 -45.8611979,-67.9346895 -45.8607645,-67.90669842 -45.86068564,-67.9079533 -45.8582615,-67.9074919 -45.8604283,-67.90707943 -45.8582017,-67.9102653 -45.8586986,-67.9081625 -45.8581195,-67.90964669 -45.85881191,-67.9112792 -45.8592776,-67.9102921 -45.8588293,-67.9105067 -45.8586425,-67.91058213 -45.85962973,-67.9145408 -45.8594047,-67.9124916 -45.858777,-67.9112792 -45.8592776,-67.91347499 -45.85938782,-67.9153347 -45.8605702,-67.9157317 -45.8599725,-67.9146159 -45.859457,-67.91412974 -45.86109479,-67.9219651 -45.8610335,-67.9157424 -45.8609887,-67.92116295 -45.86077528,-67.9235315 -45.8601219,-67.9222655 -45.8604731,-67.92204432 -45.86025045,-67.9253769 -45.8604208,-67.9236388 -45.8595317,-67.9233384 -45.8597857,-67.92472033 -45.86078317,-67.9288423 -45.860757,-67.9286063 -45.8609812,-67.9269433 -45.8608168,-67.9254305 -45.8610559,-67.9256237 -45.8606898,-67.92827234 -45.86082887,-67.9307091 -45.86097370000001,-67.9287457 -45.8609588,-67.9288423 -45.860757,-67.92973166 -45.86112334,,-67.93120681 -45.86225885,-67.9317713 -45.8622364,-67.9315996 -45.8623933,-67.9323292 -45.8628266,-67.9318464 -45.8631853,-67.93055226 -45.86360952,-67.9319108 -45.863245,-67.9326832 -45.8629686,-67.9330802 -45.8633272,-67.9316318 -45.8640594,-67.93025055 -45.864455,-67.9336596 -45.8642536,-67.9329193 -45.8632973,-67.9313529 -45.8641117,-67.93267509 -45.86451672,-67.9343301 -45.8650792,-67.933858 -45.864335800000006,-67.93322311 -45.86539389,-67.9364544 -45.8650082,-67.9343033 -45.8651128,-67.93542287 -45.86514387;-67.93542287 -45.86514387,-67.9374468 -45.8637643,-67.93648120000002 -45.8648999,-67.93638614 -45.8639203,-67.9407513 -45.863103100000004,-67.9403973 -45.8622551,-67.93757020000001 -45.8636746,-67.94016816 -45.86304785,-67.9412395 -45.8636896,-67.94085860000001 -45.8628677,-67.94026881 -45.86394522,-67.9413575 -45.8643508,-67.94191 -45.8638801,-67.9413092 -45.8637717,-67.9397787 -45.86446671,-67.939437 -45.8659907,-67.9410034 -45.8642985,-67.93820898 -45.86621382,,-67.93822649 -45.86645361,-67.9383588 -45.8674437,-67.9380101 -45.8666929,-67.9392922 -45.8661064,-67.9400271 -45.8665472</t>
  </si>
  <si>
    <t>-67.9400271 -45.8665472,-67.9383588 -45.8674437,-67.9380101 -45.8666929,-67.9392922 -45.8661064,-67.93822649 -45.86645361,,-67.93820898 -45.86621382,-67.939437 -45.8659907,-67.9410034 -45.8642985,-67.9397787 -45.86446671,-67.9413575 -45.8643508,-67.94191 -45.8638801,-67.9413092 -45.8637717,-67.94026881 -45.86394522,-67.9412395 -45.8636896,-67.94085860000001 -45.8628677,-67.94016816 -45.86304785,-67.94085860000001 -45.8628677,-67.9404294 -45.860772,-67.93965509 -45.86091672,-67.9403543 -45.8608019,-67.9402256 -45.8604656,-67.9411912 -45.8599202,-67.94002007 -45.86002619;-67.94002007 -45.86002619,-67.9403543 -45.8608019,-67.9402256 -45.8604656,-67.9411912 -45.8599202,-67.93965509 -45.86091672,-67.94085860000001 -45.8628677,-67.9404294 -45.860772,-67.94016816 -45.86304785,-67.9407513 -45.863103100000004,-67.9403973 -45.8622551,-67.93757020000001 -45.8636746,-67.93638614 -45.8639203,-67.9374468 -45.8637643,-67.93648120000002 -45.8648999,-67.93542287 -45.86514387,-67.9364544 -45.8650082,-67.9343033 -45.8651128,-67.93322311 -45.86539389,-67.934196 -45.8650755,-67.9339492 -45.8648887,-67.9318678 -45.8652174,-67.93025624 -45.86524613,-67.92887450000002 -45.8655984,-67.929647 -45.8660093,-67.9311919 -45.8652622,-67.92761571 -45.86576064,-67.9284239 -45.8655835,-67.9270077 -45.8655162,-67.92568273 -45.86555172,,-67.92617947 -45.86596757,-67.9266429 -45.8657927,-67.9259992 -45.8665696,-67.92478129 -45.86687146,-67.9258382 -45.86658460000001,-67.9220402 -45.8663903,-67.92069068 -45.86664171,-67.9224908 -45.8663306,-67.9191971 -45.8656582,-67.91774956 -45.8661538,-67.9187572 -45.8661064,-67.9176843 -45.8663679,-67.9172981 -45.8656657,-67.91575239 -45.86551598,-67.9164934 -45.8652398,-67.9147875 -45.8642536,-67.9133606 -45.865322,-67.9120409 -45.8651352,-67.91093971 -45.86527418,-67.9122448 -45.8649709,-67.911129 -45.8644105,-67.9103887 -45.8645226,-67.90917641 -45.86476613,-67.9100668 -45.8647318,-67.9098523 -45.8659197,-67.9103565 -45.8661513,-67.90947109 -45.86641003,-67.9100454 -45.8663754,-67.9094982 -45.8663306,-67.909627 -45.86429100000001,-67.90869072 -45.86438156,-67.9108179 -45.86391,-67.9094768 -45.8638353,-67.9077816 -45.8657329,-67.9066443 -45.8662484,-67.90565529 -45.8665856,-67.9061723 -45.8665771,-67.905035 -45.8664202,-67.9036188 -45.866734,-67.90238643 -45.86679139,-67.903533 -45.8667116,-67.9017627 -45.8675035,-67.9002507 -45.8689297,-67.89914372 -45.86914198,-67.8994882 -45.8693338,-67.8977072 -45.8699986,-67.8991663 -45.8716197,-67.89860307 -45.87190083,-67.8970957 -45.8693338,-67.8969562 -45.8699688,-67.8972459 -45.8707905,-67.898823 -45.87161220000001,-67.89665012 -45.86917164;-67.89665012 -45.86917164,-67.8970957 -45.8693338,-67.8969562 -45.8699688,-67.8972459 -45.8707905,-67.898823 -45.87161220000001,-67.89860307 -45.87190083,-67.8994882 -45.8693338,-67.8977072 -45.8699986,-67.8991663 -45.8716197,-67.89914372 -45.86914198,-67.903533 -45.8667116,-67.9017627 -45.8675035,-67.9002507 -45.8689297,-67.90238643 -45.86679139,-67.903887 -45.8663231,-67.9039836 -45.8658524,-67.9035652 -45.86530710000001,-67.90241486 -45.86534688,-67.9038763 -45.8652174,-67.9047024 -45.865195,-67.9042947 -45.8648663,-67.90314798 -45.8648888,-67.9039943 -45.8644255,-67.9028034 -45.8637381,-67.8999174 -45.8635812,-67.89867893 -45.86374335,-67.8993487 -45.8636634,-67.8988981 -45.8636933,-67.89861920000001 -45.8635215,-67.8975525 -45.86346654,,-67.89779792 -45.86312838,-67.8962696 -45.8632899,-67.8974175 -45.8625203,-67.8984583 -45.8622177,-67.8946526 -45.86372426,-67.8961945 -45.8632674,-67.8952932 -45.8629985,-67.8948426 -45.8620347,-67.89369378 -45.862107,-67.8961086 -45.8601668,-67.8949714 -45.8618927,-67.89506126 -45.86022417,-67.8960952 -45.8598436,-67.8959692 -45.8585678,-67.8961945 -45.8583138,-67.8955936 -45.8581419,-67.8949177 -45.8572976,-67.8950787 -45.8562589,-67.894907 -45.8558629,-67.8937376 -45.8558928,-67.8932869 -45.8566101,-67.8928149 -45.8568492,-67.8926003 -45.8566998,-67.89119881 -45.85678635,-67.8915596 -45.8569165,-67.8910661 -45.8570435,-67.8905296 -45.8572453,-67.8862917 -45.8600846,-67.8869355 -45.8600547,-67.8873861 -45.8596438,-67.8876221 -45.8588667,-67.8886843 -45.8579999,-67.88485253 -45.86038085,-67.8855836 -45.8605329,-67.8847253 -45.8611754,-67.8843284 -45.8612427,-67.88286864 -45.86153258,-67.8809917 -45.8619301,-67.8822792 -45.8616611,-67.8835666 -45.8617507,-67.8845859 -45.8612277,-67.8843284 -45.8612427,-67.87889297 -45.8626014,-67.8800154 -45.8627071,-67.880863 -45.8635887,-67.8814101 -45.8638502,-67.881496 -45.8643508,-67.8795862 -45.8651352,-67.87816911 -45.86559299,-67.8794253 -45.8652025,-67.8813779 -45.8643508,-67.8805947 -45.8648065,-67.8801227 -45.8652622,-67.8801119 -45.8658151,-67.8798544 -45.8661513,-67.87841593 -45.86693979,-67.8773224 -45.8682132,-67.8784168 -45.867951700000006,-67.8792751 -45.866988,-67.87529512 -45.86884053,-67.8755951 -45.8690125,-67.8751016 -45.8692815,-67.8764427 -45.8695952,-67.87545792 -45.87007243,-67.8735942 -45.8680488,-67.8724301 -45.8682281,-67.8724086 -45.8686689,-67.8764427 -45.8695952,-67.8729107 -45.86822856,-67.8699839 -45.8693413,-67.8700376 -45.8699389,-67.8703916 -45.8701929,-67.8709173 -45.8699239,-67.8707349 -45.8692815,-67.8712177 -45.8686166,-67.8731596 -45.8681236,-67.86891343 -45.86940172,-67.8665292 -45.8704394,-67.8664756 -45.8701107,-67.8674197 -45.8697073,-67.8698659 -45.8700883,-67.8700376 -45.8699389,-67.8700268 -45.8692964,-67.86552841 -45.87071955,-67.8665292 -45.8705589,-67.866143 -45.8710594,-67.8657889 -45.8704767,-67.8668725 -45.8688706,-67.86653014 -45.86909111,-67.8668725 -45.8688706,-67.8667974 -45.868646500000004,-67.8676665 -45.8677127,-67.867012 -45.86727940000001,-67.86635342 -45.86702056,-67.8668189 -45.8667639,-67.8664005 -45.866988,-67.8663254 -45.8676305,-67.86498939 -45.86808329,-67.8639972 -45.8691171,-67.8657031 -45.8680713,-67.86235431 -45.86962035,-67.8593409 -45.8716048,-67.85971640000001 -45.8705365,-67.8614008 -45.870529,-67.861948 -45.8698268,-67.8630531 -45.8694832,-67.85882935 -45.87179542,-67.857635 -45.8744807,-67.8541696 -45.874152,-67.8588581 -45.8727103,-67.8593409 -45.8716048,-67.857019 -45.87438052,-67.84873010000001 -45.87312860000001,-67.8543305 -45.8741595,-67.857635 -45.8744807,-67.84711722 -45.87310355,-67.847904 -45.8759074,-67.8490949 -45.8742491,-67.8510368 -45.8734349,-67.8488266 -45.8731585,-67.84644226 -45.87649326,-67.8503072 -45.877095,-67.8495133 -45.8766394,-67.8481615 -45.87637800000001,-67.84953817 -45.87734102,-67.8534776 -45.8786225,-67.852689 -45.8781818,-67.8508437 -45.8775395,-67.85276267 -45.87922955;-67.85276267 -45.87922955,-67.8534776 -45.8786225,-67.852689 -45.8781818,-67.8508437 -45.8775395,-67.84953817 -45.87734102;-67.84953817 -45.87734102,-67.8534776 -45.8786225,-67.852689 -45.8781818,-67.8508437 -45.8775395,-67.85276267 -45.87922955,-67.8564656 -45.8801798,-67.855736 -45.8808595,-67.8561974 -45.8788727,-67.8546631 -45.8788802,-67.855851 -45.88011934,-67.8574526 -45.8818977,-67.8570664 -45.8807624,-67.8556824 -45.8812367,-67.8564656 -45.8801798,-67.85651325 -45.88220843,-67.8573883 -45.8816587,-67.8575063 -45.8811433,-67.8592443 -45.8804114,-67.8593087 -45.8795599,-67.8584397 -45.8786113,-67.8589547 -45.8770502,-67.8599954 -45.87787190000001,-67.859516 -45.87831444,-67.8608537 -45.8799333,-67.8613579 -45.8799707,-67.8611863 -45.8784545,-67.86092880000001 -45.8783424,-67.85926992 -45.88036306,-67.8622806 -45.8814346,-67.8628922 -45.8810985,-67.8613365 -45.8799035,-67.8605962 -45.879896,-67.86071597 -45.88116865,-67.8685462 -45.8831151,-67.8700483 -45.8829059,-67.8648233 -45.8818603,-67.8628063 -45.8810537,-67.8621304 -45.8814645,-67.86703039 -45.88312685,-67.8737283 -45.8829508,-67.8736854 -45.8833242,-67.8730094 -45.8829134,-67.8686643 -45.8830254,-67.87263059 -45.88283868,-67.8738034 -45.8829806,-67.8739858 -45.8834512,-67.87655 -45.8844445,-67.8765929 -45.8840262,-67.8758872 -45.88413516,-67.8775907 -45.885744,-67.8778374 -45.8851241,-67.8766251 -45.8844594,-67.8767002 -45.8840561,-67.87630061 -45.88642699,,-67.87597578 -45.88674947,-67.8775477 -45.8859232,-67.87784810000001 -45.8854153,-67.8789425 -45.8862742,-67.879554 -45.8862667,-67.8829443 -45.8844743,-67.8806055 -45.8848253,-67.87931365 -45.88515467,-67.8808522 -45.8847432,-67.8831053 -45.8843548,-67.884897 -45.8834586,-67.8876114 -45.88378720000001,-67.8901434 -45.8835856,-67.88934482 -45.88367092,-67.8863347 -45.8849448,-67.8869569 -45.8849672,-67.8874826 -45.883847,-67.8903258 -45.883570600000006,-67.88477851 -45.88530377,-67.8877938 -45.885251,-67.8862166 -45.8849523,-67.88725199 -45.88498287,-67.8916669 -45.8851316,-67.891463 -45.8853332,-67.8890061 -45.8855946,-67.8886521 -45.8849672,-67.88986813 -45.88509226,-67.895658 -45.88465360000001,-67.8955078 -45.8872675,-67.89402720000001 -45.888186,-67.89313670000001 -45.8879097,-67.8935552 -45.8866999,-67.891624 -45.8850718,-67.89478887 -45.88442779,-67.896452 -45.8842129,-67.8972995 -45.8841607,-67.8987801 -45.8833839,-67.8993165 -45.8836304,-67.89811074 -45.88424629,-67.90316820000001 -45.883637900000004,-67.9026854 -45.8831823,-67.9021275 -45.8832794,-67.900722 -45.8842279,-67.9001105 -45.8851465,-67.8995955 -45.8843175,-67.90293219 -45.8836944,-67.9039729 -45.8871629,-67.9034686 -45.8869165,-67.9041123 -45.886192,-67.9042947 -45.8847656,-67.90316820000001 -45.883637900000004,-67.90362098 -45.8874036,-67.9052818 -45.8875736,-67.90654780000001 -45.8882084,-67.9074919 -45.8882756,-67.90705336 -45.88840606,-67.9066443 -45.8844071,-67.9062474 -45.8852585,-67.908833 -45.885968,-67.9091012 -45.8864012,-67.90594775 -45.88423937,,-67.90591516 -45.88446218,-67.9076958 -45.8841084,-67.9082644 -45.8839366,-67.9093373 -45.8833167,-67.9103136 -45.8831972,-67.90970498 -45.88326091,-67.911365 -45.8831076,-67.9142618 -45.8826968,-67.9159892 -45.8825026,-67.91541483 -45.88231338,-67.9166651 -45.8823159,-67.9170835 -45.8822711,-67.9178345 -45.8833989,-67.9184783 -45.8832943,-67.91747464 -45.88372353,-67.9183173 -45.8833018,-67.9179525 -45.8832943,-67.9178452 -45.8829358,-67.9186606 -45.8819873,-67.9191113 -45.8815466,-67.9197979 -45.8813898,-67.91930941 -45.88137118,-67.9231775 -45.8798138,-67.9230273 -45.8801051,-67.9220295 -45.8802022,-67.9198301 -45.8807027,-67.9191542 -45.8814645,-67.9198301 -45.8813375,-67.92260289 -45.87981886,-67.9288745 -45.8790371,-67.9299045 -45.8786188,-67.929765 -45.8784918,-67.9247224 -45.8798512,-67.9241753 -45.8796943,-67.92746283 -45.879252,-67.9288745 -45.8790371,-67.9299796 -45.8786337,-67.9308271 -45.8793582,-67.9310632 -45.8796271,-67.9308057 -45.8796645,-67.92926139 -45.87980166,-67.9308057 -45.8796645,-67.9309773 -45.8795823,-67.9308271 -45.8793582,-67.9319429 -45.8795524,-67.9332089 -45.8799333,-67.9339921 -45.8795524,-67.9349685 -45.8793358,-67.935698 -45.8793209,-67.93512028 -45.8793768,-67.9364383 -45.8791566,-67.9368889 -45.8790371,-67.9370821 -45.878798,-67.939657 -45.8787906,-67.9398179 -45.8784246,-67.93938002 -45.87863178,-67.9433799 -45.8793582,-67.9425859 -45.8792462,-67.9414809 -45.8788951,-67.9399574 -45.8788802,-67.9395819 -45.8785889,-67.9398179 -45.8784246,-67.94258106 -45.87928487,-67.9468131 -45.8799931,-67.9464698 -45.8794927,-67.9443026 -45.8791491,-67.9459034 -45.88040255,-67.9472744 -45.8827118,-67.9475963 -45.8819051,-67.9476392 -45.8807475,-67.9472208 -45.8805159,-67.94607409 -45.88311995,-67.9472744 -45.8852212,-67.9470921 -45.8844967,-67.9472423 -45.883959,-67.9472315 -45.8831823,-67.94628753 -45.88560005,-67.9471672 -45.8852884,-67.9470921 -45.8848627,-67.9461265 -45.8845565,-67.94483649 -45.8845247,-67.9459763 -45.8845415,-67.9446459 -45.8841607,-67.9436696 -45.8842353,-67.94255555 -45.88454697,-67.9423177 -45.8861323,-67.9425859 -45.8852137,-67.9431438 -45.8846088,-67.9432619 -45.8842802,-67.94198922 -45.88653728,-67.9414594 -45.88785,-67.9417813 -45.8871554,-67.9419315 -45.8865879,-67.9423285 -45.8863414,-67.93992923 -45.88854577,-67.9410625 -45.888776,-67.9401827 -45.8890747,-67.9375863 -45.8886341,-67.93581454 -45.88863383;-67.93581454 -45.88863383,-67.9410625 -45.888776,-67.9401827 -45.8890747,-67.9375863 -45.8886341,-67.93992923 -45.88854577,-67.9414594 -45.88785,-67.9417813 -45.8871554,-67.9419315 -45.8865879,-67.9423285 -45.8863414,-67.94198922 -45.88653728,-67.9423177 -45.8861323,-67.9425859 -45.8852137,-67.9431438 -45.8846088,-67.9432619 -45.8842802,-67.94255555 -45.88454697,-67.9459763 -45.8845415,-67.9446459 -45.8841607,-67.9436696 -45.8842353,-67.94483649 -45.8845247,-67.9471672 -45.8852884,-67.9470921 -45.8848627,-67.9461265 -45.8845565,-67.94628753 -45.88560005,-67.9472744 -45.8852212,-67.9470921 -45.8844967,-67.9472423 -45.883959,-67.9472315 -45.8831823,-67.94607409 -45.88311995,-67.9472744 -45.8827118,-67.9475963 -45.8819051,-67.9476392 -45.8807475,-67.9472208 -45.8805159,-67.9459034 -45.88040255,-67.9468131 -45.8799931,-67.9464698 -45.8794927,-67.9443026 -45.8791491,-67.94258106 -45.87928487,-67.9433799 -45.8793582,-67.9425859 -45.8792462,-67.9414809 -45.8788951,-67.9399574 -45.8788802,-67.9395819 -45.8785889,-67.9398179 -45.8784246,-67.93938002 -45.87863178,-67.9364383 -45.8791566,-67.9368889 -45.8790371,-67.9370821 -45.878798,-67.939657 -45.8787906,-67.9398179 -45.8784246,-67.93512028 -45.8793768,-67.9308057 -45.8796645,-67.9309773 -45.8795823,-67.9308271 -45.8793582,-67.9319429 -45.8795524,-67.9332089 -45.8799333,-67.9339921 -45.8795524,-67.9349685 -45.8793358,-67.935698 -45.8793209,-67.92926139 -45.87980166,-67.9288745 -45.8790371,-67.9299796 -45.8786337,-67.9308271 -45.8793582,-67.9310632 -45.8796271,-67.9308057 -45.8796645,-67.92746283 -45.879252,-67.9288745 -45.8790371,-67.9299796 -45.8786337,-67.9304302 -45.8776552,-67.9309022 -45.8766245,-67.9306126 -45.8766543,-67.92916705 -45.87686758,-67.9305589 -45.8765722,-67.9309773 -45.8765423,-67.9323184 -45.875011,-67.9336917 -45.8726132,-67.93292309 -45.87290945,-67.9337347 -45.872531,-67.9350007 -45.8704245,-67.9346895 -45.8701032,-67.933282 -45.87018527,-67.936492 -45.8696625,-67.9362881 -45.8694234,-67.9350436 -45.8703273,-67.9347003 -45.8699986,-67.93551008 -45.87004015,-67.9383588 -45.8674437,-67.9380584 -45.8682655,-67.9363847 -45.8693786,-67.9365671 -45.8696326,-67.9400271 -45.8665472</t>
  </si>
  <si>
    <t>-67.9400271 -45.8665472,-67.9383588 -45.8674437,-67.9380584 -45.8682655,-67.9363847 -45.8693786,-67.9365671 -45.8696326,-67.93551008 -45.87004015,-67.936492 -45.8696625,-67.9362881 -45.8694234,-67.9350436 -45.8703273,-67.9347003 -45.8699986,-67.933282 -45.87018527,-67.9337347 -45.872531,-67.9350007 -45.8704245,-67.9346895 -45.8701032,-67.93292309 -45.87290945,-67.9305589 -45.8765722,-67.9309773 -45.8765423,-67.9323184 -45.875011,-67.9336917 -45.8726132,-67.92916705 -45.87686758,-67.9288745 -45.8790371,-67.9299796 -45.8786337,-67.9304302 -45.8776552,-67.9309022 -45.8766245,-67.9306126 -45.8766543,-67.92746283 -45.879252,-67.9288745 -45.8790371,-67.9299045 -45.8786188,-67.929765 -45.8784918,-67.9247224 -45.8798512,-67.9241753 -45.8796943,-67.92260289 -45.87981886,-67.9231775 -45.8798138,-67.9230273 -45.8801051,-67.9220295 -45.8802022,-67.9198301 -45.8807027,-67.9191542 -45.8814645,-67.9198301 -45.8813375,-67.91930941 -45.88137118,-67.9183173 -45.8833018,-67.9179525 -45.8832943,-67.9178452 -45.8829358,-67.9186606 -45.8819873,-67.9191113 -45.8815466,-67.9197979 -45.8813898,-67.91747464 -45.88372353,-67.9166651 -45.8823159,-67.9170835 -45.8822711,-67.9178345 -45.8833989,-67.9184783 -45.8832943,-67.91541483 -45.88231338,-67.911365 -45.8831076,-67.9142618 -45.8826968,-67.9159892 -45.8825026,-67.90970498 -45.88326091,-67.9076958 -45.8841084,-67.9082644 -45.8839366,-67.9093373 -45.8833167,-67.9103136 -45.8831972,-67.90591516 -45.88446218,,-67.90594775 -45.88423937,-67.9066443 -45.8844071,-67.9062474 -45.8852585,-67.908833 -45.885968,-67.9091012 -45.8864012,-67.90705336 -45.88840606,-67.9052818 -45.8875736,-67.90654780000001 -45.8882084,-67.9074919 -45.8882756,-67.90362098 -45.8874036,-67.9022241 -45.8892913,-67.9030609 -45.889239,-67.9032218 -45.8889477,-67.9028785 -45.8877678,-67.9034686 -45.8869165,-67.9039729 -45.8871629,-67.90098858 -45.88903898,-67.9052174 -45.8898887,-67.9046273 -45.8890523,-67.9033613 -45.8891643,-67.9021382 -45.8893659,-67.90475618 -45.89004619;-67.90475618 -45.89004619,-67.908082 -45.8906056,-67.9061723 -45.8899111,-67.90753763 -45.89070583,-67.9088008 -45.8909117,-67.9101098 -45.8913822,-67.9100025 -45.891763,-67.9117191 -45.8917406,-67.9115689 -45.8913971,-67.911129 -45.8908445,-67.9124701 -45.8893286,-67.9118619 -45.88916575;-67.9118619 -45.88916575,-67.9088008 -45.8909117,-67.9101098 -45.8913822,-67.9100025 -45.891763,-67.9117191 -45.8917406,-67.9115689 -45.8913971,-67.911129 -45.8908445,-67.9124701 -45.8893286,-67.90753763 -45.89070583,-67.908082 -45.8906056,-67.9061723 -45.8899111,-67.90475618 -45.89004619,-67.9052174 -45.8898887,-67.9046273 -45.8890523,-67.9033613 -45.8891643,-67.9021382 -45.8893659,-67.90098858 -45.88903898,-67.9022241 -45.8892913,-67.9030609 -45.889239,-67.9032218 -45.8889477,-67.9028785 -45.8877678,-67.9034686 -45.8869165,-67.9039729 -45.8871629,-67.90362098 -45.8874036,-67.9052818 -45.8875736,-67.90654780000001 -45.8882084,-67.9074919 -45.8882756,-67.90705336 -45.88840606;-67.90705336 -45.88840606,-67.9066443 -45.8844071,-67.9062474 -45.8852585,-67.908833 -45.885968,-67.9091012 -45.8864012,-67.90594775 -45.88423937;-67.90594775 -45.88423937,,-67.90591516 -45.88446218,-67.9076958 -45.8841084,-67.9082644 -45.8839366,-67.9093373 -45.8833167,-67.9103136 -45.8831972,-67.90970498 -45.88326091,-67.911365 -45.8831076,-67.9142618 -45.8826968,-67.9159892 -45.8825026,-67.91541483 -45.88231338,-67.9166651 -45.8823159,-67.9170835 -45.8822711,-67.9178345 -45.8833989,-67.9184783 -45.8832943,-67.91747464 -45.88372353,-67.9183173 -45.8833018,-67.9179525 -45.8832943,-67.9178452 -45.8829358,-67.9186606 -45.8819873,-67.9191113 -45.8815466,-67.9197979 -45.8813898,-67.91930941 -45.88137118,-67.9231775 -45.8798138,-67.9230273 -45.8801051,-67.9220295 -45.8802022,-67.9198301 -45.8807027,-67.9191542 -45.8814645,-67.9198301 -45.8813375,-67.92260289 -45.87981886,-67.9288745 -45.8790371,-67.9299045 -45.8786188,-67.929765 -45.8784918,-67.9247224 -45.8798512,-67.9241753 -45.8796943,-67.92746283 -45.879252,-67.9288745 -45.8790371,-67.9299796 -45.8786337,-67.9304302 -45.8776552,-67.9309022 -45.8766245,-67.9306126 -45.8766543,-67.92916705 -45.87686758,-67.9305589 -45.8765722,-67.9309773 -45.8765423,-67.9323184 -45.875011,-67.9336917 -45.8726132,-67.93292309 -45.87290945,-67.9337347 -45.872531,-67.9350007 -45.8704245,-67.9346895 -45.8701032,-67.933282 -45.87018527,-67.936492 -45.8696625,-67.9362881 -45.8694234,-67.9350436 -45.8703273,-67.9347003 -45.8699986,-67.93551008 -45.87004015,-67.9383588 -45.8674437,-67.9380584 -45.8682655,-67.9363847 -45.8693786,-67.9365671 -45.8696326,-67.9400271 -45.8665472</t>
  </si>
  <si>
    <t>-67.9400271 -45.8665472,-67.9388952 -45.8675782,-67.941159 -45.8692068,-67.9419637 -45.8693413,-67.9421461 -45.8692815,-67.94121642 -45.86914222,-67.9421461 -45.8691918,-67.9418027 -45.8693487,-67.941159 -45.8692068,-67.9424894 -45.8699912,-67.9436159 -45.8698567,-67.94277872 -45.87009226,-67.9438949 -45.8700584,-67.9444742 -45.8707756,-67.9451823 -45.8710893,-67.946341 -45.870671,-67.94569058 -45.87050836,-67.9468346 -45.8712312,-67.9461801 -45.8714553,-67.9452574 -45.8710968,-67.9466307 -45.8704618,-67.9462724 -45.87137334,-67.9468453 -45.8713059,-67.9463303 -45.8714703,-67.9469955 -45.8717467,-67.9473495 -45.8720903,-67.9485619 -45.8727701,-67.94783094 -45.87286777;-67.94783094 -45.87286777,-67.9508579 -45.8736739,-67.9500961 -45.8727925,-67.9492593 -45.8721949,-67.9478645 -45.8717542,-67.9469955 -45.8717467,-67.9473388 -45.8721426,-67.948637 -45.8727253,-67.94983615 -45.87396079,-67.9521346 -45.8759746,-67.951448 -45.8759597,-67.9509008 -45.8738383,-67.95155064 -45.87647635,-67.9521239 -45.8742491,-67.9518771 -45.875885,-67.9521346 -45.8759746,-67.95131727 -45.87411285;-67.95131727 -45.87411285,-67.9521239 -45.8742491,-67.9518771 -45.875885,-67.9521346 -45.8759746,-67.95155064 -45.87647635,-67.9521346 -45.8759746,-67.9517162 -45.8759074,-67.9513943 -45.8758999,-67.9525959 -45.87702780000001,-67.95337920000001 -45.8774162,-67.95259842 -45.87763583,-67.9534543 -45.8773565,-67.9526925 -45.87711,-67.9530144 -45.8775731,-67.9524779 -45.878813,-67.9512334 -45.8789325,-67.94944114 -45.87896309,-67.9512119 -45.8788877,-67.952435 -45.8787607,-67.9518127 -45.8800454,-67.9474354 -45.8786785,-67.9441524 -45.8779764,-67.9427791 -45.8776328,-67.940805 -45.8776926,-67.93921257 -45.87804782,,-67.93938002 -45.87863178,-67.9433799 -45.8793582,-67.9425859 -45.8792462,-67.9414809 -45.8788951,-67.9399574 -45.8788802,-67.9395819 -45.8785889,-67.9398179 -45.8784246,-67.94258106 -45.87928487,-67.9468131 -45.8799931,-67.9464698 -45.8794927,-67.9443026 -45.8791491,-67.9459034 -45.88040255,-67.9472744 -45.8827118,-67.9475963 -45.8819051,-67.9476392 -45.8807475,-67.9472208 -45.8805159,-67.94607409 -45.88311995,-67.9472744 -45.8852212,-67.9470921 -45.8844967,-67.9472423 -45.883959,-67.9472315 -45.8831823,-67.94628753 -45.88560005,-67.9487872 -45.8868418,-67.9495382 -45.8874766,-67.9496884 -45.88726,-67.9485726 -45.886095,-67.9476714 -45.8855871,-67.94746568 -45.88694764,-67.948755 -45.886894,-67.9494202 -45.887484,-67.9503751 -45.8875587,-67.9509008 -45.8873571,-67.9508793 -45.8868716,-67.94972726 -45.88693813,-67.951051 -45.8868418,-67.9516089 -45.886207,-67.952832 -45.8866028,-67.95178221 -45.88666191,-67.957381 -45.8868268,-67.9566729 -45.8866327,-67.953701 -45.8868791,-67.9533148 -45.8869911,-67.9529393 -45.8866103,-67.95650174 -45.8868325,-67.9563618 -45.8869613,-67.9570055 -45.8870583,-67.9568553 -45.8866028,-67.957381 -45.8868268,-67.95495587 -45.8875866,-67.9576063 -45.8896124,-67.9577136 -45.888888,-67.9572308 -45.8876483,-67.9565012 -45.8869986,-67.95602222 -45.88970885,-67.958647 -45.8921289,-67.9580784 -45.8917854,-67.958411 -45.8907699,-67.9588509 -45.8902397,-67.9578209 -45.8896422,-67.95792371 -45.89252328,-67.958411 -45.8946678,-67.9585934 -45.8938464,-67.9590118 -45.8934581,-67.9594839 -45.8932714,-67.9597199 -45.892913,-67.9595053 -45.8926741,-67.95753705 -45.89518861,-67.9602778 -45.8973559,-67.959677 -45.8974604,-67.9590976 -45.897326,-67.9587114 -45.8968257,-67.95928 -45.896094,-67.9591405 -45.8953548,-67.95956637 -45.89743693,-67.9642367 -45.8983564,-67.9643333 -45.8976993,-67.9650199 -45.8970721,-67.9652989 -45.8964076,-67.9613721 -45.8972065,-67.96354703 -45.89869944,-67.9693437 -45.9027914,-67.9659963 -45.8987297,-67.965138 -45.8986401,-67.96793825 -45.90348141,-67.9685926 -45.9034484,-67.9653096 -45.9044488,-67.9600525 -45.9049564,-67.9584861 -45.9041651,-67.9576707 -45.9040606,-67.95594313 -45.90408308,-67.9577565 -45.9038664,-67.9585826 -45.9036126,-67.9585826 -45.9031348,-67.9576492 -45.90253,-67.9561365 -45.9021343,-67.9558575 -45.9012832,-67.95417314 -45.90131869,-67.9551601 -45.9008651,-67.9546666 -45.8996481,-67.9538405 -45.8990284,-67.95251927 -45.89886364,-67.9566944 -45.8986327,-67.9550421 -45.8986849,-67.9549778 -45.9007158,-67.9546666 -45.8996481,-67.953701 -45.898991,-67.95625453 -45.89884007,-67.9566944 -45.8986327,-67.9549992 -45.8986252,-67.9545057 -45.8976097,-67.9539156 -45.8971991,-67.953068 -45.8970721,-67.9531431 -45.8968855,-67.9546881 -45.8965943,-67.95408006 -45.89657201;-67.95408006 -45.89657201,-67.9566944 -45.8986327,-67.9549992 -45.8986252,-67.9545057 -45.8976097,-67.9539156 -45.8971991,-67.953068 -45.8970721,-67.9531431 -45.8968855,-67.9546881 -45.8965943,-67.95625453 -45.89884007,-67.9566944 -45.8986327,-67.9550421 -45.8986849,-67.9549778 -45.9007158,-67.9546666 -45.8996481,-67.953701 -45.898991,-67.95251927 -45.89886364,-67.9551601 -45.9008651,-67.9546666 -45.8996481,-67.9538405 -45.8990284,-67.95417314 -45.90131869,-67.9577565 -45.9038664,-67.9585826 -45.9036126,-67.9585826 -45.9031348,-67.9576492 -45.90253,-67.9561365 -45.9021343,-67.9558575 -45.9012832,-67.95594313 -45.90408308,-67.9685926 -45.9034484,-67.9653096 -45.9044488,-67.9600525 -45.9049564,-67.9584861 -45.9041651,-67.9576707 -45.9040606,-67.96793825 -45.90348141,-67.9693437 -45.9027914,-67.9659963 -45.8987297,-67.965138 -45.8986401,-67.96354703 -45.89869944,-67.9642367 -45.8983564,-67.9643333 -45.8976993,-67.9650199 -45.8970721,-67.9652989 -45.8964076,-67.9613721 -45.8972065,-67.95956637 -45.89743693,-67.9602778 -45.8973559,-67.959677 -45.8974604,-67.9590976 -45.897326,-67.9587114 -45.8968257,-67.95928 -45.896094,-67.9591405 -45.8953548,-67.95753705 -45.89518861,-67.958411 -45.8946678,-67.9585934 -45.8938464,-67.9590118 -45.8934581,-67.9594839 -45.8932714,-67.9597199 -45.892913,-67.9595053 -45.8926741,-67.95792371 -45.89252328,-67.958647 -45.8921289,-67.9580784 -45.8917854,-67.958411 -45.8907699,-67.9588509 -45.8902397,-67.9578209 -45.8896422,-67.95602222 -45.88970885,-67.9576063 -45.8896124,-67.9577136 -45.888888,-67.9572308 -45.8876483,-67.9565012 -45.8869986,-67.95495587 -45.8875866,-67.9563618 -45.8869613,-67.9570055 -45.8870583,-67.9568553 -45.8866028,-67.957381 -45.8868268,-67.95650174 -45.8868325,-67.957381 -45.8868268,-67.9566729 -45.8866327,-67.953701 -45.8868791,-67.9533148 -45.8869911,-67.9529393 -45.8866103,-67.95178221 -45.88666191;-67.95178221 -45.88666191,-67.951051 -45.8868418,-67.9516089 -45.886207,-67.952832 -45.8866028,-67.94972726 -45.88693813,-67.948755 -45.886894,-67.9494202 -45.887484,-67.9503751 -45.8875587,-67.9509008 -45.8873571,-67.9508793 -45.8868716,-67.94746568 -45.88694764,-67.9484117 -45.88667,-67.947489 -45.8864908,-67.9468238 -45.8864609,-67.9463196 -45.8856021,-67.9456758 -45.8850643,-67.945118 -45.8847581,-67.9446459 -45.8841607,-67.9440129 -45.8842652,-67.94255555 -45.88454697,-67.9423177 -45.8861323,-67.9425859 -45.8852137,-67.9431438 -45.8846088,-67.9432619 -45.8842802,-67.94198922 -45.88653728;-67.94198922 -45.88653728,-67.9423177 -45.8861323,-67.9425859 -45.8852137,-67.9431438 -45.8846088,-67.9432619 -45.8842802,-67.94255555 -45.88454697,-67.9459763 -45.8845415,-67.9446459 -45.8841607,-67.9436696 -45.8842353,-67.94483649 -45.8845247,-67.9471672 -45.8852884,-67.9470921 -45.8848627,-67.9461265 -45.8845565,-67.94628753 -45.88560005,-67.9472744 -45.8852212,-67.9470921 -45.8844967,-67.9472423 -45.883959,-67.9472315 -45.8831823,-67.94607409 -45.88311995,-67.9472744 -45.8827118,-67.9475963 -45.8819051,-67.9476392 -45.8807475,-67.9472208 -45.8805159,-67.9459034 -45.88040255,-67.9468131 -45.8799931,-67.9464698 -45.8794927,-67.9443026 -45.8791491,-67.94258106 -45.87928487,-67.9433799 -45.8793582,-67.9425859 -45.8792462,-67.9414809 -45.8788951,-67.9399574 -45.8788802,-67.9395819 -45.8785889,-67.9398179 -45.8784246,-67.93938002 -45.87863178,-67.9364383 -45.8791566,-67.9368889 -45.8790371,-67.9370821 -45.878798,-67.939657 -45.8787906,-67.9398179 -45.8784246,-67.93512028 -45.8793768,-67.9308057 -45.8796645,-67.9309773 -45.8795823,-67.9308271 -45.8793582,-67.9319429 -45.8795524,-67.9332089 -45.8799333,-67.9339921 -45.8795524,-67.9349685 -45.8793358,-67.935698 -45.8793209,-67.92926139 -45.87980166,-67.9288745 -45.8790371,-67.9299796 -45.8786337,-67.9308271 -45.8793582,-67.9310632 -45.8796271,-67.9308057 -45.8796645,-67.92746283 -45.879252,-67.9288745 -45.8790371,-67.9299796 -45.8786337,-67.9304302 -45.8776552,-67.9309022 -45.8766245,-67.9306126 -45.8766543,-67.92916705 -45.87686758,-67.9305589 -45.8765722,-67.9309773 -45.8765423,-67.9323184 -45.875011,-67.9336917 -45.8726132,-67.93292309 -45.87290945,-67.9337347 -45.872531,-67.9350007 -45.8704245,-67.9346895 -45.8701032,-67.933282 -45.87018527,-67.936492 -45.8696625,-67.9362881 -45.8694234,-67.9350436 -45.8703273,-67.9347003 -45.8699986,-67.93551008 -45.87004015,-67.9383588 -45.8674437,-67.9380584 -45.8682655,-67.9363847 -45.8693786,-67.9365671 -45.8696326,-67.9400271 -45.8665472</t>
  </si>
  <si>
    <t>-67.9400271 -45.8665472,-67.9383588 -45.8674437,-67.9380584 -45.8682655,-67.9363847 -45.8693786,-67.9365671 -45.8696326,-67.93551008 -45.87004015,-67.936492 -45.8696625,-67.9362881 -45.8694234,-67.9350436 -45.8703273,-67.9347003 -45.8699986,-67.933282 -45.87018527,-67.9337347 -45.872531,-67.9350007 -45.8704245,-67.9346895 -45.8701032,-67.93292309 -45.87290945,-67.9305589 -45.8765722,-67.9309773 -45.8765423,-67.9323184 -45.875011,-67.9336917 -45.8726132,-67.92916705 -45.87686758,-67.9288745 -45.8790371,-67.9299796 -45.8786337,-67.9304302 -45.8776552,-67.9309022 -45.8766245,-67.9306126 -45.8766543,-67.92746283 -45.879252,-67.9288745 -45.8790371,-67.9299796 -45.8786337,-67.9308271 -45.8793582,-67.9310632 -45.8796271,-67.9308057 -45.8796645,-67.92926139 -45.87980166,-67.9308057 -45.8796645,-67.9309773 -45.8795823,-67.9308271 -45.8793582,-67.9319429 -45.8795524,-67.9332089 -45.8799333,-67.9339921 -45.8795524,-67.9349685 -45.8793358,-67.935698 -45.8793209,-67.93512028 -45.8793768,-67.9364383 -45.8791566,-67.9368889 -45.8790371,-67.9370821 -45.878798,-67.939657 -45.8787906,-67.9398179 -45.8784246,-67.93938002 -45.87863178,-67.9433799 -45.8793582,-67.9425859 -45.8792462,-67.9414809 -45.8788951,-67.9399574 -45.8788802,-67.9395819 -45.8785889,-67.9398179 -45.8784246,-67.94258106 -45.87928487,-67.9468131 -45.8799931,-67.9464698 -45.8794927,-67.9443026 -45.8791491,-67.9459034 -45.88040255,-67.9472744 -45.8827118,-67.9475963 -45.8819051,-67.9476392 -45.8807475,-67.9472208 -45.8805159,-67.94607409 -45.88311995,-67.9472744 -45.8852212,-67.9470921 -45.8844967,-67.9472423 -45.883959,-67.9472315 -45.8831823,-67.94628753 -45.88560005,-67.9487872 -45.8868418,-67.9495382 -45.8874766,-67.9496884 -45.88726,-67.9485726 -45.886095,-67.9476714 -45.8855871,-67.94746568 -45.88694764,-67.948755 -45.886894,-67.9494202 -45.887484,-67.9503751 -45.8875587,-67.9509008 -45.8873571,-67.9508793 -45.8868716,-67.94972726 -45.88693813,-67.951051 -45.8868418,-67.9516089 -45.886207,-67.952832 -45.8866028,-67.95178221 -45.88666191,-67.9531646 -45.88667,-67.9533255 -45.8870733,-67.9523599 -45.8875064,-67.9523385 -45.888074,-67.9529393 -45.8886416,-67.95220821 -45.8890951;-67.95220821 -45.8890951,-67.9531646 -45.88667,-67.9533255 -45.8870733,-67.9523599 -45.8875064,-67.9523385 -45.888074,-67.9529393 -45.8886416,-67.95178221 -45.88666191,-67.952832 -45.8866028,-67.9515767 -45.8861547,-67.9514158 -45.8859157,-67.950815 -45.8855647,-67.9502463 -45.8848776,-67.9522634 -45.8836379,-67.9526711 -45.8833914,-67.9532182 -45.8833317,-67.95269672 -45.88342498;-67.95269672 -45.88342498,-67.9574776 -45.8841607,-67.957145 -45.8847059,-67.9566514 -45.8846162,-67.9556644 -45.8837499,-67.9523063 -45.8835856,-67.9527569 -45.8833092,-67.9532826 -45.8832644,-67.95630644 -45.88424642,-67.9558575 -45.8850121,-67.9577243 -45.885266,-67.9570806 -45.8846984,-67.9572737 -45.8842727,-67.9546167 -45.88506443,-67.960428 -45.8852436,-67.9597843 -45.8853855,-67.9578102 -45.8852959,-67.9558897 -45.8849448,-67.95958113 -45.88533853,-67.9643977 -45.8867746,-67.9641402 -45.8867895,-67.9629064 -45.8855274,-67.9625845 -45.8842055,-67.9620588 -45.8840412,-67.9608893 -45.8848926,-67.96291589 -45.88644251,-67.9671872 -45.8881412,-67.9659748 -45.8870061,-67.9642153 -45.8869314,-67.9642582 -45.8866849,-67.96633372 -45.88873533,-67.9702985 -45.892002,-67.9693437 -45.8927189,-67.9695046 -45.8920393,-67.9694617 -45.8909565,-67.9689038 -45.8902247,-67.9675949 -45.8891494,-67.9695987 -45.89181892,-67.9699337 -45.8946379,-67.9693973 -45.8950411,-67.9688287 -45.894847,-67.9686248 -45.893936,-67.9694724 -45.8926591,-67.9702985 -45.892002,-67.96939983 -45.89469974,-67.9721761 -45.8962209,-67.9716182 -45.8947873,-67.9710388 -45.8947723,-67.97161551 -45.8965517,-67.9729271 -45.8958177,-67.9726696 -45.8949515,-67.97168684 -45.8946769,-67.9725194 -45.8940704,-67.9735279 -45.8935179,-67.97316911 -45.89352066;-67.97316911 -45.89352066,-67.9749441 -45.8933834,-67.9761243 -45.8929055,-67.9766607 -45.892353,-67.97648439 -45.89266109,-67.9748368 -45.8912328,-67.9752231 -45.891427,-67.9759526 -45.8921289,-67.9767251 -45.8924575,-67.97300504 -45.89135,-67.9741609 -45.8913075,-67.9732168 -45.8912627,-67.9721975 -45.8896198,-67.9726803 -45.8893958,-67.97210028 -45.88946166;-67.97210028 -45.88946166,-67.9741609 -45.8913075,-67.9732168 -45.8912627,-67.9721975 -45.8896198,-67.9726803 -45.8893958,-67.97300504 -45.89135,-67.9748368 -45.8912328,-67.9752231 -45.891427,-67.9759526 -45.8921289,-67.9767251 -45.8924575,-67.97648439 -45.89266109,-67.9749441 -45.8933834,-67.9761243 -45.8929055,-67.9766607 -45.892353,-67.97316911 -45.89352066,-67.9725194 -45.8940704,-67.9735279 -45.8935179,-67.97168684 -45.8946769,-67.9729271 -45.8958177,-67.9726696 -45.8949515,-67.97161551 -45.8965517,-67.9721761 -45.8962209,-67.9716182 -45.8947873,-67.9710388 -45.8947723,-67.96939983 -45.89469974,-67.9699337 -45.8946379,-67.9693973 -45.8950411,-67.9688287 -45.894847,-67.9686248 -45.893936,-67.9694724 -45.8926591,-67.9702985 -45.892002,-67.9695987 -45.89181892,-67.9702985 -45.892002,-67.9693437 -45.8927189,-67.9695046 -45.8920393,-67.9694617 -45.8909565,-67.9689038 -45.8902247,-67.9675949 -45.8891494,-67.96633372 -45.88873533,-67.9670262 -45.8881263,-67.9660714 -45.8869613,-67.9657602 -45.8876259,-67.9651165 -45.8877678,-67.9650307 -45.887947,-67.964462 -45.8880815,-67.96290254 -45.88863388,-67.9609108 -45.8902845,-67.9623485 -45.8909491,-67.9621017 -45.8899111,-67.962445 -45.8899634,-67.9637861 -45.8886864,-67.95958813 -45.89007642,-67.963196 -45.8927189,-67.9626918 -45.8927114,-67.9624236 -45.8909043,-67.9618871 -45.8908445,-67.9608786 -45.8903442,-67.96212496 -45.89267136,-67.9612112 -45.8971319,-67.9633784 -45.8962807,-67.9639149 -45.8957132,-67.9634535 -45.8934357,-67.9631853 -45.892801,-67.95956637 -45.89743693,-67.9642367 -45.8983564,-67.9643333 -45.8976993,-67.9650199 -45.8970721,-67.9652989 -45.8964076,-67.9613721 -45.8972065,-67.96354703 -45.89869944,-67.9693437 -45.9027914,-67.9659963 -45.8987297,-67.965138 -45.8986401,-67.96793825 -45.90348141,-67.970438 -45.9058075,-67.9690218 -45.9036126,-67.96980563 -45.90670646,-67.9705238 -45.9066735,-67.9697728 -45.9068527,-67.9681849 -45.9083607,-67.9670477 -45.9085548,-67.9651165 -45.9093461,-67.9646015 -45.9095999,-67.9632926 -45.9097492,-67.9626489 -45.9100179,-67.9595375 -45.9096447,-67.9576575 -45.90959388,-67.9595375 -45.9095402,-67.9626489 -45.9100179,-67.9632926 -45.9097492,-67.9646015 -45.9095999,-67.9670477 -45.9085548,-67.962842 -45.9087489,-67.9598165 -45.9075843,-67.9531431 -45.90851,-67.9471993 -45.9112123,-67.9453754 -45.9116005,-67.9437232 -45.9109734,-67.9432511 -45.9099433,-67.94205735 -45.90980155,-67.9382944 -45.9130934,-67.9395604 -45.9136906,-67.9405904 -45.9131382,-67.9431438 -45.9124664,-67.9441524 -45.9118692,-67.9452038 -45.9116154,-67.9438734 -45.9110779,-67.9432511 -45.9099433,-67.93665996 -45.91286222,-67.9528105 -45.9161613,-67.9515123 -45.9160642,-67.9499567 -45.9146834,-67.9483688 -45.915176,-67.9474139 -45.9164972,-67.9465771 -45.9168554,-67.9461694 -45.9163329,-67.9441094 -45.9159747,-67.9418564 -45.9156761,-67.9395819 -45.9148998,-67.9391098 -45.9138847,-67.9391956 -45.913392,-67.9384017 -45.9129591,-67.95232956 -45.91635992;-67.95232956 -45.91635992,-67.9528105 -45.9161613,-67.9515123 -45.9160642,-67.9499567 -45.9146834,-67.9483688 -45.915176,-67.9474139 -45.9164972,-67.9465771 -45.9168554,-67.9461694 -45.9163329,-67.9441094 -45.9159747,-67.9418564 -45.9156761,-67.9395819 -45.9148998,-67.9391098 -45.9138847,-67.9391956 -45.913392,-67.9384017 -45.9129591,-67.93665996 -45.91286222,-67.9382944 -45.9130934,-67.9395604 -45.9136906,-67.9405904 -45.9131382,-67.9431438 -45.9124664,-67.9441524 -45.9118692,-67.9452038 -45.9116154,-67.9438734 -45.9110779,-67.9432511 -45.9099433,-67.94205735 -45.90980155,-67.9432511 -45.9099433,-67.9437232 -45.9109734,-67.9452038 -45.9116154,-67.9434228 -45.911287,-67.9401827 -45.9100179,-67.9391742 -45.9089579,NA,-67.937994 -45.9086444,-67.9371142 -45.9083457,-67.9353976 -45.9082412,-67.9346466 -45.907853,-67.9353762 -45.9076142,-67.93482704 -45.9074612,-67.9419637 -45.9061061,-67.9426718 -45.9047623,-67.9415345 -45.9048967,-67.938745 -45.9059568,-67.9340029 -45.9072707,-67.9353547 -45.9073006,-67.94070253 -45.90708056,-67.9417276 -45.9060912,-67.9426718 -45.9047623,-67.9416203 -45.9047773,-67.9445601 -45.9035379,-67.942543 -45.9026271,-67.94048121 -45.90255833,-67.9313636 -45.9007755,-67.9299688 -45.9015296,-67.9309559 -45.9024778,-67.931664 -45.9022687,-67.9323721 -45.9010144,-67.9335737 -45.900447,-67.9371786 -45.9012832,-67.9379082 -45.9021045,-67.9396677 -45.9026719,-67.941041 -45.9025674,-67.93028301 -45.90068278,-67.9312027 -45.9008128,-67.9299688 -45.9015296,-67.9282737 -45.9003723,-67.9263103 -45.8994316,-67.9232204 -45.8984983,-67.9221046 -45.8981623,-67.92046749 -45.89809236,-67.9221904 -45.8981548,-67.9232204 -45.8984983,-67.9230487 -45.8980652,-67.9224908 -45.89755,-67.9236388 -45.8964449,-67.92261639 -45.89612501,-67.9235637 -45.895743,-67.9241538 -45.8953249,-67.9267287 -45.8949142,-67.9271579 -45.8944961,-67.9267287 -45.8942048,-67.9257309 -45.8936448,-67.9256558 -45.8930698,-67.9268682 -45.8923604,-67.9289711 -45.8934208,-67.9293036 -45.893361,-67.92819602 -45.89300211,-67.929368 -45.8925994,-67.9296148 -45.8919423,-67.9287994 -45.8913897,-67.9285097 -45.8910014,-67.9286277 -45.8901127,-67.92758265 -45.88993498,-67.9286492 -45.8892166,-67.9288638 -45.8878724,-67.9292393 -45.8876931,-67.92838162 -45.88770662,-67.929883 -45.8876782,-67.9306018 -45.8878724,-67.9317605 -45.8883727,-67.9326189 -45.888201,-67.93184093 -45.88869985,,-67.93195275 -45.88880085,-67.9325545 -45.8880964,-67.9324257 -45.8875363,-67.933048 -45.8868642,-67.9335093 -45.8836304,-67.93297197 -45.88384007,,-67.93288041 -45.88347512,-67.9369962 -45.8822636,-67.9367441 -45.8819686,-67.9343677 -45.8832719,-67.93623372 -45.88237227,-67.9369104 -45.8822487,-67.9367441 -45.8819686,-67.9385787 -45.881274,-67.938568 -45.8809641,-67.9379243 -45.8811844,-67.93588984 -45.88149225,-67.9394478 -45.8815018,-67.9390669 -45.8813786,-67.9390454 -45.8810425,-67.9386485 -45.8811881,-67.938568 -45.8809641,-67.9379404 -45.8812105,-67.93895804 -45.88204116,-67.9404831 -45.883003,-67.9393351 -45.8816139,-67.9395604 -45.8815392,-67.93935418 -45.88340612,-67.937361 -45.8846162,-67.9377794 -45.883735,-67.9390776 -45.8830777,-67.9391098 -45.8833615,-67.9396677 -45.8835632,-67.9402363 -45.8833989,-67.936352 -45.88515172,-67.937361 -45.8846162,-67.9372966 -45.8833914,-67.93588554 -45.8836543;-67.93588554 -45.8836543,-67.937361 -45.8846162,-67.9372966 -45.8833914,-67.936352 -45.88515172,-67.937361 -45.8846162,-67.9377794 -45.883735,-67.9390776 -45.8830777,-67.9391098 -45.8833615,-67.9396677 -45.8835632,-67.9402363 -45.8833989,-67.93935418 -45.88340612,-67.9404831 -45.883003,-67.9393351 -45.8816139,-67.9395604 -45.8815392,-67.93895804 -45.88204116,-67.9394478 -45.8815018,-67.9390669 -45.8813786,-67.9390454 -45.8810425,-67.9386485 -45.8811881,-67.938568 -45.8809641,-67.9379404 -45.8812105,-67.93588984 -45.88149225,-67.9380155 -45.8812404,-67.938627 -45.880852,-67.9384768 -45.8805682,-67.9371035 -45.8800827,-67.9358482 -45.8797093,-67.9335737 -45.8797616,-67.934432 -45.8794255,-67.9350007 -45.8792835,-67.9357088 -45.8792686,-67.93512028 -45.8793768,-67.9308057 -45.8796645,-67.9309773 -45.8795823,-67.9308271 -45.8793582,-67.9319429 -45.8795524,-67.9332089 -45.8799333,-67.9339921 -45.8795524,-67.9349685 -45.8793358,-67.935698 -45.8793209,-67.92926139 -45.87980166,-67.9288745 -45.8790371,-67.9299796 -45.8786337,-67.9308271 -45.8793582,-67.9310632 -45.8796271,-67.9308057 -45.8796645,-67.92746283 -45.879252,-67.9288745 -45.8790371,-67.9299796 -45.8786337,-67.9304302 -45.8776552,-67.9309022 -45.8766245,-67.9306126 -45.8766543,-67.92916705 -45.87686758,-67.9305589 -45.8765722,-67.9309773 -45.8765423,-67.9323184 -45.875011,-67.9336917 -45.8726132,-67.93292309 -45.87290945,-67.9337347 -45.872531,-67.9350007 -45.8704245,-67.9346895 -45.8701032,-67.933282 -45.87018527,-67.936492 -45.8696625,-67.9362881 -45.8694234,-67.9350436 -45.8703273,-67.9347003 -45.8699986,-67.93551008 -45.87004015,-67.9383588 -45.8674437,-67.9380584 -45.8682655,-67.9363847 -45.8693786,-67.9365671 -45.8696326,-67.9400271 -45.8665472</t>
  </si>
  <si>
    <t>-67.9400271 -45.8665472,-67.9383588 -45.8674437,-67.9380584 -45.8682655,-67.9363847 -45.8693786,-67.9365671 -45.8696326,-67.93551008 -45.87004015,-67.936492 -45.8696625,-67.9362881 -45.8694234,-67.9350436 -45.8703273,-67.9347003 -45.8699986,-67.933282 -45.87018527,-67.9337347 -45.872531,-67.9350007 -45.8704245,-67.9346895 -45.8701032,-67.93292309 -45.87290945,-67.9305589 -45.8765722,-67.9309773 -45.8765423,-67.9323184 -45.875011,-67.9336917 -45.8726132,-67.92916705 -45.87686758,-67.9288745 -45.8790371,-67.9299796 -45.8786337,-67.9304302 -45.8776552,-67.9309022 -45.8766245,-67.9306126 -45.8766543,-67.92746283 -45.879252,-67.9288745 -45.8790371,-67.9299796 -45.8786337,-67.9308271 -45.8793582,-67.9310632 -45.8796271,-67.9308057 -45.8796645,-67.92926139 -45.87980166,-67.9308057 -45.8796645,-67.9309773 -45.8795823,-67.9308271 -45.8793582,-67.9319429 -45.8795524,-67.9332089 -45.8799333,-67.9339921 -45.8795524,-67.9349685 -45.8793358,-67.935698 -45.8793209,-67.93512028 -45.8793768,-67.9364383 -45.8791566,-67.9368889 -45.8790371,-67.9370821 -45.878798,-67.939657 -45.8787906,-67.9398179 -45.8784246,-67.93938002 -45.87863178,-67.9433799 -45.8793582,-67.9425859 -45.8792462,-67.9414809 -45.8788951,-67.9399574 -45.8788802,-67.9395819 -45.8785889,-67.9398179 -45.8784246,-67.94258106 -45.87928487,-67.9468131 -45.8799931,-67.9464698 -45.8794927,-67.9443026 -45.8791491,-67.9459034 -45.88040255,-67.9472744 -45.8827118,-67.9475963 -45.8819051,-67.9476392 -45.8807475,-67.9472208 -45.8805159,-67.94607409 -45.88311995,-67.9472744 -45.8852212,-67.9470921 -45.8844967,-67.9472423 -45.883959,-67.9472315 -45.8831823,-67.94628753 -45.88560005,-67.9487872 -45.8868418,-67.9495382 -45.8874766,-67.9496884 -45.88726,-67.9485726 -45.886095,-67.9476714 -45.8855871,-67.94746568 -45.88694764,-67.948755 -45.886894,-67.9494202 -45.887484,-67.9503751 -45.8875587,-67.9509008 -45.8873571,-67.9508793 -45.8868716,-67.94972726 -45.88693813,-67.951051 -45.8868418,-67.9516089 -45.886207,-67.952832 -45.8866028,-67.95178221 -45.88666191,-67.957381 -45.8868268,-67.9566729 -45.8866327,-67.953701 -45.8868791,-67.9533148 -45.8869911,-67.9529393 -45.8866103,-67.95650174 -45.8868325,-67.9573059 -45.8868268,-67.956748 -45.8864908,-67.9563725 -45.8857215,-67.9556644 -45.8849971,-67.9546167 -45.88506443,-67.960428 -45.8852436,-67.9597843 -45.8853855,-67.9578102 -45.8852959,-67.9558897 -45.8849448,-67.95958113 -45.88533853,-67.9643977 -45.8867746,-67.9641402 -45.8867895,-67.9629064 -45.8855274,-67.9625845 -45.8842055,-67.9620588 -45.8840412,-67.9608893 -45.8848926,-67.96291589 -45.88644251,-67.9642582 -45.8866849,-67.9660714 -45.8869613,-67.9663503 -45.8865505,-67.9662859 -45.88549,-67.9665112 -45.8837798,-67.9671657 -45.8837275,-67.9670477 -45.8843548,-67.96615149 -45.88487087,-67.9689896 -45.8855572,-67.9684317 -45.8850942,-67.9680133 -45.8843399,-67.9672301 -45.8837872,-67.9670477 -45.8843548,-67.96828667 -45.88589528,-67.9702342 -45.8858709,-67.9697192 -45.8860352,-67.9691613 -45.8857589,-67.96952973 -45.8860392,-67.9752874 -45.8886341,-67.9738069 -45.8884922,-67.9698479 -45.8860651,-67.9702234 -45.8859307,-67.97417558 -45.88870119,-67.9755127 -45.8898364,-67.9753196 -45.8896348,-67.9751372 -45.889239,-67.9736996 -45.8884922,-67.9752123 -45.8886192,-67.97500117 -45.89011334;-67.97500117 -45.89011334,-67.9755127 -45.8898364,-67.9753196 -45.8896348,-67.9751372 -45.889239,-67.9736996 -45.8884922,-67.9752123 -45.8886192,-67.97417558 -45.88870119,-67.9753625 -45.8886192,-67.9764462 -45.8884623,-67.9771543 -45.8881561,-67.9769289 -45.888649,-67.97595558 -45.88889979,-67.9770148 -45.8886117,-67.9772186 -45.8879396,-67.9777443 -45.8870285,-67.97698555 -45.88678202,-67.98136 -45.8871704,-67.9796433 -45.8867148,-67.9789674 -45.8862518,-67.9784203 -45.8865057,-67.98086798 -45.88739413;-67.98086798 -45.88739413,-67.98136 -45.8871704,-67.9796433 -45.8867148,-67.9789674 -45.8862518,-67.9784203 -45.8865057,-67.97698555 -45.88678202,-67.9770148 -45.8886117,-67.9772186 -45.8879396,-67.9777443 -45.8870285,-67.97595558 -45.88889979,-67.9753625 -45.8886192,-67.9764462 -45.8884623,-67.9771543 -45.8881561,-67.9769289 -45.888649,-67.97417558 -45.88870119,-67.9752874 -45.8886341,-67.9738069 -45.8884922,-67.9698479 -45.8860651,-67.9702234 -45.8859307,-67.96952973 -45.8860392,-67.9702342 -45.8858709,-67.9697192 -45.8860352,-67.9691613 -45.8857589,-67.96828667 -45.88589528,-67.9689896 -45.8855572,-67.9684317 -45.8850942,-67.9680133 -45.8843399,-67.9672301 -45.8837872,-67.9670477 -45.8843548,-67.96615149 -45.88487087,-67.9642582 -45.8866849,-67.9660714 -45.8869613,-67.9663503 -45.8865505,-67.9662859 -45.88549,-67.9665112 -45.8837798,-67.9671657 -45.8837275,-67.9670477 -45.8843548,-67.96291589 -45.88644251,-67.9671872 -45.8881412,-67.9659748 -45.8870061,-67.9642153 -45.8869314,-67.9642582 -45.8866849,-67.96633372 -45.88873533,-67.9670262 -45.8881263,-67.9660714 -45.8869613,-67.9657602 -45.8876259,-67.9651165 -45.8877678,-67.9650307 -45.887947,-67.964462 -45.8880815,-67.96290254 -45.88863388,-67.9609108 -45.8902845,-67.9623485 -45.8909491,-67.9621017 -45.8899111,-67.962445 -45.8899634,-67.9637861 -45.8886864,-67.95958813 -45.89007642,-67.963196 -45.8927189,-67.9626918 -45.8927114,-67.9624236 -45.8909043,-67.9618871 -45.8908445,-67.9608786 -45.8903442,-67.96212496 -45.89267136,-67.9612112 -45.8971319,-67.9633784 -45.8962807,-67.9639149 -45.8957132,-67.9634535 -45.8934357,-67.9631853 -45.892801,-67.95956637 -45.89743693,-67.9642367 -45.8983564,-67.9643333 -45.8976993,-67.9650199 -45.8970721,-67.9652989 -45.8964076,-67.9613721 -45.8972065,-67.96354703 -45.89869944,-67.9693437 -45.9027914,-67.9659963 -45.8987297,-67.965138 -45.8986401,-67.96793825 -45.90348141,-67.9685926 -45.9034484,-67.9653096 -45.9044488,-67.9600525 -45.9049564,-67.9584861 -45.9041651,-67.9576707 -45.9040606,-67.95594313 -45.90408308,-67.9576921 -45.9039411,-67.9583466 -45.9038888,-67.959516 -45.9036873,-67.9611468 -45.9030079,-67.9597306 -45.9022762,-67.9588938 -45.9019029,-67.9587328 -45.9013728,-67.95803039 -45.90137444;-67.95803039 -45.90137444,-67.9576921 -45.9039411,-67.9583466 -45.9038888,-67.959516 -45.9036873,-67.9611468 -45.9030079,-67.9597306 -45.9022762,-67.9588938 -45.9019029,-67.9587328 -45.9013728,-67.95594313 -45.90408308,-67.9577565 -45.9038664,-67.9585826 -45.9036126,-67.9585826 -45.9031348,-67.9576492 -45.90253,-67.9561365 -45.9021343,-67.9558575 -45.9012832,-67.95417314 -45.90131869,-67.9519415 -45.9014251,-67.9524672 -45.9015595,-67.9527569 -45.9020821,-67.9535294 -45.9024554,-67.9558897 -45.9024703,-67.956233 -45.9022389,-67.9559326 -45.9014549,-67.9556215 -45.9012309,-67.95037233 -45.90142031,-67.9506969 -45.9010816,-67.9497743 -45.9008576,-67.9498494 -45.8992001,-67.94838203 -45.89904174,-67.9498494 -45.8992001,-67.949506 -45.8996854,-67.9466414 -45.8986103,-67.9437232 -45.8985057,-67.9415774 -45.8979681,-67.9412556 -45.8976545,-67.9422104 -45.8972588,-67.94188659 -45.8972671,-67.942307 -45.8972439,-67.941395 -45.8969527,-67.9402256 -45.8963927,-67.9396248 -45.8958401,-67.93839722 -45.89565726;-67.93839722 -45.89565726,-67.942307 -45.8972439,-67.941395 -45.8969527,-67.9402256 -45.8963927,-67.9396248 -45.8958401,-67.94188659 -45.8972671,-67.9498494 -45.8992001,-67.949506 -45.8996854,-67.9466414 -45.8986103,-67.9437232 -45.8985057,-67.9415774 -45.8979681,-67.9412556 -45.8976545,-67.9422104 -45.8972588,-67.94838203 -45.89904174,-67.9506969 -45.9010816,-67.9497743 -45.9008576,-67.9498494 -45.8992001,-67.95037233 -45.90142031,-67.9506755 -45.9009696,-67.9479718 -45.9005665,-67.9449892 -45.9007008,-67.945075 -45.9032692,-67.9445601 -45.9035379,-67.9423714 -45.902642,-67.94048121 -45.90255833,-67.9417276 -45.9060912,-67.9426718 -45.9047623,-67.9416203 -45.9047773,-67.9445601 -45.9035379,-67.942543 -45.9026271,-67.94070253 -45.90708056,-67.9419637 -45.9061061,-67.9426718 -45.9047623,-67.9415345 -45.9048967,-67.938745 -45.9059568,-67.9340029 -45.9072707,-67.9353547 -45.9073006,-67.93482704 -45.9074612,-67.922008 -45.9097193,-67.9201412 -45.9109884,-67.9196906 -45.9109585,-67.9200125 -45.9097492,-67.9210854 -45.909585,-67.9227591 -45.90851,-67.9267287 -45.9077933,-67.9317927 -45.9075544,-67.9344964 -45.9080023,-67.9353762 -45.9076142,-67.92132124 -45.90950332,-67.9221797 -45.9097492,-67.9201412 -45.9109884,-67.91924 -45.911063,-67.9191971 -45.9115109,-67.91938339 -45.91141146,-67.9150558 -45.9126903,-67.9162359 -45.9122126,-67.9164505 -45.9115408,-67.9181457 -45.910645,-67.9202914 -45.9111078,-67.91361731 -45.91301639,-67.9115582 -45.9126157,-67.9142189 -45.9121827,-67.9144764 -45.9124216,-67.91006671 -45.91285318,-67.9106355 -45.9125261,-67.9076529 -45.9123768,-67.9041553 -45.9118991,-67.9033184 -45.9115706,-67.9007006 -45.9119737,-67.8999066 -45.9124515,-67.89855752 -45.91238198;-67.89855752 -45.91238198,-67.9106355 -45.9125261,-67.9076529 -45.9123768,-67.9041553 -45.9118991,-67.9033184 -45.9115706,-67.9007006 -45.9119737,-67.8999066 -45.9124515,-67.91006671 -45.91285318,-67.9115582 -45.9126157,-67.9142189 -45.9121827,-67.9144764 -45.9124216,-67.91361731 -45.91301639,-67.9150558 -45.9126903,-67.9162359 -45.9122126,-67.9164505 -45.9115408,-67.9181457 -45.910645,-67.9202914 -45.9111078,-67.91938339 -45.91141146,-67.9221797 -45.9097492,-67.9201412 -45.9109884,-67.91924 -45.911063,-67.9191971 -45.9115109,-67.92132124 -45.90950332,-67.922008 -45.9097193,-67.9201412 -45.9109884,-67.9196906 -45.9109585,-67.9200125 -45.9097492,-67.9210854 -45.909585,-67.9227591 -45.90851,-67.9267287 -45.9077933,-67.9317927 -45.9075544,-67.9344964 -45.9080023,-67.9353762 -45.9076142,-67.93482704 -45.9074612,-67.9419637 -45.9061061,-67.9426718 -45.9047623,-67.9415345 -45.9048967,-67.938745 -45.9059568,-67.9340029 -45.9072707,-67.9353547 -45.9073006,-67.94070253 -45.90708056,-67.9417276 -45.9060912,-67.9426718 -45.9047623,-67.9416203 -45.9047773,-67.9445601 -45.9035379,-67.942543 -45.9026271,-67.94048121 -45.90255833,-67.9313636 -45.9007755,-67.9299688 -45.9015296,-67.9309559 -45.9024778,-67.931664 -45.9022687,-67.9323721 -45.9010144,-67.9335737 -45.900447,-67.9371786 -45.9012832,-67.9379082 -45.9021045,-67.9396677 -45.9026719,-67.941041 -45.9025674,-67.93028301 -45.90068278,-67.9312027 -45.9008128,-67.9299688 -45.9015296,-67.9282737 -45.9003723,-67.9263103 -45.8994316,-67.9232204 -45.8984983,-67.9221046 -45.8981623,-67.92046749 -45.89809236,-67.9221904 -45.8981548,-67.9232204 -45.8984983,-67.9230487 -45.8980652,-67.9224908 -45.89755,-67.9236388 -45.8964449,-67.92261639 -45.89612501,-67.9235637 -45.895743,-67.9241538 -45.8953249,-67.9267287 -45.8949142,-67.9271579 -45.8944961,-67.9267287 -45.8942048,-67.9257309 -45.8936448,-67.9256558 -45.8930698,-67.9268682 -45.8923604,-67.9289711 -45.8934208,-67.9293036 -45.893361,-67.92819602 -45.89300211,-67.929368 -45.8925994,-67.9296148 -45.8919423,-67.9287994 -45.8913897,-67.9285097 -45.8910014,-67.9286277 -45.8901127,-67.92758265 -45.88993498,-67.9286492 -45.8892166,-67.9288638 -45.8878724,-67.9292393 -45.8876931,-67.92838162 -45.88770662,-67.929883 -45.8876782,-67.9306018 -45.8878724,-67.9317605 -45.8883727,-67.9326189 -45.888201,-67.93184093 -45.88869985,,-67.93195275 -45.88880085,-67.9325545 -45.8880964,-67.9324257 -45.8875363,-67.933048 -45.8868642,-67.9335093 -45.8836304,-67.93297197 -45.88384007,,-67.93288041 -45.88347512,-67.9369962 -45.8822636,-67.9367441 -45.8819686,-67.9343677 -45.8832719,-67.93623372 -45.88237227,-67.9369104 -45.8822487,-67.9367441 -45.8819686,-67.9385787 -45.881274,-67.938568 -45.8809641,-67.9379243 -45.8811844,-67.93588984 -45.88149225,-67.9380155 -45.8812404,-67.938627 -45.880852,-67.9384768 -45.8805682,-67.9371035 -45.8800827,-67.9358482 -45.8797093,-67.9335737 -45.8797616,-67.934432 -45.8794255,-67.9350007 -45.8792835,-67.9357088 -45.8792686,-67.93512028 -45.8793768,-67.9308057 -45.8796645,-67.9309773 -45.8795823,-67.9308271 -45.8793582,-67.9319429 -45.8795524,-67.9332089 -45.8799333,-67.9339921 -45.8795524,-67.9349685 -45.8793358,-67.935698 -45.8793209,-67.92926139 -45.87980166,-67.9288745 -45.8790371,-67.9299796 -45.8786337,-67.9308271 -45.8793582,-67.9310632 -45.8796271,-67.9308057 -45.8796645,-67.92746283 -45.879252,-67.9288745 -45.8790371,-67.9299796 -45.8786337,-67.9304302 -45.8776552,-67.9309022 -45.8766245,-67.9306126 -45.8766543,-67.92916705 -45.87686758,-67.9305589 -45.8765722,-67.9309773 -45.8765423,-67.9323184 -45.875011,-67.9336917 -45.8726132,-67.93292309 -45.87290945,-67.9337347 -45.872531,-67.9350007 -45.8704245,-67.9346895 -45.8701032,-67.933282 -45.87018527,-67.936492 -45.8696625,-67.9362881 -45.8694234,-67.9350436 -45.8703273,-67.9347003 -45.8699986,-67.93551008 -45.87004015,-67.9383588 -45.8674437,-67.9380584 -45.8682655,-67.9363847 -45.8693786,-67.9365671 -45.8696326,-67.9400271 -45.8665472</t>
  </si>
  <si>
    <t>-67.9400271 -45.8665472,-67.9383588 -45.8674437,-67.9380101 -45.8666929,-67.9392922 -45.8661064,-67.93822649 -45.86645361,,-67.93820898 -45.86621382,-67.939437 -45.8659907,-67.9410034 -45.8642985,-67.9397787 -45.86446671,-67.9413575 -45.8643508,-67.94191 -45.8638801,-67.9413092 -45.8637717,-67.94026881 -45.86394522,-67.9412395 -45.8636896,-67.94085860000001 -45.8628677,-67.94016816 -45.86304785,-67.9407513 -45.863103100000004,-67.9403973 -45.8622551,-67.93757020000001 -45.8636746,-67.93638614 -45.8639203,-67.9374468 -45.8637643,-67.93648120000002 -45.8648999,-67.93542287 -45.86514387,-67.9364544 -45.8650082,-67.9343033 -45.8651128,-67.93322311 -45.86539389,-67.934196 -45.8650755,-67.9339492 -45.8648887,-67.9318678 -45.8652174,-67.93025624 -45.86524613,-67.92887450000002 -45.8655984,-67.929647 -45.8660093,-67.9311919 -45.8652622,-67.92761571 -45.86576064,-67.9284239 -45.8655835,-67.9270077 -45.8655162,-67.92568273 -45.86555172,,-67.92617947 -45.86596757,-67.9266429 -45.8657927,-67.9259992 -45.8665696,-67.92478129 -45.86687146,-67.9258382 -45.86658460000001,-67.9220402 -45.8663903,-67.92069068 -45.86664171,-67.9224908 -45.8663306,-67.9191971 -45.8656582,-67.91774956 -45.8661538,-67.9187572 -45.8661064,-67.9176843 -45.8663679,-67.9172981 -45.8656657,-67.91575239 -45.86551598,-67.9164934 -45.8652398,-67.9147875 -45.8642536,-67.9133606 -45.865322,-67.9120409 -45.8651352,-67.91093971 -45.86527418,-67.9122448 -45.8649709,-67.911129 -45.8644105,-67.9103887 -45.8645226,-67.90917641 -45.86476613,-67.9100668 -45.8647318,-67.9098523 -45.8659197,-67.9103565 -45.8661513,-67.90947109 -45.86641003,-67.9100454 -45.8663754,-67.9094982 -45.8663306,-67.909627 -45.86429100000001,-67.90869072 -45.86438156,-67.9108179 -45.86391,-67.9094768 -45.8638353,-67.9077816 -45.8657329,-67.9066443 -45.8662484,-67.90565529 -45.8665856,-67.906419 -45.86626330000001,-67.9050887 -45.8652025,-67.9043591 -45.864814,-67.90314798 -45.8648888,-67.9039943 -45.8644255,-67.9028034 -45.8637381,-67.8999174 -45.8635812,-67.89867893 -45.86374335,-67.8993487 -45.8636634,-67.8988981 -45.8636933,-67.89861920000001 -45.8635215,-67.8975525 -45.86346654,,-67.89779792 -45.86312838,-67.8962696 -45.8632899,-67.8974175 -45.8625203,-67.8984583 -45.8622177,-67.8946526 -45.86372426,-67.8942311 -45.8647841,-67.8944886 -45.8644778,-67.8944886 -45.8640444,-67.8955936 -45.8639772,-67.8958511 -45.8637307,-67.8924736 -45.86523062,-67.8914094 -45.8658749,-67.893244 -45.8652249,-67.88982897 -45.86617984,-67.8899288 -45.8678098,-67.8895211 -45.8675184,-67.8886414 -45.8671001,-67.8869569 -45.8665398,-67.8880835 -45.86621850000001,-67.8924072 -45.8666593,-67.8915596 -45.865957,-67.88880717 -45.86815467,,-67.88877281 -45.86858617,-67.8896284 -45.868654,-67.8885341 -45.8711117,-67.889092 -45.8708652,-67.88842641 -45.87090404,-67.8895426 -45.8722024,-67.888298 -45.8715525,-67.8881264 -45.8713806,-67.8885341 -45.8711117,-67.8891778 -45.8709175,-67.88809317 -45.872722,-67.888577 -45.8727551,-67.887826 -45.8726879,-67.8874612 -45.8724265,-67.8859162 -45.87245630000001,-67.88421848 -45.87259067,-67.8848326 -45.8722098,-67.8848219 -45.8712163,-67.8845108 -45.87091,-67.8840923 -45.870671,-67.883395 -45.8705216,-67.8816957 -45.8704776,,-67.88103676 -45.87046125;-67.88103676 -45.87046125,,-67.8816957 -45.8704776,-67.8848326 -45.8722098,-67.8848219 -45.8712163,-67.8845108 -45.87091,-67.8840923 -45.870671,-67.883395 -45.8705216,-67.88421848 -45.87259067,-67.888577 -45.8727551,-67.887826 -45.8726879,-67.8874612 -45.8724265,-67.8859162 -45.87245630000001,-67.88809317 -45.872722,-67.8895426 -45.8722024,-67.888298 -45.8715525,-67.8881264 -45.8713806,-67.8885341 -45.8711117,-67.8891778 -45.8709175,-67.88842641 -45.87090404,-67.8896284 -45.868654,-67.8885341 -45.8711117,-67.889092 -45.8708652,-67.88877281 -45.86858617,,-67.88880717 -45.86815467,-67.8899288 -45.8678098,-67.8895211 -45.8675184,-67.8886414 -45.8671001,-67.8869569 -45.8665398,-67.8880835 -45.86621850000001,-67.8924072 -45.8666593,-67.8915596 -45.865957,-67.88982897 -45.86617984,-67.8914094 -45.8658749,-67.893244 -45.8652249,-67.8924736 -45.86523062,-67.8942311 -45.8647841,-67.8944886 -45.8644778,-67.8944886 -45.8640444,-67.8955936 -45.8639772,-67.8958511 -45.8637307,-67.8946526 -45.86372426,-67.8957546 -45.8637157,-67.8955936 -45.8639772,-67.894392 -45.8641192,-67.8938127 -45.8632973,-67.8930938 -45.8633795,-67.8930295 -45.8638502,-67.89177843 -45.86436433,-67.8931367 -45.8638427,-67.892611 -45.8618778,-67.8922999 -45.8618479,-67.89062946 -45.86210121,,-67.89073352 -45.8622881;-67.89073352 -45.8622881,,-67.89062946 -45.86210121,-67.8922999 -45.8618479,-67.8926861 -45.8618553,-67.8926969 -45.8608019,-67.892493 -45.8607271,-67.89112374 -45.86105529,-67.892493 -45.8607271, -67.8927398 -45.8607346, -67.8935337 -45.859584, -67.8939092 -45.8579925, -67.8936625 -45.8569015, -67.8923857 -45.8572154,-67.8905296 -45.8572453,-67.8862917 -45.8600846,-67.8869355 -45.8600547,-67.8873861 -45.8596438,-67.8876221 -45.8588667,-67.8886843 -45.8579999,-67.88485253 -45.86038085,-67.8855836 -45.8605329,-67.8847253 -45.8611754,-67.8843284 -45.8612427,-67.88286864 -45.86153258,-67.8809917 -45.8619301,-67.8822792 -45.8616611,-67.8835666 -45.8617507,-67.8845859 -45.8612277,-67.8843284 -45.8612427,-67.87889297 -45.8626014,-67.8800154 -45.8627071,-67.880863 -45.8635887,-67.8814101 -45.8638502,-67.881496 -45.8643508,-67.8795862 -45.8651352,-67.87816911 -45.86559299,-67.8794253 -45.8652025,-67.8813779 -45.8643508,-67.8805947 -45.8648065,-67.8801227 -45.8652622,-67.8801119 -45.8658151,-67.8798544 -45.8661513,-67.87841593 -45.86693979,-67.8773224 -45.8682132,-67.8784168 -45.867951700000006,-67.8792751 -45.866988,-67.87529512 -45.86884053,-67.8755951 -45.8690125,-67.8751016 -45.8692815,-67.8764427 -45.8695952,-67.87545792 -45.87007243,-67.8735942 -45.8680488,-67.8724301 -45.8682281,-67.8724086 -45.8686689,-67.8764427 -45.8695952,-67.8729107 -45.86822856,-67.8699839 -45.8693413,-67.8700376 -45.8699389,-67.8703916 -45.8701929,-67.8709173 -45.8699239,-67.8707349 -45.8692815,-67.8712177 -45.8686166,-67.8731596 -45.8681236,-67.86891343 -45.86940172,-67.8665292 -45.8704394,-67.8664756 -45.8701107,-67.8674197 -45.8697073,-67.8698659 -45.8700883,-67.8700376 -45.8699389,-67.8700268 -45.8692964,-67.86552841 -45.87071955,-67.8687286 -45.87223970000001,-67.8671408 -45.8717542,-67.8661752 -45.8712611,-67.8662395 -45.8705888,-67.86803091 -45.87230485,-67.8686213 -45.87223970000001,-67.8679776 -45.8725012,-67.867173 -45.87342,-67.86601994 -45.87390747,-67.8666043 -45.8740773,-67.8655958 -45.8758999,-67.8658319 -45.8761464,-67.86520975 -45.8764158,-67.8690398 -45.8759074,-67.8681815 -45.8748691,-67.8664434 -45.8762585,-67.86877282 -45.87598303,-67.8721726 -45.8748019,-67.868793 -45.8753024,-67.8683639 -45.8750633,-67.8691471 -45.8759522,-67.87226293 -45.87472228,-67.8772473 -45.875646,-67.87714 -45.874899,-67.8760457 -45.8739578,-67.8750265 -45.8733005,-67.8741574 -45.8732108,-67.8737283 -45.8741819,-67.87580898 -45.87623664,-67.8836632 -45.8741296,-67.884264 -45.8734723,-67.8839421 -45.8733229,-67.8833306 -45.8736515,-67.8822899 -45.87404,-67.8816032 -45.8749737,-67.8808522 -45.875153,-67.8791678 -45.8762809,-67.8782129 -45.8766021,-67.8774083 -45.8765572,-67.88196942 -45.87464989,-67.8855407 -45.8747869,-67.8848219 -45.8745703,-67.8843713 -45.8743089,-67.8840923 -45.8735395,-67.8836632 -45.8741296,-67.88511415 -45.8749264,-67.88980010000002 -45.8758999,-67.8896391 -45.8754592,-67.8868389 -45.87464500000001,-67.8887044 -45.87631529,-67.88980010000002 -45.8758999,-67.8895426 -45.8756086,-67.886517 -45.875989600000004,-67.88477363 -45.87646395;-67.88477363 -45.87646395,-67.88980010000002 -45.8758999,-67.8895426 -45.8756086,-67.886517 -45.875989600000004,-67.8887044 -45.87631529,-67.8926647 -45.877827,-67.8914523 -45.8771996,-67.8902185 -45.8770054,-67.8897464 -45.8764377,-67.89202706 -45.87769743;-67.89202706 -45.87769743,-67.8926647 -45.877827,-67.8914523 -45.8771996,-67.8902185 -45.8770054,-67.8897464 -45.8764377,-67.8887044 -45.87631529,-67.88980010000002 -45.8758999,-67.8896391 -45.8754592,-67.8868389 -45.87464500000001,-67.88511415 -45.8749264,-67.8855407 -45.8747869,-67.8848219 -45.8745703,-67.8843713 -45.8743089,-67.8840923 -45.8735395,-67.8836632 -45.8741296,-67.88196942 -45.87464989,-67.8803158 -45.8771847,-67.8813779 -45.8760792,-67.8823113 -45.875519,-67.8828478 -45.87486160000001,-67.87897854 -45.87766371,-67.8797901 -45.8776627,-67.8792536 -45.87817810000001,-67.8798115 -45.8793806,-67.87875862 -45.87975391,-67.8785026 -45.8788802,-67.8798115 -45.8793806,-67.87684672 -45.87887091,-67.8772688 -45.8789101,-67.8749835 -45.8790146,-67.87362100000001 -45.8797765,-67.8724445 -45.87988188,-67.8726017 -45.880389,-67.8697157 -45.8828462,-67.8706813 -45.8831001,-67.8686643 -45.8830254,-67.86703039 -45.88312685,-67.8685462 -45.8831151,-67.869308 -45.8829582,-67.8708422 -45.883018,-67.8705847 -45.8839366,-67.8693122 -45.8842458,-67.8672695 -45.88491500000001,-67.867409 -45.8861099,-67.8680742 -45.8863339,-67.8686106 -45.8860875,-67.8688896 -45.8849822,-67.870338 -45.8842577,-67.86589689 -45.88477956,-67.86739830000002 -45.8868567,-67.8667223 -45.8862667,-67.8672802 -45.8848552,-67.86685323 -45.88712476,-67.8674626 -45.88708080000001,-67.866658 -45.886864200000005,-67.8658855 -45.887125600000005,-67.8670657 -45.8886864,-67.86520231 -45.88917465,-67.8652418 -45.8907101,-67.8656602 -45.890351700000004,-67.8659928 -45.88941820000001,-67.86328043 -45.89089136;-67.86328043 -45.89089136,-67.8640401 -45.8909939,-67.8672266 -45.8915539,-67.86687975 -45.89168688;-67.86687975 -45.89168688,-67.8640401 -45.8909939,-67.8672266 -45.8915539,-67.86328043 -45.89089136,-67.8652418 -45.8907101,-67.8656602 -45.890351700000004,-67.8659928 -45.88941820000001,-67.86520231 -45.88917465,-67.8674626 -45.88708080000001,-67.866658 -45.886864200000005,-67.8658855 -45.887125600000005,-67.8670657 -45.8886864,-67.86685323 -45.88712476,-67.86739830000002 -45.8868567,-67.8667223 -45.8862667,-67.8672802 -45.8848552,-67.86589689 -45.88477956,-67.8672695 -45.88491500000001,-67.867409 -45.8861099,-67.8680742 -45.8863339,-67.8686106 -45.8860875,-67.8688896 -45.8849822,-67.870338 -45.8842577,-67.8693122 -45.8842458,-67.8685462 -45.8831151,-67.869308 -45.8829582,-67.8708422 -45.883018,-67.8705847 -45.8839366,-67.86703039 -45.88312685,-67.8737283 -45.8829508,-67.8736854 -45.8833242,-67.8730094 -45.8829134,-67.8686643 -45.8830254,-67.87263059 -45.88283868,-67.8738034 -45.8829806,-67.8739858 -45.8834512,-67.87655 -45.8844445,-67.8765929 -45.8840262,-67.8758872 -45.88413516,-67.8775907 -45.885744,-67.8778374 -45.8851241,-67.8766251 -45.8844594,-67.8767002 -45.8840561,-67.87630061 -45.88642699,,-67.87597578 -45.88674947,-67.8775477 -45.8859232,-67.87784810000001 -45.8854153,-67.8789425 -45.8862742,-67.879554 -45.8862667,-67.8829443 -45.8844743,-67.8806055 -45.8848253,-67.87931365 -45.88515467,-67.8808522 -45.8847432,-67.8831053 -45.8843548,-67.884897 -45.8834586,-67.8876114 -45.88378720000001,-67.8901434 -45.8835856,-67.88934482 -45.88367092,-67.8863347 -45.8849448,-67.8869569 -45.8849672,-67.8874826 -45.883847,-67.8903258 -45.883570600000006,-67.88477851 -45.88530377,-67.8877938 -45.885251,-67.8862166 -45.8849523,-67.88725199 -45.88498287,-67.8916669 -45.8851316,-67.891463 -45.8853332,-67.8890061 -45.8855946,-67.8886521 -45.8849672,-67.88986813 -45.88509226,-67.895658 -45.88465360000001,-67.8955078 -45.8872675,-67.89402720000001 -45.888186,-67.89313670000001 -45.8879097,-67.8935552 -45.8866999,-67.891624 -45.8850718,-67.89478887 -45.88442779,-67.896452 -45.8842129,-67.8972995 -45.8841607,-67.8987801 -45.8833839,-67.8993165 -45.8836304,-67.89811074 -45.88424629,-67.90316820000001 -45.883637900000004,-67.9026854 -45.8831823,-67.9021275 -45.8832794,-67.900722 -45.8842279,-67.9001105 -45.8851465,-67.8995955 -45.8843175,-67.90293219 -45.8836944,-67.9039729 -45.8871629,-67.9034686 -45.8869165,-67.9041123 -45.886192,-67.9042947 -45.8847656,-67.90316820000001 -45.883637900000004,-67.90362098 -45.8874036,-67.9052818 -45.8875736,-67.90654780000001 -45.8882084,-67.9074919 -45.8882756,-67.90705336 -45.88840606,-67.9066443 -45.8844071,-67.9062474 -45.8852585,-67.908833 -45.885968,-67.9091012 -45.8864012,-67.90594775 -45.88423937,,-67.90591516 -45.88446218,-67.9076958 -45.8841084,-67.9082644 -45.8839366,-67.9093373 -45.8833167,-67.9103136 -45.8831972,-67.90970498 -45.88326091,-67.911365 -45.8831076,-67.9142618 -45.8826968,-67.9159892 -45.8825026,-67.91541483 -45.88231338,-67.9166651 -45.8823159,-67.9170835 -45.8822711,-67.9178345 -45.8833989,-67.9184783 -45.8832943,-67.91747464 -45.88372353,-67.9183173 -45.8833018,-67.9179525 -45.8832943,-67.9178452 -45.8829358,-67.9186606 -45.8819873,-67.9191113 -45.8815466,-67.9197979 -45.8813898,-67.91930941 -45.88137118,-67.9231775 -45.8798138,-67.9230273 -45.8801051,-67.9220295 -45.8802022,-67.9198301 -45.8807027,-67.9191542 -45.8814645,-67.9198301 -45.8813375,-67.92260289 -45.87981886,-67.9288745 -45.8790371,-67.9299045 -45.8786188,-67.929765 -45.8784918,-67.9247224 -45.8798512,-67.9241753 -45.8796943,-67.92746283 -45.879252,-67.9288745 -45.8790371,-67.9299796 -45.8786337,-67.9304302 -45.8776552,-67.9309022 -45.8766245,-67.9306126 -45.8766543,-67.92916705 -45.87686758,-67.9305589 -45.8765722,-67.9309773 -45.8765423,-67.9323184 -45.875011,-67.9336917 -45.8726132,-67.93292309 -45.87290945,-67.9337347 -45.872531,-67.9350007 -45.8704245,-67.9346895 -45.8701032,-67.933282 -45.87018527,-67.936492 -45.8696625,-67.9362881 -45.8694234,-67.9350436 -45.8703273,-67.9347003 -45.8699986,-67.93551008 -45.87004015,-67.9383588 -45.8674437,-67.9380584 -45.8682655,-67.9363847 -45.8693786,-67.9365671 -45.8696326,-67.9400271 -45.8665472</t>
  </si>
  <si>
    <t>-67.9400271 -45.8665472,-67.9452038 -45.8642219,-67.9464403 -45.8647635,-67.9454304 -45.86503525,,-67.94551194 -45.86495899,-67.949152 -45.8670029,-67.9489589 -45.866338,-67.9464805 -45.8656358,-67.946502 -45.8652099,-67.94827454 -45.86749255,-67.9513514 -45.867951700000006,-67.9506004 -45.8681534,-67.9493558 -45.8665622,-67.9490876 -45.8664576,-67.9492164 -45.8668461,-67.95075242 -45.86791677,-67.9511476 -45.8693039,-67.95089010000001 -45.8697222,-67.9506433 -45.8681011,-67.9512978 -45.867892,-67.95011093 -45.86936834,-67.9526013 -45.869965,-67.9517484 -45.8700734,-67.9508901 -45.8697222,-67.9511476 -45.8693039,-67.95188123 -45.87007275,-67.9518449 -45.870925,-67.9516733 -45.8706037,-67.9509866 -45.870275,-67.95089010000001 -45.8697222,-67.9517484 -45.8700734,-67.9526281 -45.8699912,-67.95082673 -45.87123588,-67.9510081 -45.87218,-67.9515123 -45.8715599,-67.9518449 -45.870925,-67.94974928 -45.87213834,-67.9508579 -45.8736739,-67.9509115 -45.8721426,-67.94983615 -45.87396079,-67.9521346 -45.8759746,-67.951448 -45.8759597,-67.9509008 -45.8738383,-67.95155064 -45.87647635,-67.9521346 -45.8759746,-67.9517162 -45.8759074,-67.9513943 -45.8758999,-67.9525959 -45.87702780000001,-67.95337920000001 -45.8774162,-67.95259842 -45.87763583,-67.9538298 -45.8776104,-67.9575419 -45.8788205,-67.9596341 -45.8789624,-67.9602242 -45.8794852,-67.95937836 -45.87978501,-67.967391 -45.8796271,-67.9660606 -45.879657,-67.9619408 -45.879179,-67.959795 -45.8789997,-67.9602242 -45.8794852,-67.96661757 -45.87943084,-67.9708028 -45.8792686,-67.9686999 -45.8795524,-67.9682064 -45.8792238,-67.96993071 -45.87922522,-67.9739785 -45.8781632,-67.9745579 -45.8782677,-67.9740644 -45.8788802,-67.9710174 -45.8792537,-67.97210325 -45.8786421,-67.9764569 -45.8790072,-67.9757595 -45.8787084,-67.9755771 -45.8785142,-67.9742253 -45.8787756,-67.974236 -45.878222900000004,-67.9757414 -45.87911165;-67.9757414 -45.87911165,-67.9789352 -45.8795823,-67.9791069 -45.8776627,-67.9756737 -45.8784769,-67.9758239 -45.8787234,-67.9765105 -45.8789474,-67.97764389 -45.88001208,-67.9836452 -45.880628,-67.9827011 -45.8809865,-67.9772079 -45.8809641,-67.9786885 -45.8806504,-67.9790211 -45.8800977,-67.98281025 -45.88038134,-67.9814887 -45.8817558,-67.9819179 -45.8816512,-67.9821432 -45.8813076,-67.9828405 -45.8810462,-67.9829264 -45.8808968,-67.9836452 -45.880628,-67.98000949 -45.88192468,-67.9813814 -45.881808,-67.9819071 -45.8817483,-67.9820681 -45.881345,-67.981478 -45.8815466,-67.980212 -45.881345,-67.9783578 -45.88149778;-67.9783578 -45.88149778,-67.9813814 -45.881808,-67.9819071 -45.8817483,-67.9820681 -45.881345,-67.981478 -45.8815466,-67.980212 -45.881345,-67.98000949 -45.88192468,-67.9814887 -45.8817558,-67.9819179 -45.8816512,-67.9821432 -45.8813076,-67.9828405 -45.8810462,-67.9829264 -45.8808968,-67.9836452 -45.880628,-67.98281025 -45.88038134,-67.9836452 -45.880628,-67.9827011 -45.8809865,-67.9772079 -45.8809641,-67.9786885 -45.8806504,-67.9790211 -45.8800977,-67.97764389 -45.88001208,-67.9789352 -45.8795823,-67.9791069 -45.8776627,-67.9756737 -45.8784769,-67.9758239 -45.8787234,-67.9765105 -45.8789474,-67.9757414 -45.87911165,-67.9764569 -45.8790072,-67.9757595 -45.8787084,-67.9755771 -45.8785142,-67.9742253 -45.8787756,-67.974236 -45.878222900000004,-67.97210325 -45.8786421,-67.9739785 -45.8781632,-67.9745579 -45.8782677,-67.9740644 -45.8788802,-67.9710174 -45.8792537,-67.96993071 -45.87922522,-67.9708028 -45.8792686,-67.9686999 -45.8795524,-67.9682064 -45.8792238,-67.96661757 -45.87943084,-67.967391 -45.8796271,-67.9660606 -45.879657,-67.9619408 -45.879179,-67.959795 -45.8789997,-67.9602242 -45.8794852,-67.95937836 -45.87978501,-67.9538298 -45.8776104,-67.9575419 -45.8788205,-67.9596341 -45.8789624,-67.9602242 -45.8794852,-67.95259842 -45.87763583,-67.9521346 -45.8759746,-67.9517162 -45.8759074,-67.9513943 -45.8758999,-67.9525959 -45.87702780000001,-67.95337920000001 -45.8774162,-67.95155064 -45.87647635,-67.9521239 -45.8742491,-67.9518771 -45.875885,-67.9521346 -45.8759746,-67.95131727 -45.87411285,-67.9523921 -45.8742192,-67.953068 -45.8750334,-67.9540443 -45.8756908,-67.95347139 -45.87628758,-67.9545808 -45.876206200000006,-67.9548597 -45.8766021,-67.9553211 -45.8767066,-67.95502272 -45.87715106;-67.95502272 -45.87715106,-67.9545808 -45.876206200000006,-67.9548597 -45.8766021,-67.9553211 -45.8767066,-67.95347139 -45.87628758,-67.9523921 -45.8742192,-67.953068 -45.8750334,-67.9540443 -45.8756908,-67.95131727 -45.87411285,-67.9521239 -45.8742491,-67.9518771 -45.875885,-67.9521346 -45.8759746,-67.95155064 -45.87647635,-67.9521346 -45.8759746,-67.951448 -45.8759597,-67.9509008 -45.8738383,-67.94983615 -45.87396079,-67.9508579 -45.8736739,-67.9509115 -45.8721426,-67.94974928 -45.87213834,-67.9510081 -45.87218,-67.9515123 -45.8715599,-67.9518449 -45.870925,-67.95082673 -45.87123588,-67.9518449 -45.870925,-67.9516733 -45.8706037,-67.9509866 -45.870275,-67.95089010000001 -45.8697222,-67.9517484 -45.8700734,-67.9526281 -45.8699912,-67.95188123 -45.87007275,-67.9526013 -45.869965,-67.9517484 -45.8700734,-67.9508901 -45.8697222,-67.9511476 -45.8693039,-67.95011093 -45.86936834,-67.9511476 -45.8693039,-67.95089010000001 -45.8697222,-67.9506433 -45.8681011,-67.9512978 -45.867892,-67.95075242 -45.86791677,-67.9513514 -45.867951700000006,-67.9506004 -45.8681534,-67.9493558 -45.8665622,-67.9490876 -45.8664576,-67.9492164 -45.8668461,-67.94827454 -45.86749255,-67.949152 -45.8670029,-67.9489589 -45.866338,-67.9464805 -45.8656358,-67.946502 -45.8652099,-67.94551194 -45.86495899,,-67.9454304 -45.86503525,-67.9452038 -45.8642219,-67.9464403 -45.8647635,-67.9400271 -45.8665472</t>
  </si>
  <si>
    <t>-67.9400271 -45.8665472,-67.9427254 -45.8635364,-67.9464859 -45.8623447,-67.9469097 -45.862016,-67.94569946 -45.86221924,-67.9469097 -45.8620944,-67.9481596 -45.8620048,-67.94727301 -45.86217176,-67.9483044 -45.861911400000004,-67.9473495 -45.8614183,-67.94655091 -45.86160389,-67.9479718 -45.8615453,-67.9493934 -45.8606973,-67.9489589 -45.8606599,-67.94780419 -45.86081977,-67.9549134 -45.858239,-67.9527032 -45.8590684,-67.9493666 -45.8607794,-67.9491198 -45.8606898,-67.9539623 -45.85805836,-67.9549778 -45.85820170000001,-67.9571986 -45.85672970000001,-67.9579175 -45.8564981,-67.9585719 -45.8567521,-67.95773843 -45.85672753,-67.9586148 -45.8568044,-67.9579926 -45.8564383,-67.9605138 -45.8553847,-67.9615545 -45.8546374,-67.963078 -45.8525451,-67.9633892 -45.8522836,-67.9675841 -45.8512224,-67.9699767 -45.8512598,-67.9700732 -45.8515064,-67.9697835 -45.8517381,-67.96836168 -45.85192469,-67.9697835 -45.8517381,-67.9700947 -45.8517082,-67.9702342 -45.8514018,-67.9710817 -45.8516335,-67.97135 -45.8516633,-67.97067338 -45.85178783,-67.9748797 -45.8534568,-67.9738176 -45.8522612,-67.9730666 -45.8517007,-67.9728305 -45.8516858,-67.9720902 -45.8515438,-67.97404757 -45.85313584,-67.9747403 -45.8533821,-67.9737854 -45.8521267,-67.9758561 -45.8519548,-67.9769397 -45.8521042,-67.9775941 -45.8524031,-67.97708143 -45.85269116,-67.9816282 -45.8521939,-67.9812098 -45.8524031,-67.9798794 -45.8525526,-67.9790747 -45.8522462,-67.9770684 -45.8520893,-67.9774868 -45.8524256,-67.98073146 -45.85218722,-67.9812849 -45.8543311,-67.9821217 -45.8545851,-67.9830444 -45.8534792,-67.9832697 -45.8527095,-67.9828513 -45.8519996,-67.9814351 -45.8523359,-67.9816818 -45.8521416,-67.97991539 -45.85426196,-67.9839563 -45.855026,-67.9837525 -45.8546374,-67.9831088 -45.8549513,-67.9826152 -45.8550185,-67.9821646 -45.8546748,-67.9815531 -45.8544581,-67.9812849 -45.8543311,-67.98265584 -45.85532812;-67.98265584 -45.85532812,-67.9839563 -45.855026,-67.9837525 -45.8546374,-67.9831088 -45.8549513,-67.9826152 -45.8550185,-67.9821646 -45.8546748,-67.9815531 -45.8544581,-67.9812849 -45.8543311,-67.97991539 -45.85426196,-67.9812849 -45.8543311,-67.9821217 -45.8545851,-67.9830444 -45.8534792,-67.9832697 -45.8527095,-67.9828513 -45.8519996,-67.9814351 -45.8523359,-67.9816818 -45.8521416,-67.98073146 -45.85218722,-67.9816282 -45.8521939,-67.9812098 -45.8524031,-67.9798794 -45.8525526,-67.9790747 -45.8522462,-67.9770684 -45.8520893,-67.9774868 -45.8524256,-67.97708143 -45.85269116,-67.9747403 -45.8533821,-67.9737854 -45.8521267,-67.9758561 -45.8519548,-67.9769397 -45.8521042,-67.9775941 -45.8524031,-67.97404757 -45.85313584,-67.9748797 -45.8534568,-67.9738176 -45.8522612,-67.9730666 -45.8517007,-67.9728305 -45.8516858,-67.9720902 -45.8515438,-67.97067338 -45.85178783,-67.9697835 -45.8517381,-67.9700947 -45.8517082,-67.9702342 -45.8514018,-67.9710817 -45.8516335,-67.97135 -45.8516633,-67.96836168 -45.85192469,-67.9657495 -45.8527319,-67.9690433 -45.8515438,-67.96454201 -45.85308005,,-67.96402882 -45.85314926,-67.9651701 -45.8532326,-67.9648376 -45.8537034,-67.961694 -45.85531,-67.9612434 -45.8559825,-67.96127805 -45.85636175,,-67.96103638 -45.85651367;-67.96103638 -45.85651367,,-67.96127805 -45.85636175,-67.9651701 -45.8532326,-67.9648376 -45.8537034,-67.961694 -45.85531,-67.9612434 -45.8559825,-67.96402882 -45.85314926,,-67.96454201 -45.85308005,-67.9657495 -45.8527319,-67.9690433 -45.8515438,-67.96836168 -45.85192469,-67.9697835 -45.8517381,-67.9700947 -45.8517082,-67.9702342 -45.8514018,-67.9710817 -45.8516335,-67.97135 -45.8516633,-67.97067338 -45.85178783,-67.9748797 -45.8534568,-67.9738176 -45.8522612,-67.9730666 -45.8517007,-67.9728305 -45.8516858,-67.9720902 -45.8515438,-67.97404757 -45.85313584,-67.9750836 -45.8543983,-67.9752016 -45.8534194,-67.97353981 -45.85482131,-67.9721439 -45.8564532,-67.9723585 -45.855833,-67.9728305 -45.8549363,-67.9739249 -45.8544805,-67.9741395 -45.8540023,-67.9740536 -45.853539,-67.9744184 -45.8538977,-67.9746437 -45.8541517,-67.9750943 -45.8540247,-67.9749548 -45.854488,-67.97079424 -45.85669528,-67.9761672 -45.8586351,-67.9759634 -45.858508,-67.9757595 -45.8578206,-67.9751909 -45.8575143,-67.9723477 -45.8568567,-67.9721653 -45.8565802,-67.97543611 -45.85876585,-67.976253 -45.8586351,-67.9776263 -45.8591207,-67.978034 -45.8588891,-67.9775727 -45.8582166,-67.9771328 -45.8571631,-67.9770899 -45.8562589,-67.97627935 -45.8561703,-67.977401 -45.8546748,-67.9777014 -45.8555042,-67.97657227 -45.85465436,-67.977916 -45.8542115,-67.9775351 -45.8540621,-67.9782486 -45.8535577,-67.97739898 -45.85391408;-67.97739898 -45.85391408,-67.977916 -45.8542115,-67.9775351 -45.8540621,-67.9782486 -45.8535577,-67.97657227 -45.85465436,-67.977401 -45.8546748,-67.9777014 -45.8555042,-67.97627935 -45.8561703,-67.976253 -45.8586351,-67.9776263 -45.8591207,-67.978034 -45.8588891,-67.9775727 -45.8582166,-67.9771328 -45.8571631,-67.9770899 -45.8562589,-67.97543611 -45.85876585,-67.9762101 -45.8587172,-67.9768431 -45.8590385,-67.9774976 -45.8593075,-67.9783773 -45.8600024,-67.9787743 -45.859569,-67.97805617 -45.85962835,-67.9796112 -45.8591954,-67.9805982 -45.8590086,-67.9837096 -45.8569987,-67.9826903 -45.8567521,-67.9826152 -45.8569837,-67.9819822 -45.8570884,-67.9810381 -45.8569015,-67.97973452 -45.85686561,-67.9811668 -45.8569464,-67.9819822 -45.8570884,-67.9831517 -45.856909,-67.9837418 -45.8569464,-67.9856944 -45.8556014,-67.9860163 -45.8551904,-67.986263 -45.8545328,-67.9868317 -45.8540994,-67.98635896 -45.85411328,,-67.98625578 -45.85389626;-67.98625578 -45.85389626,,-67.98635896 -45.85411328,-67.9811668 -45.8569464,-67.9819822 -45.8570884,-67.9831517 -45.856909,-67.9837418 -45.8569464,-67.9856944 -45.8556014,-67.9860163 -45.8551904,-67.986263 -45.8545328,-67.9868317 -45.8540994,-67.97973452 -45.85686561;-67.97973452 -45.85686561,-67.9796112 -45.8591954,-67.9805982 -45.8590086,-67.9837096 -45.8569987,-67.9826903 -45.8567521,-67.9826152 -45.8569837,-67.9819822 -45.8570884,-67.9810381 -45.8569015,-67.97805617 -45.85962835,-67.9762101 -45.8587172,-67.9768431 -45.8590385,-67.9774976 -45.8593075,-67.9783773 -45.8600024,-67.9787743 -45.859569,-67.97543611 -45.85876585,-67.9761672 -45.8586351,-67.9759634 -45.858508,-67.9757595 -45.8578206,-67.9751909 -45.8575143,-67.9723477 -45.8568567,-67.9721653 -45.8565802,-67.97079424 -45.85669528,-67.9717469 -45.8565802,-67.9712749 -45.8564906,-67.9691505 -45.8556985,-67.9694617 -45.8555042,-67.96888425 -45.85562391,-67.9702127 -45.8552278,-67.9707491 -45.854899,-67.9705453 -45.8543834,-67.96980500000001 -45.854346,-67.9680531 -45.85437396,-67.96980500000001 -45.854346,-67.9705453 -45.8543834,-67.9708993 -45.8532924,-67.9696655 -45.85327,-67.96844422 -45.85339307,,-67.96784171 -45.85362119;-67.96784171 -45.85362119,,-67.96844422 -45.85339307,-67.96980500000001 -45.854346,-67.9705453 -45.8543834,-67.9708993 -45.8532924,-67.9696655 -45.85327,-67.9680531 -45.85437396,-67.9702127 -45.8552278,-67.9707491 -45.854899,-67.9705453 -45.8543834,-67.96980500000001 -45.854346,-67.96888425 -45.85562391,-67.9717469 -45.8565802,-67.9712749 -45.8564906,-67.9691505 -45.8556985,-67.9694617 -45.8555042,-67.97079424 -45.85669528,-67.9721439 -45.8564532,-67.9723585 -45.855833,-67.9728305 -45.8549363,-67.9739249 -45.8544805,-67.9741395 -45.8540023,-67.9740536 -45.853539,-67.9744184 -45.8538977,-67.9746437 -45.8541517,-67.9750943 -45.8540247,-67.9749548 -45.854488,-67.97353981 -45.85482131,-67.9750836 -45.8543983,-67.9752016 -45.8534194,-67.97404757 -45.85313584,-67.9748797 -45.8534568,-67.9738176 -45.8522612,-67.9730666 -45.8517007,-67.9728305 -45.8516858,-67.9720902 -45.8515438,-67.97067338 -45.85178783,-67.9697835 -45.8517381,-67.9700947 -45.8517082,-67.9702342 -45.8514018,-67.9710817 -45.8516335,-67.97135 -45.8516633,-67.96836168 -45.85192469,-67.9586148 -45.8568044,-67.9579926 -45.8564383,-67.9605138 -45.8553847,-67.9615545 -45.8546374,-67.963078 -45.8525451,-67.9633892 -45.8522836,-67.9675841 -45.8512224,-67.9699767 -45.8512598,-67.9700732 -45.8515064,-67.9697835 -45.8517381,-67.95773843 -45.85672753,-67.9549778 -45.85820170000001,-67.9571986 -45.85672970000001,-67.9579175 -45.8564981,-67.9585719 -45.8567521,-67.9539623 -45.85805836,-67.9549134 -45.858239,-67.9527032 -45.8590684,-67.9493666 -45.8607794,-67.9491198 -45.8606898,-67.94780419 -45.86081977,-67.9479718 -45.8615453,-67.9493934 -45.8606973,-67.9489589 -45.8606599,-67.94655091 -45.86160389,-67.9483044 -45.861911400000004,-67.9473495 -45.8614183,-67.94727301 -45.86217176,-67.9469097 -45.8620944,-67.9481596 -45.8620048,-67.94569946 -45.86221924,-67.9427254 -45.8635364,-67.9464859 -45.8623447,-67.9469097 -45.862016,-67.9400271 -45.8665472</t>
  </si>
  <si>
    <t>-67.9400271 -45.8665472,-67.9383588 -45.8674437,-67.9380101 -45.8666929,-67.9392922 -45.8661064,-67.93822649 -45.86645361,,-67.93820898 -45.86621382,-67.939437 -45.8659907,-67.9410034 -45.8642985,-67.9397787 -45.86446671,-67.9413575 -45.8643508,-67.94191 -45.8638801,-67.9413092 -45.8637717,-67.94026881 -45.86394522,-67.9412395 -45.8636896,-67.94085860000001 -45.8628677,-67.94016816 -45.86304785,-67.9407513 -45.863103100000004,-67.9403973 -45.8622551,-67.93757020000001 -45.8636746,-67.93638614 -45.8639203,-67.9374468 -45.8637643,-67.93648120000002 -45.8648999,-67.93542287 -45.86514387,-67.9364544 -45.8650082,-67.9343033 -45.8651128,-67.93322311 -45.86539389,-67.934196 -45.8650755,-67.9339492 -45.8648887,-67.9318678 -45.8652174,-67.93025624 -45.86524613,-67.92887450000002 -45.8655984,-67.929647 -45.8660093,-67.9311919 -45.8652622,-67.92761571 -45.86576064,-67.9284239 -45.8655835,-67.9270077 -45.8655162,-67.92568273 -45.86555172,,-67.92617947 -45.86596757,-67.9266429 -45.8657927,-67.9259992 -45.8665696,-67.92478129 -45.86687146,-67.9258382 -45.86658460000001,-67.9220402 -45.8663903,-67.92069068 -45.86664171,-67.9224908 -45.8663306,-67.9191971 -45.8656582,-67.91774956 -45.8661538,-67.9187572 -45.8661064,-67.9176843 -45.8663679,-67.9172981 -45.8656657,-67.91575239 -45.86551598,-67.9164934 -45.8652398,-67.9147875 -45.8642536,-67.9133606 -45.865322,-67.9120409 -45.8651352,-67.91093971 -45.86527418,-67.9122448 -45.8649709,-67.911129 -45.8644105,-67.9103887 -45.8645226,-67.90917641 -45.86476613,-67.9100668 -45.8647318,-67.9098523 -45.8659197,-67.9103565 -45.8661513,-67.90947109 -45.86641003,-67.9100454 -45.8663754,-67.9094982 -45.8663306,-67.909627 -45.86429100000001,-67.90869072 -45.86438156,-67.9108179 -45.86391,-67.9094768 -45.8638353,-67.9077816 -45.8657329,-67.9066443 -45.8662484,-67.90565529 -45.8665856,-67.906419 -45.86626330000001,-67.9050887 -45.8652025,-67.9043591 -45.864814,-67.90314798 -45.8648888,-67.9039943 -45.8644255,-67.9028034 -45.8637381,-67.8999174 -45.8635812,-67.89867893 -45.86374335,-67.8993487 -45.8636634,-67.8988981 -45.8636933,-67.89861920000001 -45.8635215,-67.8975525 -45.86346654,,-67.89779792 -45.86312838,-67.8962696 -45.8632899,-67.8974175 -45.8625203,-67.8984583 -45.8622177,-67.8946526 -45.86372426,-67.8961945 -45.8632674,-67.8952932 -45.8629985,-67.8948426 -45.8620347,-67.89369378 -45.862107,-67.8961086 -45.8601668,-67.8949714 -45.8618927,-67.89506126 -45.86022417,-67.8960952 -45.8598436,-67.8959692 -45.8585678,-67.8961945 -45.8583138,-67.8955936 -45.8581419,-67.8949177 -45.8572976,-67.8950787 -45.8562589,-67.894907 -45.8558629,-67.8937376 -45.8558928,-67.8932869 -45.8566101,-67.8928149 -45.8568492,-67.8926003 -45.8566998,-67.89119881 -45.85678635,-67.8915596 -45.8569165,-67.8910661 -45.8570435,-67.8905296 -45.8572453,-67.8862917 -45.8600846,-67.8869355 -45.8600547,-67.8873861 -45.8596438,-67.8876221 -45.8588667,-67.8886843 -45.8579999,-67.88485253 -45.86038085,-67.8855836 -45.8605329,-67.8847253 -45.8611754,-67.8843284 -45.8612427,-67.88286864 -45.86153258,-67.8809917 -45.8619301,-67.8822792 -45.8616611,-67.8835666 -45.8617507,-67.8845859 -45.8612277,-67.8843284 -45.8612427,-67.87889297 -45.8626014,-67.8800154 -45.8627071,-67.880863 -45.8635887,-67.8814101 -45.8638502,-67.881496 -45.8643508,-67.8795862 -45.8651352,-67.87816911 -45.86559299,-67.8794253 -45.8652025,-67.8813779 -45.8643508,-67.8805947 -45.8648065,-67.8801227 -45.8652622,-67.8801119 -45.8658151,-67.8798544 -45.8661513,-67.87841593 -45.86693979,-67.8773224 -45.8682132,-67.8784168 -45.867951700000006,-67.8792751 -45.866988,-67.87529512 -45.86884053,-67.8755951 -45.8690125,-67.8751016 -45.8692815,-67.8764427 -45.8695952,-67.87545792 -45.87007243,-67.8735942 -45.8680488,-67.8724301 -45.8682281,-67.8724086 -45.8686689,-67.8764427 -45.8695952,-67.8729107 -45.86822856,-67.8699839 -45.8693413,-67.8700376 -45.8699389,-67.8703916 -45.8701929,-67.8709173 -45.8699239,-67.8707349 -45.8692815,-67.8712177 -45.8686166,-67.8731596 -45.8681236,-67.86891343 -45.86940172,-67.8665292 -45.8704394,-67.8664756 -45.8701107,-67.8674197 -45.8697073,-67.8698659 -45.8700883,-67.8700376 -45.8699389,-67.8700268 -45.8692964,-67.86552841 -45.87071955,-67.8665292 -45.8705589,-67.866143 -45.8710594,-67.8657889 -45.8704767,-67.8668725 -45.8688706,-67.86653014 -45.86909111,-67.8668725 -45.8688706,-67.8667974 -45.868646500000004,-67.8676665 -45.8677127,-67.867012 -45.86727940000001,-67.86635342 -45.86702056,-67.8668189 -45.8667639,-67.8664005 -45.866988,-67.8663254 -45.8676305,-67.86498939 -45.86808329,-67.8639972 -45.8691171,-67.8657031 -45.8680713,-67.86235431 -45.86962035,-67.8593409 -45.8716048,-67.85971640000001 -45.8705365,-67.8614008 -45.870529,-67.861948 -45.8698268,-67.8630531 -45.8694832,-67.85882935 -45.87179542,-67.857635 -45.8744807,-67.8541696 -45.874152,-67.8588581 -45.8727103,-67.8593409 -45.8716048,-67.857019 -45.87438052,-67.84873010000001 -45.87312860000001,-67.8543305 -45.8741595,-67.857635 -45.8744807,-67.84711722 -45.87310355,-67.8489339 -45.8731324,-67.8501302 -45.8733565,-67.8485316 -45.8736739,-67.8459191 -45.8729942,-67.84549 -45.8723406,-67.8449106 -45.8726842,-67.84336962 -45.87289033,-67.8464448 -45.8713396,-67.8465736 -45.871657000000006,-67.84484620000002 -45.8726692,-67.84458226 -45.87132178,-67.8433174 -45.8702414,-67.8424054 -45.8705701,-67.8442401 -45.8712014,-67.8457582 -45.8705029,-67.8468794 -45.8714778,-67.8465736 -45.871657000000006,-67.8464073 -45.8713396,-67.84266503 -45.8702826,-67.8403401 -45.8715002,-67.8396213 -45.8713059,-67.8401256 -45.8706859,-67.8424323 -45.8705216,-67.8432369 -45.8702153,-67.83999726 -45.87142467,-67.8404045 -45.871440400000004,-67.8396642 -45.8713657,-67.8393745 -45.8705216,-67.8371751 -45.8699314,-67.8344822 -45.8697969,-67.8345251 -45.8700584,-67.8363597 -45.8707606,-67.83598551 -45.8713908,-67.8363276 -45.8710445,-67.8348899 -45.87091,-67.8336024 -45.8710221,-67.83204724 -45.87132308,-67.8326046 -45.8712686,-67.8287637 -45.8718438,-67.8266931 -45.8718811,-67.8259957 -45.8715076,-67.82435527 -45.87146335,-67.8233564 -45.8708503,-67.8244293 -45.8708652,-67.8251266 -45.8711117,-67.82148856 -45.87077309;-67.82148856 -45.87077309,-67.8233564 -45.8708503,-67.8244293 -45.8708652,-67.8251266 -45.8711117,-67.82435527 -45.87146335,-67.8326046 -45.8712686,-67.8287637 -45.8718438,-67.8266931 -45.8718811,-67.8259957 -45.8715076,-67.83204724 -45.87132308,-67.8363276 -45.8710445,-67.8348899 -45.87091,-67.8336024 -45.8710221,-67.83598551 -45.8713908,-67.8404045 -45.871440400000004,-67.8396642 -45.8713657,-67.8393745 -45.8705216,-67.8371751 -45.8699314,-67.8344822 -45.8697969,-67.8345251 -45.8700584,-67.8363597 -45.8707606,-67.83999726 -45.87142467,-67.8403401 -45.8715002,-67.8396213 -45.8713059,-67.8401256 -45.8706859,-67.8424323 -45.8705216,-67.8432369 -45.8702153,-67.84266503 -45.8702826,-67.8433174 -45.8702414,-67.8424054 -45.8705701,-67.8442401 -45.8712014,-67.8457582 -45.8705029,-67.8468794 -45.8714778,-67.8465736 -45.871657000000006,-67.8464073 -45.8713396,-67.84458226 -45.87132178,-67.8464448 -45.8713396,-67.8465736 -45.871657000000006,-67.84484620000002 -45.8726692,-67.84336962 -45.87289033,-67.8489339 -45.8731324,-67.8501302 -45.8733565,-67.8485316 -45.8736739,-67.8459191 -45.8729942,-67.84549 -45.8723406,-67.8449106 -45.8726842,-67.84711722 -45.87310355,-67.84873010000001 -45.87312860000001,-67.8543305 -45.8741595,-67.857635 -45.8744807,-67.857019 -45.87438052,-67.857635 -45.8744807,-67.8541696 -45.874152,-67.8588581 -45.8727103,-67.8593409 -45.8716048,-67.85882935 -45.87179542,-67.8593409 -45.8716048,-67.85971640000001 -45.8705365,-67.8614008 -45.870529,-67.861948 -45.8698268,-67.8630531 -45.8694832,-67.86235431 -45.86962035,-67.8639972 -45.8691171,-67.8657031 -45.8680713,-67.86498939 -45.86808329,-67.8668189 -45.8667639,-67.8664005 -45.866988,-67.8663254 -45.8676305,-67.86635342 -45.86702056,-67.8668725 -45.8688706,-67.8667974 -45.868646500000004,-67.8676665 -45.8677127,-67.867012 -45.86727940000001,-67.86653014 -45.86909111,-67.8665292 -45.8705589,-67.866143 -45.8710594,-67.8657889 -45.8704767,-67.8668725 -45.8688706,-67.86552841 -45.87071955,-67.8665292 -45.8704394,-67.8664756 -45.8701107,-67.8674197 -45.8697073,-67.8698659 -45.8700883,-67.8700376 -45.8699389,-67.8700268 -45.8692964,-67.86891343 -45.86940172,-67.8699839 -45.8693413,-67.8700376 -45.8699389,-67.8703916 -45.8701929,-67.8709173 -45.8699239,-67.8707349 -45.8692815,-67.8712177 -45.8686166,-67.8731596 -45.8681236,-67.8729107 -45.86822856,-67.8735942 -45.8680488,-67.8724301 -45.8682281,-67.8724086 -45.8686689,-67.8764427 -45.8695952,-67.87545792 -45.87007243,-67.8773439 -45.8681385,-67.878288 -45.8679816,-67.8767216 -45.8696102,-67.87529512 -45.86884053,-67.8773224 -45.8682132,-67.8784168 -45.867951700000006,-67.8792751 -45.866988,-67.87841593 -45.86693979,-67.8794253 -45.8652025,-67.8813779 -45.8643508,-67.8805947 -45.8648065,-67.8801227 -45.8652622,-67.8801119 -45.8658151,-67.8798544 -45.8661513,-67.87816911 -45.86559299,-67.8800154 -45.8627071,-67.880863 -45.8635887,-67.8814101 -45.8638502,-67.881496 -45.8643508,-67.8795862 -45.8651352,-67.87889297 -45.8626014,-67.8809917 -45.8619301,-67.8822792 -45.8616611,-67.8835666 -45.8617507,-67.8845859 -45.8612277,-67.8843284 -45.8612427,-67.88286864 -45.86153258,-67.8855836 -45.8605329,-67.8847253 -45.8611754,-67.8843284 -45.8612427,-67.88485253 -45.86038085,-67.8862917 -45.8600846,-67.8869355 -45.8600547,-67.8873861 -45.8596438,-67.8876221 -45.8588667,-67.8886843 -45.8579999,-67.8905296 -45.8572453,-67.8915596 -45.8569165,-67.8910661 -45.8570435,-67.89119881 -45.85678635,-67.8960952 -45.8598436,-67.8959692 -45.8585678,-67.8961945 -45.8583138,-67.8955936 -45.8581419,-67.8949177 -45.8572976,-67.8950787 -45.8562589,-67.894907 -45.8558629,-67.8937376 -45.8558928,-67.8932869 -45.8566101,-67.8928149 -45.8568492,-67.8926003 -45.8566998,-67.89506126 -45.86022417,-67.8961086 -45.8601668,-67.8949714 -45.8618927,-67.89369378 -45.862107,-67.8961945 -45.8632674,-67.8952932 -45.8629985,-67.8948426 -45.8620347,-67.8946526 -45.86372426,-67.8962696 -45.8632899,-67.8974175 -45.8625203,-67.8984583 -45.8622177,-67.89779792 -45.86312838,,-67.8975525 -45.86346654,-67.8993487 -45.8636634,-67.8988981 -45.8636933,-67.89861920000001 -45.8635215,-67.89867893 -45.86374335,-67.9039943 -45.8644255,-67.9028034 -45.8637381,-67.8999174 -45.8635812,-67.90314798 -45.8648888,-67.906419 -45.86626330000001,-67.9050887 -45.8652025,-67.9043591 -45.864814,-67.90565529 -45.8665856,-67.9108179 -45.86391,-67.9094768 -45.8638353,-67.9077816 -45.8657329,-67.9066443 -45.8662484,-67.90869072 -45.86438156,-67.9100454 -45.8663754,-67.9094982 -45.8663306,-67.909627 -45.86429100000001,-67.90947109 -45.86641003,-67.9110271 -45.86621850000001,-67.9131621 -45.8664613,-67.9139614 -45.8669058,-67.9130059 -45.86729039,-67.9147553 -45.8672868,-67.9154098 -45.8676977,-67.9143801 -45.8679855,-67.914927 -45.8677874,-67.912792 -45.8681833,-67.91127227 -45.86860891,-67.912792 -45.8681833,-67.9137361 -45.8680638,-67.9160964 -45.8689304,-67.9145193 -45.8701256,-67.91316355 -45.8704339,-67.9137897 -45.8706112,-67.913307 -45.8712462,-67.9130816 -45.8716496,-67.9134786 -45.8724265,-67.9134142 -45.87308380000001,-67.91185362 -45.87334554,-67.9133713 -45.8748243,-67.9129314 -45.8751081,-67.9124272 -45.8746824,-67.9126096 -45.8741968,-67.9134893 -45.8732108,-67.9135108 -45.8728149,-67.9132533 -45.8730091,-67.91213626 -45.87472176,-67.9147124 -45.8735918,-67.9146481 -45.8732631,-67.9134893 -45.874167,-67.91362407 -45.87400466;-67.91362407 -45.87400466,-67.9147124 -45.8735918,-67.9146481 -45.8732631,-67.9165041 -45.8723592,-67.917223 -45.8722696,-67.9172659 -45.8726356,-67.91546223 -45.87287307,-67.9221582 -45.8723966,-67.9212999 -45.8721351,-67.917105 -45.8727327,-67.92142151 -45.87273947,-67.9212248 -45.8733378,-67.9216969 -45.8732033,-67.9219866 -45.8726954,-67.91957453 -45.87370778,,-67.91979942 -45.8736741,-67.9206347 -45.8733602,-67.9204845 -45.8732108,-67.9220188 -45.8711565,-67.92053462 -45.87127057,-67.9217505 -45.8712238,-67.9221582 -45.8710893,-67.9240143 -45.8689901,-67.9237783 -45.8690051,-67.92209124 -45.86928836,-67.9247117 -45.8672271,-67.9251409 -45.8672644,-67.9242826 -45.8677948,-67.9240143 -45.8689378,-67.9238534 -45.8689528,-67.92313135 -45.86736612,-67.925849 -45.8667938,-67.9245508 -45.8671822,-67.92478129 -45.86687146,-67.9266429 -45.8657927,-67.9259992 -45.8665696,-67.92617947 -45.86596757,,-67.92568273 -45.86555172,-67.9284239 -45.8655835,-67.9270077 -45.8655162,-67.92761571 -45.86576064,-67.9267931 -45.86391,-67.9258704 -45.8645525,-67.9281235 -45.8654938,-67.92562891 -45.86384385,-67.9267287 -45.8641042,-67.9260421 -45.8645525,-67.9272652 -45.8648663,-67.9282737 -45.8628789,-67.9276514 -45.8618479,-67.9260095 -45.86162722,-67.9257202 -45.8606599,-67.9255271 -45.861085800000005,-67.9269326 -45.8609513,-67.9270506 -45.8613025,-67.92472033 -45.86078317,-67.9253769 -45.8604208,-67.9236388 -45.8595317,-67.9233384 -45.8597857,-67.92204432 -45.86025045,-67.9235315 -45.8601219,-67.9222655 -45.8604731,-67.92116295 -45.86077528,-67.9219651 -45.8610335,-67.9157424 -45.8609887,-67.91412974 -45.86109479,-67.9153347 -45.8605702,-67.9157317 -45.8599725,-67.9146159 -45.859457,-67.91347499 -45.85938782,-67.9145408 -45.8594047,-67.9124916 -45.858777,-67.9112792 -45.8592776,-67.91058213 -45.85962973,-67.9112792 -45.8592776,-67.9102921 -45.8588293,-67.9105067 -45.8586425,-67.90964669 -45.85881191,-67.9102653 -45.8586986,-67.9081625 -45.8581195,-67.90707943 -45.8582017,-67.90773330000002 -45.8580522,-67.9073417 -45.8579177,-67.9068965 -45.8568567,-67.9053408 -45.8563822,-67.90400196 -45.85653031,-67.904284 -45.8564084,-67.9033184 -45.8552726,-67.9019022 -45.8551232,-67.90067511 -45.8549717,,-67.90022567 -45.85540767,-67.9008508 -45.8548093,-67.8990161 -45.8545403,-67.898823 -45.8538678,-67.8965485 -45.8545553,-67.89483427 -45.85484841,-67.887429 -45.855564,-67.8894138 -45.853808,-67.8932333 -45.8533447,-67.8969455 -45.8545851,-67.8963768 -45.8546599,-67.88581092 -45.85597227,-67.887429 -45.855564,-67.8882551 -45.8548691,-67.8894138 -45.853808,-67.8920853 -45.8535689,-67.8916454 -45.8538678,-67.8897357 -45.85395,-67.88910 -45.85436,-67.8875685 -45.8562589,-67.885799 -45.8571033,-67.88544 -45.8578281,-67.88523 -45.85794,-67.88402968 -45.85834964,-67.8814316 -45.8592926,-67.8808415 -45.8591357,-67.880863 -45.8587322,-67.8817642 -45.858239,-67.8850043 -45.8580522,-67.88077392 -45.85953999,-67.8820431 -45.8588966,-67.8808415 -45.8591357,-67.8813887 -45.8593822,-67.88161815 -45.85881773;-67.88161815 -45.85881773,-67.8820431 -45.8588966,-67.8808415 -45.8591357,-67.8813887 -45.8593822,-67.88077392 -45.85953999,-67.8790283 -45.8588293,-67.880466 -45.8587397,-67.8813028 -45.8593598,-67.87771797 -45.85914466,-67.875917 -45.8590236,-67.8765607 -45.8587098,-67.8784597 -45.8588443,-67.87446619 -45.85953534,-67.8759491 -45.8590983,-67.8764319 -45.8599501,-67.87655 -45.8609588,-67.8760779 -45.8611231,-67.87444477 -45.86135588,-67.8761101 -45.86104100000001,-67.8766465 -45.8610185,-67.8767216 -45.8614071,-67.87598229 -45.86175617,-67.8765821 -45.8616835,-67.8769684 -45.861803,-67.877183 -45.8627295,-67.87624464 -45.86324951,-67.87849190000001 -45.8641416,-67.8785133 -45.863499,-67.8778052 -45.8630732,-67.87711554 -45.86436098,-67.8776658 -45.8646496,-67.876035 -45.8642312,-67.8759491 -45.8638278,-67.8749514 -45.864380600000004,-67.87319628 -45.86441938,-67.8740609 -45.8679218,-67.8740501 -45.8676828,-67.8730416 -45.867115,-67.8732347 -45.8667639,-67.8746724 -45.8662783,-67.8754556 -45.865591,-67.876035 -45.8638054,-67.8748977 -45.8643134,-67.8729107 -45.86822856,-67.8699839 -45.8693413,-67.8700376 -45.8699389,-67.8703916 -45.8701929,-67.8709173 -45.8699239,-67.8707349 -45.8692815,-67.8712177 -45.8686166,-67.8731596 -45.8681236,-67.86891343 -45.86940172,-67.8665292 -45.8704394,-67.8664756 -45.8701107,-67.8674197 -45.8697073,-67.8698659 -45.8700883,-67.8700376 -45.8699389,-67.8700268 -45.8692964,-67.86552841 -45.87071955,-67.8687286 -45.87223970000001,-67.8671408 -45.8717542,-67.8661752 -45.8712611,-67.8662395 -45.8705888,-67.86803091 -45.87230485,-67.8686213 -45.87223970000001,-67.8679776 -45.8725012,-67.867173 -45.87342,-67.86601994 -45.87390747,-67.8666043 -45.8740773,-67.8655958 -45.8758999,-67.8658319 -45.8761464,-67.86520975 -45.8764158,-67.8690398 -45.8759074,-67.8681815 -45.8748691,-67.8664434 -45.8762585,-67.86877282 -45.87598303,-67.8721726 -45.8748019,-67.868793 -45.8753024,-67.8683639 -45.8750633,-67.8691471 -45.8759522,-67.87226293 -45.87472228,-67.8772473 -45.875646,-67.87714 -45.874899,-67.8760457 -45.8739578,-67.8750265 -45.8733005,-67.8741574 -45.8732108,-67.8737283 -45.8741819,-67.87580898 -45.87623664,-67.8836632 -45.8741296,-67.884264 -45.8734723,-67.8839421 -45.8733229,-67.8833306 -45.8736515,-67.8822899 -45.87404,-67.8816032 -45.8749737,-67.8808522 -45.875153,-67.8791678 -45.8762809,-67.8782129 -45.8766021,-67.8774083 -45.8765572,-67.88196942 -45.87464989,-67.8803158 -45.8771847,-67.8813779 -45.8760792,-67.8823113 -45.875519,-67.8828478 -45.87486160000001,-67.87897854 -45.87766371,-67.8797901 -45.8776627,-67.8792536 -45.87817810000001,-67.8798115 -45.8793806,-67.87875862 -45.87975391,-67.8785026 -45.8788802,-67.8798115 -45.8793806,-67.87684672 -45.87887091,-67.8772688 -45.8789101,-67.8749835 -45.8790146,-67.87362100000001 -45.8797765,-67.8724445 -45.87988188,-67.8726017 -45.880389,-67.8697157 -45.8828462,-67.8706813 -45.8831001,-67.8686643 -45.8830254,-67.86703039 -45.88312685,-67.8737283 -45.8829508,-67.8736854 -45.8833242,-67.8730094 -45.8829134,-67.8686643 -45.8830254,-67.87263059 -45.88283868,-67.8738034 -45.8829806,-67.8739858 -45.8834512,-67.87655 -45.8844445,-67.8765929 -45.8840262,-67.8758872 -45.88413516,-67.8775907 -45.885744,-67.8778374 -45.8851241,-67.8766251 -45.8844594,-67.8767002 -45.8840561,-67.87630061 -45.88642699,,-67.87597578 -45.88674947,-67.8775477 -45.8859232,-67.87784810000001 -45.8854153,-67.8789425 -45.8862742,-67.879554 -45.8862667,-67.8829443 -45.8844743,-67.8806055 -45.8848253,-67.87931365 -45.88515467,-67.8808522 -45.8847432,-67.8831053 -45.8843548,-67.884897 -45.8834586,-67.8876114 -45.88378720000001,-67.8901434 -45.8835856,-67.88934482 -45.88367092,-67.8863347 -45.8849448,-67.8869569 -45.8849672,-67.8874826 -45.883847,-67.8903258 -45.883570600000006,-67.88477851 -45.88530377,-67.8847039 -45.885542300000004,-67.8854334 -45.8851465,-67.88304639 -45.88588109,-67.8838027 -45.88608,-67.882483 -45.8868716,-67.88085052 -45.88709026,-67.8783846 -45.8885519,-67.8803802 -45.8880143,-67.8826654 -45.8868044,-67.8823113 -45.8868119,-67.87661058 -45.88889945,-67.8765285 -45.89045620000001,-67.877773 -45.8901799,-67.8803802 -45.8880143,-67.8783846 -45.8885519,-67.87484305 -45.89067788,-67.8792322 -45.8901127,-67.877934 -45.8900903,-67.8765285 -45.89045620000001,-67.87813787 -45.88993585,-67.8789854 -45.8901127,-67.8777838 -45.8901052,-67.8751981 -45.8927935,-67.8739536 -45.8942571,-67.87230402 -45.89457162,-67.8727734 -45.8946678,-67.8694153 -45.8954742,-67.8682566 -45.89504860000001,-67.86797017 -45.89505687,-67.8685999 -45.895295,-67.8667116 -45.8956833,-67.8646088 -45.8956833,-67.86301998 -45.89560501,-67.8636646 -45.8957132,-67.8630209 -45.8961014,-67.8661537 -45.8966391,-67.86618307 -45.89684928,-67.8667545 -45.8970572,-67.8640938 -45.8981025,-67.8651237 -45.89867,-67.86456115 -45.89914262;-67.86456115 -45.89914262,-67.8667545 -45.8970572,-67.8640938 -45.8981025,-67.8651237 -45.89867,-67.86618307 -45.89684928,-67.8636646 -45.8957132,-67.8630209 -45.8961014,-67.8661537 -45.8966391,-67.86301998 -45.89560501,-67.8685999 -45.895295,-67.8667116 -45.8956833,-67.8646088 -45.8956833,-67.86797017 -45.89505687,-67.8727734 -45.8946678,-67.8694153 -45.8954742,-67.8682566 -45.89504860000001,-67.87230402 -45.89457162,-67.8789854 -45.8901127,-67.8777838 -45.8901052,-67.8751981 -45.8927935,-67.8739536 -45.8942571,-67.87813787 -45.88993585,-67.8792322 -45.8901127,-67.877934 -45.8900903,-67.8765285 -45.89045620000001,-67.87484305 -45.89067788,-67.8765285 -45.89045620000001,-67.877773 -45.8901799,-67.8803802 -45.8880143,-67.8783846 -45.8885519,-67.87661058 -45.88889945,-67.8783846 -45.8885519,-67.8803802 -45.8880143,-67.8826654 -45.8868044,-67.8823113 -45.8868119,-67.88085052 -45.88709026,-67.8838027 -45.88608,-67.882483 -45.8868716,-67.88304639 -45.88588109,-67.8847039 -45.885542300000004,-67.8854334 -45.8851465,-67.88477851 -45.88530377,-67.8877938 -45.885251,-67.8862166 -45.8849523,-67.88725199 -45.88498287,-67.8916669 -45.8851316,-67.891463 -45.8853332,-67.8890061 -45.8855946,-67.8886521 -45.8849672,-67.88986813 -45.88509226,-67.895658 -45.88465360000001,-67.8955078 -45.8872675,-67.89402720000001 -45.888186,-67.89313670000001 -45.8879097,-67.8935552 -45.8866999,-67.891624 -45.8850718,-67.89478887 -45.88442779,-67.896452 -45.8842129,-67.8972995 -45.8841607,-67.8987801 -45.8833839,-67.8993165 -45.8836304,-67.89811074 -45.88424629,-67.90316820000001 -45.883637900000004,-67.9026854 -45.8831823,-67.9021275 -45.8832794,-67.900722 -45.8842279,-67.9001105 -45.8851465,-67.8995955 -45.8843175,-67.90293219 -45.8836944,-67.9039729 -45.8871629,-67.9034686 -45.8869165,-67.9041123 -45.886192,-67.9042947 -45.8847656,-67.90316820000001 -45.883637900000004,-67.90362098 -45.8874036,-67.9052818 -45.8875736,-67.90654780000001 -45.8882084,-67.9074919 -45.8882756,-67.90705336 -45.88840606,-67.9066443 -45.8844071,-67.9062474 -45.8852585,-67.908833 -45.885968,-67.9091012 -45.8864012,-67.90594775 -45.88423937,,-67.90591516 -45.88446218,-67.9076958 -45.8841084,-67.9082644 -45.8839366,-67.9093373 -45.8833167,-67.9103136 -45.8831972,-67.90970498 -45.88326091,-67.911365 -45.8831076,-67.9142618 -45.8826968,-67.9159892 -45.8825026,-67.91541483 -45.88231338,-67.9166651 -45.8823159,-67.9170835 -45.8822711,-67.9178345 -45.8833989,-67.9184783 -45.8832943,-67.91747464 -45.88372353,-67.9183173 -45.8833018,-67.9179525 -45.8832943,-67.9178452 -45.8829358,-67.9186606 -45.8819873,-67.9191113 -45.8815466,-67.9197979 -45.8813898,-67.91930941 -45.88137118,-67.9231775 -45.8798138,-67.9230273 -45.8801051,-67.9220295 -45.8802022,-67.9198301 -45.8807027,-67.9191542 -45.8814645,-67.9198301 -45.8813375,-67.92260289 -45.87981886,-67.9288745 -45.8790371,-67.9299045 -45.8786188,-67.929765 -45.8784918,-67.9247224 -45.8798512,-67.9241753 -45.8796943,-67.92746283 -45.879252,-67.9288745 -45.8790371,-67.9299796 -45.8786337,-67.9304302 -45.8776552,-67.9309022 -45.8766245,-67.9306126 -45.8766543,-67.92916705 -45.87686758,-67.9305589 -45.8765722,-67.9309773 -45.8765423,-67.9323184 -45.875011,-67.9336917 -45.8726132,-67.93292309 -45.87290945,-67.9337347 -45.872531,-67.9350007 -45.8704245,-67.9346895 -45.8701032,-67.933282 -45.87018527,-67.936492 -45.8696625,-67.9362881 -45.8694234,-67.9350436 -45.8703273,-67.9347003 -45.8699986,-67.93551008 -45.87004015,-67.9383588 -45.8674437,-67.9380584 -45.8682655,-67.9363847 -45.8693786,-67.9365671 -45.8696326,-67.9400271 -45.8665472</t>
  </si>
  <si>
    <t>-67.9400271 -45.8665472,-67.9383588 -45.8674437,-67.9380101 -45.8666929,-67.9392922 -45.8661064,-67.93822649 -45.86645361,,-67.93820898 -45.86621382,-67.939437 -45.8659907,-67.9410034 -45.8642985,-67.9397787 -45.86446671,-67.9413575 -45.8643508,-67.94191 -45.8638801,-67.9413092 -45.8637717,-67.94026881 -45.86394522,-67.9412395 -45.8636896,-67.94085860000001 -45.8628677,-67.94016816 -45.86304785,-67.9407942 -45.8630844,-67.9403758 -45.8621878,-67.9386914 -45.8624792,-67.93749455 -45.86270022,-67.9389811 -45.8623559,-67.9389596 -45.8618329,-67.9381979 -45.8610783,-67.9390669 -45.8607794,-67.93809539 -45.86091501,-67.9388309 -45.8607794,-67.938112 -45.8611007,-67.9377472 -45.860899,-67.9362881 -45.8614743,-67.9374897 -45.8619749,-67.93652197 -45.86222667,-67.9375219 -45.8620421,-67.9357517 -45.861085800000005,-67.9346144 -45.8614519,-67.93332777 -45.86169272,-67.9343569 -45.8614145,-67.9335523 -45.861549,-67.9334021 -45.8611381,-67.9309666 -45.8609214,-67.92973166 -45.86112334,-67.9307091 -45.86097370000001,-67.9287457 -45.8609588,-67.9288423 -45.860757,-67.92827234 -45.86082887,-67.9288423 -45.860757,-67.9286063 -45.8609812,-67.9269433 -45.8608168,-67.9254305 -45.8610559,-67.9256237 -45.8606898,-67.92472033 -45.86078317,-67.9253769 -45.8604208,-67.9236388 -45.8595317,-67.9233384 -45.8597857,-67.92204432 -45.86025045,-67.9235315 -45.8601219,-67.9222655 -45.8604731,-67.92116295 -45.86077528,-67.9219651 -45.8610335,-67.9157424 -45.8609887,-67.91412974 -45.86109479,-67.9153347 -45.8605702,-67.9157317 -45.8599725,-67.9146159 -45.859457,-67.91347499 -45.85938782,-67.9145408 -45.8594047,-67.9124916 -45.858777,-67.9112792 -45.8592776,-67.91058213 -45.85962973,-67.9112792 -45.8592776,-67.9102921 -45.8588293,-67.9105067 -45.8586425,-67.90964669 -45.85881191,-67.9102653 -45.8586986,-67.9081625 -45.8581195,-67.90707943 -45.8582017,-67.90773330000002 -45.8580522,-67.9073417 -45.8579177,-67.9068965 -45.8568567,-67.9053408 -45.8563822,-67.90400196 -45.85653031,-67.904284 -45.8564084,-67.9033184 -45.8552726,-67.9019022 -45.8551232,-67.90067511 -45.8549717,,-67.90022567 -45.85540767,-67.9008508 -45.8548093,-67.8990161 -45.8545403,-67.898823 -45.8538678,-67.8965485 -45.8545553,-67.89483427 -45.85484841,-67.887429 -45.855564,-67.8894138 -45.853808,-67.8932333 -45.8533447,-67.8969455 -45.8545851,-67.8963768 -45.8546599,-67.88581092 -45.85597227,-67.887429 -45.855564,-67.8882551 -45.8548691,-67.8894138 -45.853808,-67.8920853 -45.8535689,-67.8916454 -45.8538678,-67.8897357 -45.85395,-67.88910 -45.85436,-67.8875685 -45.8562589,-67.885799 -45.8571033,-67.88544 -45.8578281,-67.88523 -45.85794,-67.88402968 -45.85834964,-67.8814316 -45.8592926,-67.8808415 -45.8591357,-67.880863 -45.8587322,-67.8817642 -45.858239,-67.8850043 -45.8580522,-67.88077392 -45.85953999,-67.8790283 -45.8588293,-67.880466 -45.8587397,-67.8813028 -45.8593598,-67.87771797 -45.85914466,-67.875917 -45.8590236,-67.8765607 -45.8587098,-67.8784597 -45.8588443,-67.87446619 -45.85953534,-67.8758311 -45.8590012,-67.8755307 -45.858777,-67.8718829 -45.8588144,-67.8721619 -45.8576637,-67.8733528 -45.857462,-67.8739536 -45.8579028,-67.87227986 -45.85836679,-67.8721619 -45.8576637,-67.8734279 -45.8573798,-67.8740823 -45.8579103,-67.87029294 -45.85782787,-67.8694689 -45.8577534,-67.8703272 -45.8578879,-67.8705525 -45.8574694,-67.8710139 -45.8575441,-67.86752908 -45.85773082,-67.8666365 -45.8577982,-67.8680527 -45.857716,-67.86509618 -45.85797591,-67.8655958 -45.85783560000001,-67.8642118 -45.8570435,-67.86269634 -45.8576934,-67.8630531 -45.8577608,-67.8618944 -45.8580074,-67.86119926 -45.8582863,-67.8617334 -45.8580597,-67.8595233 -45.8583362,-67.85800456 -45.85865306,-67.8585362 -45.8586425,-67.8567231 -45.8591431,-67.8550386 -45.8605852,-67.85325633 -45.86047853,-67.8547168 -45.8600622,-67.8545237 -45.8589862,-67.8537083 -45.858508,-67.852335 -45.8585529,-67.85051371 -45.8587379,-67.8511226 -45.8587172,-67.8489661 -45.8581942,-67.8504252 -45.8565952,-67.84992667 -45.85649082,-67.851541 -45.8561394,-67.8511119 -45.8555416,-67.8497386 -45.8553249,-67.8490841 -45.8555341,-67.84737753 -45.85568862,-67.8480864 -45.8556163,-67.846477 -45.8561992,-67.8452325 -45.8556537,-67.84359994 -45.85582912,-67.8438914 -45.8557508,-67.8414237 -45.8563262,-67.8377545 -45.8563187,-67.83653581 -45.85644197,-67.8371108 -45.8561767,-67.8326368 -45.8556313,-67.83154193 -45.85548135,-67.8319716 -45.855437,-67.8292787 -45.855108200000004,-67.82760578 -45.8552439,-67.827884 -45.8549737,-67.8272939 -45.8545179,-67.8284204 -45.8532027,-67.8276908 -45.8528889,-67.82609588 -45.85288331;-67.82609588 -45.85288331,-67.8278625 -45.8530159,-67.8283346 -45.8533746,-67.826457 -45.8530981,-67.8259313 -45.8540098,-67.8245151 -45.8543684,-67.82322995 -45.85451391,-67.8244078 -45.8540994,-67.8225088 -45.8518801,-67.82163737 -45.8516816,-67.8223801 -45.8515886,-67.8209639 -45.8504751,-67.8196657 -45.8504079,-67.81800483 -45.85079524,-67.8185713 -45.8505798,-67.816962 -45.851073,-67.8161895 -45.8523658,-67.81497943 -45.85259887,-67.816329 -45.8519921,-67.8167796 -45.8511701,-67.8158462 -45.8513121,-67.8150415 -45.8533148,-67.8138399 -45.8541293,-67.81217316 -45.85421245,-67.809999 -45.85395,-67.81053540000002 -45.8542265,-67.8125417 -45.8543386,-67.80813131 -45.85419968,-67.8093982 -45.8548467,-67.8103423 -45.8545851,-67.808851 -45.8544506,-67.8103101 -45.854219,-67.8097093 -45.8539126,-67.8072436 -45.85498762,-67.8098595 -45.8560647,-67.809999 -45.8550036,-67.8090441 -45.8548691,-67.80907829 -45.8565264,-67.8125632 -45.8568492,-67.810396 -45.8571033,-67.8101599 -45.8566923,-67.81224182 -45.85671416,-67.8138077 -45.8564532,-67.814548 -45.8566699,-67.813561 -45.8597484,-67.8137219 -45.8605777,-67.81282229 -45.86107452,-67.8186142 -45.8634617,-67.8183568 -45.8624605,-67.8160179 -45.8615565,-67.8143764 -45.8610559,-67.81720169 -45.86444747,-67.8182173 -45.868004,-67.8160286 -45.8663455,-67.8181314 -45.8648065,-67.8182173 -45.864545,-67.81633269 -45.86814359,-67.819097 -45.8668461,-67.8186357 -45.8670552,-67.8192151 -45.868385,-67.81829240000002 -45.8680713,-67.8187144 -45.86699435,-67.8260922 -45.8716048,-67.8258884 -45.8718886,-67.8219509 -45.871657,-67.8194082 -45.8687287,-67.8185391 -45.8670926,-67.8190756 -45.8667788,-67.82435527 -45.87146335,-67.8326046 -45.8712686,-67.8287637 -45.8718438,-67.8266931 -45.8718811,-67.8259957 -45.8715076,-67.83204724 -45.87132308,-67.8347504 -45.8724041,-67.8345788 -45.8717915,-67.8335381 -45.8712686,-67.8339131 -45.87269245,-67.8368962 -45.8743761,-67.8363168 -45.8740101,-67.8365743 -45.8734723,-67.8358126 -45.8726879,-67.8366923 -45.875026,-67.8369284 -45.8751679,-67.8384304 -45.875317300000006,-67.83709911 -45.87528907,-67.8404582 -45.876744,-67.8387737 -45.8754144,-67.83972408 -45.87683377,-67.8388381 -45.8793059,-67.8380656 -45.8795375,-67.8406405 -45.8772519,-67.8405118 -45.8769083,-67.8383257 -45.87925524,-67.8388596 -45.8793582,-67.8365421 -45.8801649,-67.8342998 -45.88042630000001,-67.8343749 -45.8798736,-67.83402097 -45.87975218,-67.8369606 -45.8813898,-67.8369713 -45.880247,-67.8353834 -45.8801051,-67.8342998 -45.88042630000001,-67.8344929 -45.8798512,-67.83577147 -45.88194228,-67.8369606 -45.8841158,-67.8364992 -45.8833615,-67.8356302 -45.8809865,-67.834847 -45.880247,-67.8365421 -45.8801649,-67.8370464 -45.881345,-67.83638415 -45.88416747,-67.8369606 -45.8841158,-67.8303623 -45.882726700000006,-67.8300083 -45.8820022,-67.8309417 -45.8814346,-67.832315 -45.8817334,-67.83197793 -45.88195242;-67.83197793 -45.88195242,-67.8369606 -45.8841158,-67.8303623 -45.882726700000006,-67.8300083 -45.8820022,-67.8309417 -45.8814346,-67.832315 -45.8817334,-67.83638415 -45.88416747,-67.8369606 -45.8841158,-67.8364992 -45.8833615,-67.8356302 -45.8809865,-67.834847 -45.880247,-67.8365421 -45.8801649,-67.8370464 -45.881345,-67.83577147 -45.88194228,-67.8369606 -45.8813898,-67.8369713 -45.880247,-67.8353834 -45.8801051,-67.8342998 -45.88042630000001,-67.8344929 -45.8798512,-67.83402097 -45.87975218,-67.8388596 -45.8793582,-67.8365421 -45.8801649,-67.8342998 -45.88042630000001,-67.8343749 -45.8798736,-67.8383257 -45.87925524,-67.8388381 -45.8793059,-67.8380656 -45.8795375,-67.8406405 -45.8772519,-67.8405118 -45.8769083,-67.83972408 -45.87683377,-67.8404582 -45.876744,-67.8387737 -45.8754144,-67.83709911 -45.87528907,-67.8369284 -45.8751679,-67.8384304 -45.875317300000006,-67.8366923 -45.875026,-67.8368962 -45.8743761,-67.8363168 -45.8740101,-67.8365743 -45.8734723,-67.8358126 -45.8726879,-67.8339131 -45.87269245,-67.8347504 -45.8724041,-67.8345788 -45.8717915,-67.8335381 -45.8712686,-67.83204724 -45.87132308,-67.8363276 -45.8710445,-67.8348899 -45.87091,-67.8336024 -45.8710221,-67.83598551 -45.8713908,-67.8404045 -45.871440400000004,-67.8396642 -45.8713657,-67.8393745 -45.8705216,-67.8371751 -45.8699314,-67.8344822 -45.8697969,-67.8345251 -45.8700584,-67.8363597 -45.8707606,-67.83999726 -45.87142467,-67.8403401 -45.8715002,-67.8396213 -45.8713059,-67.8401256 -45.8706859,-67.8424323 -45.8705216,-67.8432369 -45.8702153,-67.84266503 -45.8702826,-67.8433174 -45.8702414,-67.8424054 -45.8705701,-67.8442401 -45.8712014,-67.8457582 -45.8705029,-67.8468794 -45.8714778,-67.8465736 -45.871657000000006,-67.8464073 -45.8713396,-67.84458226 -45.87132178,-67.8464448 -45.8713396,-67.8465736 -45.871657000000006,-67.84484620000002 -45.8726692,-67.84336962 -45.87289033,-67.8489339 -45.8731324,-67.8501302 -45.8733565,-67.8485316 -45.8736739,-67.8459191 -45.8729942,-67.84549 -45.8723406,-67.8449106 -45.8726842,-67.84711722 -45.87310355,-67.84873010000001 -45.87312860000001,-67.8543305 -45.8741595,-67.857635 -45.8744807,-67.857019 -45.87438052,-67.857635 -45.8744807,-67.8541696 -45.874152,-67.8588581 -45.8727103,-67.8593409 -45.8716048,-67.85882935 -45.87179542,-67.8593409 -45.8716048,-67.85971640000001 -45.8705365,-67.8614008 -45.870529,-67.861948 -45.8698268,-67.8630531 -45.8694832,-67.86235431 -45.86962035,-67.8639972 -45.8691171,-67.8657031 -45.8680713,-67.86498939 -45.86808329,-67.8668189 -45.8667639,-67.8664005 -45.866988,-67.8663254 -45.8676305,-67.86635342 -45.86702056,-67.8668725 -45.8688706,-67.8667974 -45.868646500000004,-67.8676665 -45.8677127,-67.867012 -45.86727940000001,-67.86653014 -45.86909111,-67.8665292 -45.8705589,-67.866143 -45.8710594,-67.8657889 -45.8704767,-67.8668725 -45.8688706,-67.86552841 -45.87071955,-67.8665292 -45.8704394,-67.8664756 -45.8701107,-67.8674197 -45.8697073,-67.8698659 -45.8700883,-67.8700376 -45.8699389,-67.8700268 -45.8692964,-67.86891343 -45.86940172,-67.8699839 -45.8693413,-67.8700376 -45.8699389,-67.8703916 -45.8701929,-67.8709173 -45.8699239,-67.8707349 -45.8692815,-67.8712177 -45.8686166,-67.8731596 -45.8681236,-67.8729107 -45.86822856,-67.8735942 -45.8680488,-67.8724301 -45.8682281,-67.8724086 -45.8686689,-67.8764427 -45.8695952,-67.87545792 -45.87007243,-67.8773439 -45.8681385,-67.878288 -45.8679816,-67.8767216 -45.8696102,-67.87529512 -45.86884053,-67.8773224 -45.8682132,-67.8784168 -45.867951700000006,-67.8792751 -45.866988,-67.87841593 -45.86693979,-67.8794253 -45.8652025,-67.8813779 -45.8643508,-67.8805947 -45.8648065,-67.8801227 -45.8652622,-67.8801119 -45.8658151,-67.8798544 -45.8661513,-67.87816911 -45.86559299,-67.8800154 -45.8627071,-67.880863 -45.8635887,-67.8814101 -45.8638502,-67.881496 -45.8643508,-67.8795862 -45.8651352,-67.87889297 -45.8626014,-67.8809917 -45.8619301,-67.8822792 -45.8616611,-67.8835666 -45.8617507,-67.8845859 -45.8612277,-67.8843284 -45.8612427,-67.88286864 -45.86153258,-67.8855836 -45.8605329,-67.8847253 -45.8611754,-67.8843284 -45.8612427,-67.88485253 -45.86038085,-67.8862917 -45.8600846,-67.8869355 -45.8600547,-67.8873861 -45.8596438,-67.8876221 -45.8588667,-67.8886843 -45.8579999,-67.8905296 -45.8572453,-67.8915596 -45.8569165,-67.8910661 -45.8570435,-67.89119881 -45.85678635,-67.8960952 -45.8598436,-67.8959692 -45.8585678,-67.8961945 -45.8583138,-67.8955936 -45.8581419,-67.8949177 -45.8572976,-67.8950787 -45.8562589,-67.894907 -45.8558629,-67.8937376 -45.8558928,-67.8932869 -45.8566101,-67.8928149 -45.8568492,-67.8926003 -45.8566998,-67.89506126 -45.86022417,-67.8961086 -45.8601668,-67.8949714 -45.8618927,-67.89369378 -45.862107,-67.8961945 -45.8632674,-67.8952932 -45.8629985,-67.8948426 -45.8620347,-67.8946526 -45.86372426,-67.8962696 -45.8632899,-67.8974175 -45.8625203,-67.8984583 -45.8622177,-67.89779792 -45.86312838,,-67.8975525 -45.86346654,-67.8993487 -45.8636634,-67.8988981 -45.8636933,-67.89861920000001 -45.8635215,-67.89867893 -45.86374335,-67.9039943 -45.8644255,-67.9028034 -45.8637381,-67.8999174 -45.8635812,-67.90314798 -45.8648888,-67.906419 -45.86626330000001,-67.9050887 -45.8652025,-67.9043591 -45.864814,-67.90565529 -45.8665856,-67.9108179 -45.86391,-67.9094768 -45.8638353,-67.9077816 -45.8657329,-67.9066443 -45.8662484,-67.90869072 -45.86438156,-67.9100454 -45.8663754,-67.9094982 -45.8663306,-67.909627 -45.86429100000001,-67.90947109 -45.86641003,-67.9100668 -45.8647318,-67.9098523 -45.8659197,-67.9103565 -45.8661513,-67.90917641 -45.86476613,-67.9122448 -45.8649709,-67.911129 -45.8644105,-67.9103887 -45.8645226,-67.91093971 -45.86527418,-67.9164934 -45.8652398,-67.9147875 -45.8642536,-67.9133606 -45.865322,-67.9120409 -45.8651352,-67.91575239 -45.86551598,-67.9187572 -45.8661064,-67.9176843 -45.8663679,-67.9172981 -45.8656657,-67.91774956 -45.8661538,-67.9224908 -45.8663306,-67.9191971 -45.8656582,-67.92069068 -45.86664171,-67.9258382 -45.86658460000001,-67.9220402 -45.8663903,-67.92478129 -45.86687146,-67.9266429 -45.8657927,-67.9259992 -45.8665696,-67.92617947 -45.86596757,,-67.92568273 -45.86555172,-67.9284239 -45.8655835,-67.9270077 -45.8655162,-67.92761571 -45.86576064,-67.92887450000002 -45.8655984,-67.929647 -45.8660093,-67.9311919 -45.8652622,-67.93025624 -45.86524613,-67.934196 -45.8650755,-67.9339492 -45.8648887,-67.9318678 -45.8652174,-67.93322311 -45.86539389,-67.9364544 -45.8650082,-67.9343033 -45.8651128,-67.93542287 -45.86514387,-67.9374468 -45.8637643,-67.93648120000002 -45.8648999,-67.93638614 -45.8639203,-67.9407513 -45.863103100000004,-67.9403973 -45.8622551,-67.93757020000001 -45.8636746,-67.94016816 -45.86304785,-67.9412395 -45.8636896,-67.94085860000001 -45.8628677,-67.94026881 -45.86394522,-67.9413575 -45.8643508,-67.94191 -45.8638801,-67.9413092 -45.8637717,-67.9397787 -45.86446671,-67.939437 -45.8659907,-67.9410034 -45.8642985,-67.93820898 -45.86621382,,-67.93822649 -45.86645361,-67.9383588 -45.8674437,-67.9380101 -45.8666929,-67.9392922 -45.8661064,-67.9400271 -45.8665472</t>
  </si>
  <si>
    <t>-67.9400271 -45.8665472,-67.9383588 -45.8674437,-67.9380584 -45.8682655,-67.9363847 -45.8693786,-67.9365671 -45.8696326,-67.93551008 -45.87004015,-67.936492 -45.8696625,-67.9362881 -45.8694234,-67.9350436 -45.8703273,-67.9347003 -45.8699986,-67.933282 -45.87018527,-67.9337347 -45.872531,-67.9350007 -45.8704245,-67.9346895 -45.8701032,-67.93292309 -45.87290945,-67.9305589 -45.8765722,-67.9309773 -45.8765423,-67.9323184 -45.875011,-67.9336917 -45.8726132,-67.92916705 -45.87686758,-67.9288745 -45.8790371,-67.9299796 -45.8786337,-67.9304302 -45.8776552,-67.9309022 -45.8766245,-67.9306126 -45.8766543,-67.92746283 -45.879252,-67.9288745 -45.8790371,-67.9299045 -45.8786188,-67.929765 -45.8784918,-67.9247224 -45.8798512,-67.9241753 -45.8796943,-67.92260289 -45.87981886,-67.9231775 -45.8798138,-67.9230273 -45.8801051,-67.9220295 -45.8802022,-67.9198301 -45.8807027,-67.9191542 -45.8814645,-67.9198301 -45.8813375,-67.91930941 -45.88137118,-67.9183173 -45.8833018,-67.9179525 -45.8832943,-67.9178452 -45.8829358,-67.9186606 -45.8819873,-67.9191113 -45.8815466,-67.9197979 -45.8813898,-67.91747464 -45.88372353,-67.9183924 -45.8832943,-67.9178345 -45.8833989,-67.9181349 -45.883832,-67.9182851 -45.8847656,-67.9179955 -45.8868492,-67.9182959 -45.887021,-67.918725 -45.8867895,-67.9189289 -45.8859232,-67.91833856 -45.88592331,-67.9201949 -45.8901426,-67.920785 -45.8896646,-67.9178774 -45.8882906,-67.9180706 -45.8870061,-67.9186499 -45.8868642,-67.918961 -45.8857962,-67.91840225 -45.89042054,-67.9200876 -45.8901874,-67.9206669 -45.8896646,-67.9178774 -45.8882906,-67.9172873 -45.8905981,-67.9169333 -45.8902621,-67.9169869 -45.889239,-67.9164076 -45.8886266,-67.91497939 -45.88844903;-67.91497939 -45.88844903,-67.9200876 -45.8901874,-67.9206669 -45.8896646,-67.9178774 -45.8882906,-67.9172873 -45.8905981,-67.9169333 -45.8902621,-67.9169869 -45.889239,-67.9164076 -45.8886266,-67.91840225 -45.89042054,-67.9217613 -45.8923082,-67.9222977 -45.8918228,-67.9222763 -45.8910238,-67.921139 -45.8899783,-67.9201734 -45.8900156,-67.92052611 -45.89317192;-67.92052611 -45.89317192,-67.9217613 -45.8923082,-67.9222977 -45.8918228,-67.9222763 -45.8910238,-67.921139 -45.8899783,-67.9201734 -45.8900156,-67.91840225 -45.89042054,-67.9201949 -45.8901426,-67.920785 -45.8896646,-67.9178774 -45.8882906,-67.9180706 -45.8870061,-67.9186499 -45.8868642,-67.918961 -45.8857962,-67.91833856 -45.88592331,-67.9183924 -45.8832943,-67.9178345 -45.8833989,-67.9181349 -45.883832,-67.9182851 -45.8847656,-67.9179955 -45.8868492,-67.9182959 -45.887021,-67.918725 -45.8867895,-67.9189289 -45.8859232,-67.91747464 -45.88372353,-67.9166651 -45.8823159,-67.9170835 -45.8822711,-67.9178345 -45.8833989,-67.9184783 -45.8832943,-67.91541483 -45.88231338,-67.911365 -45.8831076,-67.9142618 -45.8826968,-67.9159892 -45.8825026,-67.90970498 -45.88326091,-67.9076958 -45.8841084,-67.9082644 -45.8839366,-67.9093373 -45.8833167,-67.9103136 -45.8831972,-67.90591516 -45.88446218,,-67.90594775 -45.88423937,-67.9066443 -45.8844071,-67.9062474 -45.8852585,-67.908833 -45.885968,-67.9091012 -45.8864012,-67.90705336 -45.88840606,-67.9052818 -45.8875736,-67.90654780000001 -45.8882084,-67.9074919 -45.8882756,-67.90362098 -45.8874036,-67.9039729 -45.8871629,-67.9034686 -45.8869165,-67.9041123 -45.886192,-67.9042947 -45.8847656,-67.90316820000001 -45.883637900000004,-67.90293219 -45.8836944,-67.90316820000001 -45.883637900000004,-67.9026854 -45.8831823,-67.9021275 -45.8832794,-67.900722 -45.8842279,-67.9001105 -45.8851465,-67.8995955 -45.8843175,-67.89811074 -45.88424629,-67.896452 -45.8842129,-67.8972995 -45.8841607,-67.8987801 -45.8833839,-67.8993165 -45.8836304,-67.89478887 -45.88442779,-67.895658 -45.88465360000001,-67.8955078 -45.8872675,-67.89402720000001 -45.888186,-67.89313670000001 -45.8879097,-67.8935552 -45.8866999,-67.891624 -45.8850718,-67.88986813 -45.88509226,-67.8916669 -45.8851316,-67.891463 -45.8853332,-67.8890061 -45.8855946,-67.8886521 -45.8849672,-67.88725199 -45.88498287,-67.8877938 -45.885251,-67.8862166 -45.8849523,-67.88477851 -45.88530377,-67.8863347 -45.8849448,-67.8869569 -45.8849672,-67.8874826 -45.883847,-67.8903258 -45.883570600000006,-67.88934482 -45.88367092,-67.8808522 -45.8847432,-67.8831053 -45.8843548,-67.884897 -45.8834586,-67.8876114 -45.88378720000001,-67.8901434 -45.8835856,-67.87931365 -45.88515467,-67.8775477 -45.8859232,-67.87784810000001 -45.8854153,-67.8789425 -45.8862742,-67.879554 -45.8862667,-67.8829443 -45.8844743,-67.8806055 -45.8848253,-67.87597578 -45.88674947,,-67.87630061 -45.88642699,-67.8775907 -45.885744,-67.8778374 -45.8851241,-67.8766251 -45.8844594,-67.8767002 -45.8840561,-67.8758872 -45.88413516,-67.8738034 -45.8829806,-67.8739858 -45.8834512,-67.87655 -45.8844445,-67.8765929 -45.8840262,-67.87263059 -45.88283868,-67.8737283 -45.8829508,-67.8736854 -45.8833242,-67.8730094 -45.8829134,-67.8686643 -45.8830254,-67.86703039 -45.88312685,-67.8685462 -45.8831151,-67.8700483 -45.8829059,-67.8648233 -45.8818603,-67.8628063 -45.8810537,-67.8621304 -45.8814645,-67.86071597 -45.88116865,-67.8622806 -45.8814346,-67.8628922 -45.8810985,-67.8613365 -45.8799035,-67.8605962 -45.879896,-67.85926992 -45.88036306,-67.8633642 -45.8805981,-67.8613579 -45.8799707,-67.8608108 -45.8798811,-67.86269956 -45.88077691;-67.86269956 -45.88077691,-67.8633642 -45.8805981,-67.8613579 -45.8799707,-67.8608108 -45.8798811,-67.85926992 -45.88036306,-67.8622806 -45.8814346,-67.8628922 -45.8810985,-67.8613365 -45.8799035,-67.8605962 -45.879896,-67.86071597 -45.88116865,-67.8614116 -45.8855274,-67.862978 -45.884788,-67.8635466 -45.8831599,-67.8632355 -45.8817483,-67.86391140000002 -45.8815093,-67.8628063 -45.8810537,-67.8623772 -45.8814346,-67.85908094 -45.88593849,-67.8609717 -45.8856767,-67.862817 -45.8848403,-67.8617656 -45.8854826,-67.8616369 -45.886192,-67.8618944 -45.8867671,-67.86045923 -45.88724171,-67.8618944 -45.8867671,-67.8616261 -45.8862443,-67.8603601 -45.88681940000001,-67.8594589 -45.8868119,-67.8584075 -45.8873347,-67.856369 -45.8871629,-67.8557789 -45.8865655,-67.85399644 -45.88640005,-67.8548133 -45.885968,-67.8544056 -45.8857215,-67.8542554 -45.8852884,-67.85284989 -45.88522411,-67.8535903 -45.8848851,-67.8530109 -45.8845938,-67.8524315 -45.8844893,-67.85093028 -45.88433862,-67.8516591 -45.8844445,-67.8505969 -45.8845789,-67.84921346 -45.88477072,-67.8525496 -45.8855871,-67.8516698 -45.8851988,-67.8510153 -45.885027,-67.84983520000002 -45.8848851,-67.85159293 -45.88612644,-67.8525496 -45.8855871,-67.851584 -45.885251,-67.8524101 -45.8868119,-67.8533113 -45.8874616,-67.85259134 -45.88819644;-67.85259134 -45.88819644,-67.8525496 -45.8855871,-67.851584 -45.885251,-67.8524101 -45.8868119,-67.8533113 -45.8874616,-67.85159293 -45.88612644,-67.8525496 -45.8855871,-67.8516698 -45.8851988,-67.8510153 -45.885027,-67.84983520000002 -45.8848851,-67.84921346 -45.88477072,-67.84983520000002 -45.8848851,-67.8485048 -45.8854826,-67.849406 -45.8856842,-67.84894709 -45.88576073,-67.8493631 -45.8856319,-67.8480864 -45.8853183,-67.8494918 -45.8833541,-67.849642 -45.8827043,-67.8493738 -45.8815317,-67.8484726 -45.8806578,-67.8487837 -45.8803516,-67.8495455 -45.8807549,-67.8485758 -45.88086765,-67.8494382 -45.880628,-67.84873010000001 -45.8802396,-67.8461766 -45.8806653,-67.8457046 -45.880515900000006,-67.84518194 -45.88032275,-67.8455973 -45.8806504,-67.8449214 -45.8812852,-67.8420246 -45.8795972,-67.8425181 -45.87953,-67.84221298 -45.87973382,-67.842561 -45.8794628,-67.8420246 -45.8792462,-67.8431511 -45.8775283,-67.8462946 -45.877095,-67.8445137 -45.8768261,-67.84286672 -45.87711998,-67.8467989 -45.878081,-67.8463697 -45.8770502,-67.8443956 -45.8768859,-67.84627973 -45.87829114,-67.8467667 -45.8780212,-67.846477 -45.87698300000001,-67.8477967 -45.8764751,-67.84644226 -45.87649326,-67.847904 -45.8759074,-67.8480005 -45.8756161,-67.8463054 -45.8747421,-67.84474086 -45.87514762;-67.84474086 -45.87514762,-67.847904 -45.8759074,-67.8480005 -45.8756161,-67.8463054 -45.8747421,-67.84644226 -45.87649326,-67.847904 -45.8759074,-67.8490949 -45.8742491,-67.8510368 -45.8734349,-67.8488266 -45.8731585,-67.84711722 -45.87310355,-67.84873010000001 -45.87312860000001,-67.8543305 -45.8741595,-67.857635 -45.8744807,-67.857019 -45.87438052,-67.857635 -45.8744807,-67.8541696 -45.874152,-67.8588581 -45.8727103,-67.8593409 -45.8716048,-67.85882935 -45.87179542,-67.8593409 -45.8716048,-67.85971640000001 -45.8705365,-67.8614008 -45.870529,-67.861948 -45.8698268,-67.8630531 -45.8694832,-67.86235431 -45.86962035,-67.8639972 -45.8691171,-67.8657031 -45.8680713,-67.86498939 -45.86808329,-67.8668189 -45.8667639,-67.8664005 -45.866988,-67.8663254 -45.8676305,-67.86635342 -45.86702056,-67.8682029 -45.8666817,-67.8692436 -45.8661961,-67.8702307 -45.8647318,-67.8701663 -45.8642088,-67.86895092 -45.86422008,-67.8701234 -45.8635663,-67.8698123 -45.86132490000001,-67.8679776 -45.8603237,-67.8670549 -45.8588966,-67.8654027 -45.859457,-67.8654563 -45.8601518,-67.8656709 -45.8602639,-67.86513556 -45.86046435,-67.8688037 -45.8592029,-67.8687608 -45.8588144,-67.8664434 -45.858963800000005,-67.8654027 -45.859457,-67.8655529 -45.8602116,-67.86821501 -45.85959306,-67.87273050000002 -45.8603909,-67.8713894 -45.86060760000001,-67.8696728 -45.8603312,-67.8687501 -45.8600248,-67.868396 -45.859329900000006,-67.8688145 -45.8588667,-67.8688037 -45.8592029,-67.87238238 -45.86053745,-67.8762281 -45.861026,-67.8764856 -45.8608841,-67.8761208 -45.8599501,-67.8737497 -45.8604133,-67.87444477 -45.86135588,-67.8759491 -45.8590983,-67.8764319 -45.8599501,-67.87655 -45.8609588,-67.8760779 -45.8611231,-67.87446619 -45.85953534,-67.875917 -45.8590236,-67.8765607 -45.8587098,-67.8784597 -45.8588443,-67.87771797 -45.85914466,-67.8790283 -45.8588293,-67.880466 -45.8587397,-67.8813028 -45.8593598,-67.88077392 -45.85953999,-67.8814316 -45.8592926,-67.8808415 -45.8591357,-67.880863 -45.8587322,-67.8817642 -45.858239,-67.8850043 -45.8580522,-67.88402968 -45.85834964,-67.887429 -45.855564,-67.8882551 -45.8548691,-67.8894138 -45.853808,-67.8920853 -45.8535689,-67.8916454 -45.8538678,-67.8897357 -45.85395,-67.88910 -45.85436,-67.8875685 -45.8562589,-67.885799 -45.8571033,-67.88544 -45.8578281,-67.88523 -45.85794,-67.88581092 -45.85597227,-67.887429 -45.855564,-67.8894138 -45.853808,-67.8932333 -45.8533447,-67.8969455 -45.8545851,-67.8963768 -45.8546599,-67.89483427 -45.85484841,-67.9008508 -45.8548093,-67.8990161 -45.8545403,-67.898823 -45.8538678,-67.8965485 -45.8545553,-67.90022567 -45.85540767,,-67.90067511 -45.8549717,-67.904284 -45.8564084,-67.9033184 -45.8552726,-67.9019022 -45.8551232,-67.90400196 -45.85653031,-67.90773330000002 -45.8580522,-67.9073417 -45.8579177,-67.9068965 -45.8568567,-67.9053408 -45.8563822,-67.90707943 -45.8582017,-67.9079533 -45.8582615,-67.9074919 -45.8604283,-67.90669842 -45.86068564,,-67.90616229 -45.86044696,,-67.90690597 -45.86062114;-67.90690597 -45.86062114,,-67.90616229 -45.86044696,,-67.90669842 -45.86068564,-67.9079533 -45.8582615,-67.9074919 -45.8604283,-67.90707943 -45.8582017,-67.9102653 -45.8586986,-67.9081625 -45.8581195,-67.90964669 -45.85881191,-67.9112792 -45.8592776,-67.9102921 -45.8588293,-67.9105067 -45.8586425,-67.91058213 -45.85962973,-67.9145408 -45.8594047,-67.9124916 -45.858777,-67.9112792 -45.8592776,-67.91347499 -45.85938782,-67.9153347 -45.8605702,-67.9157317 -45.8599725,-67.9146159 -45.859457,-67.91412974 -45.86109479,-67.9219651 -45.8610335,-67.9157424 -45.8609887,-67.92116295 -45.86077528,-67.9235315 -45.8601219,-67.9222655 -45.8604731,-67.92204432 -45.86025045,-67.9253769 -45.8604208,-67.9236388 -45.8595317,-67.9233384 -45.8597857,-67.92472033 -45.86078317,-67.9288423 -45.860757,-67.9286063 -45.8609812,-67.9269433 -45.8608168,-67.9254305 -45.8610559,-67.9256237 -45.8606898,-67.92827234 -45.86082887,-67.9307091 -45.86097370000001,-67.9287457 -45.8609588,-67.9288423 -45.860757,-67.92973166 -45.86112334,-67.9343569 -45.8614145,-67.9335523 -45.861549,-67.9334021 -45.8611381,-67.9309666 -45.8609214,-67.93332777 -45.86169272,-67.9375219 -45.8620421,-67.9357517 -45.861085800000005,-67.9346144 -45.8614519,-67.93652197 -45.86222667,-67.9388309 -45.8607794,-67.938112 -45.8611007,-67.9377472 -45.860899,-67.9362881 -45.8614743,-67.9374897 -45.8619749,-67.93809539 -45.86091501,-67.9389811 -45.8623559,-67.9389596 -45.8618329,-67.9381979 -45.8610783,-67.9390669 -45.8607794,-67.93749455 -45.86270022,-67.9407942 -45.8630844,-67.9403758 -45.8621878,-67.9386914 -45.8624792,-67.94016816 -45.86304785,-67.9412395 -45.8636896,-67.94085860000001 -45.8628677,-67.94026881 -45.86394522,-67.9413575 -45.8643508,-67.94191 -45.8638801,-67.9413092 -45.8637717,-67.9397787 -45.86446671,-67.939437 -45.8659907,-67.9410034 -45.8642985,-67.93820898 -45.86621382,,-67.93822649 -45.86645361,-67.9383588 -45.8674437,-67.9380101 -45.8666929,-67.9392922 -45.8661064,-67.9400271 -45.8665472</t>
  </si>
  <si>
    <t>-67.9400271 -45.8665472,-67.9383588 -45.8674437,-67.9380584 -45.8682655,-67.9363847 -45.8693786,-67.9365671 -45.8696326,-67.93551008 -45.87004015,-67.936492 -45.8696625,-67.9362881 -45.8694234,-67.9350436 -45.8703273,-67.9347003 -45.8699986,-67.933282 -45.87018527,-67.9337347 -45.872531,-67.9350007 -45.8704245,-67.9346895 -45.8701032,-67.93292309 -45.87290945,-67.9305589 -45.8765722,-67.9309773 -45.8765423,-67.9323184 -45.875011,-67.9336917 -45.8726132,-67.92916705 -45.87686758,-67.9288745 -45.8790371,-67.9299796 -45.8786337,-67.9304302 -45.8776552,-67.9309022 -45.8766245,-67.9306126 -45.8766543,-67.92746283 -45.879252,-67.9288745 -45.8790371,-67.9299796 -45.8786337,-67.9308271 -45.8793582,-67.9310632 -45.8796271,-67.9308057 -45.8796645,-67.92926139 -45.87980166,-67.9308057 -45.8796645,-67.9309773 -45.8795823,-67.9308271 -45.8793582,-67.9319429 -45.8795524,-67.9332089 -45.8799333,-67.9339921 -45.8795524,-67.9349685 -45.8793358,-67.935698 -45.8793209,-67.93512028 -45.8793768,-67.9380155 -45.8812404,-67.938627 -45.880852,-67.9384768 -45.8805682,-67.9371035 -45.8800827,-67.9358482 -45.8797093,-67.9335737 -45.8797616,-67.934432 -45.8794255,-67.9350007 -45.8792835,-67.9357088 -45.8792686,-67.93588984 -45.88149225,-67.9369104 -45.8822487,-67.9367441 -45.8819686,-67.9385787 -45.881274,-67.938568 -45.8809641,-67.9379243 -45.8811844,-67.93623372 -45.88237227,-67.9369962 -45.8822636,-67.9367441 -45.8819686,-67.9343677 -45.8832719,-67.93288041 -45.88347512,,-67.93297197 -45.88384007,-67.9325545 -45.8880964,-67.9324257 -45.8875363,-67.933048 -45.8868642,-67.9335093 -45.8836304,-67.93195275 -45.88880085,,-67.93184093 -45.88869985,-67.929883 -45.8876782,-67.9306018 -45.8878724,-67.9317605 -45.8883727,-67.9326189 -45.888201,-67.92838162 -45.88770662,-67.9286492 -45.8892166,-67.9288638 -45.8878724,-67.9292393 -45.8876931,-67.92758265 -45.88993498,-67.929368 -45.8925994,-67.9296148 -45.8919423,-67.9287994 -45.8913897,-67.9285097 -45.8910014,-67.9286277 -45.8901127,-67.92819602 -45.89300211,-67.9235637 -45.895743,-67.9241538 -45.8953249,-67.9267287 -45.8949142,-67.9271579 -45.8944961,-67.9267287 -45.8942048,-67.9257309 -45.8936448,-67.9256558 -45.8930698,-67.9268682 -45.8923604,-67.9289711 -45.8934208,-67.9293036 -45.893361,-67.92261639 -45.89612501,-67.9236388 -45.8957654,-67.9239929 -45.8954518,-67.9248619 -45.8951606,-67.9265141 -45.8948918,-67.9267073 -45.8945707,-67.9261279 -45.89416,-67.9250765 -45.8933685,-67.92384314 -45.89325701,-67.925173 -45.8927786,-67.9257953 -45.8919049,-67.92510847 -45.89172158;-67.92510847 -45.89172158,-67.925173 -45.8927786,-67.9257953 -45.8919049,-67.92384314 -45.89325701,-67.9236388 -45.8957654,-67.9239929 -45.8954518,-67.9248619 -45.8951606,-67.9265141 -45.8948918,-67.9267073 -45.8945707,-67.9261279 -45.89416,-67.9250765 -45.8933685,-67.92261639 -45.89612501,-67.9235637 -45.895743,-67.9241538 -45.8953249,-67.9267287 -45.8949142,-67.9271579 -45.8944961,-67.9267287 -45.8942048,-67.9257309 -45.8936448,-67.9256558 -45.8930698,-67.9268682 -45.8923604,-67.9289711 -45.8934208,-67.9293036 -45.893361,-67.92819602 -45.89300211,-67.929368 -45.8925994,-67.9296148 -45.8919423,-67.9287994 -45.8913897,-67.9285097 -45.8910014,-67.9286277 -45.8901127,-67.92758265 -45.88993498,-67.9286492 -45.8892166,-67.9288638 -45.8878724,-67.9292393 -45.8876931,-67.92838162 -45.88770662;-67.92838162 -45.88770662,-67.9286492 -45.8892166,-67.9288638 -45.8878724,-67.9292393 -45.8876931,-67.92758265 -45.88993498,-67.929368 -45.8925994,-67.9296148 -45.8919423,-67.9287994 -45.8913897,-67.9285097 -45.8910014,-67.9286277 -45.8901127,-67.92819602 -45.89300211,-67.9235637 -45.895743,-67.9241538 -45.8953249,-67.9267287 -45.8949142,-67.9271579 -45.8944961,-67.9267287 -45.8942048,-67.9257309 -45.8936448,-67.9256558 -45.8930698,-67.9268682 -45.8923604,-67.9289711 -45.8934208,-67.9293036 -45.893361,-67.92261639 -45.89612501,-67.9221904 -45.8981548,-67.9232204 -45.8984983,-67.9230487 -45.8980652,-67.9224908 -45.89755,-67.9236388 -45.8964449,-67.92046749 -45.89809236,-67.9312027 -45.9008128,-67.9299688 -45.9015296,-67.9282737 -45.9003723,-67.9263103 -45.8994316,-67.9232204 -45.8984983,-67.9221046 -45.8981623,-67.93028301 -45.90068278,-67.9313636 -45.9007755,-67.9299688 -45.9015296,-67.9309559 -45.9024778,-67.931664 -45.9022687,-67.9323721 -45.9010144,-67.9335737 -45.900447,-67.9371786 -45.9012832,-67.9379082 -45.9021045,-67.9396677 -45.9026719,-67.941041 -45.9025674,-67.94048121 -45.90255833,-67.9506755 -45.9009696,-67.9479718 -45.9005665,-67.9449892 -45.9007008,-67.945075 -45.9032692,-67.9445601 -45.9035379,-67.9423714 -45.902642,-67.95037233 -45.90142031,-67.9519415 -45.9014251,-67.9524672 -45.9015595,-67.9527569 -45.9020821,-67.9535294 -45.9024554,-67.9558897 -45.9024703,-67.956233 -45.9022389,-67.9559326 -45.9014549,-67.9556215 -45.9012309,-67.95417314 -45.90131869,-67.9489374 -45.903299,-67.9498816 -45.9036126,-67.9506969 -45.9043144,-67.9538083 -45.903299,-67.9553103 -45.9025524,-67.9560614 -45.9025524,-67.955997 -45.9012981,-67.94716669 -45.90342424;-67.94716669 -45.90342424,-67.9489374 -45.903299,-67.9498816 -45.9036126,-67.9506969 -45.9043144,-67.9538083 -45.903299,-67.9553103 -45.9025524,-67.9560614 -45.9025524,-67.955997 -45.9012981,-67.95417314 -45.90131869;-67.95417314 -45.90131869,-67.9577565 -45.9038664,-67.9585826 -45.9036126,-67.9585826 -45.9031348,-67.9576492 -45.90253,-67.9561365 -45.9021343,-67.9558575 -45.9012832,-67.95594313 -45.90408308,-67.9685926 -45.9034484,-67.9653096 -45.9044488,-67.9600525 -45.9049564,-67.9584861 -45.9041651,-67.9576707 -45.9040606,-67.96793825 -45.90348141,-67.970438 -45.9058075,-67.9690218 -45.9036126,-67.96980563 -45.90670646;-67.96980563 -45.90670646,-67.970438 -45.9058075,-67.9690218 -45.9036126,-67.96793825 -45.90348141,-67.9693437 -45.9027914,-67.9659963 -45.8987297,-67.965138 -45.8986401,-67.96354703 -45.89869944,-67.9642367 -45.8983564,-67.9643333 -45.8976993,-67.9650199 -45.8970721,-67.9652989 -45.8964076,-67.9613721 -45.8972065,-67.95956637 -45.89743693,-67.9602778 -45.8973559,-67.959677 -45.8974604,-67.9590976 -45.897326,-67.9587114 -45.8968257,-67.95928 -45.896094,-67.9591405 -45.8953548,-67.95753705 -45.89518861,-67.958411 -45.8946678,-67.9585934 -45.8938464,-67.9590118 -45.8934581,-67.9594839 -45.8932714,-67.9597199 -45.892913,-67.9595053 -45.8926741,-67.95792371 -45.89252328;-67.95792371 -45.89252328,-67.958647 -45.8921289,-67.9580784 -45.8917854,-67.958411 -45.8907699,-67.9588509 -45.8902397,-67.9578209 -45.8896422,-67.95602222 -45.88970885,-67.9576063 -45.8896124,-67.9577136 -45.888888,-67.9572308 -45.8876483,-67.9565012 -45.8869986,-67.95495587 -45.8875866,-67.9563618 -45.8869613,-67.9570055 -45.8870583,-67.9568553 -45.8866028,-67.957381 -45.8868268,-67.95650174 -45.8868325,-67.957381 -45.8868268,-67.9566729 -45.8866327,-67.953701 -45.8868791,-67.9533148 -45.8869911,-67.9529393 -45.8866103,-67.95178221 -45.88666191,-67.951051 -45.8868418,-67.9516089 -45.886207,-67.952832 -45.8866028,-67.94972726 -45.88693813,-67.948755 -45.886894,-67.9494202 -45.887484,-67.9503751 -45.8875587,-67.9509008 -45.8873571,-67.9508793 -45.8868716,-67.94746568 -45.88694764,-67.9487872 -45.8868418,-67.9495382 -45.8874766,-67.9496884 -45.88726,-67.9485726 -45.886095,-67.9476714 -45.8855871,-67.94628753 -45.88560005,-67.9472744 -45.8852212,-67.9470921 -45.8844967,-67.9472423 -45.883959,-67.9472315 -45.8831823,-67.94607409 -45.88311995,-67.9472744 -45.8827118,-67.9475963 -45.8819051,-67.9476392 -45.8807475,-67.9472208 -45.8805159,-67.9459034 -45.88040255,-67.9468131 -45.8799931,-67.9464698 -45.8794927,-67.9443026 -45.8791491,-67.94258106 -45.87928487,-67.9433799 -45.8793582,-67.9425859 -45.8792462,-67.9414809 -45.8788951,-67.9399574 -45.8788802,-67.9395819 -45.8785889,-67.9398179 -45.8784246,-67.93938002 -45.87863178,-67.9364383 -45.8791566,-67.9368889 -45.8790371,-67.9370821 -45.878798,-67.939657 -45.8787906,-67.9398179 -45.8784246,-67.93512028 -45.8793768,-67.9308057 -45.8796645,-67.9309773 -45.8795823,-67.9308271 -45.8793582,-67.9319429 -45.8795524,-67.9332089 -45.8799333,-67.9339921 -45.8795524,-67.9349685 -45.8793358,-67.935698 -45.8793209,-67.92926139 -45.87980166,-67.9288745 -45.8790371,-67.9299796 -45.8786337,-67.9308271 -45.8793582,-67.9310632 -45.8796271,-67.9308057 -45.8796645,-67.92746283 -45.879252,-67.9288745 -45.8790371,-67.9299796 -45.8786337,-67.9304302 -45.8776552,-67.9309022 -45.8766245,-67.9306126 -45.8766543,-67.92916705 -45.87686758,-67.9305589 -45.8765722,-67.9309773 -45.8765423,-67.9323184 -45.875011,-67.9336917 -45.8726132,-67.93292309 -45.87290945,-67.9337347 -45.872531,-67.9350007 -45.8704245,-67.9346895 -45.8701032,-67.933282 -45.87018527,-67.936492 -45.8696625,-67.9362881 -45.8694234,-67.9350436 -45.8703273,-67.9347003 -45.8699986,-67.93551008 -45.87004015,-67.9383588 -45.8674437,-67.9380584 -45.8682655,-67.9363847 -45.8693786,-67.9365671 -45.8696326,-67.9400271 -45.8665472</t>
  </si>
  <si>
    <t>-67.9400271 -45.8665472,-67.9427254 -45.8635364,-67.9464859 -45.8623447,-67.9469097 -45.862016,-67.94569946 -45.86221924,-67.9469097 -45.8620944,-67.9481596 -45.8620048,-67.94727301 -45.86217176,-67.9483044 -45.861911400000004,-67.9473495 -45.8614183,-67.94655091 -45.86160389,-67.9479718 -45.8615453,-67.9493934 -45.8606973,-67.9489589 -45.8606599,-67.94780419 -45.86081977,-67.9549134 -45.858239,-67.9527032 -45.8590684,-67.9493666 -45.8607794,-67.9491198 -45.8606898,-67.9539623 -45.85805836,-67.9549778 -45.85820170000001,-67.9571986 -45.85672970000001,-67.9579175 -45.8564981,-67.9585719 -45.8567521,-67.95773843 -45.85672753,-67.9586148 -45.8568044,-67.9579926 -45.8564383,-67.9605138 -45.8553847,-67.9615545 -45.8546374,-67.963078 -45.8525451,-67.9633892 -45.8522836,-67.9675841 -45.8512224,-67.9699767 -45.8512598,-67.9700732 -45.8515064,-67.9697835 -45.8517381,-67.96836168 -45.85192469,-67.9697835 -45.8517381,-67.9700947 -45.8517082,-67.9702342 -45.8514018,-67.9710817 -45.8516335,-67.97135 -45.8516633,-67.97067338 -45.85178783,-67.9748797 -45.8534568,-67.9738176 -45.8522612,-67.9730666 -45.8517007,-67.9728305 -45.8516858,-67.9720902 -45.8515438,-67.97404757 -45.85313584,-67.9750836 -45.8543983,-67.9752016 -45.8534194,-67.97353981 -45.85482131,-67.9721439 -45.8564532,-67.9723585 -45.855833,-67.9728305 -45.8549363,-67.9739249 -45.8544805,-67.9741395 -45.8540023,-67.9740536 -45.853539,-67.9744184 -45.8538977,-67.9746437 -45.8541517,-67.9750943 -45.8540247,-67.9749548 -45.854488,-67.97079424 -45.85669528,-67.9761672 -45.8586351,-67.9759634 -45.858508,-67.9757595 -45.8578206,-67.9751909 -45.8575143,-67.9723477 -45.8568567,-67.9721653 -45.8565802,-67.97543611 -45.85876585,-67.9762101 -45.8587172,-67.9768431 -45.8590385,-67.9774976 -45.8593075,-67.9783773 -45.8600024,-67.9787743 -45.859569,-67.97805617 -45.85962835,-67.9787743 -45.859569,-67.9784095 -45.8600622,-67.9786134 -45.860249,-67.9797721 -45.8603909,-67.9814243 -45.8607346,-67.98085648 -45.8609192,-67.9840422 -45.8594345,-67.9846001 -45.8591805,-67.9853618 -45.8588742,-67.9842031 -45.8589414,-67.9834092 -45.8591431,-67.9824221 -45.8597185,-67.9820251 -45.8604432,-67.98252887 -45.85998837,-67.9863274 -45.8592029,-67.9874325 -45.8590161,-67.9853618 -45.8588742,-67.9839349 -45.859442,-67.98485316 -45.85947976,-67.9892135 -45.8580672,-67.9890418 -45.8588742,-67.9885483 -45.8590684,-67.9874325 -45.8590161,-67.9863274 -45.8592627,-67.98816032 -45.8579739,-67.9891598 -45.8574097,-67.989471 -45.8568044,-67.9900932 -45.8564383,-67.9923999 -45.8559003,-67.9930544 -45.8553697,-67.9934084 -45.8544955,-67.99257609 -45.85442377,-67.9942131 -45.8542489,-67.9949319 -45.8537856,-67.9959404 -45.8535315,-67.99541214 -45.85331974,-67.9973888 -45.8529038,-67.9979253 -45.8530757,-67.998054 -45.8531654,-67.998848 -45.8531654,-67.9993522 -45.853808,-67.99882481 -45.85386089;-67.99882481 -45.85386089,-67.9973888 -45.8529038,-67.9979253 -45.8530757,-67.998054 -45.8531654,-67.998848 -45.8531654,-67.9993522 -45.853808,-67.99541214 -45.85331974,-67.9942131 -45.8542489,-67.9949319 -45.8537856,-67.9959404 -45.8535315,-67.99257609 -45.85442377,-67.9891598 -45.8574097,-67.989471 -45.8568044,-67.9900932 -45.8564383,-67.9923999 -45.8559003,-67.9930544 -45.8553697,-67.9934084 -45.8544955,-67.98816032 -45.8579739,-67.9892135 -45.8580672,-67.9890418 -45.8588742,-67.9885483 -45.8590684,-67.9874325 -45.8590161,-67.9863274 -45.8592627,-67.98485316 -45.85947976,-67.9863274 -45.8592029,-67.9874325 -45.8590161,-67.9853618 -45.8588742,-67.9839349 -45.859442,-67.98252887 -45.85998837,-67.9840422 -45.8594345,-67.9846001 -45.8591805,-67.9853618 -45.8588742,-67.9842031 -45.8589414,-67.9834092 -45.8591431,-67.9824221 -45.8597185,-67.9820251 -45.8604432,-67.98085648 -45.8609192,-67.9814565 -45.8608243,-67.9794395 -45.8610634,-67.97806312 -45.86131529,-67.9787314 -45.8612128,-67.9781628 -45.8612053,-67.9774868 -45.8607794,-67.9767251 -45.8597259,-67.9755342 -45.8596288,-67.9744506 -45.8598903,-67.9743111 -45.8601967,-67.9733455 -45.8602788,-67.9734099 -45.8608317,-67.9735816 -45.8606898,-67.97275807 -45.86073448,-67.9727018 -45.8616387,-67.973367 -45.8612352,-67.9735816 -45.8606898,-67.97103212 -45.86191282;-67.97103212 -45.86191282,-67.9727018 -45.8616387,-67.973367 -45.8612352,-67.9735816 -45.8606898,-67.97275807 -45.86073448,-67.9787314 -45.8612128,-67.9781628 -45.8612053,-67.9774868 -45.8607794,-67.9767251 -45.8597259,-67.9755342 -45.8596288,-67.9744506 -45.8598903,-67.9743111 -45.8601967,-67.9733455 -45.8602788,-67.9734099 -45.8608317,-67.9735816 -45.8606898,-67.97806312 -45.86131529,-67.9814565 -45.8608243,-67.9794395 -45.8610634,-67.98085648 -45.8609192,-67.9787743 -45.859569,-67.9784095 -45.8600622,-67.9786134 -45.860249,-67.9797721 -45.8603909,-67.9814243 -45.8607346,-67.97805617 -45.85962835,-67.9789138 -45.8594345,-67.9789031 -45.8591207,-67.978034 -45.8588891,-67.9774547 -45.8577534,-67.9779911 -45.8567596,-67.97716227 -45.85688391,-67.9788172 -45.8572079,-67.9786134 -45.8566849,-67.9783559 -45.8564084,-67.9780984 -45.8565653,-67.97750972 -45.857618;-67.97750972 -45.857618,-67.9788172 -45.8572079,-67.9786134 -45.8566849,-67.9783559 -45.8564084,-67.9780984 -45.8565653,-67.97716227 -45.85688391,-67.9789138 -45.8594345,-67.9789031 -45.8591207,-67.978034 -45.8588891,-67.9774547 -45.8577534,-67.9779911 -45.8567596,-67.97805617 -45.85962835,-67.9762101 -45.8587172,-67.9768431 -45.8590385,-67.9774976 -45.8593075,-67.9783773 -45.8600024,-67.9787743 -45.859569,-67.97543611 -45.85876585,-67.9761672 -45.8586351,-67.9759634 -45.858508,-67.9757595 -45.8578206,-67.9751909 -45.8575143,-67.9723477 -45.8568567,-67.9721653 -45.8565802,-67.97079424 -45.85669528,-67.9721439 -45.8564532,-67.9723585 -45.855833,-67.9728305 -45.8549363,-67.9739249 -45.8544805,-67.9741395 -45.8540023,-67.9740536 -45.853539,-67.9744184 -45.8538977,-67.9746437 -45.8541517,-67.9750943 -45.8540247,-67.9749548 -45.854488,-67.97353981 -45.85482131,-67.9750836 -45.8543983,-67.9752016 -45.8534194,-67.97404757 -45.85313584,-67.9748797 -45.8534568,-67.9738176 -45.8522612,-67.9730666 -45.8517007,-67.9728305 -45.8516858,-67.9720902 -45.8515438,-67.97067338 -45.85178783,-67.9697835 -45.8517381,-67.9700947 -45.8517082,-67.9702342 -45.8514018,-67.9710817 -45.8516335,-67.97135 -45.8516633,-67.96836168 -45.85192469,-67.9657495 -45.8527319,-67.9690433 -45.8515438,-67.96454201 -45.85308005,,-67.96402882 -45.85314926,-67.9651701 -45.8532326,-67.9648376 -45.8537034,-67.961694 -45.85531,-67.9612434 -45.8559825,-67.96127805 -45.85636175,,-67.96103638 -45.85651367,-67.9626489 -45.8575591,-67.9621768 -45.8566998,-67.96207279 -45.85789473,-67.9669297 -45.8569464,-67.9656959 -45.8570435,-67.9637325 -45.8577459,NA;NA,-67.9669297 -45.8569464,-67.9656959 -45.8570435,-67.9637325 -45.8577459,-67.96207279 -45.85789473,-67.9637325 -45.8577459,-67.9642367 -45.8578505,-67.9642689 -45.8583885,-67.963078 -45.8585603,-67.9614151 -45.8585603,-67.95977833 -45.85857686,-67.9602885 -45.8583661,-67.9596019 -45.8583063,-67.9588509 -45.8580298,-67.95694256 -45.85847796;-67.95694256 -45.85847796,-67.9602885 -45.8583661,-67.9596019 -45.8583063,-67.9588509 -45.8580298,-67.95977833 -45.85857686,-67.9637325 -45.8577459,-67.9642367 -45.8578505,-67.9642689 -45.8583885,-67.963078 -45.8585603,-67.9614151 -45.8585603,-67.96207279 -45.85789473,-67.9626489 -45.8575591,-67.9621768 -45.8566998,-67.96103638 -45.85651367,,-67.96127805 -45.85636175;-67.96127805 -45.85636175,,-67.96103638 -45.85651367,-67.9626489 -45.8575591,-67.9621768 -45.8566998,-67.96207279 -45.85789473,-67.9637325 -45.8577459,-67.9643655 -45.8579476,-67.9642689 -45.8583885,-67.9623485 -45.8582017,-67.9617047 -45.8578879,-67.960825 -45.8571257,-67.9587221 -45.8568418,-67.95773843 -45.85672753,-67.9549778 -45.85820170000001,-67.9571986 -45.85672970000001,-67.9579175 -45.8564981,-67.9585719 -45.8567521,-67.9539623 -45.85805836,-67.9549134 -45.858239,-67.9527032 -45.8590684,-67.9493666 -45.8607794,-67.9491198 -45.8606898,-67.94780419 -45.86081977,-67.9479718 -45.8615453,-67.9493934 -45.8606973,-67.9489589 -45.8606599,-67.94655091 -45.86160389,-67.9483044 -45.861911400000004,-67.9473495 -45.8614183,-67.94727301 -45.86217176,-67.9469097 -45.8620944,-67.9481596 -45.8620048,-67.94569946 -45.86221924,-67.9427254 -45.8635364,-67.9464859 -45.8623447,-67.9469097 -45.862016,-67.9400271 -45.8665472</t>
  </si>
  <si>
    <t>-67.9400271 -45.8665472,-67.9383588 -45.8674437,-67.9380101 -45.8666929,-67.9392922 -45.8661064,-67.93822649 -45.86645361,,-67.93820898 -45.86621382,-67.939437 -45.8659907,-67.9410034 -45.8642985,-67.9397787 -45.86446671,-67.9413575 -45.8643508,-67.94191 -45.8638801,-67.9413092 -45.8637717,-67.94026881 -45.86394522,-67.9412395 -45.8636896,-67.94085860000001 -45.8628677,-67.94016816 -45.86304785,-67.9407513 -45.863103100000004,-67.9403973 -45.8622551,-67.93757020000001 -45.8636746,-67.93638614 -45.8639203,-67.9374468 -45.8637643,-67.93648120000002 -45.8648999,-67.93542287 -45.86514387,-67.9364544 -45.8650082,-67.9343033 -45.8651128,-67.93322311 -45.86539389,-67.934196 -45.8650755,-67.9339492 -45.8648887,-67.9318678 -45.8652174,-67.93025624 -45.86524613,-67.92887450000002 -45.8655984,-67.929647 -45.8660093,-67.9311919 -45.8652622,-67.92761571 -45.86576064,-67.9284239 -45.8655835,-67.9270077 -45.8655162,-67.92568273 -45.86555172,,-67.92617947 -45.86596757,-67.9266429 -45.8657927,-67.9259992 -45.8665696,-67.92478129 -45.86687146,-67.9258382 -45.86658460000001,-67.9220402 -45.8663903,-67.92069068 -45.86664171,-67.9224908 -45.8663306,-67.9191971 -45.8656582,-67.91774956 -45.8661538,-67.9187572 -45.8661064,-67.9176843 -45.8663679,-67.9172981 -45.8656657,-67.91575239 -45.86551598,-67.9164934 -45.8652398,-67.9147875 -45.8642536,-67.9133606 -45.865322,-67.9120409 -45.8651352,-67.91093971 -45.86527418,-67.9122448 -45.8649709,-67.911129 -45.8644105,-67.9103887 -45.8645226,-67.90917641 -45.86476613,-67.9100668 -45.8647318,-67.9098523 -45.8659197,-67.9103565 -45.8661513,-67.90947109 -45.86641003,-67.9100454 -45.8663754,-67.9094982 -45.8663306,-67.909627 -45.86429100000001,-67.90869072 -45.86438156,-67.9108179 -45.86391,-67.9094768 -45.8638353,-67.9077816 -45.8657329,-67.9066443 -45.8662484,-67.90565529 -45.8665856,-67.906419 -45.86626330000001,-67.9050887 -45.8652025,-67.9043591 -45.864814,-67.90314798 -45.8648888,-67.9039943 -45.8644255,-67.9028034 -45.8637381,-67.8999174 -45.8635812,-67.89867893 -45.86374335,-67.8993487 -45.8636634,-67.8988981 -45.8636933,-67.89861920000001 -45.8635215,-67.8975525 -45.86346654,,-67.89779792 -45.86312838,-67.8962696 -45.8632899,-67.8974175 -45.8625203,-67.8984583 -45.8622177,-67.8946526 -45.86372426,-67.8961945 -45.8632674,-67.8952932 -45.8629985,-67.8948426 -45.8620347,-67.89369378 -45.862107,-67.8961086 -45.8601668,-67.8949714 -45.8618927,-67.89506126 -45.86022417,-67.8960952 -45.8598436,-67.8959692 -45.8585678,-67.8961945 -45.8583138,-67.8955936 -45.8581419,-67.8949177 -45.8572976,-67.8950787 -45.8562589,-67.894907 -45.8558629,-67.8937376 -45.8558928,-67.8932869 -45.8566101,-67.8928149 -45.8568492,-67.8926003 -45.8566998,-67.89119881 -45.85678635,-67.8915596 -45.8569165,-67.8910661 -45.8570435,-67.8905296 -45.8572453,-67.8862917 -45.8600846,-67.8869355 -45.8600547,-67.8873861 -45.8596438,-67.8876221 -45.8588667,-67.8886843 -45.8579999,-67.88485253 -45.86038085,-67.8855836 -45.8605329,-67.8847253 -45.8611754,-67.8843284 -45.8612427,-67.88286864 -45.86153258,-67.8809917 -45.8619301,-67.8822792 -45.8616611,-67.8835666 -45.8617507,-67.8845859 -45.8612277,-67.8843284 -45.8612427,-67.87889297 -45.8626014,-67.8800154 -45.8627071,-67.880863 -45.8635887,-67.8814101 -45.8638502,-67.881496 -45.8643508,-67.8795862 -45.8651352,-67.87816911 -45.86559299,-67.8794253 -45.8652025,-67.8813779 -45.8643508,-67.8805947 -45.8648065,-67.8801227 -45.8652622,-67.8801119 -45.8658151,-67.8798544 -45.8661513,-67.87841593 -45.86693979,-67.881968 -45.8668087,-67.881099 -45.866046700000005,-67.879715 -45.8662036,-67.88072073 -45.86731686,-67.8823006 -45.8672345,-67.8820753 -45.8679144,-67.8836095 -45.867608100000005,-67.8840494 -45.8677052,-67.88291817 -45.86822032;-67.88291817 -45.86822032,-67.8823006 -45.8672345,-67.8820753 -45.8679144,-67.8836095 -45.867608100000005,-67.8840494 -45.8677052,-67.88072073 -45.86731686,-67.881968 -45.8668087,-67.881099 -45.866046700000005,-67.879715 -45.8662036,-67.87841593 -45.86693979,-67.8773224 -45.8682132,-67.8784168 -45.867951700000006,-67.8792751 -45.866988,-67.87529512 -45.86884053,-67.8755951 -45.8690125,-67.8751016 -45.8692815,-67.8764427 -45.8695952,-67.87545792 -45.87007243,-67.8735942 -45.8680488,-67.8724301 -45.8682281,-67.8724086 -45.8686689,-67.8764427 -45.8695952,-67.8729107 -45.86822856,-67.8699839 -45.8693413,-67.8700376 -45.8699389,-67.8703916 -45.8701929,-67.8709173 -45.8699239,-67.8707349 -45.8692815,-67.8712177 -45.8686166,-67.8731596 -45.8681236,-67.86891343 -45.86940172,-67.8665292 -45.8704394,-67.8664756 -45.8701107,-67.8674197 -45.8697073,-67.8698659 -45.8700883,-67.8700376 -45.8699389,-67.8700268 -45.8692964,-67.86552841 -45.87071955,-67.8665292 -45.8705589,-67.866143 -45.8710594,-67.8657889 -45.8704767,-67.8668725 -45.8688706,-67.86653014 -45.86909111,-67.8668725 -45.8688706,-67.8667974 -45.868646500000004,-67.8676665 -45.8677127,-67.867012 -45.86727940000001,-67.86635342 -45.86702056,-67.8668189 -45.8667639,-67.8664005 -45.866988,-67.8663254 -45.8676305,-67.86498939 -45.86808329,-67.8639972 -45.8691171,-67.8657031 -45.8680713,-67.86235431 -45.86962035,-67.8593409 -45.8716048,-67.85971640000001 -45.8705365,-67.8614008 -45.870529,-67.861948 -45.8698268,-67.8630531 -45.8694832,-67.85882935 -45.87179542,-67.857635 -45.8744807,-67.8541696 -45.874152,-67.8588581 -45.8727103,-67.8593409 -45.8716048,-67.857019 -45.87438052,-67.84873010000001 -45.87312860000001,-67.8543305 -45.8741595,-67.857635 -45.8744807,-67.84711722 -45.87310355,-67.8489339 -45.8731324,-67.8501302 -45.8733565,-67.8485316 -45.8736739,-67.8459191 -45.8729942,-67.84549 -45.8723406,-67.8449106 -45.8726842,-67.84336962 -45.87289033,-67.8464448 -45.8713396,-67.8465736 -45.871657000000006,-67.84484620000002 -45.8726692,-67.84458226 -45.87132178,-67.8433174 -45.8702414,-67.8424054 -45.8705701,-67.8442401 -45.8712014,-67.8457582 -45.8705029,-67.8468794 -45.8714778,-67.8465736 -45.871657000000006,-67.8464073 -45.8713396,-67.84266503 -45.8702826,-67.8432369 -45.868004,-67.8457797 -45.8688706,-67.8430974 -45.8688034,-67.84118770000002 -45.8704842,-67.843312 -45.8702825,-67.84141979 -45.86801361,-67.8478396 -45.8688557,-67.8458226 -45.8688034,-67.8432369 -45.868004,-67.84740418 -45.86920331;-67.84740418 -45.86920331,-67.8478396 -45.8688557,-67.8458226 -45.8688034,-67.8432369 -45.868004,-67.84141979 -45.86801361,-67.8432369 -45.868004,-67.8457797 -45.8688706,-67.8430974 -45.8688034,-67.84118770000002 -45.8704842,-67.843312 -45.8702825,-67.84266503 -45.8702826,-67.8433174 -45.8702414,-67.8424054 -45.8705701,-67.8442401 -45.8712014,-67.8457582 -45.8705029,-67.8468794 -45.8714778,-67.8465736 -45.871657000000006,-67.8464073 -45.8713396,-67.84458226 -45.87132178,-67.8464448 -45.8713396,-67.8465736 -45.871657000000006,-67.84484620000002 -45.8726692,-67.84336962 -45.87289033,-67.8489339 -45.8731324,-67.8501302 -45.8733565,-67.8485316 -45.8736739,-67.8459191 -45.8729942,-67.84549 -45.8723406,-67.8449106 -45.8726842,-67.84711722 -45.87310355,-67.847904 -45.8759074,-67.8490949 -45.8742491,-67.8510368 -45.8734349,-67.8488266 -45.8731585,-67.84644226 -45.87649326,-67.8503072 -45.877095,-67.8495133 -45.8766394,-67.8481615 -45.87637800000001,-67.84953817 -45.87734102,-67.8534776 -45.8786225,-67.852689 -45.8781818,-67.8508437 -45.8775395,-67.85276267 -45.87922955,-67.8564656 -45.8801798,-67.855736 -45.8808595,-67.8561974 -45.8788727,-67.8546631 -45.8788802,-67.855851 -45.88011934,-67.8574526 -45.8818977,-67.8570664 -45.8807624,-67.8556824 -45.8812367,-67.8564656 -45.8801798,-67.85651325 -45.88220843,-67.8573883 -45.8816587,-67.8575063 -45.8811433,-67.8592443 -45.8804114,-67.8593087 -45.8795599,-67.8584397 -45.8786113,-67.8589547 -45.8770502,-67.8599954 -45.87787190000001,-67.859516 -45.87831444,-67.8608537 -45.8799333,-67.8613579 -45.8799707,-67.8611863 -45.8784545,-67.86092880000001 -45.8783424,-67.85926992 -45.88036306,-67.8622806 -45.8814346,-67.8628922 -45.8810985,-67.8613365 -45.8799035,-67.8605962 -45.879896,-67.86071597 -45.88116865,-67.8685462 -45.8831151,-67.8700483 -45.8829059,-67.8648233 -45.8818603,-67.8628063 -45.8810537,-67.8621304 -45.8814645,-67.86703039 -45.88312685,-67.8737283 -45.8829508,-67.8736854 -45.8833242,-67.8730094 -45.8829134,-67.8686643 -45.8830254,-67.87263059 -45.88283868,-67.8738034 -45.8829806,-67.8739858 -45.8834512,-67.87655 -45.8844445,-67.8765929 -45.8840262,-67.8758872 -45.88413516,-67.8775907 -45.885744,-67.8778374 -45.8851241,-67.8766251 -45.8844594,-67.8767002 -45.8840561,-67.87630061 -45.88642699,,-67.87597578 -45.88674947,-67.8775477 -45.8859232,-67.87784810000001 -45.8854153,-67.8789425 -45.8862742,-67.879554 -45.8862667,-67.8829443 -45.8844743,-67.8806055 -45.8848253,-67.87931365 -45.88515467,-67.8808522 -45.8847432,-67.8831053 -45.8843548,-67.884897 -45.8834586,-67.8876114 -45.88378720000001,-67.8901434 -45.8835856,-67.88934482 -45.88367092,-67.8863347 -45.8849448,-67.8869569 -45.8849672,-67.8874826 -45.883847,-67.8903258 -45.883570600000006,-67.88477851 -45.88530377,-67.8877938 -45.885251,-67.8862166 -45.8849523,-67.88725199 -45.88498287,-67.8916669 -45.8851316,-67.891463 -45.8853332,-67.8890061 -45.8855946,-67.8886521 -45.8849672,-67.88986813 -45.88509226,-67.895658 -45.88465360000001,-67.8955078 -45.8872675,-67.89402720000001 -45.888186,-67.89313670000001 -45.8879097,-67.8935552 -45.8866999,-67.891624 -45.8850718,-67.89478887 -45.88442779,-67.896452 -45.8842129,-67.8972995 -45.8841607,-67.8987801 -45.8833839,-67.8993165 -45.8836304,-67.89811074 -45.88424629,-67.90316820000001 -45.883637900000004,-67.9026854 -45.8831823,-67.9021275 -45.8832794,-67.900722 -45.8842279,-67.9001105 -45.8851465,-67.8995955 -45.8843175,-67.90293219 -45.8836944,-67.9039729 -45.8871629,-67.9034686 -45.8869165,-67.9041123 -45.886192,-67.9042947 -45.8847656,-67.90316820000001 -45.883637900000004,-67.90362098 -45.8874036,-67.9052818 -45.8875736,-67.90654780000001 -45.8882084,-67.9074919 -45.8882756,-67.90705336 -45.88840606,-67.9066443 -45.8844071,-67.9062474 -45.8852585,-67.908833 -45.885968,-67.9091012 -45.8864012,-67.90594775 -45.88423937,,-67.90591516 -45.88446218,-67.9076958 -45.8841084,-67.9082644 -45.8839366,-67.9093373 -45.8833167,-67.9103136 -45.8831972,-67.90970498 -45.88326091,-67.911365 -45.8831076,-67.9142618 -45.8826968,-67.9159892 -45.8825026,-67.91541483 -45.88231338,-67.9166651 -45.8823159,-67.9170835 -45.8822711,-67.9178345 -45.8833989,-67.9184783 -45.8832943,-67.91747464 -45.88372353,-67.9183173 -45.8833018,-67.9179525 -45.8832943,-67.9178452 -45.8829358,-67.9186606 -45.8819873,-67.9191113 -45.8815466,-67.9197979 -45.8813898,-67.91930941 -45.88137118,-67.9231775 -45.8798138,-67.9230273 -45.8801051,-67.9220295 -45.8802022,-67.9198301 -45.8807027,-67.9191542 -45.8814645,-67.9198301 -45.8813375,-67.92260289 -45.87981886,-67.9288745 -45.8790371,-67.9299045 -45.8786188,-67.929765 -45.8784918,-67.9247224 -45.8798512,-67.9241753 -45.8796943,-67.92746283 -45.879252,-67.9288745 -45.8790371,-67.9299796 -45.8786337,-67.9308271 -45.8793582,-67.9310632 -45.8796271,-67.9308057 -45.8796645,-67.92926139 -45.87980166,-67.9308057 -45.8796645,-67.9309773 -45.8795823,-67.9308271 -45.8793582,-67.9319429 -45.8795524,-67.9332089 -45.8799333,-67.9339921 -45.8795524,-67.9349685 -45.8793358,-67.935698 -45.8793209,-67.93512028 -45.8793768,-67.9364383 -45.8791566,-67.9368889 -45.8790371,-67.9370821 -45.878798,-67.939657 -45.8787906,-67.9398179 -45.8784246,-67.93938002 -45.87863178,-67.9433799 -45.8793582,-67.9425859 -45.8792462,-67.9414809 -45.8788951,-67.9399574 -45.8788802,-67.9395819 -45.8785889,-67.9398179 -45.8784246,-67.94258106 -45.87928487,-67.9468131 -45.8799931,-67.9464698 -45.8794927,-67.9443026 -45.8791491,-67.9459034 -45.88040255,-67.9472744 -45.8827118,-67.9475963 -45.8819051,-67.9476392 -45.8807475,-67.9472208 -45.8805159,-67.94607409 -45.88311995,-67.9472744 -45.8852212,-67.9470921 -45.8844967,-67.9472423 -45.883959,-67.9472315 -45.8831823,-67.94628753 -45.88560005,-67.9487872 -45.8868418,-67.9495382 -45.8874766,-67.9496884 -45.88726,-67.9485726 -45.886095,-67.9476714 -45.8855871,-67.94746568 -45.88694764,-67.948755 -45.886894,-67.9494202 -45.887484,-67.9503751 -45.8875587,-67.9509008 -45.8873571,-67.9508793 -45.8868716,-67.94972726 -45.88693813,-67.951051 -45.8868418,-67.9516089 -45.886207,-67.952832 -45.8866028,-67.95178221 -45.88666191,-67.957381 -45.8868268,-67.9566729 -45.8866327,-67.953701 -45.8868791,-67.9533148 -45.8869911,-67.9529393 -45.8866103,-67.95650174 -45.8868325,-67.9573059 -45.8868268,-67.956748 -45.8864908,-67.9563725 -45.8857215,-67.9556644 -45.8849971,-67.9546167 -45.88506443,-67.960428 -45.8852436,-67.9597843 -45.8853855,-67.9578102 -45.8852959,-67.9558897 -45.8849448,-67.95958113 -45.88533853,-67.9643977 -45.8867746,-67.9641402 -45.8867895,-67.9629064 -45.8855274,-67.9625845 -45.8842055,-67.9620588 -45.8840412,-67.9608893 -45.8848926,-67.96291589 -45.88644251,-67.9642582 -45.8866849,-67.9660714 -45.8869613,-67.9663503 -45.8865505,-67.9662859 -45.88549,-67.9665112 -45.8837798,-67.9671657 -45.8837275,-67.9670477 -45.8843548,-67.96615149 -45.88487087,-67.9689896 -45.8855572,-67.9684317 -45.8850942,-67.9680133 -45.8843399,-67.9672301 -45.8837872,-67.9670477 -45.8843548,-67.96828667 -45.88589528,-67.9702342 -45.8858709,-67.9697192 -45.8860352,-67.9691613 -45.8857589,-67.96952973 -45.8860392,-67.9752874 -45.8886341,-67.9738069 -45.8884922,-67.9698479 -45.8860651,-67.9702234 -45.8859307,-67.97417558 -45.88870119,-67.9752123 -45.8886192,-67.9738176 -45.8885743,-67.972852 -45.8880068,-67.9716182 -45.8889776,-67.9710495 -45.8890672,-67.96941864 -45.88923867;-67.96941864 -45.88923867,-67.9752123 -45.8886192,-67.9738176 -45.8885743,-67.972852 -45.8880068,-67.9716182 -45.8889776,-67.9710495 -45.8890672,-67.97417558 -45.88870119,-67.9752874 -45.8886341,-67.9738069 -45.8884922,-67.9698479 -45.8860651,-67.9702234 -45.8859307,-67.96952973 -45.8860392,-67.9702342 -45.8858709,-67.9697192 -45.8860352,-67.9691613 -45.8857589,-67.96828667 -45.88589528,-67.9689896 -45.8855572,-67.9684317 -45.8850942,-67.9680133 -45.8843399,-67.9672301 -45.8837872,-67.9670477 -45.8843548,-67.96615149 -45.88487087,-67.9642582 -45.8866849,-67.9660714 -45.8869613,-67.9663503 -45.8865505,-67.9662859 -45.88549,-67.9665112 -45.8837798,-67.9671657 -45.8837275,-67.9670477 -45.8843548,-67.96291589 -45.88644251,-67.9643977 -45.8867746,-67.9641402 -45.8867895,-67.9629064 -45.8855274,-67.9625845 -45.8842055,-67.9620588 -45.8840412,-67.9608893 -45.8848926,-67.95958113 -45.88533853,-67.960428 -45.8852436,-67.9597843 -45.8853855,-67.9578102 -45.8852959,-67.9558897 -45.8849448,-67.9546167 -45.88506443,-67.9573059 -45.8868268,-67.956748 -45.8864908,-67.9563725 -45.8857215,-67.9556644 -45.8849971,-67.95650174 -45.8868325,-67.957381 -45.8868268,-67.9566729 -45.8866327,-67.953701 -45.8868791,-67.9533148 -45.8869911,-67.9529393 -45.8866103,-67.95178221 -45.88666191,-67.951051 -45.8868418,-67.9516089 -45.886207,-67.952832 -45.8866028,-67.94972726 -45.88693813,-67.948755 -45.886894,-67.9494202 -45.887484,-67.9503751 -45.8875587,-67.9509008 -45.8873571,-67.9508793 -45.8868716,-67.94746568 -45.88694764,-67.9487872 -45.8868418,-67.9495382 -45.8874766,-67.9496884 -45.88726,-67.9485726 -45.886095,-67.9476714 -45.8855871,-67.94628753 -45.88560005,-67.9472744 -45.8852212,-67.9470921 -45.8844967,-67.9472423 -45.883959,-67.9472315 -45.8831823,-67.94607409 -45.88311995,-67.9472744 -45.8827118,-67.9475963 -45.8819051,-67.9476392 -45.8807475,-67.9472208 -45.8805159,-67.9459034 -45.88040255,-67.9468131 -45.8799931,-67.9464698 -45.8794927,-67.9443026 -45.8791491,-67.94258106 -45.87928487,-67.9433799 -45.8793582,-67.9425859 -45.8792462,-67.9414809 -45.8788951,-67.9399574 -45.8788802,-67.9395819 -45.8785889,-67.9398179 -45.8784246,-67.93938002 -45.87863178,-67.9364383 -45.8791566,-67.9368889 -45.8790371,-67.9370821 -45.878798,-67.939657 -45.8787906,-67.9398179 -45.8784246,-67.93512028 -45.8793768,-67.9308057 -45.8796645,-67.9309773 -45.8795823,-67.9308271 -45.8793582,-67.9319429 -45.8795524,-67.9332089 -45.8799333,-67.9339921 -45.8795524,-67.9349685 -45.8793358,-67.935698 -45.8793209,-67.92926139 -45.87980166,-67.9288745 -45.8790371,-67.9299796 -45.8786337,-67.9308271 -45.8793582,-67.9310632 -45.8796271,-67.9308057 -45.8796645,-67.92746283 -45.879252,-67.9288745 -45.8790371,-67.9299796 -45.8786337,-67.9304302 -45.8776552,-67.9309022 -45.8766245,-67.9306126 -45.8766543,-67.92916705 -45.87686758,-67.9305589 -45.8765722,-67.9309773 -45.8765423,-67.9323184 -45.875011,-67.9336917 -45.8726132,-67.93292309 -45.87290945,-67.9337347 -45.872531,-67.9350007 -45.8704245,-67.9346895 -45.8701032,-67.933282 -45.87018527,-67.936492 -45.8696625,-67.9362881 -45.8694234,-67.9350436 -45.8703273,-67.9347003 -45.8699986,-67.93551008 -45.87004015,-67.9383588 -45.8674437,-67.9380584 -45.8682655,-67.9363847 -45.8693786,-67.9365671 -45.8696326,-67.9400271 -45.8665472</t>
  </si>
  <si>
    <t>-67.9400271 -45.8665472,-67.9383588 -45.8674437,-67.9380584 -45.8682655,-67.9363847 -45.8693786,-67.9365671 -45.8696326,-67.93551008 -45.87004015,-67.936492 -45.8696625,-67.9362881 -45.8694234,-67.9350436 -45.8703273,-67.9347003 -45.8699986,-67.933282 -45.87018527,-67.9337347 -45.872531,-67.9350007 -45.8704245,-67.9346895 -45.8701032,-67.93292309 -45.87290945,-67.9305589 -45.8765722,-67.9309773 -45.8765423,-67.9323184 -45.875011,-67.9336917 -45.8726132,-67.92916705 -45.87686758,-67.9288745 -45.8790371,-67.9299796 -45.8786337,-67.9304302 -45.8776552,-67.9309022 -45.8766245,-67.9306126 -45.8766543,-67.92746283 -45.879252,-67.9288745 -45.8790371,-67.9299045 -45.8786188,-67.929765 -45.8784918,-67.9247224 -45.8798512,-67.9241753 -45.8796943,-67.92260289 -45.87981886,-67.9231775 -45.8798138,-67.9230273 -45.8801051,-67.9220295 -45.8802022,-67.9198301 -45.8807027,-67.9191542 -45.8814645,-67.9198301 -45.8813375,-67.91930941 -45.88137118,-67.9183173 -45.8833018,-67.9179525 -45.8832943,-67.9178452 -45.8829358,-67.9186606 -45.8819873,-67.9191113 -45.8815466,-67.9197979 -45.8813898,-67.91747464 -45.88372353,-67.9166651 -45.8823159,-67.9170835 -45.8822711,-67.9178345 -45.8833989,-67.9184783 -45.8832943,-67.91541483 -45.88231338,-67.911365 -45.8831076,-67.9142618 -45.8826968,-67.9159892 -45.8825026,-67.90970498 -45.88326091,-67.9076958 -45.8841084,-67.9082644 -45.8839366,-67.9093373 -45.8833167,-67.9103136 -45.8831972,-67.90591516 -45.88446218,,-67.90594775 -45.88423937,-67.9066443 -45.8844071,-67.9062474 -45.8852585,-67.908833 -45.885968,-67.9091012 -45.8864012,-67.90705336 -45.88840606,-67.9052818 -45.8875736,-67.90654780000001 -45.8882084,-67.9074919 -45.8882756,-67.90362098 -45.8874036,-67.9039729 -45.8871629,-67.9034686 -45.8869165,-67.9041123 -45.886192,-67.9042947 -45.8847656,-67.90316820000001 -45.883637900000004,-67.90293219 -45.8836944,-67.90316820000001 -45.883637900000004,-67.9026854 -45.8831823,-67.9021275 -45.8832794,-67.900722 -45.8842279,-67.9001105 -45.8851465,-67.8995955 -45.8843175,-67.89811074 -45.88424629,-67.896452 -45.8842129,-67.8972995 -45.8841607,-67.8987801 -45.8833839,-67.8993165 -45.8836304,-67.89478887 -45.88442779,-67.895658 -45.88465360000001,-67.8955078 -45.8872675,-67.89402720000001 -45.888186,-67.89313670000001 -45.8879097,-67.8935552 -45.8866999,-67.891624 -45.8850718,-67.88986813 -45.88509226,-67.8916669 -45.8851316,-67.891463 -45.8853332,-67.8890061 -45.8855946,-67.8886521 -45.8849672,-67.88725199 -45.88498287,-67.8877938 -45.885251,-67.8862166 -45.8849523,-67.88477851 -45.88530377,-67.8863347 -45.8849448,-67.8869569 -45.8849672,-67.8874826 -45.883847,-67.8903258 -45.883570600000006,-67.88934482 -45.88367092,-67.8808522 -45.8847432,-67.8831053 -45.8843548,-67.884897 -45.8834586,-67.8876114 -45.88378720000001,-67.8901434 -45.8835856,-67.87931365 -45.88515467,-67.8775477 -45.8859232,-67.87784810000001 -45.8854153,-67.8789425 -45.8862742,-67.879554 -45.8862667,-67.8829443 -45.8844743,-67.8806055 -45.8848253,-67.87597578 -45.88674947,,-67.87630061 -45.88642699,-67.8775907 -45.885744,-67.8778374 -45.8851241,-67.8766251 -45.8844594,-67.8767002 -45.8840561,-67.8758872 -45.88413516,-67.8738034 -45.8829806,-67.8739858 -45.8834512,-67.87655 -45.8844445,-67.8765929 -45.8840262,-67.87263059 -45.88283868,-67.8737283 -45.8829508,-67.8736854 -45.8833242,-67.8730094 -45.8829134,-67.8686643 -45.8830254,-67.86703039 -45.88312685,-67.8685462 -45.8831151,-67.8700483 -45.8829059,-67.8648233 -45.8818603,-67.8628063 -45.8810537,-67.8621304 -45.8814645,-67.86071597 -45.88116865,-67.8614116 -45.8855274,-67.862978 -45.884788,-67.8635466 -45.8831599,-67.8632355 -45.8817483,-67.86391140000002 -45.8815093,-67.8628063 -45.8810537,-67.8623772 -45.8814346,-67.85908094 -45.88593849,-67.8609717 -45.8856767,-67.862817 -45.8848403,-67.8617656 -45.8854826,-67.8616369 -45.886192,-67.8618944 -45.8867671,-67.86045923 -45.88724171,-67.8618944 -45.8867671,-67.8616261 -45.8862443,-67.8603601 -45.88681940000001,-67.8594589 -45.8868119,-67.8584075 -45.8873347,-67.856369 -45.8871629,-67.8557789 -45.8865655,-67.85399644 -45.88640005,-67.8548133 -45.885968,-67.8544056 -45.8857215,-67.8542554 -45.8852884,-67.85284989 -45.88522411,-67.8535903 -45.8848851,-67.8530109 -45.8845938,-67.8524315 -45.8844893,-67.85093028 -45.88433862,-67.8516591 -45.8844445,-67.8505969 -45.8845789,-67.84921346 -45.88477072,-67.84983520000002 -45.8848851,-67.8485048 -45.8854826,-67.849406 -45.8856842,-67.84894709 -45.88576073,-67.848537 -45.8862742,-67.8485477 -45.8854079,-67.8494489 -45.8856319,-67.84708796 -45.88650563,-67.8469384 -45.8864833,-67.8456509 -45.8865206,-67.8438485 -45.8877379,-67.8427005 -45.8909267,-67.84140349 -45.89173196,-67.8426254 -45.8909864,-67.8430116 -45.88967960000001,-67.8451467 -45.8898812,-67.84470942 -45.89025472,-67.8454471 -45.8916361,-67.8446209 -45.8900978,-67.8430331 -45.889814,-67.845093 -45.8899484,-67.84371933 -45.8921183;-67.84371933 -45.8921183,-67.8454471 -45.8916361,-67.8446209 -45.8900978,-67.8430331 -45.889814,-67.845093 -45.8899484,-67.84470942 -45.89025472,-67.8426254 -45.8909864,-67.8430116 -45.88967960000001,-67.8451467 -45.8898812,-67.84140349 -45.89173196,-67.8469384 -45.8864833,-67.8456509 -45.8865206,-67.8438485 -45.8877379,-67.8427005 -45.8909267,-67.84708796 -45.88650563,-67.848537 -45.8862742,-67.8485477 -45.8854079,-67.8494489 -45.8856319,-67.84894709 -45.88576073;-67.84894709 -45.88576073,-67.8493631 -45.8856319,-67.8480864 -45.8853183,-67.8494918 -45.8833541,-67.849642 -45.8827043,-67.8493738 -45.8815317,-67.8484726 -45.8806578,-67.8487837 -45.8803516,-67.8495455 -45.8807549,-67.8485758 -45.88086765,-67.8494382 -45.880628,-67.84873010000001 -45.8802396,-67.8461766 -45.8806653,-67.8457046 -45.880515900000006,-67.84518194 -45.88032275,-67.8455973 -45.8806504,-67.8449214 -45.8812852,-67.8420246 -45.8795972,-67.8425181 -45.87953,-67.84221298 -45.87973382,-67.842561 -45.8794628,-67.8420246 -45.8792462,-67.8431511 -45.8775283,-67.8462946 -45.877095,-67.8445137 -45.8768261,-67.84286672 -45.87711998,-67.8467989 -45.878081,-67.8463697 -45.8770502,-67.8443956 -45.8768859,-67.84627973 -45.87829114,-67.8467667 -45.8780212,-67.846477 -45.87698300000001,-67.8477967 -45.8764751,-67.84644226 -45.87649326,-67.847904 -45.8759074,-67.8490949 -45.8742491,-67.8510368 -45.8734349,-67.8488266 -45.8731585,-67.84711722 -45.87310355,-67.84873010000001 -45.87312860000001,-67.8543305 -45.8741595,-67.857635 -45.8744807,-67.857019 -45.87438052,-67.857635 -45.8744807,-67.8541696 -45.874152,-67.8588581 -45.8727103,-67.8593409 -45.8716048,-67.85882935 -45.87179542,-67.8593409 -45.8716048,-67.85971640000001 -45.8705365,-67.8614008 -45.870529,-67.861948 -45.8698268,-67.8630531 -45.8694832,-67.86235431 -45.86962035,-67.8639972 -45.8691171,-67.8657031 -45.8680713,-67.86498939 -45.86808329,-67.8668189 -45.8667639,-67.8664005 -45.866988,-67.8663254 -45.8676305,-67.86635342 -45.86702056,-67.8682029 -45.8666817,-67.8692436 -45.8661961,-67.8702307 -45.8647318,-67.8701663 -45.8642088,-67.86895092 -45.86422008,-67.8701234 -45.8635663,-67.8698123 -45.86132490000001,-67.8679776 -45.8603237,-67.8670549 -45.8588966,-67.8654027 -45.859457,-67.8654563 -45.8601518,-67.8656709 -45.8602639,-67.86513556 -45.86046435,-67.8688037 -45.8592029,-67.8687608 -45.8588144,-67.8664434 -45.858963800000005,-67.8654027 -45.859457,-67.8655529 -45.8602116,-67.86821501 -45.85959306,-67.87273050000002 -45.8603909,-67.8713894 -45.86060760000001,-67.8696728 -45.8603312,-67.8687501 -45.8600248,-67.868396 -45.859329900000006,-67.8688145 -45.8588667,-67.8688037 -45.8592029,-67.87238238 -45.86053745,-67.8762281 -45.861026,-67.8764856 -45.8608841,-67.8761208 -45.8599501,-67.8737497 -45.8604133,-67.87444477 -45.86135588,-67.8759491 -45.8590983,-67.8764319 -45.8599501,-67.87655 -45.8609588,-67.8760779 -45.8611231,-67.87446619 -45.85953534,-67.875917 -45.8590236,-67.8765607 -45.8587098,-67.8784597 -45.8588443,-67.87771797 -45.85914466,-67.8790283 -45.8588293,-67.880466 -45.8587397,-67.8813028 -45.8593598,-67.88077392 -45.85953999,-67.8814316 -45.8592926,-67.8808415 -45.8591357,-67.880863 -45.8587322,-67.8817642 -45.858239,-67.8850043 -45.8580522,-67.88402968 -45.85834964,-67.887429 -45.855564,-67.8882551 -45.8548691,-67.8894138 -45.853808,-67.8920853 -45.8535689,-67.8916454 -45.8538678,-67.8897357 -45.85395,-67.88910 -45.85436,-67.8875685 -45.8562589,-67.885799 -45.8571033,-67.88544 -45.8578281,-67.88523 -45.85794,-67.88581092 -45.85597227,-67.887429 -45.855564,-67.8894138 -45.853808,-67.8932333 -45.8533447,-67.8969455 -45.8545851,-67.8963768 -45.8546599,-67.89483427 -45.85484841,-67.9008508 -45.8548093,-67.8990161 -45.8545403,-67.898823 -45.8538678,-67.8965485 -45.8545553,-67.90022567 -45.85540767,,-67.90067511 -45.8549717,-67.904284 -45.8564084,-67.9033184 -45.8552726,-67.9019022 -45.8551232,-67.90400196 -45.85653031,-67.90773330000002 -45.8580522,-67.9073417 -45.8579177,-67.9068965 -45.8568567,-67.9053408 -45.8563822,-67.90707943 -45.8582017,-67.9102653 -45.8586986,-67.9081625 -45.8581195,-67.90964669 -45.85881191,-67.9112792 -45.8592776,-67.9102921 -45.8588293,-67.9105067 -45.8586425,-67.91058213 -45.85962973,-67.9145408 -45.8594047,-67.9124916 -45.858777,-67.9112792 -45.8592776,-67.91347499 -45.85938782,-67.9153347 -45.8605702,-67.9157317 -45.8599725,-67.9146159 -45.859457,-67.91412974 -45.86109479,-67.9219651 -45.8610335,-67.9157424 -45.8609887,-67.92116295 -45.86077528,-67.9235315 -45.8601219,-67.9222655 -45.8604731,-67.92204432 -45.86025045,-67.9237354 -45.8596662,-67.922287 -45.8586052,-67.9212356 -45.8589414,-67.92001872 -45.85910034,-67.9202163 -45.858963800000005,-67.9188108 -45.8570659,-67.918371 -45.8571108,-67.91707962 -45.85731555,-67.9179096 -45.8569314,-67.917974 -45.8555117,-67.9220295 -45.8569464,-67.92158978 -45.85720014,-67.9236388 -45.8571407,-67.9227161 -45.8570659,-67.92272998 -45.85731085,-67.9241967 -45.8567969,-67.924701 -45.8556761,-67.9241431 -45.854488,-67.92327551 -45.85450965,-67.9244971 -45.8543161,-67.9239607 -45.8526497,-67.9270506 -45.8518203,-67.9288852 -45.8523882,-67.9308057 -45.8510879,-67.9312563 -45.8523135,-67.93089091 -45.85239801,-67.9379511 -45.8508488,-67.9340887 -45.8510132,-67.9318786 -45.851768,-67.9309022 -45.8511328,-67.9310954 -45.8522686,-67.93705641 -45.8512776;-67.93705641 -45.8512776,-67.9379511 -45.8508488,-67.9340887 -45.8510132,-67.9318786 -45.851768,-67.9309022 -45.8511328,-67.9310954 -45.8522686,-67.93089091 -45.85239801,-67.9244971 -45.8543161,-67.9239607 -45.8526497,-67.9270506 -45.8518203,-67.9288852 -45.8523882,-67.9308057 -45.8510879,-67.9312563 -45.8523135,-67.92327551 -45.85450965,-67.9241967 -45.8567969,-67.924701 -45.8556761,-67.9241431 -45.854488,-67.92272998 -45.85731085,-67.9283702 -45.8576637,-67.9275548 -45.8572154,-67.9269218 -45.8575143,-67.9259026 -45.8575367,-67.9241967 -45.8567969,-67.92745639 -45.85783394,-67.9309988 -45.8565279,-67.9294109 -45.8566176,-67.9285955 -45.8575143,-67.93015362 -45.85669955,-67.9352367 -45.8545328,-67.933563 -45.8546898,-67.9313636 -45.8564457,-67.93449161 -45.85473418,-67.9390132 -45.8553324,-67.9377794 -45.8546898,-67.9357088 -45.8545104,-67.93784211 -45.85566073,-67.9418778 -45.8559601,-67.9390132 -45.8553324,-67.94127839 -45.85682198,-67.9455793 -45.8575815,-67.9449892 -45.8573947,-67.9450321 -45.8569464,-67.9437447 -45.8569987,-67.9429507 -45.8566475,-67.94451337 -45.85788474,-67.95038580000002 -45.8584109,-67.9492486 -45.8582839,-67.9486799 -45.8563934,-67.9455793 -45.8575815,-67.94942594 -45.85854239,-67.9494631 -45.8607197,-67.9496992 -45.8604582,-67.9489589 -45.8596363,-67.9496777 -45.8591282,-67.9500318 -45.8586351,-67.9503858 -45.8584632,-67.94780419 -45.86081977,-67.9479718 -45.8615453,-67.9493934 -45.8606973,-67.9489589 -45.8606599,-67.94655091 -45.86160389,-67.9483044 -45.861911400000004,-67.9473495 -45.8614183,-67.94727301 -45.86217176,-67.9469097 -45.8620944,-67.9481596 -45.8620048,-67.94569946 -45.86221924,-67.9427254 -45.8635364,-67.9464859 -45.8623447,-67.9469097 -45.862016,-67.9400271 -45.8665472</t>
  </si>
  <si>
    <t>-67.9400271 -45.8665472,-67.9452038 -45.8642219,-67.9464403 -45.8647635,-67.9454304 -45.86503525,,-67.94551194 -45.86495899,-67.949152 -45.8670029,-67.9489589 -45.866338,-67.9464805 -45.8656358,-67.946502 -45.8652099,-67.94827454 -45.86749255,-67.9581213 -45.8673466,-67.9581428 -45.8669731,-67.9568553 -45.866226,-67.9523492 -45.8659869,-67.9491305 -45.866226,-67.9489803 -45.8668834,-67.95709848 -45.86769228,-67.9570484 -45.8711267,-67.9574454 -45.8693637,-67.9580891 -45.8675707,-67.95610675 -45.87170205,-67.9571235 -45.8715898,-67.9572952 -45.8723443,-67.9570484 -45.87342,-67.95743470000001 -45.8736217,-67.95650202 -45.87386891,-67.9575098 -45.8735619,-67.9580784 -45.8727253,-67.95720623 -45.87256309,-67.9630244 -45.8733005,-67.9618549 -45.87156740000001,-67.9611683 -45.8714553,-67.9596126 -45.871724300000004,-67.95881870000001 -45.8720007,-67.96214261 -45.87344787,-67.9666829 -45.8734274,-67.9651701 -45.87286720000001,-67.9644513 -45.8730315,-67.9638612 -45.8733752,-67.9632068 -45.8733901,-67.96572509 -45.87368099,-67.96696190000002 -45.8736067,-67.9677129 -45.8742267,-67.9679918 -45.8746077,-67.9672039 -45.87497495,-67.9705024 -45.8745479,-67.9698265 -45.8742641,-67.9688072 -45.8745629,-67.96981728 -45.87481078;-67.96981728 -45.87481078,-67.9705024 -45.8745479,-67.9698265 -45.8742641,-67.9688072 -45.8745629,-67.9672039 -45.87497495,-67.9711676 -45.8706262,-67.9712427 -45.8723667,-67.9717791 -45.8732033,-67.9711139 -45.8738906,-67.9693866 -45.8740474,-67.9686463 -45.874533,-67.96992116 -45.87035971,-67.9710925 -45.8705739,-67.9709744 -45.8714329,-67.9711354 -45.8722173,-67.9706633 -45.8714479,-67.9697943 -45.8691545,-67.9688479 -45.86924263,-67.96972990000002 -45.8689453,-67.96923640000001 -45.8685867,-67.9698372 -45.8679667,-67.96898996 -45.86789944,-67.9704916 -45.8675259,-67.9713821 -45.8670777,-67.9725838 -45.8673092,-67.97170451 -45.86764851,-67.9732597 -45.8674138,-67.9739678 -45.8674661,-67.9742575 -45.8672345,-67.9737854 -45.8666444,-67.9743755 -45.8664576,-67.9735065 -45.8661812,-67.9728949 -45.8655461,-67.97157481 -45.86531756,-67.9780984 -45.8649709,-67.9776263 -45.8648289,-67.9768217 -45.8650007,-67.9760063 -45.86583,-67.9748476 -45.8665622,-67.9738605 -45.866353,-67.9728091 -45.865591,-67.97746123 -45.86525028,-67.9770362 -45.8661886,-67.9775405 -45.8660019,-67.9780447 -45.8660616,-67.9790211 -45.8666444,-67.9791498 -45.8664875,-67.9789352 -45.8662036,-67.978828 -45.8655685,-67.9785597 -45.8651502,-67.97572674 -45.86647737,-67.9788494 -45.8686091,-67.9777122 -45.8662932,-67.9771221 -45.8662409,-67.97752558 -45.86902372,-67.9788065 -45.8706037,-67.9790211 -45.8702228,-67.978828 -45.868893,-67.9773795 -45.87092197,-67.9761887 -45.8726132,-67.9763067 -45.8720604,-67.9778838 -45.8710893,-67.97564136 -45.8729339,-67.977519 -45.8745479,-67.9775083 -45.8737262,-67.9769719 -45.8730166,-67.97664473 -45.87540708,-67.9752553 -45.8766842,-67.977401 -45.8762211,-67.9776049 -45.8757953,-67.9775298 -45.8753995,-67.97335438 -45.87681514,-67.9752016 -45.8765946,-67.9770792 -45.8757132,-67.974987 -45.875578700000005,-67.9743862 -45.87520520000001,-67.97291164 -45.87520301,-67.9725409 -45.8757132,-67.9730666 -45.8750185,-67.9739141 -45.8748392,-67.97095233 -45.87590105;-67.97095233 -45.87590105,-67.9725409 -45.8757132,-67.9730666 -45.8750185,-67.9739141 -45.8748392,-67.97291164 -45.87520301,-67.9752016 -45.8765946,-67.9770792 -45.8757132,-67.974987 -45.875578700000005,-67.9743862 -45.87520520000001,-67.97335438 -45.87681514,-67.9752553 -45.8766842,-67.977401 -45.8762211,-67.9776049 -45.8757953,-67.9775298 -45.8753995,-67.97664473 -45.87540708,-67.977519 -45.8745479,-67.9775083 -45.8737262,-67.9769719 -45.8730166,-67.97564136 -45.8729339,-67.9800725 -45.873800900000006,-67.9795146 -45.8726879,-67.9796112 -45.8723816,-67.9792464 -45.872165,-67.9787529 -45.8722173,-67.9783773 -45.8729942,-67.9778409 -45.873195900000006,-67.9771113 -45.8730315,-67.97905112 -45.87422359,-67.9799759 -45.8737337,-67.9795146 -45.8726879,-67.9809093 -45.8709474,-67.980845 -45.8716421,-67.97987219 -45.87199291,-67.9807377 -45.8716645,-67.9809952 -45.8709175,-67.9819071 -45.8698567,-67.9830122 -45.8690947,-67.9832804 -45.8686614,-67.9840744 -45.8683402,-67.98364252 -45.86827111,-67.9875398 -45.8692665,-67.988205 -45.8691993,-67.9883659 -45.8686465,-67.9866493 -45.8686017,-67.9853296 -45.8685195,-67.9839349 -45.868766,-67.9830122 -45.8690947,-67.9832804 -45.8686614,-67.9841065 -45.8682057,-67.98595749 -45.86942688,,-67.98621539 -45.86906201,-67.9865098 -45.8688407,-67.9868531 -45.868893,-67.98529724 -45.86913902;-67.98529724 -45.86913902,-67.9865098 -45.8688407,-67.9868531 -45.868893,-67.98621539 -45.86906201,-67.9901361 -45.8674661,-67.9900289 -45.8678098,-67.9882801 -45.8686838,-67.9882801 -45.8691246,-67.9875398 -45.8692665,-67.98895281 -45.86742251,-67.9929042 -45.8670777,-67.9928398 -45.8661064,-67.9924321 -45.8655835,-67.9918849 -45.8652398,-67.9909408 -45.867115,-67.9902434 -45.8675334,-67.99174523 -45.8677107,-67.9914558 -45.8692516,-67.9914558 -45.8690499,-67.9925716 -45.8679293,-67.99024475 -45.86974641,-67.9910052 -45.8707457,-67.9910266 -45.8705664,-67.99163820000001 -45.8700883,-67.9915524 -45.8697073,-67.9900866 -45.8710699,-67.9930758 -45.87218,-67.992754 -45.8724788,-67.9914343 -45.8718886,-67.9915845 -45.8711565,-67.9912734 -45.8710071,-67.99156523 -45.87210921,-67.9929739 -45.8721949,-67.9927379 -45.872546,-67.993784 -45.8729494,-67.9957634 -45.8725273,-67.9964232 -45.8722024,-67.99553288 -45.87226112,-67.9971957 -45.8714031,-67.9989982 -45.8712611,-67.9998028 -45.8710071,-67.99921407 -45.87121751,,-67.99960904 -45.87080973,-68.0035579 -45.8703423,-68.0025816 -45.8706859,-68.0014014 -45.8705066,-68.00284674 -45.87040916,-68.0041587 -45.8700285,-68.0051243 -45.8686091,-68.00449906 -45.86852742,-68.0070448 -45.8686241,-68.0060685 -45.868385,-68.00620422 -45.86892139,-68.0070448 -45.8686241,-68.0067122 -45.8683028,-68.0066907 -45.8679293,-68.0047274 -45.8681086,-68.0029786 -45.8686316,-68.0021524 -45.8685344,-68.0022383 -45.8682132,-68.00126819 -45.86832361,,-68.00080119 -45.86808139,-67.9980218 -45.8692665,-68.0000389 -45.8684074,-68.0017662 -45.8680339,-67.99627751 -45.86960923,-67.9969811 -45.8694981,-67.9958439 -45.8695654,-67.99512510000001 -45.8693413,-67.99505 -45.8690499,-67.99439359 -45.86914058,-67.99505 -45.8690499,-67.9947495 -45.8687287,-67.9952323 -45.8676529,-67.99437986 -45.8677879;-67.99437986 -45.8677879,-67.9954576 -45.8672868,-67.9960907 -45.8666518,-67.9968202 -45.8663306,-67.99554948 -45.86642106,-67.9970026 -45.8663754,-68.0035257 -45.8657777,-68.003397 -45.8661662,-68.00288598 -45.86648631,-68.0048561 -45.8661961,-68.0066156 -45.864941,-68.00601835 -45.8652672,-68.0066907 -45.8648887,-68.0076134 -45.8646197,-68.0077314 -45.8640818,-68.0066907 -45.862595,-68.0065084 -45.8626847,-68.00524993 -45.86266209,-68.0066907 -45.862595,-68.0062294 -45.8616088,-68.0054569 -45.8608467,-68.004663 -45.8610185,-68.00290781 -45.86119572,-68.0032039 -45.861564,-68.0037832 -45.8611157,-68.0040193 -45.8610858,-68.00170055 -45.8618692,-68.0024529 -45.8617881,-68.0025601 -45.862341,-68.0002105 -45.8608467,-68.0004787 -45.8601219,-67.99931829 -45.86009184,-68.0074525 -45.859442,-68.0054677 -45.8582764,-68.0048132 -45.8581195,-68.0035686 -45.8582092,-68.0016375 -45.8587994,-68.0007148 -45.8595093,-68.00660247 -45.85987417,-68.0073881 -45.8595317,-68.0048668 -45.8579775,-68.0083323 -45.8566475,-68.0111432 -45.8564831,-68.0119586 -45.855833,-68.0093408 -45.8553025,-68.0084181 -45.8553324,-68.0081391 -45.8549139,-68.0071521 -45.8545179,-68.00533143 -45.85441605;-68.00533143 -45.85441605,-68.0073881 -45.8595317,-68.0048668 -45.8579775,-68.0083323 -45.8566475,-68.0111432 -45.8564831,-68.0119586 -45.855833,-68.0093408 -45.8553025,-68.0084181 -45.8553324,-68.0081391 -45.8549139,-68.0071521 -45.8545179,-68.00660247 -45.85987417,-68.0074525 -45.859442,-68.0054677 -45.8582764,-68.0048132 -45.8581195,-68.0035686 -45.8582092,-68.0016375 -45.8587994,-68.0007148 -45.8595093,-67.99931829 -45.86009184,-68.0024529 -45.8617881,-68.0025601 -45.862341,-68.0002105 -45.8608467,-68.0004787 -45.8601219,-68.00170055 -45.8618692,-68.0032039 -45.861564,-68.0037832 -45.8611157,-68.0040193 -45.8610858,-68.00290781 -45.86119572,-68.0066907 -45.862595,-68.0062294 -45.8616088,-68.0054569 -45.8608467,-68.004663 -45.8610185,-68.00524993 -45.86266209,-68.0066907 -45.8648887,-68.0076134 -45.8646197,-68.0077314 -45.8640818,-68.0066907 -45.862595,-68.0065084 -45.8626847,-68.00601835 -45.8652672,-68.0048561 -45.8661961,-68.0066156 -45.864941,-68.00288598 -45.86648631,-67.9970026 -45.8663754,-68.0035257 -45.8657777,-68.003397 -45.8661662,-67.99554948 -45.86642106,-67.9954576 -45.8672868,-67.9960907 -45.8666518,-67.9968202 -45.8663306,-67.99437986 -45.8677879,-67.99505 -45.8690499,-67.9947495 -45.8687287,-67.9952323 -45.8676529,-67.99439359 -45.86914058,-67.9969811 -45.8694981,-67.9958439 -45.8695654,-67.99512510000001 -45.8693413,-67.99505 -45.8690499,-67.99627751 -45.86960923,-67.9980218 -45.8692665,-68.0000389 -45.8684074,-68.0017662 -45.8680339,-68.00080119 -45.86808139,,-68.00126819 -45.86832361,-68.0070448 -45.8686241,-68.0067122 -45.8683028,-68.0066907 -45.8679293,-68.0047274 -45.8681086,-68.0029786 -45.8686316,-68.0021524 -45.8685344,-68.0022383 -45.8682132,-68.00620422 -45.86892139,-68.0070448 -45.8686241,-68.0060685 -45.868385,-68.00449906 -45.86852742,-68.0041587 -45.8700285,-68.0051243 -45.8686091,-68.00284674 -45.87040916,-68.0035579 -45.8703423,-68.0025816 -45.8706859,-68.0014014 -45.8705066,-67.99960904 -45.87080973,,-67.99921407 -45.87121751,-67.9971957 -45.8714031,-67.9989982 -45.8712611,-67.9998028 -45.8710071,-67.99553288 -45.87226112,-67.9929739 -45.8721949,-67.9927379 -45.872546,-67.993784 -45.8729494,-67.9957634 -45.8725273,-67.9964232 -45.8722024,-67.99156523 -45.87210921,-67.9930758 -45.87218,-67.992754 -45.8724788,-67.9914343 -45.8718886,-67.9915845 -45.8711565,-67.9912734 -45.8710071,-67.9900866 -45.8710699,-67.9910052 -45.8707457,-67.9910266 -45.8705664,-67.99163820000001 -45.8700883,-67.9915524 -45.8697073,-67.99024475 -45.86974641,-67.9914558 -45.8692516,-67.9914558 -45.8690499,-67.9925716 -45.8679293,-67.99174523 -45.8677107;-67.99174523 -45.8677107,-67.9929042 -45.8670777,-67.9928398 -45.8661064,-67.9924321 -45.8655835,-67.9918849 -45.8652398,-67.9909408 -45.867115,-67.9902434 -45.8675334,-67.98895281 -45.86742251,-67.9901361 -45.8674661,-67.9900289 -45.8678098,-67.9882801 -45.8686838,-67.9882801 -45.8691246,-67.9875398 -45.8692665,-67.98621539 -45.86906201,,-67.98595749 -45.86942688,-67.9875398 -45.8692665,-67.988205 -45.8691993,-67.9883659 -45.8686465,-67.9866493 -45.8686017,-67.9853296 -45.8685195,-67.9839349 -45.868766,-67.9830122 -45.8690947,-67.9832804 -45.8686614,-67.9841065 -45.8682057,-67.98364252 -45.86827111,-67.9807377 -45.8716645,-67.9809952 -45.8709175,-67.9819071 -45.8698567,-67.9830122 -45.8690947,-67.9832804 -45.8686614,-67.9840744 -45.8683402,-67.97987219 -45.87199291,-67.9799759 -45.8737337,-67.9795146 -45.8726879,-67.9809093 -45.8709474,-67.980845 -45.8716421,-67.97905112 -45.87422359,-67.9801047 -45.8737412,-67.9795146 -45.8726879,-67.9791605 -45.8735694,-67.9792249 -45.8748467,-67.9793966 -45.8748467,-67.9797721 -45.8758476,-67.9800725 -45.876012,-67.97932522 -45.87631183,-67.9764569 -45.8790072,-67.9757595 -45.8787084,-67.9756951 -45.8784321,-67.9790318 -45.877588,-67.9792678 -45.8765199,-67.9792786 -45.8747272,-67.9798257 -45.8760045,-67.9801154 -45.8760643,-67.9757414 -45.87911165,-67.9764569 -45.8790072,-67.9757595 -45.8787084,-67.9755771 -45.8785142,-67.9742253 -45.8787756,-67.974236 -45.878222900000004,-67.97210325 -45.8786421,-67.9739785 -45.8781632,-67.9745579 -45.8782677,-67.9740644 -45.8788802,-67.9710174 -45.8792537,-67.96993071 -45.87922522,-67.9708028 -45.8792686,-67.9686999 -45.8795524,-67.9682064 -45.8792238,-67.96661757 -45.87943084,-67.967391 -45.8796271,-67.9660606 -45.879657,-67.9619408 -45.879179,-67.959795 -45.8789997,-67.9602242 -45.8794852,-67.95937836 -45.87978501,-67.9538298 -45.8776104,-67.9575419 -45.8788205,-67.9596341 -45.8789624,-67.9602242 -45.8794852,-67.95259842 -45.87763583,-67.9521346 -45.8759746,-67.9517162 -45.8759074,-67.9513943 -45.8758999,-67.9525959 -45.87702780000001,-67.95337920000001 -45.8774162,-67.95155064 -45.87647635,-67.9521346 -45.8759746,-67.951448 -45.8759597,-67.9509008 -45.8738383,-67.94983615 -45.87396079,-67.9508579 -45.8736739,-67.9509115 -45.8721426,-67.94974928 -45.87213834,-67.9510081 -45.87218,-67.9515123 -45.8715599,-67.9518449 -45.870925,-67.95082673 -45.87123588,-67.9518449 -45.870925,-67.9516733 -45.8706037,-67.9509866 -45.870275,-67.95089010000001 -45.8697222,-67.9517484 -45.8700734,-67.9526281 -45.8699912,-67.95188123 -45.87007275,-67.9526013 -45.869965,-67.9517484 -45.8700734,-67.9508901 -45.8697222,-67.9511476 -45.8693039,-67.95011093 -45.86936834,-67.9511476 -45.8693039,-67.95089010000001 -45.8697222,-67.9506433 -45.8681011,-67.9512978 -45.867892,-67.95075242 -45.86791677,-67.9513514 -45.867951700000006,-67.9506004 -45.8681534,-67.9493558 -45.8665622,-67.9490876 -45.8664576,-67.9492164 -45.8668461,-67.94827454 -45.86749255,-67.949152 -45.8670029,-67.9489589 -45.866338,-67.9464805 -45.8656358,-67.946502 -45.8652099,-67.94551194 -45.86495899,,-67.9454304 -45.86503525,-67.9452038 -45.8642219,-67.9464403 -45.8647635,-67.9400271 -45.8665472</t>
  </si>
  <si>
    <t>-67.9400271 -45.8665472,-67.9383588 -45.8674437,-67.9380584 -45.8682655,-67.9363847 -45.8693786,-67.9365671 -45.8696326,-67.93551008 -45.87004015,-67.936492 -45.8696625,-67.9362881 -45.8694234,-67.9350436 -45.8703273,-67.9347003 -45.8699986,-67.933282 -45.87018527,-67.9337347 -45.872531,-67.9350007 -45.8704245,-67.9346895 -45.8701032,-67.93292309 -45.87290945,-67.9305589 -45.8765722,-67.9309773 -45.8765423,-67.9323184 -45.875011,-67.9336917 -45.8726132,-67.92916705 -45.87686758,-67.9288745 -45.8790371,-67.9299796 -45.8786337,-67.9304302 -45.8776552,-67.9309022 -45.8766245,-67.9306126 -45.8766543,-67.92746283 -45.879252,-67.9288745 -45.8790371,-67.9299045 -45.8786188,-67.929765 -45.8784918,-67.9247224 -45.8798512,-67.9241753 -45.8796943,-67.92260289 -45.87981886,-67.9231775 -45.8798138,-67.9230273 -45.8801051,-67.9220295 -45.8802022,-67.9198301 -45.8807027,-67.9191542 -45.8814645,-67.9198301 -45.8813375,-67.91930941 -45.88137118,-67.9183173 -45.8833018,-67.9179525 -45.8832943,-67.9178452 -45.8829358,-67.9186606 -45.8819873,-67.9191113 -45.8815466,-67.9197979 -45.8813898,-67.91747464 -45.88372353,-67.9166651 -45.8823159,-67.9170835 -45.8822711,-67.9178345 -45.8833989,-67.9184783 -45.8832943,-67.91541483 -45.88231338,-67.911365 -45.8831076,-67.9142618 -45.8826968,-67.9159892 -45.8825026,-67.90970498 -45.88326091,-67.9076958 -45.8841084,-67.9082644 -45.8839366,-67.9093373 -45.8833167,-67.9103136 -45.8831972,-67.90591516 -45.88446218,,-67.90594775 -45.88423937,-67.9066443 -45.8844071,-67.9062474 -45.8852585,-67.908833 -45.885968,-67.9091012 -45.8864012,-67.90705336 -45.88840606,-67.9052818 -45.8875736,-67.90654780000001 -45.8882084,-67.9074919 -45.8882756,-67.90362098 -45.8874036,-67.9039729 -45.8871629,-67.9034686 -45.8869165,-67.9041123 -45.886192,-67.9042947 -45.8847656,-67.90316820000001 -45.883637900000004,-67.90293219 -45.8836944,-67.90316820000001 -45.883637900000004,-67.9026854 -45.8831823,-67.9021275 -45.8832794,-67.900722 -45.8842279,-67.9001105 -45.8851465,-67.8995955 -45.8843175,-67.89811074 -45.88424629,-67.896452 -45.8842129,-67.8972995 -45.8841607,-67.8987801 -45.8833839,-67.8993165 -45.8836304,-67.89478887 -45.88442779,-67.895658 -45.88465360000001,-67.8955078 -45.8872675,-67.89402720000001 -45.888186,-67.89313670000001 -45.8879097,-67.8935552 -45.8866999,-67.891624 -45.8850718,-67.88986813 -45.88509226,-67.8916669 -45.8851316,-67.891463 -45.8853332,-67.8890061 -45.8855946,-67.8886521 -45.8849672,-67.88725199 -45.88498287,-67.8877938 -45.885251,-67.8862166 -45.8849523,-67.88477851 -45.88530377,-67.8847039 -45.885542300000004,-67.8854334 -45.8851465,-67.88304639 -45.88588109,-67.8838027 -45.88608,-67.882483 -45.8868716,-67.88085052 -45.88709026,-67.8783846 -45.8885519,-67.8803802 -45.8880143,-67.8826654 -45.8868044,-67.8823113 -45.8868119,-67.87661058 -45.88889945,-67.8765285 -45.89045620000001,-67.877773 -45.8901799,-67.8803802 -45.8880143,-67.8783846 -45.8885519,-67.87484305 -45.89067788,-67.8792322 -45.8901127,-67.877934 -45.8900903,-67.8765285 -45.89045620000001,-67.87813787 -45.88993585,-67.8788996 -45.8901426,-67.877934 -45.8900903,-67.8774834 -45.8904786,-67.8777945 -45.8925098,-67.8783524 -45.8919348,-67.87768072 -45.89180609,-67.877419 -45.893361,-67.8777194 -45.8924724,-67.8782558 -45.8919497,-67.87597121 -45.89385401,-67.8765607 -45.8939958,-67.8749728 -45.8950561,-67.8745329 -45.895832600000006,-67.8753376 -45.896079,-67.87484942 -45.89595746;-67.87484942 -45.89595746,-67.8765607 -45.8939958,-67.8749728 -45.8950561,-67.8745329 -45.895832600000006,-67.8753376 -45.896079,-67.87597121 -45.89385401,-67.877419 -45.893361,-67.8777194 -45.8924724,-67.8782558 -45.8919497,-67.87768072 -45.89180609,-67.8782558 -45.8919497,-67.8778267 -45.8923828,-67.8780413 -45.8938315,-67.8791893 -45.8953398,-67.87842608 -45.89585515,-67.8799939 -45.8961761,-67.8810668 -45.8968855,-67.881496 -45.8974007,-67.88049412 -45.89765426,-67.8816462 -45.8976545,-67.8819466 -45.8992972,-67.8823757 -45.8992374,-67.88283131 -45.8994995,-67.8778481 -45.8999691,-67.8795862 -45.8996556,-67.8816676 -45.8998198,-67.8823113 -45.899342,-67.87600509 -45.90013168,-67.875402 -45.9018954,-67.8762174 -45.9018506,-67.8767323 -45.9016117,-67.8774405 -45.9009995,-67.8778481 -45.8999691,-67.87401 -45.90242679,-67.8778911 -45.9022389,-67.8772688 -45.9023733,-67.8762174 -45.9020895,-67.8762174 -45.9018506,-67.875402 -45.9018954,-67.87749311 -45.90223614,-67.8877831 -45.9058523,-67.8869033 -45.9059867,-67.8840923 -45.9048668,-67.8834271 -45.9042397,-67.8832769 -45.9030601,-67.8820109 -45.9031497,-67.8811312 -45.903299,-67.8780627 -45.9027018,-67.8772688 -45.9023733,-67.8778911 -45.9022389,-67.88690397 -45.90593083,-67.8887486 -45.9139369,-67.8892422 -45.9133771,-67.889092 -45.9088982,-67.8895211 -45.9081964,-67.8884697 -45.9068527,-67.8891134 -45.9060464,-67.8899932 -45.905494,-67.890079 -45.9049863,-67.8895855 -45.9049415,-67.8884912 -45.9054641,-67.88780562 -45.91450171,-67.892257 -45.917781,-67.8922355 -45.9171241,-67.8925788 -45.9166017,-67.8926325 -45.9163553,-67.8917956 -45.9155044,-67.8909266 -45.914855,-67.8902507 -45.9144445,-67.8900683 -45.9137279,-67.8889096 -45.913601,-67.888813 -45.9138473,-67.89164408 -45.91850265,-67.895422 -45.9189901,-67.8929543 -45.9186468,-67.8948966 -45.91911867,-67.8951859 -45.9189752,-67.8956151 -45.9181094,-67.8975034 -45.9169749,-67.8979325 -45.9163329,-67.8972459 -45.916945,-67.8964305 -45.9169151,-67.8960013 -45.9166017,-67.89415644 -45.91643339,-67.9095197 -45.9178556,-67.9090691 -45.9168107,-67.90527 -45.9149745,-67.9052067 -45.9146162,-67.9025245 -45.9141235,-67.90171 -45.9145565,-67.89907 -45.9147953,-67.8979325 -45.9163329,-67.8972459 -45.916945,-67.8961945 -45.916945,-67.896 -45.9166,-67.90949828 -45.91775832,-67.9105067 -45.9207068,-67.9081678 -45.9205276,-67.9078245 -45.9200798,-67.9065156 -45.9195574,-67.9081035 -45.9191991,-67.9097772 -45.9180049,-67.91006087 -45.92075561,-67.9186392 -45.925737,-67.9181242 -45.9258713,-67.9160213 -45.924319,-67.9144335 -45.9239011,-67.9125881 -45.9236324,-67.911365 -45.9232891,-67.908361 -45.9205575,-67.9107213 -45.9206172,-67.91781996 -45.92567691,-67.9183388 -45.9258713,-67.9167509 -45.9248116,-67.9175448 -45.9264683,-67.9174805 -45.9272444,-67.9163647 -45.9281549,-67.9153562 -45.9282295,-67.9142404 -45.9287071,-67.9133177 -45.9295131,-67.9126954 -45.9289758,-67.912631 -45.9280206,-67.9141116 -45.9273489,-67.9158497 -45.9268415,-67.9161072 -45.9264235,-67.9158711 -45.9259907,-67.91406535 -45.92603076,-67.9160428 -45.9260952,-67.9158497 -45.9268415,-67.9124379 -45.928125,-67.9126954 -45.9289758,-67.9133177 -45.9295131,-67.9122019 -45.9304384,-67.9106355 -45.9306175,-67.9069018 -45.9297071,-67.9082537 -45.9278265,-67.90777463 -45.92772469;-67.90777463 -45.92772469,-67.9082537 -45.9278265,-67.9069018 -45.9297071,-67.9044557 -45.9301399,-67.9031253 -45.9268564,-67.9025245 -45.9264086,-67.90071017 -45.92674612;-67.90071017 -45.92674612,-67.9082537 -45.9278265,-67.9069018 -45.9297071,-67.9044557 -45.9301399,-67.9031253 -45.9268564,-67.9025245 -45.9264086,-67.90777463 -45.92772469,-67.9160428 -45.9260952,-67.9158497 -45.9268415,-67.9124379 -45.928125,-67.9126954 -45.9289758,-67.9133177 -45.9295131,-67.9122019 -45.9304384,-67.9106355 -45.9306175,-67.9069018 -45.9297071,-67.9082537 -45.9278265,-67.91406535 -45.92603076;-67.91406535 -45.92603076,-67.9183388 -45.9258713,-67.9167509 -45.9248116,-67.9175448 -45.9264683,-67.9174805 -45.9272444,-67.9163647 -45.9281549,-67.9153562 -45.9282295,-67.9142404 -45.9287071,-67.9133177 -45.9295131,-67.9126954 -45.9289758,-67.912631 -45.9280206,-67.9141116 -45.9273489,-67.9158497 -45.9268415,-67.9161072 -45.9264235,-67.9158711 -45.9259907,-67.91781996 -45.92567691,-67.9186392 -45.925737,-67.9181242 -45.9258713,-67.9160213 -45.924319,-67.9144335 -45.9239011,-67.9125881 -45.9236324,-67.911365 -45.9232891,-67.908361 -45.9205575,-67.9107213 -45.9206172,-67.91006087 -45.92075561,-67.9105067 -45.9207068,-67.9081678 -45.9205276,-67.9078245 -45.9200798,-67.9065156 -45.9195574,-67.9081035 -45.9191991,-67.9097772 -45.9180049,-67.90949828 -45.91775832,-67.9095197 -45.9178556,-67.9090691 -45.9168107,-67.90527 -45.9149745,-67.9052067 -45.9146162,-67.9025245 -45.9141235,-67.90171 -45.9145565,-67.89907 -45.9147953,-67.8979325 -45.9163329,-67.8972459 -45.916945,-67.8961945 -45.916945,-67.896 -45.9166,-67.89415644 -45.91643339,-67.8951859 -45.9189752,-67.8956151 -45.9181094,-67.8975034 -45.9169749,-67.8979325 -45.9163329,-67.8972459 -45.916945,-67.8964305 -45.9169151,-67.8960013 -45.9166017,-67.8948966 -45.91911867,-67.895422 -45.9189901,-67.8929543 -45.9186468,-67.89164408 -45.91850265,-67.892257 -45.917781,-67.8922355 -45.9171241,-67.8925788 -45.9166017,-67.8926325 -45.9163553,-67.8917956 -45.9155044,-67.8909266 -45.914855,-67.8902507 -45.9144445,-67.8900683 -45.9137279,-67.8889096 -45.913601,-67.888813 -45.9138473,-67.88780562 -45.91450171,-67.8887486 -45.9139369,-67.8892422 -45.9133771,-67.889092 -45.9088982,-67.8895211 -45.9081964,-67.8884697 -45.9068527,-67.8891134 -45.9060464,-67.8899932 -45.905494,-67.890079 -45.9049863,-67.8895855 -45.9049415,-67.8884912 -45.9054641,-67.88690397 -45.90593083,-67.8877831 -45.9058523,-67.8869033 -45.9059867,-67.8840923 -45.9048668,-67.8834271 -45.9042397,-67.8832769 -45.9030601,-67.8820109 -45.9031497,-67.8811312 -45.903299,-67.8780627 -45.9027018,-67.8772688 -45.9023733,-67.8778911 -45.9022389,-67.87749311 -45.90223614,-67.8778911 -45.9022389,-67.8772688 -45.9023733,-67.8762174 -45.9020895,-67.8762174 -45.9018506,-67.875402 -45.9018954,-67.87401 -45.90242679,-67.875402 -45.9018954,-67.8762174 -45.9018506,-67.8767323 -45.9016117,-67.8774405 -45.9009995,-67.8778481 -45.8999691,-67.87600509 -45.90013168,-67.8778481 -45.8999691,-67.8795862 -45.8996556,-67.8816676 -45.8998198,-67.8823113 -45.899342,-67.88283131 -45.8994995,-67.8816462 -45.8976545,-67.8819466 -45.8992972,-67.8823757 -45.8992374,-67.88049412 -45.89765426,-67.8799939 -45.8961761,-67.8810668 -45.8968855,-67.881496 -45.8974007,-67.87842608 -45.89585515,-67.8782558 -45.8919497,-67.8778267 -45.8923828,-67.8780413 -45.8938315,-67.8791893 -45.8953398,-67.87768072 -45.89180609,-67.8788996 -45.8901426,-67.877934 -45.8900903,-67.8774834 -45.8904786,-67.8777945 -45.8925098,-67.8783524 -45.8919348,-67.87813787 -45.88993585,-67.8789854 -45.8901127,-67.8777838 -45.8901052,-67.8751981 -45.8927935,-67.8739536 -45.8942571,-67.87230402 -45.89457162,-67.8727734 -45.8946678,-67.8694153 -45.8954742,-67.8682566 -45.89504860000001,-67.86797017 -45.89505687,-67.8685999 -45.895295,-67.8667116 -45.8956833,-67.8646088 -45.8956833,-67.86301998 -45.89560501,-67.8636646 -45.8957132,-67.8630209 -45.8961014,-67.8661537 -45.8966391,-67.86618307 -45.89684928;-67.86618307 -45.89684928,-67.8636646 -45.8957132,-67.8630209 -45.8961014,-67.8661537 -45.8966391,-67.86301998 -45.89560501,-67.8685999 -45.895295,-67.8667116 -45.8956833,-67.8646088 -45.8956833,-67.86797017 -45.89505687,-67.8727734 -45.8946678,-67.8694153 -45.8954742,-67.8682566 -45.89504860000001,-67.87230402 -45.89457162,-67.8789854 -45.8901127,-67.8777838 -45.8901052,-67.8751981 -45.8927935,-67.8739536 -45.8942571,-67.87813787 -45.88993585,-67.8792322 -45.8901127,-67.877934 -45.8900903,-67.8765285 -45.89045620000001,-67.87484305 -45.89067788,-67.8765285 -45.89045620000001,-67.877773 -45.8901799,-67.8803802 -45.8880143,-67.8783846 -45.8885519,-67.87661058 -45.88889945,-67.8783846 -45.8885519,-67.8803802 -45.8880143,-67.8826654 -45.8868044,-67.8823113 -45.8868119,-67.88085052 -45.88709026,-67.8838027 -45.88608,-67.882483 -45.8868716,-67.88304639 -45.88588109,-67.8847039 -45.885542300000004,-67.8854334 -45.8851465,-67.88477851 -45.88530377,-67.8877938 -45.885251,-67.8862166 -45.8849523,-67.88725199 -45.88498287,-67.8916669 -45.8851316,-67.891463 -45.8853332,-67.8890061 -45.8855946,-67.8886521 -45.8849672,-67.88986813 -45.88509226,-67.895658 -45.88465360000001,-67.8955078 -45.8872675,-67.89402720000001 -45.888186,-67.89313670000001 -45.8879097,-67.8935552 -45.8866999,-67.891624 -45.8850718,-67.89478887 -45.88442779,-67.896452 -45.8842129,-67.8972995 -45.8841607,-67.8987801 -45.8833839,-67.8993165 -45.8836304,-67.89811074 -45.88424629,-67.90316820000001 -45.883637900000004,-67.9026854 -45.8831823,-67.9021275 -45.8832794,-67.900722 -45.8842279,-67.9001105 -45.8851465,-67.8995955 -45.8843175,-67.90293219 -45.8836944,-67.9039729 -45.8871629,-67.9034686 -45.8869165,-67.9041123 -45.886192,-67.9042947 -45.8847656,-67.90316820000001 -45.883637900000004,-67.90362098 -45.8874036,-67.9052818 -45.8875736,-67.90654780000001 -45.8882084,-67.9074919 -45.8882756,-67.90705336 -45.88840606,-67.9066443 -45.8844071,-67.9062474 -45.8852585,-67.908833 -45.885968,-67.9091012 -45.8864012,-67.90594775 -45.88423937,,-67.90591516 -45.88446218,-67.9076958 -45.8841084,-67.9082644 -45.8839366,-67.9093373 -45.8833167,-67.9103136 -45.8831972,-67.90970498 -45.88326091,-67.911365 -45.8831076,-67.9142618 -45.8826968,-67.9159892 -45.8825026,-67.91541483 -45.88231338,-67.9166651 -45.8823159,-67.9170835 -45.8822711,-67.9178345 -45.8833989,-67.9184783 -45.8832943,-67.91747464 -45.88372353,-67.9183173 -45.8833018,-67.9179525 -45.8832943,-67.9178452 -45.8829358,-67.9186606 -45.8819873,-67.9191113 -45.8815466,-67.9197979 -45.8813898,-67.91930941 -45.88137118,-67.9231775 -45.8798138,-67.9230273 -45.8801051,-67.9220295 -45.8802022,-67.9198301 -45.8807027,-67.9191542 -45.8814645,-67.9198301 -45.8813375,-67.92260289 -45.87981886,-67.9288745 -45.8790371,-67.9299045 -45.8786188,-67.929765 -45.8784918,-67.9247224 -45.8798512,-67.9241753 -45.8796943,-67.92746283 -45.879252,-67.9288745 -45.8790371,-67.9299796 -45.8786337,-67.9304302 -45.8776552,-67.9309022 -45.8766245,-67.9306126 -45.8766543,-67.92916705 -45.87686758,-67.9305589 -45.8765722,-67.9309773 -45.8765423,-67.9323184 -45.875011,-67.9336917 -45.8726132,-67.93292309 -45.87290945,-67.9337347 -45.872531,-67.9350007 -45.8704245,-67.9346895 -45.8701032,-67.933282 -45.87018527,-67.936492 -45.8696625,-67.9362881 -45.8694234,-67.9350436 -45.8703273,-67.9347003 -45.8699986,-67.93551008 -45.87004015,-67.9383588 -45.8674437,-67.9380584 -45.8682655,-67.9363847 -45.8693786,-67.9365671 -45.8696326,-67.9400271 -45.8665472</t>
  </si>
  <si>
    <t>-67.9400271 -45.8665472,-67.9383588 -45.8674437,-67.9380584 -45.8682655,-67.9363847 -45.8693786,-67.9365671 -45.8696326,-67.93551008 -45.87004015,-67.936492 -45.8696625,-67.9362881 -45.8694234,-67.9350436 -45.8703273,-67.9347003 -45.8699986,-67.933282 -45.87018527,-67.9337347 -45.872531,-67.9350007 -45.8704245,-67.9346895 -45.8701032,-67.93292309 -45.87290945,-67.9305589 -45.8765722,-67.9309773 -45.8765423,-67.9323184 -45.875011,-67.9336917 -45.8726132,-67.92916705 -45.87686758,-67.9288745 -45.8790371,-67.9299796 -45.8786337,-67.9304302 -45.8776552,-67.9309022 -45.8766245,-67.9306126 -45.8766543,-67.92746283 -45.879252,-67.9288745 -45.8790371,-67.9299045 -45.8786188,-67.929765 -45.8784918,-67.9247224 -45.8798512,-67.9241753 -45.8796943,-67.92260289 -45.87981886,-67.9231775 -45.8798138,-67.9230273 -45.8801051,-67.9220295 -45.8802022,-67.9198301 -45.8807027,-67.9191542 -45.8814645,-67.9198301 -45.8813375,-67.91930941 -45.88137118,-67.9183173 -45.8833018,-67.9179525 -45.8832943,-67.9178452 -45.8829358,-67.9186606 -45.8819873,-67.9191113 -45.8815466,-67.9197979 -45.8813898,-67.91747464 -45.88372353,-67.9166651 -45.8823159,-67.9170835 -45.8822711,-67.9178345 -45.8833989,-67.9184783 -45.8832943,-67.91541483 -45.88231338,-67.911365 -45.8831076,-67.9142618 -45.8826968,-67.9159892 -45.8825026,-67.90970498 -45.88326091,-67.9076958 -45.8841084,-67.9082644 -45.8839366,-67.9093373 -45.8833167,-67.9103136 -45.8831972,-67.90591516 -45.88446218,,-67.90594775 -45.88423937,-67.9066443 -45.8844071,-67.9062474 -45.8852585,-67.908833 -45.885968,-67.9091012 -45.8864012,-67.90705336 -45.88840606,-67.9052818 -45.8875736,-67.90654780000001 -45.8882084,-67.9074919 -45.8882756,-67.90362098 -45.8874036,-67.9039729 -45.8871629,-67.9034686 -45.8869165,-67.9041123 -45.886192,-67.9042947 -45.8847656,-67.90316820000001 -45.883637900000004,-67.90293219 -45.8836944,-67.90316820000001 -45.883637900000004,-67.9026854 -45.8831823,-67.9021275 -45.8832794,-67.900722 -45.8842279,-67.9001105 -45.8851465,-67.8995955 -45.8843175,-67.89811074 -45.88424629,-67.896452 -45.8842129,-67.8972995 -45.8841607,-67.8987801 -45.8833839,-67.8993165 -45.8836304,-67.89478887 -45.88442779,-67.895658 -45.88465360000001,-67.8955078 -45.8872675,-67.89402720000001 -45.888186,-67.89313670000001 -45.8879097,-67.8935552 -45.8866999,-67.891624 -45.8850718,-67.88986813 -45.88509226,-67.8916669 -45.8851316,-67.891463 -45.8853332,-67.8890061 -45.8855946,-67.8886521 -45.8849672,-67.88725199 -45.88498287,-67.8877938 -45.885251,-67.8862166 -45.8849523,-67.88477851 -45.88530377,-67.8847039 -45.885542300000004,-67.8854334 -45.8851465,-67.88304639 -45.88588109,-67.8838027 -45.88608,-67.882483 -45.8868716,-67.88085052 -45.88709026,-67.8783846 -45.8885519,-67.8803802 -45.8880143,-67.8826654 -45.8868044,-67.8823113 -45.8868119,-67.87661058 -45.88889945,-67.8765285 -45.89045620000001,-67.877773 -45.8901799,-67.8803802 -45.8880143,-67.8783846 -45.8885519,-67.87484305 -45.89067788,-67.8792322 -45.8901127,-67.877934 -45.8900903,-67.8765285 -45.89045620000001,-67.87813787 -45.88993585,-67.8788996 -45.8901426,-67.877934 -45.8900903,-67.8774834 -45.8904786,-67.8777945 -45.8925098,-67.8783524 -45.8919348,-67.87768072 -45.89180609,-67.877419 -45.893361,-67.8777194 -45.8924724,-67.8782558 -45.8919497,-67.87597121 -45.89385401,-67.8765607 -45.8939958,-67.8749728 -45.8950561,-67.8745329 -45.895832600000006,-67.8753376 -45.896079,-67.87484942 -45.89595746,-67.8758526 -45.8962209,-67.8745222 -45.8968183,-67.87714 -45.8974753,-67.87660436 -45.89789111;-67.87660436 -45.89789111,-67.8758526 -45.8962209,-67.8745222 -45.8968183,-67.87714 -45.8974753,-67.87484942 -45.89595746,-67.8765607 -45.8939958,-67.8749728 -45.8950561,-67.8745329 -45.895832600000006,-67.8753376 -45.896079,-67.87597121 -45.89385401,-67.877419 -45.893361,-67.8777194 -45.8924724,-67.8782558 -45.8919497,-67.87768072 -45.89180609,-67.8782558 -45.8919497,-67.8778267 -45.8923828,-67.8780413 -45.8938315,-67.8791893 -45.8953398,-67.87842608 -45.89585515,-67.8799939 -45.8961761,-67.8810668 -45.8968855,-67.881496 -45.8974007,-67.88049412 -45.89765426,-67.8816462 -45.8976545,-67.8819466 -45.8992972,-67.8823757 -45.8992374,-67.88283131 -45.8994995;-67.88283131 -45.8994995,-67.8778481 -45.8999691,-67.8795862 -45.8996556,-67.8816676 -45.8998198,-67.8823113 -45.899342,-67.87600509 -45.90013168,-67.875402 -45.9018954,-67.8762174 -45.9018506,-67.8767323 -45.9016117,-67.8774405 -45.9009995,-67.8778481 -45.8999691,-67.87401 -45.90242679,-67.8778911 -45.9022389,-67.8772688 -45.9023733,-67.8762174 -45.9020895,-67.8762174 -45.9018506,-67.875402 -45.9018954,-67.87749311 -45.90223614,-67.8877831 -45.9058523,-67.8869033 -45.9059867,-67.8840923 -45.9048668,-67.8834271 -45.9042397,-67.8832769 -45.9030601,-67.8820109 -45.9031497,-67.8811312 -45.903299,-67.8780627 -45.9027018,-67.8772688 -45.9023733,-67.8778911 -45.9022389,-67.88690397 -45.90593083,-67.8887486 -45.9139369,-67.8892422 -45.9133771,-67.889092 -45.9088982,-67.8895211 -45.9081964,-67.8884697 -45.9068527,-67.8891134 -45.9060464,-67.8899932 -45.905494,-67.890079 -45.9049863,-67.8895855 -45.9049415,-67.8884912 -45.9054641,-67.88780562 -45.91450171,-67.8846073 -45.9123171,-67.8879547 -45.9129889,-67.8887486 -45.9136607,-67.88302674 -45.91253107,-67.8890276 -45.9167659,-67.8884053 -45.9153477,-67.8880405 -45.9137055,-67.8874612 -45.9131382,-67.8845859 -45.9125112,-67.88832586 -45.91746828;-67.88832586 -45.91746828,-67.8890276 -45.9167659,-67.8884053 -45.9153477,-67.8880405 -45.9137055,-67.8874612 -45.9131382,-67.8845859 -45.9125112,-67.88302674 -45.91253107,-67.8846073 -45.9123171,-67.8879547 -45.9129889,-67.8887486 -45.9136607,-67.88780562 -45.91450171,-67.8887486 -45.9139369,-67.8892422 -45.9133771,-67.889092 -45.9088982,-67.8895211 -45.9081964,-67.8884697 -45.9068527,-67.8891134 -45.9060464,-67.8899932 -45.905494,-67.890079 -45.9049863,-67.8895855 -45.9049415,-67.8884912 -45.9054641,-67.88690397 -45.90593083,-67.8877831 -45.9058523,-67.8869033 -45.9059867,-67.8840923 -45.9048668,-67.8834271 -45.9042397,-67.8832769 -45.9030601,-67.8820109 -45.9031497,-67.8811312 -45.903299,-67.8780627 -45.9027018,-67.8772688 -45.9023733,-67.8778911 -45.9022389,-67.87749311 -45.90223614,-67.8778911 -45.9022389,-67.8772688 -45.9023733,-67.8762174 -45.9020895,-67.8762174 -45.9018506,-67.875402 -45.9018954,-67.87401 -45.90242679,-67.875402 -45.9018954,-67.8762174 -45.9018506,-67.8767323 -45.9016117,-67.8774405 -45.9009995,-67.8778481 -45.8999691,-67.87600509 -45.90013168,-67.8778481 -45.8999691,-67.8795862 -45.8996556,-67.8816676 -45.8998198,-67.8823113 -45.899342,-67.88283131 -45.8994995,-67.8816462 -45.8976545,-67.8819466 -45.8992972,-67.8823757 -45.8992374,-67.88049412 -45.89765426,-67.8799939 -45.8961761,-67.8810668 -45.8968855,-67.881496 -45.8974007,-67.87842608 -45.89585515,-67.8782558 -45.8919497,-67.8778267 -45.8923828,-67.8780413 -45.8938315,-67.8791893 -45.8953398,-67.87768072 -45.89180609,-67.8788996 -45.8901426,-67.877934 -45.8900903,-67.8774834 -45.8904786,-67.8777945 -45.8925098,-67.8783524 -45.8919348,-67.87813787 -45.88993585,-67.8792322 -45.8901127,-67.877934 -45.8900903,-67.8765285 -45.89045620000001,-67.87484305 -45.89067788,-67.8756487 -45.8907699,-67.8751016 -45.891875,-67.87350417 -45.89236821;-67.87350417 -45.89236821,-67.8756487 -45.8907699,-67.8751016 -45.891875,-67.87484305 -45.89067788,-67.8765285 -45.89045620000001,-67.877773 -45.8901799,-67.8803802 -45.8880143,-67.8783846 -45.8885519,-67.87661058 -45.88889945,-67.8783846 -45.8885519,-67.8803802 -45.8880143,-67.8826654 -45.8868044,-67.8823113 -45.8868119,-67.88085052 -45.88709026,-67.8838027 -45.88608,-67.882483 -45.8868716,-67.88304639 -45.88588109,-67.8847039 -45.885542300000004,-67.8854334 -45.8851465,-67.88477851 -45.88530377,-67.8877938 -45.885251,-67.8862166 -45.8849523,-67.88725199 -45.88498287,-67.8916669 -45.8851316,-67.891463 -45.8853332,-67.8890061 -45.8855946,-67.8886521 -45.8849672,-67.88986813 -45.88509226,-67.895658 -45.88465360000001,-67.8955078 -45.8872675,-67.89402720000001 -45.888186,-67.89313670000001 -45.8879097,-67.8935552 -45.8866999,-67.891624 -45.8850718,-67.89478887 -45.88442779,-67.896452 -45.8842129,-67.8972995 -45.8841607,-67.8987801 -45.8833839,-67.8993165 -45.8836304,-67.89811074 -45.88424629,-67.90316820000001 -45.883637900000004,-67.9026854 -45.8831823,-67.9021275 -45.8832794,-67.900722 -45.8842279,-67.9001105 -45.8851465,-67.8995955 -45.8843175,-67.90293219 -45.8836944,-67.9039729 -45.8871629,-67.9034686 -45.8869165,-67.9041123 -45.886192,-67.9042947 -45.8847656,-67.90316820000001 -45.883637900000004,-67.90362098 -45.8874036,-67.9052818 -45.8875736,-67.90654780000001 -45.8882084,-67.9074919 -45.8882756,-67.90705336 -45.88840606,-67.9066443 -45.8844071,-67.9062474 -45.8852585,-67.908833 -45.885968,-67.9091012 -45.8864012,-67.90594775 -45.88423937,,-67.90591516 -45.88446218,-67.9076958 -45.8841084,-67.9082644 -45.8839366,-67.9093373 -45.8833167,-67.9103136 -45.8831972,-67.90970498 -45.88326091,-67.911365 -45.8831076,-67.9142618 -45.8826968,-67.9159892 -45.8825026,-67.91541483 -45.88231338,-67.9166651 -45.8823159,-67.9169762 -45.8821367,-67.9166543 -45.8815466,-67.913146 -45.8824205,-67.9128242 -45.8814645,-67.91214619 -45.88124859,-67.9129636 -45.879291,-67.9124808 -45.8793284,-67.9120302 -45.8802545,-67.9124165 -45.8806728,-67.9129958 -45.8809193,-67.91191949 -45.87938061,-67.9128349 -45.8790819,-67.91394 -45.8782827,-67.9123628 -45.8789922,-67.91076944 -45.87927096,-67.9123628 -45.8789922,-67.9139936 -45.8782154,-67.9156995 -45.8769755,-67.9165149 -45.8759447,-67.9189503 -45.874689800000006,-67.91777485 -45.87443865,-67.9194653 -45.874084800000006,-67.9204845 -45.8732108,-67.9206347 -45.8733602,-67.91957453 -45.87370778,,-67.91979942 -45.8736741,-67.9206347 -45.8733602,-67.9204845 -45.8732108,-67.9220188 -45.8711565,-67.92053462 -45.87127057,-67.9217505 -45.8712238,-67.9221582 -45.8710893,-67.9240143 -45.8689901,-67.9237783 -45.8690051,-67.92209124 -45.86928836,-67.9247117 -45.8672271,-67.9251409 -45.8672644,-67.9242826 -45.8677948,-67.9240143 -45.8689378,-67.9238534 -45.8689528,-67.92313135 -45.86736612,-67.925849 -45.8667938,-67.9245508 -45.8671822,-67.92478129 -45.86687146,-67.9258382 -45.86658460000001,-67.9220402 -45.8663903,-67.92069068 -45.86664171,-67.9224908 -45.8663306,-67.9191971 -45.8656582,-67.91774956 -45.8661538,-67.9187572 -45.8661064,-67.9176843 -45.8663679,-67.9172981 -45.8656657,-67.91575239 -45.86551598;-67.91575239 -45.86551598,-67.9187572 -45.8661064,-67.9176843 -45.8663679,-67.9172981 -45.8656657,-67.91774956 -45.8661538,-67.9224908 -45.8663306,-67.9191971 -45.8656582,-67.92069068 -45.86664171,-67.9258382 -45.86658460000001,-67.9220402 -45.8663903,-67.92478129 -45.86687146,-67.9266429 -45.8657927,-67.9259992 -45.8665696,-67.92617947 -45.86596757,,-67.92568273 -45.86555172,-67.9284239 -45.8655835,-67.9270077 -45.8655162,-67.92761571 -45.86576064,-67.92887450000002 -45.8655984,-67.929647 -45.8660093,-67.9311919 -45.8652622,-67.93025624 -45.86524613,-67.934196 -45.8650755,-67.9339492 -45.8648887,-67.9318678 -45.8652174,-67.93322311 -45.86539389,-67.9364544 -45.8650082,-67.9343033 -45.8651128,-67.93542287 -45.86514387,-67.9374468 -45.8637643,-67.93648120000002 -45.8648999,-67.93638614 -45.8639203,-67.9407513 -45.863103100000004,-67.9403973 -45.8622551,-67.93757020000001 -45.8636746,-67.94016816 -45.86304785,-67.9412395 -45.8636896,-67.94085860000001 -45.8628677,-67.94026881 -45.86394522,-67.9413575 -45.8643508,-67.94191 -45.8638801,-67.9413092 -45.8637717,-67.9397787 -45.86446671,-67.939437 -45.8659907,-67.9410034 -45.8642985,-67.93820898 -45.86621382,,-67.93822649 -45.86645361,-67.9383588 -45.8674437,-67.9380101 -45.8666929,-67.9392922 -45.8661064,-67.9400271 -45.8665472</t>
  </si>
  <si>
    <t>-67.9400271 -45.8665472,-67.9383588 -45.8674437,-67.9380101 -45.8666929,-67.9392922 -45.8661064,-67.93822649 -45.86645361,,-67.93820898 -45.86621382,-67.939437 -45.8659907,-67.9410034 -45.8642985,-67.9397787 -45.86446671,-67.9413575 -45.8643508,-67.94191 -45.8638801,-67.9413092 -45.8637717,-67.94026881 -45.86394522,-67.9412395 -45.8636896,-67.94085860000001 -45.8628677,-67.94016816 -45.86304785,-67.9407513 -45.863103100000004,-67.9403973 -45.8622551,-67.93757020000001 -45.8636746,-67.93638614 -45.8639203,-67.9374468 -45.8637643,-67.93648120000002 -45.8648999,-67.93542287 -45.86514387,-67.9364544 -45.8650082,-67.9343033 -45.8651128,-67.93322311 -45.86539389,-67.934196 -45.8650755,-67.9339492 -45.8648887,-67.9318678 -45.8652174,-67.93025624 -45.86524613,-67.92887450000002 -45.8655984,-67.929647 -45.8660093,-67.9311919 -45.8652622,-67.92761571 -45.86576064,-67.9284239 -45.8655835,-67.9270077 -45.8655162,-67.92568273 -45.86555172,,-67.92617947 -45.86596757,-67.9266429 -45.8657927,-67.9259992 -45.8665696,-67.92478129 -45.86687146,-67.9258382 -45.86658460000001,-67.9220402 -45.8663903,-67.92069068 -45.86664171,-67.9220402 -45.8663903,-67.9233062 -45.8663605,-67.9220939 -45.86691330000001,-67.9212034 -45.8670029,-67.9194438 -45.8683551,-67.918725 -45.8684821,-67.91712918 -45.86851117;-67.91712918 -45.86851117,-67.9220402 -45.8663903,-67.9233062 -45.8663605,-67.9220939 -45.86691330000001,-67.9212034 -45.8670029,-67.9194438 -45.8683551,-67.918725 -45.8684821,-67.92069068 -45.86664171,-67.9224908 -45.8663306,-67.9191971 -45.8656582,-67.91774956 -45.8661538,-67.9187572 -45.8661064,-67.9176843 -45.8663679,-67.9172981 -45.8656657,-67.91575239 -45.86551598,-67.92151450000001 -45.8648214,-67.9209244 -45.864687,-67.9176092 -45.8656881,-67.9171693 -45.8655984,-67.92009355 -45.86527701,-67.920903 -45.864119200000005,-67.92119260000001 -45.8646197,-67.9214394 -45.8648887,-67.92012334 -45.86396532,-67.9195297 -45.8639025,-67.9203665 -45.8649335,-67.9209244 -45.864687,-67.9208171 -45.8640743,-67.91830981 -45.86407906,-67.9196048 -45.8623709,-67.9195297 -45.8639025,-67.91863427 -45.86235477,-67.9222012 -45.8610335,-67.9194975 -45.8620496,-67.92116295 -45.86077528,-67.9219651 -45.8610335,-67.9157424 -45.8609887,-67.91412974 -45.86109479,-67.9153347 -45.8605702,-67.9157317 -45.8599725,-67.9146159 -45.859457,-67.91347499 -45.85938782,-67.9145408 -45.8594047,-67.9124916 -45.858777,-67.9112792 -45.8592776,-67.91058213 -45.85962973,-67.9112792 -45.8592776,-67.9102921 -45.8588293,-67.9105067 -45.8586425,-67.90964669 -45.85881191,-67.9102653 -45.8586986,-67.9081625 -45.8581195,-67.90707943 -45.8582017,-67.90773330000002 -45.8580522,-67.9073417 -45.8579177,-67.9068965 -45.8568567,-67.9053408 -45.8563822,-67.90400196 -45.85653031,-67.904284 -45.8564084,-67.9033184 -45.8552726,-67.9019022 -45.8551232,-67.90067511 -45.8549717,,-67.90022567 -45.85540767,-67.9008508 -45.8548093,-67.8990161 -45.8545403,-67.898823 -45.8538678,-67.8965485 -45.8545553,-67.89483427 -45.85484841,-67.887429 -45.855564,-67.8894138 -45.853808,-67.8932333 -45.8533447,-67.8969455 -45.8545851,-67.8963768 -45.8546599,-67.88581092 -45.85597227,-67.887429 -45.855564,-67.8882551 -45.8548691,-67.8894138 -45.853808,-67.8920853 -45.8535689,-67.8916454 -45.8538678,-67.8897357 -45.85395,-67.88910 -45.85436,-67.8875685 -45.8562589,-67.885799 -45.8571033,-67.88544 -45.8578281,-67.88523 -45.85794,-67.88402968 -45.85834964,-67.8814316 -45.8592926,-67.8808415 -45.8591357,-67.880863 -45.8587322,-67.8817642 -45.858239,-67.8850043 -45.8580522,-67.88077392 -45.85953999,-67.8790283 -45.8588293,-67.880466 -45.8587397,-67.8813028 -45.8593598,-67.87771797 -45.85914466,-67.875917 -45.8590236,-67.8765607 -45.8587098,-67.8784597 -45.8588443,-67.87446619 -45.85953534,-67.8758311 -45.8590012,-67.8755307 -45.858777,-67.8718829 -45.8588144,-67.8721619 -45.8576637,-67.8733528 -45.857462,-67.8739536 -45.8579028,-67.87227986 -45.85836679,-67.8721619 -45.8576637,-67.8734279 -45.8573798,-67.8740823 -45.8579103,-67.87029294 -45.85782787,-67.8694689 -45.8577534,-67.8703272 -45.8578879,-67.8705525 -45.8574694,-67.8710139 -45.8575441,-67.86752908 -45.85773082,-67.8666365 -45.8577982,-67.8680527 -45.857716,-67.86509618 -45.85797591,-67.8655958 -45.85783560000001,-67.8642118 -45.8570435,-67.86269634 -45.8576934,-67.8630531 -45.8577608,-67.8618944 -45.8580074,-67.86119926 -45.8582863,-67.8617334 -45.8580597,-67.8595233 -45.8583362,-67.85800456 -45.85865306,-67.8585362 -45.8586425,-67.8567231 -45.8591431,-67.8550386 -45.8605852,-67.85325633 -45.86047853,-67.8547168 -45.8600622,-67.8545237 -45.8589862,-67.8537083 -45.858508,-67.852335 -45.8585529,-67.85051371 -45.8587379,-67.8511226 -45.8587172,-67.8489661 -45.8581942,-67.8504252 -45.8565952,-67.84992667 -45.85649082,-67.851541 -45.8561394,-67.8511119 -45.8555416,-67.8497386 -45.8553249,-67.8490841 -45.8555341,-67.84737753 -45.85568862,-67.8480864 -45.8556163,-67.846477 -45.8561992,-67.8452325 -45.8556537,-67.84359994 -45.85582912,-67.8438914 -45.8557508,-67.8414237 -45.8563262,-67.8377545 -45.8563187,-67.83653581 -45.85644197,-67.8371108 -45.8561767,-67.8326368 -45.8556313,-67.83154193 -45.85548135,-67.8319716 -45.855437,-67.8292787 -45.855108200000004,-67.82760578 -45.8552439,-67.8277767 -45.8550036,-67.8251696 -45.8547271,-67.824676 -45.8544207,-67.82322995 -45.85451391,-67.8244078 -45.8540994,-67.8225088 -45.8518801,-67.82163737 -45.8516816,-67.8223801 -45.8515886,-67.8209639 -45.8504751,-67.8196657 -45.8504079,-67.81800483 -45.85079524,-67.8185713 -45.8505798,-67.816962 -45.851073,-67.8161895 -45.8523658,-67.81497943 -45.85259887,-67.816329 -45.8519921,-67.8167796 -45.8511701,-67.8158462 -45.8513121,-67.8150415 -45.8533148,-67.8138399 -45.8541293,-67.81217316 -45.85421245,-67.809999 -45.85395,-67.81053540000002 -45.8542265,-67.8125417 -45.8543386,-67.80813131 -45.85419968,-67.8093982 -45.8548467,-67.8103423 -45.8545851,-67.808851 -45.8544506,-67.8103101 -45.854219,-67.8097093 -45.8539126,-67.8072436 -45.85498762,-67.8098595 -45.8560647,-67.809999 -45.8550036,-67.8090441 -45.8548691,-67.80907829 -45.8565264;-67.80907829 -45.8565264,-67.8125632 -45.8568492,-67.810396 -45.8571033,-67.8101599 -45.8566923,-67.81224182 -45.85671416,-67.8138077 -45.8564532,-67.814548 -45.8566699,-67.813561 -45.8597484,-67.8137219 -45.8605777,-67.81282229 -45.86107452,-67.8186142 -45.8634617,-67.8183568 -45.8624605,-67.8160179 -45.8615565,-67.8143764 -45.8610559,-67.81720169 -45.86444747,-67.8182173 -45.868004,-67.8160286 -45.8663455,-67.8181314 -45.8648065,-67.8182173 -45.864545,-67.81633269 -45.86814359,-67.8222084 -45.867638,-67.8207171 -45.86819080000001,-67.8187966 -45.8682506,-67.81829240000002 -45.8680713,-67.82151826 -45.86746063,-67.8236783 -45.8675633,-67.8205454 -45.8682207,-67.8219295 -45.8676529,-67.82310921 -45.86764419,-67.8240538 -45.8675707,-67.8247404 -45.8675782,-67.82420567 -45.8676006,-67.8260171 -45.8673092,-67.8273904 -45.8671897,-67.8286672 -45.8675334,-67.82802493 -45.86737435,-67.8295791 -45.8671673,-67.8291285 -45.8657628,-67.8280771 -45.86528460000001,-67.82626659 -45.86542128,-67.8280449 -45.8651352,-67.8276157 -45.8646197,-67.8262317 -45.8647766,-67.8248799 -45.8653145,-67.82303608 -45.86543176;-67.82303608 -45.86543176,-67.8280449 -45.8651352,-67.8276157 -45.8646197,-67.8262317 -45.8647766,-67.8248799 -45.8653145,-67.82626659 -45.86542128,-67.8295791 -45.8671673,-67.8291285 -45.8657628,-67.8280771 -45.86528460000001,-67.82802493 -45.86737435,-67.8260171 -45.8673092,-67.8273904 -45.8671897,-67.8286672 -45.8675334,-67.82420567 -45.8676006,-67.8240538 -45.8675707,-67.8247404 -45.8675782,-67.82310921 -45.86764419,-67.8236783 -45.8675633,-67.8205454 -45.8682207,-67.8219295 -45.8676529,-67.82151826 -45.86746063,-67.8222084 -45.867638,-67.8207171 -45.86819080000001,-67.8187966 -45.8682506,-67.81829240000002 -45.8680713,-67.81633269 -45.86814359,-67.8182173 -45.868004,-67.8160286 -45.8663455,-67.8181314 -45.8648065,-67.8182173 -45.864545,-67.81720169 -45.86444747,-67.8186142 -45.8634617,-67.8183568 -45.8624605,-67.8160179 -45.8615565,-67.8143764 -45.8610559,-67.81282229 -45.86107452,-67.8138077 -45.8564532,-67.814548 -45.8566699,-67.813561 -45.8597484,-67.8137219 -45.8605777,-67.81224182 -45.85671416,-67.8125632 -45.8568492,-67.810396 -45.8571033,-67.8101599 -45.8566923,-67.80907829 -45.8565264,-67.8098595 -45.8560647,-67.809999 -45.8550036,-67.8090441 -45.8548691,-67.8072436 -45.85498762,-67.807982 -45.8550559,-67.8067052 -45.8553548,-67.80486959 -45.85565241,-67.8067052 -45.8553548,-67.8072202 -45.8551381,-67.8064048 -45.853539,-67.80441533 -45.8533642,-67.805289 -45.8529487,-67.8034651 -45.8522612,-67.8028214 -45.85306820000001,-67.8021669 -45.8529711,-67.80053473 -45.85338776,-67.8014696 -45.8535315,-67.7997422 -45.8537482,-67.7984655 -45.8529038,-67.79656279 -45.85297829;-67.79656279 -45.85297829,-67.8014696 -45.8535315,-67.7997422 -45.8537482,-67.7984655 -45.8529038,-67.80053473 -45.85338776,-67.8017056 -45.8526423,-67.8015232 -45.8523658,-67.79962420000001 -45.8525451,-67.7978754 -45.8519772,-67.7946138 -45.8521416,-67.79294152 -45.85225742,-67.7932727 -45.8519249,-67.790097 -45.851768,-67.7882087 -45.8523583,-67.7874362 -45.8529785,-67.78639604 -45.85350214,-67.7872217 -45.8538753,-67.7837884 -45.8561618,-67.7830803 -45.8561095,-67.78170238 -45.85610146,-67.7824903 -45.8564233,-67.7802157 -45.8580149,-67.7796257 -45.8571108,-67.7786064 -45.8565802,-67.7779841 -45.85664,-67.7787888 -45.8561394,-67.77831934 -45.85627828,-67.7786493 -45.8561767,-67.7760208 -45.8575666,-67.7736604 -45.8573723,-67.7729845 -45.8565877,-67.7733386 -45.8538528,-67.77191639 -45.85370252,-67.7767611 -45.8515811,-67.7748406 -45.85155120000001,-67.7744758 -45.8503855,-67.7750123 -45.8494887,-67.7702379 -45.8498848,-67.7723086 -45.8511776,-67.7737248 -45.8528216,-67.7731884 -45.8531878,-67.77612134 -45.8514783,-67.7803338 -45.8509385,-67.777555 -45.8505499,-67.7752268 -45.8494812,-67.77437930000002 -45.8504154,-67.7747762 -45.851484,-67.7768147 -45.8515139,-67.77982732 -45.85094494;-67.77982732 -45.85094494,-67.7803338 -45.8509385,-67.777555 -45.8505499,-67.7752268 -45.8494812,-67.77437930000002 -45.8504154,-67.7747762 -45.851484,-67.7768147 -45.8515139,-67.77612134 -45.8514783,-67.7767611 -45.8515811,-67.7748406 -45.85155120000001,-67.7744758 -45.8503855,-67.7750123 -45.8494887,-67.7702379 -45.8498848,-67.7723086 -45.8511776,-67.7737248 -45.8528216,-67.7731884 -45.8531878,-67.77191639 -45.85370252,-67.7786493 -45.8561767,-67.7760208 -45.8575666,-67.7736604 -45.8573723,-67.7729845 -45.8565877,-67.7733386 -45.8538528,-67.77831934 -45.85627828,-67.7824903 -45.8564233,-67.7802157 -45.8580149,-67.7796257 -45.8571108,-67.7786064 -45.8565802,-67.7779841 -45.85664,-67.7787888 -45.8561394,-67.78170238 -45.85610146,-67.7872217 -45.8538753,-67.7837884 -45.8561618,-67.7830803 -45.8561095,-67.78639604 -45.85350214,-67.7932727 -45.8519249,-67.790097 -45.851768,-67.7882087 -45.8523583,-67.7874362 -45.8529785,-67.79294152 -45.85225742,-67.8017056 -45.8526423,-67.8015232 -45.8523658,-67.79962420000001 -45.8525451,-67.7978754 -45.8519772,-67.7946138 -45.8521416,-67.80053473 -45.85338776,-67.805289 -45.8529487,-67.8034651 -45.8522612,-67.8028214 -45.85306820000001,-67.8021669 -45.8529711,-67.80441533 -45.8533642,-67.8064048 -45.853539,-67.8089046 -45.854361,-67.8103852 -45.8542265,-67.8098702 -45.8539126,-67.80813131 -45.85419968,-67.809999 -45.85395,-67.81053540000002 -45.8542265,-67.8125417 -45.8543386,-67.81217316 -45.85421245,-67.816329 -45.8519921,-67.8167796 -45.8511701,-67.8158462 -45.8513121,-67.8150415 -45.8533148,-67.8138399 -45.8541293,-67.81497943 -45.85259887,-67.8185713 -45.8505798,-67.816962 -45.851073,-67.8161895 -45.8523658,-67.81800483 -45.85079524,-67.8223801 -45.8515886,-67.8209639 -45.8504751,-67.8196657 -45.8504079,-67.82163737 -45.8516816,-67.8244078 -45.8540994,-67.8225088 -45.8518801,-67.82322995 -45.85451391,-67.8277767 -45.8550036,-67.8251696 -45.8547271,-67.824676 -45.8544207,-67.82760578 -45.8552439,-67.8319716 -45.855437,-67.8292787 -45.855108200000004,-67.83154193 -45.85548135,-67.8371108 -45.8561767,-67.8326368 -45.8556313,-67.83653581 -45.85644197,-67.8438914 -45.8557508,-67.8414237 -45.8563262,-67.8377545 -45.8563187,-67.84359994 -45.85582912,-67.8480864 -45.8556163,-67.846477 -45.8561992,-67.8452325 -45.8556537,-67.84737753 -45.85568862,-67.851541 -45.8561394,-67.8511119 -45.8555416,-67.8497386 -45.8553249,-67.8490841 -45.8555341,-67.84992667 -45.85649082,-67.8511226 -45.8587172,-67.8489661 -45.8581942,-67.8504252 -45.8565952,-67.85051371 -45.8587379,-67.8547168 -45.8600622,-67.8545237 -45.8589862,-67.8537083 -45.858508,-67.852335 -45.8585529,-67.85325633 -45.86047853,-67.8585362 -45.8586425,-67.8567231 -45.8591431,-67.8550386 -45.8605852,-67.85800456 -45.85865306,-67.8617334 -45.8580597,-67.8595233 -45.8583362,-67.86119926 -45.8582863,-67.8630531 -45.8577608,-67.8618944 -45.8580074,-67.86269634 -45.8576934,-67.8655958 -45.85783560000001,-67.8642118 -45.8570435,-67.86509618 -45.85797591,-67.8666365 -45.8577982,-67.8680527 -45.857716,-67.86752908 -45.85773082,-67.8694689 -45.8577534,-67.8703272 -45.8578879,-67.8705525 -45.8574694,-67.8710139 -45.8575441,-67.87029294 -45.85782787,-67.8721619 -45.8576637,-67.8734279 -45.8573798,-67.8740823 -45.8579103,-67.87227986 -45.85836679,-67.8758311 -45.8590012,-67.8755307 -45.858777,-67.8718829 -45.8588144,-67.8721619 -45.8576637,-67.8733528 -45.857462,-67.8739536 -45.8579028,-67.87446619 -45.85953534,-67.875917 -45.8590236,-67.8765607 -45.8587098,-67.8784597 -45.8588443,-67.87771797 -45.85914466,-67.8790283 -45.8588293,-67.880466 -45.8587397,-67.8813028 -45.8593598,-67.88077392 -45.85953999,-67.8814316 -45.8592926,-67.8808415 -45.8591357,-67.880863 -45.8587322,-67.8817642 -45.858239,-67.8850043 -45.8580522,-67.88402968 -45.85834964,-67.887429 -45.855564,-67.8882551 -45.8548691,-67.8894138 -45.853808,-67.8920853 -45.8535689,-67.8916454 -45.8538678,-67.8897357 -45.85395,-67.88910 -45.85436,-67.8875685 -45.8562589,-67.885799 -45.8571033,-67.88544 -45.8578281,-67.88523 -45.85794,-67.88581092 -45.85597227,-67.887429 -45.855564,-67.8894138 -45.853808,-67.8932333 -45.8533447,-67.8969455 -45.8545851,-67.8963768 -45.8546599,-67.89483427 -45.85484841,-67.9008508 -45.8548093,-67.8990161 -45.8545403,-67.898823 -45.8538678,-67.8965485 -45.8545553,-67.90022567 -45.85540767,,-67.90067511 -45.8549717,-67.904284 -45.8564084,-67.9033184 -45.8552726,-67.9019022 -45.8551232,-67.90400196 -45.85653031,-67.90773330000002 -45.8580522,-67.9073417 -45.8579177,-67.9068965 -45.8568567,-67.9053408 -45.8563822,-67.90707943 -45.8582017,-67.9102653 -45.8586986,-67.9081625 -45.8581195,-67.90964669 -45.85881191,-67.9112792 -45.8592776,-67.9102921 -45.8588293,-67.9105067 -45.8586425,-67.91058213 -45.85962973,-67.9145408 -45.8594047,-67.9124916 -45.858777,-67.9112792 -45.8592776,-67.91347499 -45.85938782,-67.9153347 -45.8605702,-67.9157317 -45.8599725,-67.9146159 -45.859457,-67.91412974 -45.86109479,-67.9219651 -45.8610335,-67.9157424 -45.8609887,-67.92116295 -45.86077528,-67.9235315 -45.8601219,-67.9222655 -45.8604731,-67.92204432 -45.86025045,-67.9253769 -45.8604208,-67.9236388 -45.8595317,-67.9233384 -45.8597857,-67.92472033 -45.86078317,-67.9288423 -45.860757,-67.9286063 -45.8609812,-67.9269433 -45.8608168,-67.9254305 -45.8610559,-67.9256237 -45.8606898,-67.92827234 -45.86082887,-67.9307091 -45.86097370000001,-67.9287457 -45.8609588,-67.9288423 -45.860757,-67.92973166 -45.86112334,-67.9343569 -45.8614145,-67.9335523 -45.861549,-67.9334021 -45.8611381,-67.9309666 -45.8609214,-67.93332777 -45.86169272,-67.9375219 -45.8620421,-67.9357517 -45.861085800000005,-67.9346144 -45.8614519,-67.93652197 -45.86222667,-67.9388309 -45.8607794,-67.938112 -45.8611007,-67.9377472 -45.860899,-67.9362881 -45.8614743,-67.9374897 -45.8619749,-67.93809539 -45.86091501,-67.9389811 -45.8623559,-67.9389596 -45.8618329,-67.9381979 -45.8610783,-67.9390669 -45.8607794,-67.93749455 -45.86270022,-67.9407942 -45.8630844,-67.9403758 -45.8621878,-67.9386914 -45.8624792,-67.94016816 -45.86304785,-67.9412395 -45.8636896,-67.94085860000001 -45.8628677,-67.94026881 -45.86394522,-67.9413575 -45.8643508,-67.94191 -45.8638801,-67.9413092 -45.8637717,-67.9397787 -45.86446671,-67.939437 -45.8659907,-67.9410034 -45.8642985,-67.93820898 -45.86621382,,-67.93822649 -45.86645361,-67.9383588 -45.8674437,-67.9380101 -45.8666929,-67.9392922 -45.8661064,-67.9400271 -45.8665472</t>
  </si>
  <si>
    <t>-67.9400271 -45.8665472,-67.9452038 -45.8642219,-67.9464403 -45.8647635,-67.9454304 -45.86503525,,-67.94551194 -45.86495899,-67.949152 -45.8670029,-67.9489589 -45.866338,-67.9464805 -45.8656358,-67.946502 -45.8652099,-67.94827454 -45.86749255,-67.9581213 -45.8673466,-67.9581428 -45.8669731,-67.9568553 -45.866226,-67.9523492 -45.8659869,-67.9491305 -45.866226,-67.9489803 -45.8668834,-67.95709848 -45.86769228,-67.9570484 -45.8711267,-67.9574454 -45.8693637,-67.9580891 -45.8675707,-67.95610675 -45.87170205,-67.9571235 -45.8715898,-67.9572952 -45.8723443,-67.9570484 -45.87342,-67.95743470000001 -45.8736217,-67.95650202 -45.87386891,-67.9575098 -45.8735619,-67.9580784 -45.8727253,-67.95720623 -45.87256309,-67.9630244 -45.8733005,-67.9618549 -45.87156740000001,-67.9611683 -45.8714553,-67.9596126 -45.871724300000004,-67.95881870000001 -45.8720007,-67.96214261 -45.87344787,-67.9666829 -45.8734274,-67.9651701 -45.87286720000001,-67.9644513 -45.8730315,-67.9638612 -45.8733752,-67.9632068 -45.8733901,-67.96572509 -45.87368099,-67.96696190000002 -45.8736067,-67.9677129 -45.8742267,-67.9679918 -45.8746077,-67.9672039 -45.87497495,-67.9711676 -45.8706262,-67.9712427 -45.8723667,-67.9717791 -45.8732033,-67.9711139 -45.8738906,-67.9693866 -45.8740474,-67.9686463 -45.874533,-67.96992116 -45.87035971,-67.9710925 -45.8705739,-67.9709744 -45.8714329,-67.9711354 -45.8722173,-67.9706633 -45.8714479,-67.9697943 -45.8691545,-67.9688479 -45.86924263,-67.96972990000002 -45.8689453,-67.96923640000001 -45.8685867,-67.9698372 -45.8679667,-67.96898996 -45.86789944,-67.9704916 -45.8675259,-67.9713821 -45.8670777,-67.9725838 -45.8673092,-67.97170451 -45.86764851,-67.9784846 -45.8638128,-67.9773581 -45.8639025,-67.9769611 -45.8641416,-67.9760814 -45.864545,-67.975781 -45.8649709,-67.9756951 -45.8656806,-67.9747403 -45.8664725,-67.9738927 -45.8666518,-67.9742575 -45.8674213,-67.9730237 -45.867369,-67.97781889 -45.86412305,-67.9754913 -45.864545,-67.9768431 -45.8639921,-67.9784095 -45.8638054,-67.97405033 -45.86498498;-67.97405033 -45.86498498,-67.9754913 -45.864545,-67.9768431 -45.8639921,-67.9784095 -45.8638054,-67.97781889 -45.86412305,-67.9784846 -45.8638128,-67.9773581 -45.8639025,-67.9769611 -45.8641416,-67.9760814 -45.864545,-67.975781 -45.8649709,-67.9756951 -45.8656806,-67.9747403 -45.8664725,-67.9738927 -45.8666518,-67.9742575 -45.8674213,-67.9730237 -45.867369,-67.97170451 -45.86764851,-67.9704916 -45.8675259,-67.9713821 -45.8670777,-67.9725838 -45.8673092,-67.96898996 -45.86789944,-67.96972990000002 -45.8689453,-67.96923640000001 -45.8685867,-67.9698372 -45.8679667,-67.9688479 -45.86924263,-67.9710925 -45.8705739,-67.9709744 -45.8714329,-67.9711354 -45.8722173,-67.9706633 -45.8714479,-67.9697943 -45.8691545,-67.96992116 -45.87035971,-67.9711676 -45.8706262,-67.9712427 -45.8723667,-67.9717791 -45.8732033,-67.9711139 -45.8738906,-67.9693866 -45.8740474,-67.9686463 -45.874533,-67.9672039 -45.87497495,-67.96696190000002 -45.8736067,-67.9677129 -45.8742267,-67.9679918 -45.8746077,-67.96572509 -45.87368099,-67.9666829 -45.8734274,-67.9651701 -45.87286720000001,-67.9644513 -45.8730315,-67.9638612 -45.8733752,-67.9632068 -45.8733901,-67.96214261 -45.87344787,-67.9630244 -45.8733005,-67.9618549 -45.87156740000001,-67.9611683 -45.8714553,-67.9596126 -45.871724300000004,-67.95881870000001 -45.8720007,-67.95720623 -45.87256309,-67.9575098 -45.8735619,-67.9580784 -45.8727253,-67.95650202 -45.87386891,-67.9571235 -45.8715898,-67.9572952 -45.8723443,-67.9570484 -45.87342,-67.95743470000001 -45.8736217,-67.95610675 -45.87170205,-67.9570484 -45.8711267,-67.9574454 -45.8693637,-67.9580891 -45.8675707,-67.95709848 -45.86769228,-67.9581213 -45.8673466,-67.9581428 -45.8669731,-67.9568553 -45.866226,-67.9523492 -45.8659869,-67.9491305 -45.866226,-67.9489803 -45.8668834,-67.94827454 -45.86749255,-67.949152 -45.8670029,-67.9489589 -45.866338,-67.9464805 -45.8656358,-67.946502 -45.8652099,-67.94551194 -45.86495899,,-67.9454304 -45.86503525,-67.9452038 -45.8642219,-67.9464403 -45.8647635,-67.9400271 -45.8665472,-67.9383588 -45.8674437,-67.9380101 -45.8666929,-67.9392922 -45.8661064,-67.93822649 -45.86645361,,-67.93820898 -45.86621382,-67.939437 -45.8659907,-67.9410034 -45.8642985,-67.9397787 -45.86446671,-67.9413575 -45.8643508,-67.94191 -45.8638801,-67.9413092 -45.8637717,-67.94026881 -45.86394522,-67.9412395 -45.8636896,-67.94085860000001 -45.8628677,-67.94016816 -45.86304785,-67.9407942 -45.8630844,-67.9403758 -45.8621878,-67.9386914 -45.8624792,-67.93749455 -45.86270022,-67.9389811 -45.8623559,-67.9389596 -45.8618329,-67.9381979 -45.8610783,-67.9390669 -45.8607794,-67.93809539 -45.86091501,-67.9388309 -45.8607794,-67.938112 -45.8611007,-67.9377472 -45.860899,-67.9362881 -45.8614743,-67.9374897 -45.8619749,-67.93652197 -45.86222667,-67.9375219 -45.8620421,-67.9357517 -45.861085800000005,-67.9346144 -45.8614519,-67.93332777 -45.86169272,-67.9343569 -45.8614145,-67.9335523 -45.861549,-67.9334021 -45.8611381,-67.9309666 -45.8609214,-67.92973166 -45.86112334,-67.9307091 -45.86097370000001,-67.9287457 -45.8609588,-67.9288423 -45.860757,-67.92827234 -45.86082887,-67.9288423 -45.860757,-67.9286063 -45.8609812,-67.9269433 -45.8608168,-67.9254305 -45.8610559,-67.9256237 -45.8606898,-67.92472033 -45.86078317,-67.9253769 -45.8604208,-67.9236388 -45.8595317,-67.9233384 -45.8597857,-67.92204432 -45.86025045,-67.9235315 -45.8601219,-67.9222655 -45.8604731,-67.92116295 -45.86077528,-67.9219651 -45.8610335,-67.9157424 -45.8609887,-67.91412974 -45.86109479,-67.9153347 -45.8605702,-67.9157317 -45.8599725,-67.9146159 -45.859457,-67.91347499 -45.85938782,-67.9145408 -45.8594047,-67.9124916 -45.858777,-67.9112792 -45.8592776,-67.91058213 -45.85962973,-67.9112792 -45.8592776,-67.9102921 -45.8588293,-67.9105067 -45.8586425,-67.90964669 -45.85881191,-67.9102653 -45.8586986,-67.9081625 -45.8581195,-67.90707943 -45.8582017,-67.90773330000002 -45.8580522,-67.9073417 -45.8579177,-67.9068965 -45.8568567,-67.9053408 -45.8563822,-67.90400196 -45.85653031,-67.904284 -45.8564084,-67.9033184 -45.8552726,-67.9019022 -45.8551232,-67.90067511 -45.8549717,,-67.90022567 -45.85540767,-67.9008508 -45.8548093,-67.8990161 -45.8545403,-67.898823 -45.8538678,-67.8965485 -45.8545553,-67.89483427 -45.85484841,-67.887429 -45.855564,-67.8894138 -45.853808,-67.8932333 -45.8533447,-67.8969455 -45.8545851,-67.8963768 -45.8546599,-67.88581092 -45.85597227,-67.887429 -45.855564,-67.8882551 -45.8548691,-67.8894138 -45.853808,-67.8920853 -45.8535689,-67.8916454 -45.8538678,-67.8897357 -45.85395,-67.88910 -45.85436,-67.8875685 -45.8562589,-67.885799 -45.8571033,-67.88544 -45.8578281,-67.88523 -45.85794,-67.88402968 -45.85834964,-67.8814316 -45.8592926,-67.8808415 -45.8591357,-67.880863 -45.8587322,-67.8817642 -45.858239,-67.8850043 -45.8580522,-67.88077392 -45.85953999,-67.8790283 -45.8588293,-67.880466 -45.8587397,-67.8813028 -45.8593598,-67.87771797 -45.85914466,-67.875917 -45.8590236,-67.8765607 -45.8587098,-67.8784597 -45.8588443,-67.87446619 -45.85953534,-67.8758311 -45.8590012,-67.8755307 -45.858777,-67.8718829 -45.8588144,-67.8721619 -45.8576637,-67.8733528 -45.857462,-67.8739536 -45.8579028,-67.87227986 -45.85836679,-67.8721619 -45.8576637,-67.8734279 -45.8573798,-67.8740823 -45.8579103,-67.87029294 -45.85782787,-67.8694689 -45.8577534,-67.8703272 -45.8578879,-67.8705525 -45.8574694,-67.8710139 -45.8575441,-67.86752908 -45.85773082,-67.8666365 -45.8577982,-67.8680527 -45.857716,-67.86509618 -45.85797591,-67.8655958 -45.85783560000001,-67.8642118 -45.8570435,-67.86269634 -45.8576934,-67.8630531 -45.8577608,-67.8618944 -45.8580074,-67.86119926 -45.8582863,-67.8617334 -45.8580597,-67.8595233 -45.8583362,-67.85800456 -45.85865306,-67.8585362 -45.8586425,-67.8567231 -45.8591431,-67.8550386 -45.8605852,-67.85325633 -45.86047853,-67.8547168 -45.8600622,-67.8545237 -45.8589862,-67.8537083 -45.858508,-67.852335 -45.8585529,-67.85051371 -45.8587379,-67.8511226 -45.8587172,-67.8489661 -45.8581942,-67.8504252 -45.8565952,-67.84992667 -45.85649082,-67.851541 -45.8561394,-67.8511119 -45.8555416,-67.8497386 -45.8553249,-67.8490841 -45.8555341,-67.84737753 -45.85568862,-67.8480864 -45.8556163,-67.846477 -45.8561992,-67.8452325 -45.8556537,-67.84359994 -45.85582912,-67.8438914 -45.8557508,-67.8414237 -45.8563262,-67.8377545 -45.8563187,-67.83653581 -45.85644197,-67.8371108 -45.8561767,-67.8326368 -45.8556313,-67.83154193 -45.85548135,-67.8319716 -45.855437,-67.8292787 -45.855108200000004,-67.82760578 -45.8552439,-67.8277767 -45.8550036,-67.8251696 -45.8547271,-67.824676 -45.8544207,-67.82322995 -45.85451391,-67.8244078 -45.8540994,-67.8225088 -45.8518801,-67.82163737 -45.8516816,-67.8223801 -45.8515886,-67.8209639 -45.8504751,-67.8196657 -45.8504079,-67.81800483 -45.85079524,-67.8185713 -45.8505798,-67.816962 -45.851073,-67.8161895 -45.8523658,-67.81497943 -45.85259887;-67.81497943 -45.85259887,-67.8185713 -45.8505798,-67.816962 -45.851073,-67.8161895 -45.8523658,-67.81800483 -45.85079524,-67.8223801 -45.8515886,-67.8209639 -45.8504751,-67.8196657 -45.8504079,-67.82163737 -45.8516816,-67.8244078 -45.8540994,-67.8225088 -45.8518801,-67.82322995 -45.85451391,-67.8277767 -45.8550036,-67.8251696 -45.8547271,-67.824676 -45.8544207,-67.82760578 -45.8552439,-67.8319716 -45.855437,-67.8292787 -45.855108200000004,-67.83154193 -45.85548135,-67.8371108 -45.8561767,-67.8326368 -45.8556313,-67.83653581 -45.85644197,-67.8438914 -45.8557508,-67.8414237 -45.8563262,-67.8377545 -45.8563187,-67.84359994 -45.85582912,-67.8480864 -45.8556163,-67.846477 -45.8561992,-67.8452325 -45.8556537,-67.84737753 -45.85568862,-67.851541 -45.8561394,-67.8511119 -45.8555416,-67.8497386 -45.8553249,-67.8490841 -45.8555341,-67.84992667 -45.85649082,-67.8511226 -45.8587172,-67.8489661 -45.8581942,-67.8504252 -45.8565952,-67.85051371 -45.8587379,-67.8547168 -45.8600622,-67.8545237 -45.8589862,-67.8537083 -45.858508,-67.852335 -45.8585529,-67.85325633 -45.86047853,-67.8585362 -45.8586425,-67.8567231 -45.8591431,-67.8550386 -45.8605852,-67.85800456 -45.85865306,-67.8602314 -45.85924030000001,-67.8568411 -45.8591506,-67.8585362 -45.8586425,-67.85979998 -45.85959279;-67.85979998 -45.85959279,-67.8602314 -45.85924030000001,-67.8568411 -45.8591506,-67.8585362 -45.8586425,-67.85800456 -45.85865306,-67.8617334 -45.8580597,-67.8595233 -45.8583362,-67.86119926 -45.8582863,-67.8630531 -45.8577608,-67.8618944 -45.8580074,-67.86269634 -45.8576934,-67.8655958 -45.85783560000001,-67.8642118 -45.8570435,-67.86509618 -45.85797591,-67.8666365 -45.8577982,-67.8680527 -45.857716,-67.86752908 -45.85773082,-67.8694689 -45.8577534,-67.8703272 -45.8578879,-67.8705525 -45.8574694,-67.8710139 -45.8575441,-67.87029294 -45.85782787,-67.8721619 -45.8576637,-67.8734279 -45.8573798,-67.8740823 -45.8579103,-67.87227986 -45.85836679;-67.87227986 -45.85836679,-67.8758311 -45.8590012,-67.8755307 -45.858777,-67.8718829 -45.8588144,-67.8721619 -45.8576637,-67.8733528 -45.857462,-67.8739536 -45.8579028,-67.87446619 -45.85953534,-67.875917 -45.8590236,-67.8765607 -45.8587098,-67.8784597 -45.8588443,-67.87771797 -45.85914466,-67.8790283 -45.8588293,-67.880466 -45.8587397,-67.8813028 -45.8593598,-67.88077392 -45.85953999,-67.8814316 -45.8592926,-67.8808415 -45.8591357,-67.880863 -45.8587322,-67.8817642 -45.858239,-67.8850043 -45.8580522,-67.88402968 -45.85834964,-67.887429 -45.855564,-67.8882551 -45.8548691,-67.8894138 -45.853808,-67.8920853 -45.8535689,-67.8916454 -45.8538678,-67.8897357 -45.85395,-67.88910 -45.85436,-67.8875685 -45.8562589,-67.885799 -45.8571033,-67.88544 -45.8578281,-67.88523 -45.85794,-67.88581092 -45.85597227,-67.887429 -45.855564,-67.8894138 -45.853808,-67.8932333 -45.8533447,-67.8969455 -45.8545851,-67.8963768 -45.8546599,-67.89483427 -45.85484841,-67.9008508 -45.8548093,-67.8990161 -45.8545403,-67.898823 -45.8538678,-67.8965485 -45.8545553,-67.90022567 -45.85540767,,-67.90067511 -45.8549717,-67.904284 -45.8564084,-67.9033184 -45.8552726,-67.9019022 -45.8551232,-67.90400196 -45.85653031,,-67.90333441 -45.85910192;-67.90333441 -45.85910192,,-67.90400196 -45.85653031,-67.90773330000002 -45.8580522,-67.9073417 -45.8579177,-67.9068965 -45.8568567,-67.9053408 -45.8563822,-67.90707943 -45.8582017,-67.9102653 -45.8586986,-67.9081625 -45.8581195,-67.90964669 -45.85881191,-67.9112792 -45.8592776,-67.9102921 -45.8588293,-67.9105067 -45.8586425,-67.91058213 -45.85962973,-67.9145408 -45.8594047,-67.9124916 -45.858777,-67.9112792 -45.8592776,-67.91347499 -45.85938782,-67.9153347 -45.8605702,-67.9157317 -45.8599725,-67.9146159 -45.859457,-67.91412974 -45.86109479,-67.9219651 -45.8610335,-67.9157424 -45.8609887,-67.92116295 -45.86077528,-67.9235315 -45.8601219,-67.9222655 -45.8604731,-67.92204432 -45.86025045,-67.9253769 -45.8604208,-67.9236388 -45.8595317,-67.9233384 -45.8597857,-67.92472033 -45.86078317,-67.9288423 -45.860757,-67.9286063 -45.8609812,-67.9269433 -45.8608168,-67.9254305 -45.8610559,-67.9256237 -45.8606898,-67.92827234 -45.86082887,-67.9307091 -45.86097370000001,-67.9287457 -45.8609588,-67.9288423 -45.860757,-67.92973166 -45.86112334,-67.9343569 -45.8614145,-67.9335523 -45.861549,-67.9334021 -45.8611381,-67.9309666 -45.8609214,-67.93332777 -45.86169272,-67.9375219 -45.8620421,-67.9357517 -45.861085800000005,-67.9346144 -45.8614519,-67.93652197 -45.86222667,-67.9388309 -45.8607794,-67.938112 -45.8611007,-67.9377472 -45.860899,-67.9362881 -45.8614743,-67.9374897 -45.8619749,-67.93809539 -45.86091501,-67.9389811 -45.8623559,-67.9389596 -45.8618329,-67.9381979 -45.8610783,-67.9390669 -45.8607794,-67.93749455 -45.86270022,-67.9407942 -45.8630844,-67.9403758 -45.8621878,-67.9386914 -45.8624792,-67.94016816 -45.86304785,-67.9412395 -45.8636896,-67.94085860000001 -45.8628677,-67.94026881 -45.86394522,-67.9413575 -45.8643508,-67.94191 -45.8638801,-67.9413092 -45.8637717,-67.9397787 -45.86446671,-67.939437 -45.8659907,-67.9410034 -45.8642985,-67.93820898 -45.86621382,,-67.93822649 -45.86645361,-67.9383588 -45.8674437,-67.9380101 -45.8666929,-67.9392922 -45.8661064,-67.9400271 -45.8665472</t>
  </si>
</sst>
</file>

<file path=xl/styles.xml><?xml version="1.0" encoding="utf-8"?>
<styleSheet xmlns="http://schemas.openxmlformats.org/spreadsheetml/2006/main" xmlns:mc="http://schemas.openxmlformats.org/markup-compatibility/2006" xmlns:x14ac="http://schemas.microsoft.com/office/spreadsheetml/2009/9/ac" mc:Ignorable="x14ac">
  <numFmts count="6">
    <numFmt numFmtId="43" formatCode="_(* #,##0.00_);_(* \(#,##0.00\);_(* &quot;-&quot;??_);_(@_)"/>
    <numFmt numFmtId="164" formatCode="_ * #,##0.00_ ;_ * \-#,##0.00_ ;_ * &quot;-&quot;??_ ;_ @_ "/>
    <numFmt numFmtId="165" formatCode="_-* #,##0.00\ &quot;€&quot;_-;\-* #,##0.00\ &quot;€&quot;_-;_-* &quot;-&quot;??\ &quot;€&quot;_-;_-@_-"/>
    <numFmt numFmtId="166" formatCode="0.0"/>
    <numFmt numFmtId="167" formatCode="0.0%"/>
    <numFmt numFmtId="168" formatCode="[$-409]d\-mmm\-yy;@"/>
  </numFmts>
  <fonts count="48" x14ac:knownFonts="1">
    <font>
      <sz val="11"/>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sz val="11"/>
      <color indexed="8"/>
      <name val="Calibri"/>
      <family val="2"/>
      <scheme val="minor"/>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sz val="10"/>
      <name val="Arial"/>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0"/>
      <name val="Courier"/>
      <family val="3"/>
    </font>
    <font>
      <b/>
      <sz val="11"/>
      <color indexed="63"/>
      <name val="Calibri"/>
      <family val="2"/>
    </font>
    <font>
      <sz val="11"/>
      <color theme="1"/>
      <name val="Calibri"/>
      <family val="2"/>
    </font>
    <font>
      <b/>
      <u/>
      <sz val="10"/>
      <name val="Arial"/>
      <family val="2"/>
    </font>
    <font>
      <b/>
      <sz val="18"/>
      <color indexed="56"/>
      <name val="Cambria"/>
      <family val="2"/>
    </font>
    <font>
      <sz val="11"/>
      <color indexed="10"/>
      <name val="Calibri"/>
      <family val="2"/>
    </font>
    <font>
      <b/>
      <sz val="11"/>
      <color rgb="FF0070C0"/>
      <name val="Calibri"/>
      <family val="2"/>
      <scheme val="minor"/>
    </font>
    <font>
      <sz val="11"/>
      <color rgb="FF000000"/>
      <name val="Calibri"/>
      <family val="2"/>
    </font>
    <font>
      <b/>
      <sz val="11"/>
      <color rgb="FFFF0000"/>
      <name val="Calibri"/>
      <family val="2"/>
      <scheme val="minor"/>
    </font>
    <font>
      <b/>
      <sz val="10"/>
      <color theme="1"/>
      <name val="Calibri"/>
      <family val="2"/>
    </font>
    <font>
      <b/>
      <sz val="9"/>
      <color theme="1"/>
      <name val="Calibri"/>
      <family val="2"/>
    </font>
    <font>
      <b/>
      <sz val="12"/>
      <color rgb="FFFF0000"/>
      <name val="Calibri"/>
      <family val="2"/>
      <scheme val="minor"/>
    </font>
    <font>
      <sz val="10"/>
      <color rgb="FF000000"/>
      <name val="Calibri"/>
      <family val="2"/>
    </font>
    <font>
      <b/>
      <sz val="10"/>
      <color rgb="FF000000"/>
      <name val="Calibri"/>
      <family val="2"/>
    </font>
    <font>
      <b/>
      <sz val="10"/>
      <color rgb="FFFF0000"/>
      <name val="Calibri"/>
      <family val="2"/>
      <scheme val="minor"/>
    </font>
    <font>
      <b/>
      <sz val="10"/>
      <color rgb="FF0070C0"/>
      <name val="Calibri"/>
      <family val="2"/>
      <scheme val="minor"/>
    </font>
    <font>
      <sz val="10"/>
      <name val="Calibri"/>
      <family val="2"/>
      <scheme val="minor"/>
    </font>
    <font>
      <b/>
      <sz val="11"/>
      <name val="Calibri"/>
      <family val="2"/>
    </font>
    <font>
      <b/>
      <sz val="14"/>
      <name val="Calibri"/>
      <family val="2"/>
      <scheme val="minor"/>
    </font>
    <font>
      <sz val="11"/>
      <name val="Calibri"/>
      <family val="2"/>
      <scheme val="minor"/>
    </font>
    <font>
      <b/>
      <sz val="11"/>
      <name val="Calibri"/>
      <family val="2"/>
      <scheme val="minor"/>
    </font>
    <font>
      <sz val="11"/>
      <color theme="3" tint="-0.249977111117893"/>
      <name val="Calibri"/>
      <family val="2"/>
      <scheme val="minor"/>
    </font>
    <font>
      <b/>
      <sz val="11"/>
      <color theme="3" tint="-0.249977111117893"/>
      <name val="Calibri"/>
      <family val="2"/>
      <scheme val="minor"/>
    </font>
    <font>
      <sz val="9"/>
      <name val="Calibri"/>
      <family val="2"/>
      <scheme val="minor"/>
    </font>
    <font>
      <sz val="9"/>
      <color theme="1"/>
      <name val="Calibri"/>
      <family val="2"/>
      <scheme val="minor"/>
    </font>
    <font>
      <sz val="11"/>
      <color theme="0"/>
      <name val="Calibri"/>
      <family val="2"/>
      <scheme val="minor"/>
    </font>
    <font>
      <b/>
      <sz val="12"/>
      <color theme="0"/>
      <name val="Calibri"/>
      <family val="2"/>
      <scheme val="minor"/>
    </font>
    <font>
      <sz val="10"/>
      <color theme="0"/>
      <name val="Calibri"/>
      <family val="2"/>
      <scheme val="minor"/>
    </font>
    <font>
      <b/>
      <sz val="10"/>
      <color theme="2"/>
      <name val="Calibri"/>
      <family val="2"/>
      <scheme val="minor"/>
    </font>
  </fonts>
  <fills count="32">
    <fill>
      <patternFill patternType="none"/>
    </fill>
    <fill>
      <patternFill patternType="gray125"/>
    </fill>
    <fill>
      <patternFill patternType="solid">
        <fgColor theme="0" tint="-4.9989318521683403E-2"/>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26"/>
      </patternFill>
    </fill>
    <fill>
      <patternFill patternType="solid">
        <fgColor theme="0"/>
        <bgColor indexed="64"/>
      </patternFill>
    </fill>
    <fill>
      <patternFill patternType="solid">
        <fgColor theme="0" tint="-0.14999847407452621"/>
        <bgColor indexed="64"/>
      </patternFill>
    </fill>
    <fill>
      <patternFill patternType="solid">
        <fgColor rgb="FFD9D9D9"/>
        <bgColor rgb="FF000000"/>
      </patternFill>
    </fill>
    <fill>
      <patternFill patternType="solid">
        <fgColor rgb="FFF2F2F2"/>
        <bgColor rgb="FF000000"/>
      </patternFill>
    </fill>
    <fill>
      <patternFill patternType="solid">
        <fgColor rgb="FFFFC000"/>
        <bgColor rgb="FF000000"/>
      </patternFill>
    </fill>
    <fill>
      <patternFill patternType="solid">
        <fgColor theme="5" tint="0.79998168889431442"/>
        <bgColor indexed="64"/>
      </patternFill>
    </fill>
    <fill>
      <patternFill patternType="solid">
        <fgColor theme="6" tint="0.79998168889431442"/>
        <bgColor indexed="64"/>
      </patternFill>
    </fill>
    <fill>
      <patternFill patternType="solid">
        <fgColor theme="6" tint="0.59999389629810485"/>
        <bgColor indexed="64"/>
      </patternFill>
    </fill>
  </fills>
  <borders count="18">
    <border>
      <left/>
      <right/>
      <top/>
      <bottom/>
      <diagonal/>
    </border>
    <border>
      <left style="dashed">
        <color auto="1"/>
      </left>
      <right style="dashed">
        <color auto="1"/>
      </right>
      <top style="dashed">
        <color auto="1"/>
      </top>
      <bottom style="dashed">
        <color auto="1"/>
      </bottom>
      <diagonal/>
    </border>
    <border>
      <left style="dashed">
        <color auto="1"/>
      </left>
      <right style="dashed">
        <color auto="1"/>
      </right>
      <top style="dashed">
        <color auto="1"/>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style="dotted">
        <color auto="1"/>
      </left>
      <right style="dotted">
        <color auto="1"/>
      </right>
      <top style="dotted">
        <color auto="1"/>
      </top>
      <bottom style="dotted">
        <color auto="1"/>
      </bottom>
      <diagonal/>
    </border>
    <border>
      <left style="dotted">
        <color auto="1"/>
      </left>
      <right/>
      <top style="dotted">
        <color auto="1"/>
      </top>
      <bottom style="dotted">
        <color auto="1"/>
      </bottom>
      <diagonal/>
    </border>
    <border>
      <left/>
      <right style="dotted">
        <color auto="1"/>
      </right>
      <top style="dotted">
        <color auto="1"/>
      </top>
      <bottom style="dotted">
        <color auto="1"/>
      </bottom>
      <diagonal/>
    </border>
    <border>
      <left/>
      <right/>
      <top style="dotted">
        <color auto="1"/>
      </top>
      <bottom style="dotted">
        <color auto="1"/>
      </bottom>
      <diagonal/>
    </border>
    <border>
      <left style="dotted">
        <color auto="1"/>
      </left>
      <right style="dotted">
        <color auto="1"/>
      </right>
      <top/>
      <bottom/>
      <diagonal/>
    </border>
    <border>
      <left style="dashed">
        <color auto="1"/>
      </left>
      <right style="dashed">
        <color auto="1"/>
      </right>
      <top/>
      <bottom/>
      <diagonal/>
    </border>
    <border>
      <left style="dashed">
        <color auto="1"/>
      </left>
      <right style="dashed">
        <color auto="1"/>
      </right>
      <top/>
      <bottom style="dashed">
        <color auto="1"/>
      </bottom>
      <diagonal/>
    </border>
  </borders>
  <cellStyleXfs count="57">
    <xf numFmtId="0" fontId="0" fillId="0" borderId="0"/>
    <xf numFmtId="9" fontId="1" fillId="0" borderId="0" applyFont="0" applyFill="0" applyBorder="0" applyAlignment="0" applyProtection="0"/>
    <xf numFmtId="0" fontId="1" fillId="0" borderId="0"/>
    <xf numFmtId="0" fontId="1" fillId="0" borderId="0"/>
    <xf numFmtId="0" fontId="5" fillId="0" borderId="0"/>
    <xf numFmtId="0" fontId="6" fillId="3" borderId="0" applyNumberFormat="0" applyBorder="0" applyAlignment="0" applyProtection="0"/>
    <xf numFmtId="0" fontId="6" fillId="4" borderId="0" applyNumberFormat="0" applyBorder="0" applyAlignment="0" applyProtection="0"/>
    <xf numFmtId="0" fontId="6" fillId="5" borderId="0" applyNumberFormat="0" applyBorder="0" applyAlignment="0" applyProtection="0"/>
    <xf numFmtId="0" fontId="6" fillId="6" borderId="0" applyNumberFormat="0" applyBorder="0" applyAlignment="0" applyProtection="0"/>
    <xf numFmtId="0" fontId="6" fillId="7" borderId="0" applyNumberFormat="0" applyBorder="0" applyAlignment="0" applyProtection="0"/>
    <xf numFmtId="0" fontId="6" fillId="8" borderId="0" applyNumberFormat="0" applyBorder="0" applyAlignment="0" applyProtection="0"/>
    <xf numFmtId="0" fontId="6" fillId="9" borderId="0" applyNumberFormat="0" applyBorder="0" applyAlignment="0" applyProtection="0"/>
    <xf numFmtId="0" fontId="6" fillId="10" borderId="0" applyNumberFormat="0" applyBorder="0" applyAlignment="0" applyProtection="0"/>
    <xf numFmtId="0" fontId="6" fillId="11" borderId="0" applyNumberFormat="0" applyBorder="0" applyAlignment="0" applyProtection="0"/>
    <xf numFmtId="0" fontId="6" fillId="6" borderId="0" applyNumberFormat="0" applyBorder="0" applyAlignment="0" applyProtection="0"/>
    <xf numFmtId="0" fontId="6" fillId="9" borderId="0" applyNumberFormat="0" applyBorder="0" applyAlignment="0" applyProtection="0"/>
    <xf numFmtId="0" fontId="6" fillId="12" borderId="0" applyNumberFormat="0" applyBorder="0" applyAlignment="0" applyProtection="0"/>
    <xf numFmtId="0" fontId="7" fillId="13" borderId="0" applyNumberFormat="0" applyBorder="0" applyAlignment="0" applyProtection="0"/>
    <xf numFmtId="0" fontId="7" fillId="10" borderId="0" applyNumberFormat="0" applyBorder="0" applyAlignment="0" applyProtection="0"/>
    <xf numFmtId="0" fontId="7" fillId="11" borderId="0" applyNumberFormat="0" applyBorder="0" applyAlignment="0" applyProtection="0"/>
    <xf numFmtId="0" fontId="7" fillId="14" borderId="0" applyNumberFormat="0" applyBorder="0" applyAlignment="0" applyProtection="0"/>
    <xf numFmtId="0" fontId="7" fillId="15" borderId="0" applyNumberFormat="0" applyBorder="0" applyAlignment="0" applyProtection="0"/>
    <xf numFmtId="0" fontId="7" fillId="16"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19" borderId="0" applyNumberFormat="0" applyBorder="0" applyAlignment="0" applyProtection="0"/>
    <xf numFmtId="0" fontId="7" fillId="14" borderId="0" applyNumberFormat="0" applyBorder="0" applyAlignment="0" applyProtection="0"/>
    <xf numFmtId="0" fontId="7" fillId="15" borderId="0" applyNumberFormat="0" applyBorder="0" applyAlignment="0" applyProtection="0"/>
    <xf numFmtId="0" fontId="7" fillId="20" borderId="0" applyNumberFormat="0" applyBorder="0" applyAlignment="0" applyProtection="0"/>
    <xf numFmtId="0" fontId="8" fillId="4" borderId="0" applyNumberFormat="0" applyBorder="0" applyAlignment="0" applyProtection="0"/>
    <xf numFmtId="0" fontId="9" fillId="21" borderId="3" applyNumberFormat="0" applyAlignment="0" applyProtection="0"/>
    <xf numFmtId="0" fontId="10" fillId="22" borderId="4" applyNumberFormat="0" applyAlignment="0" applyProtection="0"/>
    <xf numFmtId="43" fontId="11" fillId="0" borderId="0" applyFont="0" applyFill="0" applyBorder="0" applyAlignment="0" applyProtection="0"/>
    <xf numFmtId="165" fontId="11" fillId="0" borderId="0" applyFont="0" applyFill="0" applyBorder="0" applyAlignment="0" applyProtection="0"/>
    <xf numFmtId="0" fontId="12" fillId="0" borderId="0" applyNumberFormat="0" applyFill="0" applyBorder="0" applyAlignment="0" applyProtection="0"/>
    <xf numFmtId="0" fontId="13" fillId="5" borderId="0" applyNumberFormat="0" applyBorder="0" applyAlignment="0" applyProtection="0"/>
    <xf numFmtId="0" fontId="14" fillId="0" borderId="5" applyNumberFormat="0" applyFill="0" applyAlignment="0" applyProtection="0"/>
    <xf numFmtId="0" fontId="15" fillId="0" borderId="6" applyNumberFormat="0" applyFill="0" applyAlignment="0" applyProtection="0"/>
    <xf numFmtId="0" fontId="16" fillId="0" borderId="7" applyNumberFormat="0" applyFill="0" applyAlignment="0" applyProtection="0"/>
    <xf numFmtId="0" fontId="16" fillId="0" borderId="0" applyNumberFormat="0" applyFill="0" applyBorder="0" applyAlignment="0" applyProtection="0"/>
    <xf numFmtId="0" fontId="17" fillId="8" borderId="3" applyNumberFormat="0" applyAlignment="0" applyProtection="0"/>
    <xf numFmtId="0" fontId="18" fillId="0" borderId="8" applyNumberFormat="0" applyFill="0" applyAlignment="0" applyProtection="0"/>
    <xf numFmtId="164" fontId="1" fillId="0" borderId="0" applyFont="0" applyFill="0" applyBorder="0" applyAlignment="0" applyProtection="0"/>
    <xf numFmtId="0" fontId="6" fillId="0" borderId="0"/>
    <xf numFmtId="0" fontId="19" fillId="0" borderId="0"/>
    <xf numFmtId="0" fontId="11" fillId="0" borderId="0"/>
    <xf numFmtId="0" fontId="1" fillId="0" borderId="0"/>
    <xf numFmtId="0" fontId="1" fillId="0" borderId="0"/>
    <xf numFmtId="0" fontId="11" fillId="23" borderId="9" applyNumberFormat="0" applyFont="0" applyAlignment="0" applyProtection="0"/>
    <xf numFmtId="0" fontId="20" fillId="21" borderId="10" applyNumberFormat="0" applyAlignment="0" applyProtection="0"/>
    <xf numFmtId="9" fontId="21" fillId="0" borderId="0" applyFont="0" applyFill="0" applyBorder="0" applyAlignment="0" applyProtection="0"/>
    <xf numFmtId="9" fontId="6" fillId="0" borderId="0" applyFont="0" applyFill="0" applyBorder="0" applyAlignment="0" applyProtection="0"/>
    <xf numFmtId="0" fontId="22" fillId="0" borderId="0">
      <protection locked="0"/>
    </xf>
    <xf numFmtId="9" fontId="11" fillId="0" borderId="0" applyFon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168" fontId="11" fillId="0" borderId="0"/>
  </cellStyleXfs>
  <cellXfs count="186">
    <xf numFmtId="0" fontId="0" fillId="0" borderId="0" xfId="0"/>
    <xf numFmtId="0" fontId="0" fillId="0" borderId="11" xfId="0" applyBorder="1"/>
    <xf numFmtId="0" fontId="0" fillId="0" borderId="0" xfId="0"/>
    <xf numFmtId="0" fontId="0" fillId="24" borderId="0" xfId="0" applyFill="1"/>
    <xf numFmtId="0" fontId="0" fillId="0" borderId="0" xfId="0" applyFill="1" applyBorder="1"/>
    <xf numFmtId="0" fontId="0" fillId="0" borderId="0" xfId="0" applyAlignment="1">
      <alignment horizontal="right"/>
    </xf>
    <xf numFmtId="1" fontId="0" fillId="0" borderId="0" xfId="0" applyNumberFormat="1"/>
    <xf numFmtId="0" fontId="3" fillId="0" borderId="0" xfId="0" applyFont="1" applyBorder="1" applyAlignment="1">
      <alignment horizontal="right" vertical="center" wrapText="1"/>
    </xf>
    <xf numFmtId="0" fontId="3" fillId="0" borderId="0" xfId="0" applyFont="1" applyBorder="1" applyAlignment="1">
      <alignment horizontal="left" vertical="center" wrapText="1"/>
    </xf>
    <xf numFmtId="0" fontId="3" fillId="0" borderId="11" xfId="0" quotePrefix="1" applyNumberFormat="1" applyFont="1" applyBorder="1" applyAlignment="1">
      <alignment horizontal="center"/>
    </xf>
    <xf numFmtId="0" fontId="3" fillId="0" borderId="11" xfId="0" quotePrefix="1" applyNumberFormat="1" applyFont="1" applyBorder="1"/>
    <xf numFmtId="0" fontId="3" fillId="0" borderId="11" xfId="0" applyNumberFormat="1" applyFont="1" applyBorder="1"/>
    <xf numFmtId="0" fontId="4" fillId="25" borderId="11" xfId="0" applyFont="1" applyFill="1" applyBorder="1" applyAlignment="1">
      <alignment horizontal="center" vertical="center" wrapText="1"/>
    </xf>
    <xf numFmtId="0" fontId="3" fillId="0" borderId="0" xfId="0" applyFont="1" applyFill="1" applyBorder="1" applyAlignment="1">
      <alignment horizontal="right" vertical="center" wrapText="1"/>
    </xf>
    <xf numFmtId="0" fontId="4" fillId="2" borderId="11" xfId="0" applyFont="1" applyFill="1" applyBorder="1" applyAlignment="1">
      <alignment horizontal="left" vertical="center" wrapText="1"/>
    </xf>
    <xf numFmtId="0" fontId="4" fillId="2" borderId="11" xfId="0" applyFont="1" applyFill="1" applyBorder="1" applyAlignment="1">
      <alignment vertical="center" wrapText="1"/>
    </xf>
    <xf numFmtId="0" fontId="3" fillId="0" borderId="11" xfId="0" applyFont="1" applyBorder="1" applyAlignment="1">
      <alignment horizontal="left" vertical="center" wrapText="1"/>
    </xf>
    <xf numFmtId="0" fontId="3" fillId="0" borderId="11" xfId="0" applyFont="1" applyBorder="1" applyAlignment="1">
      <alignment horizontal="right" vertical="center" wrapText="1"/>
    </xf>
    <xf numFmtId="0" fontId="3" fillId="0" borderId="11" xfId="0" applyFont="1" applyFill="1" applyBorder="1" applyAlignment="1">
      <alignment horizontal="left" vertical="center" wrapText="1"/>
    </xf>
    <xf numFmtId="1" fontId="3" fillId="0" borderId="11" xfId="0" applyNumberFormat="1" applyFont="1" applyBorder="1" applyAlignment="1">
      <alignment horizontal="right" vertical="center" wrapText="1"/>
    </xf>
    <xf numFmtId="0" fontId="3" fillId="0" borderId="11" xfId="0" applyFont="1" applyFill="1" applyBorder="1" applyAlignment="1">
      <alignment horizontal="right" vertical="center" wrapText="1"/>
    </xf>
    <xf numFmtId="0" fontId="4" fillId="2" borderId="14" xfId="0" applyFont="1" applyFill="1" applyBorder="1" applyAlignment="1">
      <alignment vertical="center" wrapText="1"/>
    </xf>
    <xf numFmtId="0" fontId="4" fillId="2" borderId="13" xfId="0" applyFont="1" applyFill="1" applyBorder="1" applyAlignment="1">
      <alignment vertical="center" wrapText="1"/>
    </xf>
    <xf numFmtId="0" fontId="4" fillId="25" borderId="15" xfId="0" applyFont="1" applyFill="1" applyBorder="1" applyAlignment="1">
      <alignment horizontal="center" vertical="center" wrapText="1"/>
    </xf>
    <xf numFmtId="2" fontId="2" fillId="0" borderId="0" xfId="0" applyNumberFormat="1" applyFont="1"/>
    <xf numFmtId="0" fontId="4" fillId="0" borderId="0" xfId="0" applyFont="1" applyFill="1" applyBorder="1" applyAlignment="1">
      <alignment horizontal="center" vertical="center" wrapText="1"/>
    </xf>
    <xf numFmtId="0" fontId="4" fillId="0" borderId="0" xfId="0" applyFont="1" applyFill="1" applyBorder="1" applyAlignment="1">
      <alignment vertical="center" wrapText="1"/>
    </xf>
    <xf numFmtId="0" fontId="0" fillId="0" borderId="0" xfId="0" applyFill="1"/>
    <xf numFmtId="0" fontId="31" fillId="26" borderId="1" xfId="2" applyFont="1" applyFill="1" applyBorder="1" applyAlignment="1">
      <alignment horizontal="center" vertical="center" wrapText="1"/>
    </xf>
    <xf numFmtId="0" fontId="31" fillId="27" borderId="1" xfId="2" applyFont="1" applyFill="1" applyBorder="1" applyAlignment="1">
      <alignment horizontal="left" vertical="center" wrapText="1"/>
    </xf>
    <xf numFmtId="0" fontId="31" fillId="27" borderId="1" xfId="2" applyFont="1" applyFill="1" applyBorder="1" applyAlignment="1">
      <alignment horizontal="right" vertical="center" wrapText="1"/>
    </xf>
    <xf numFmtId="0" fontId="31" fillId="0" borderId="1" xfId="2" applyFont="1" applyFill="1" applyBorder="1" applyAlignment="1">
      <alignment horizontal="left" vertical="center" wrapText="1"/>
    </xf>
    <xf numFmtId="1" fontId="31" fillId="28" borderId="1" xfId="2" applyNumberFormat="1" applyFont="1" applyFill="1" applyBorder="1" applyAlignment="1">
      <alignment horizontal="right" vertical="center" wrapText="1"/>
    </xf>
    <xf numFmtId="0" fontId="31" fillId="28" borderId="1" xfId="2" applyFont="1" applyFill="1" applyBorder="1" applyAlignment="1">
      <alignment horizontal="right" vertical="center" wrapText="1"/>
    </xf>
    <xf numFmtId="0" fontId="31" fillId="27" borderId="1" xfId="2" applyFont="1" applyFill="1" applyBorder="1" applyAlignment="1">
      <alignment vertical="center" wrapText="1"/>
    </xf>
    <xf numFmtId="0" fontId="0" fillId="0" borderId="0" xfId="0" applyFont="1" applyBorder="1" applyAlignment="1">
      <alignment vertical="center"/>
    </xf>
    <xf numFmtId="0" fontId="2" fillId="0" borderId="0" xfId="0" applyFont="1" applyBorder="1" applyAlignment="1">
      <alignment horizontal="center" vertical="center"/>
    </xf>
    <xf numFmtId="0" fontId="2" fillId="0" borderId="0" xfId="0" applyFont="1" applyFill="1" applyBorder="1" applyAlignment="1">
      <alignment horizontal="center" vertical="center"/>
    </xf>
    <xf numFmtId="0" fontId="3" fillId="0" borderId="0" xfId="0" applyFont="1" applyBorder="1" applyAlignment="1">
      <alignment vertical="center"/>
    </xf>
    <xf numFmtId="0" fontId="3" fillId="0" borderId="11" xfId="0" applyFont="1" applyBorder="1" applyAlignment="1">
      <alignment horizontal="center" vertical="center"/>
    </xf>
    <xf numFmtId="0" fontId="33" fillId="0" borderId="11" xfId="0" applyFont="1" applyBorder="1" applyAlignment="1">
      <alignment vertical="center"/>
    </xf>
    <xf numFmtId="1" fontId="34" fillId="0" borderId="11" xfId="0" applyNumberFormat="1" applyFont="1" applyBorder="1" applyAlignment="1">
      <alignment vertical="center"/>
    </xf>
    <xf numFmtId="0" fontId="3" fillId="0" borderId="11" xfId="0" applyFont="1" applyFill="1" applyBorder="1" applyAlignment="1">
      <alignment vertical="center"/>
    </xf>
    <xf numFmtId="0" fontId="4" fillId="0" borderId="0" xfId="0" applyFont="1" applyBorder="1" applyAlignment="1">
      <alignment vertical="center"/>
    </xf>
    <xf numFmtId="0" fontId="3" fillId="0" borderId="11" xfId="0" applyFont="1" applyFill="1" applyBorder="1" applyAlignment="1">
      <alignment horizontal="center" vertical="center"/>
    </xf>
    <xf numFmtId="0" fontId="33" fillId="0" borderId="11" xfId="0" applyFont="1" applyFill="1" applyBorder="1" applyAlignment="1">
      <alignment vertical="center"/>
    </xf>
    <xf numFmtId="0" fontId="3" fillId="0" borderId="0" xfId="0" applyFont="1" applyFill="1" applyBorder="1" applyAlignment="1">
      <alignment vertical="center"/>
    </xf>
    <xf numFmtId="0" fontId="35" fillId="0" borderId="0" xfId="0" applyFont="1" applyFill="1" applyBorder="1" applyAlignment="1">
      <alignment vertical="center"/>
    </xf>
    <xf numFmtId="0" fontId="35" fillId="0" borderId="11" xfId="0" applyFont="1" applyFill="1" applyBorder="1" applyAlignment="1">
      <alignment horizontal="center" vertical="center"/>
    </xf>
    <xf numFmtId="0" fontId="35" fillId="0" borderId="11" xfId="0" applyFont="1" applyFill="1" applyBorder="1" applyAlignment="1">
      <alignment vertical="center"/>
    </xf>
    <xf numFmtId="0" fontId="1" fillId="0" borderId="1" xfId="3" applyBorder="1" applyAlignment="1">
      <alignment horizontal="center"/>
    </xf>
    <xf numFmtId="0" fontId="0" fillId="0" borderId="1" xfId="3" applyFont="1" applyBorder="1" applyAlignment="1">
      <alignment horizontal="center"/>
    </xf>
    <xf numFmtId="0" fontId="3" fillId="0" borderId="1" xfId="3" applyFont="1" applyBorder="1" applyAlignment="1">
      <alignment horizontal="center" vertical="center" wrapText="1"/>
    </xf>
    <xf numFmtId="0" fontId="5" fillId="0" borderId="1" xfId="4" applyBorder="1" applyAlignment="1">
      <alignment horizontal="center"/>
    </xf>
    <xf numFmtId="0" fontId="0" fillId="0" borderId="17" xfId="0" applyBorder="1" applyAlignment="1">
      <alignment horizontal="left" vertical="center" wrapText="1"/>
    </xf>
    <xf numFmtId="0" fontId="3" fillId="0" borderId="11" xfId="0" quotePrefix="1" applyNumberFormat="1" applyFont="1" applyBorder="1" applyAlignment="1" applyProtection="1">
      <alignment horizontal="center"/>
      <protection locked="0"/>
    </xf>
    <xf numFmtId="0" fontId="4" fillId="25" borderId="11" xfId="0" applyFont="1" applyFill="1" applyBorder="1" applyAlignment="1" applyProtection="1">
      <alignment horizontal="center" vertical="center" wrapText="1"/>
      <protection locked="0"/>
    </xf>
    <xf numFmtId="0" fontId="4" fillId="2" borderId="11" xfId="0" applyFont="1" applyFill="1" applyBorder="1" applyAlignment="1" applyProtection="1">
      <alignment vertical="center" wrapText="1"/>
      <protection locked="0"/>
    </xf>
    <xf numFmtId="0" fontId="3" fillId="0" borderId="11" xfId="0" applyFont="1" applyBorder="1" applyAlignment="1" applyProtection="1">
      <alignment horizontal="center" vertical="center" wrapText="1"/>
      <protection locked="0"/>
    </xf>
    <xf numFmtId="0" fontId="3" fillId="2" borderId="11" xfId="0" applyFont="1" applyFill="1" applyBorder="1" applyAlignment="1" applyProtection="1">
      <alignment vertical="center" wrapText="1"/>
      <protection locked="0"/>
    </xf>
    <xf numFmtId="0" fontId="4" fillId="2" borderId="11" xfId="0" applyFont="1" applyFill="1" applyBorder="1" applyAlignment="1" applyProtection="1">
      <alignment horizontal="center" vertical="center" wrapText="1"/>
      <protection locked="0"/>
    </xf>
    <xf numFmtId="0" fontId="3" fillId="0" borderId="0" xfId="0" applyFont="1" applyBorder="1" applyAlignment="1" applyProtection="1">
      <alignment horizontal="right" vertical="center" wrapText="1"/>
      <protection locked="0"/>
    </xf>
    <xf numFmtId="1" fontId="2" fillId="0" borderId="0" xfId="0" applyNumberFormat="1" applyFont="1" applyBorder="1" applyAlignment="1" applyProtection="1">
      <alignment horizontal="center" vertical="center" wrapText="1"/>
      <protection locked="0"/>
    </xf>
    <xf numFmtId="1" fontId="0" fillId="0" borderId="0" xfId="0" applyNumberFormat="1" applyProtection="1">
      <protection locked="0"/>
    </xf>
    <xf numFmtId="0" fontId="0" fillId="0" borderId="0" xfId="0" applyProtection="1">
      <protection locked="0"/>
    </xf>
    <xf numFmtId="0" fontId="5" fillId="0" borderId="0" xfId="4"/>
    <xf numFmtId="0" fontId="5" fillId="0" borderId="0" xfId="4" applyAlignment="1">
      <alignment horizontal="left"/>
    </xf>
    <xf numFmtId="0" fontId="0" fillId="0" borderId="1" xfId="0" applyNumberFormat="1" applyBorder="1"/>
    <xf numFmtId="49" fontId="0" fillId="0" borderId="1" xfId="0" applyNumberFormat="1" applyBorder="1"/>
    <xf numFmtId="0" fontId="5" fillId="0" borderId="1" xfId="4" applyBorder="1" applyAlignment="1">
      <alignment horizontal="left"/>
    </xf>
    <xf numFmtId="0" fontId="3" fillId="0" borderId="1" xfId="0" applyFont="1" applyBorder="1" applyAlignment="1">
      <alignment horizontal="left" vertical="center" wrapText="1"/>
    </xf>
    <xf numFmtId="0" fontId="3" fillId="0" borderId="1" xfId="3" applyFont="1" applyBorder="1" applyAlignment="1">
      <alignment horizontal="left" vertical="center" wrapText="1"/>
    </xf>
    <xf numFmtId="0" fontId="3" fillId="0" borderId="1" xfId="3" applyFont="1" applyFill="1" applyBorder="1" applyAlignment="1">
      <alignment horizontal="left" vertical="center" wrapText="1"/>
    </xf>
    <xf numFmtId="0" fontId="5" fillId="0" borderId="1" xfId="4" applyBorder="1"/>
    <xf numFmtId="0" fontId="36" fillId="0" borderId="0" xfId="4" applyFont="1" applyFill="1"/>
    <xf numFmtId="0" fontId="5" fillId="0" borderId="1" xfId="4" applyFont="1" applyBorder="1" applyAlignment="1">
      <alignment horizontal="left"/>
    </xf>
    <xf numFmtId="0" fontId="2" fillId="0" borderId="1" xfId="0" applyFont="1" applyBorder="1" applyAlignment="1">
      <alignment horizontal="center" vertical="center"/>
    </xf>
    <xf numFmtId="0" fontId="38" fillId="2" borderId="0" xfId="0" applyFont="1" applyFill="1"/>
    <xf numFmtId="0" fontId="38" fillId="24" borderId="0" xfId="0" applyFont="1" applyFill="1"/>
    <xf numFmtId="0" fontId="38" fillId="2" borderId="0" xfId="0" applyFont="1" applyFill="1" applyProtection="1"/>
    <xf numFmtId="0" fontId="35" fillId="2" borderId="0" xfId="0" applyFont="1" applyFill="1" applyAlignment="1">
      <alignment horizontal="center"/>
    </xf>
    <xf numFmtId="0" fontId="38" fillId="2" borderId="0" xfId="0" applyFont="1" applyFill="1" applyAlignment="1">
      <alignment horizontal="center"/>
    </xf>
    <xf numFmtId="0" fontId="38" fillId="2" borderId="0" xfId="0" applyFont="1" applyFill="1" applyAlignment="1" applyProtection="1">
      <alignment horizontal="center"/>
      <protection locked="0"/>
    </xf>
    <xf numFmtId="9" fontId="39" fillId="2" borderId="0" xfId="0" applyNumberFormat="1" applyFont="1" applyFill="1" applyAlignment="1">
      <alignment horizontal="center"/>
    </xf>
    <xf numFmtId="0" fontId="39" fillId="2" borderId="0" xfId="0" applyFont="1" applyFill="1" applyBorder="1" applyAlignment="1">
      <alignment horizontal="center"/>
    </xf>
    <xf numFmtId="2" fontId="38" fillId="2" borderId="0" xfId="0" applyNumberFormat="1" applyFont="1" applyFill="1" applyAlignment="1">
      <alignment horizontal="right"/>
    </xf>
    <xf numFmtId="10" fontId="38" fillId="2" borderId="0" xfId="0" applyNumberFormat="1" applyFont="1" applyFill="1" applyAlignment="1">
      <alignment horizontal="center"/>
    </xf>
    <xf numFmtId="0" fontId="38" fillId="24" borderId="0" xfId="0" applyFont="1" applyFill="1" applyAlignment="1">
      <alignment horizontal="right"/>
    </xf>
    <xf numFmtId="10" fontId="38" fillId="24" borderId="0" xfId="0" applyNumberFormat="1" applyFont="1" applyFill="1" applyAlignment="1">
      <alignment horizontal="center"/>
    </xf>
    <xf numFmtId="0" fontId="40" fillId="29" borderId="0" xfId="0" applyFont="1" applyFill="1" applyAlignment="1" applyProtection="1">
      <alignment horizontal="center"/>
      <protection locked="0"/>
    </xf>
    <xf numFmtId="0" fontId="39" fillId="25" borderId="0" xfId="2" applyFont="1" applyFill="1" applyBorder="1" applyAlignment="1">
      <alignment horizontal="right" vertical="center" wrapText="1"/>
    </xf>
    <xf numFmtId="0" fontId="39" fillId="25" borderId="0" xfId="0" applyFont="1" applyFill="1" applyAlignment="1">
      <alignment vertical="center"/>
    </xf>
    <xf numFmtId="1" fontId="39" fillId="25" borderId="0" xfId="0" applyNumberFormat="1" applyFont="1" applyFill="1" applyBorder="1" applyAlignment="1">
      <alignment horizontal="center" vertical="center"/>
    </xf>
    <xf numFmtId="0" fontId="39" fillId="25" borderId="0" xfId="0" applyFont="1" applyFill="1" applyBorder="1" applyAlignment="1">
      <alignment horizontal="center" vertical="center"/>
    </xf>
    <xf numFmtId="0" fontId="39" fillId="2" borderId="0" xfId="2" applyFont="1" applyFill="1" applyBorder="1" applyAlignment="1">
      <alignment horizontal="right" wrapText="1"/>
    </xf>
    <xf numFmtId="0" fontId="39" fillId="2" borderId="0" xfId="0" applyFont="1" applyFill="1" applyAlignment="1"/>
    <xf numFmtId="0" fontId="38" fillId="24" borderId="0" xfId="0" applyFont="1" applyFill="1" applyAlignment="1"/>
    <xf numFmtId="0" fontId="38" fillId="2" borderId="0" xfId="0" applyFont="1" applyFill="1" applyProtection="1">
      <protection locked="0"/>
    </xf>
    <xf numFmtId="0" fontId="38" fillId="2" borderId="0" xfId="2" applyFont="1" applyFill="1" applyBorder="1" applyAlignment="1" applyProtection="1">
      <alignment horizontal="center" vertical="center" wrapText="1"/>
      <protection locked="0"/>
    </xf>
    <xf numFmtId="0" fontId="38" fillId="2" borderId="0" xfId="0" applyFont="1" applyFill="1" applyBorder="1" applyAlignment="1" applyProtection="1">
      <alignment horizontal="center"/>
      <protection locked="0"/>
    </xf>
    <xf numFmtId="0" fontId="38" fillId="25" borderId="0" xfId="0" applyFont="1" applyFill="1" applyAlignment="1">
      <alignment vertical="center"/>
    </xf>
    <xf numFmtId="0" fontId="0" fillId="0" borderId="0" xfId="0" applyFont="1" applyFill="1" applyBorder="1" applyAlignment="1">
      <alignment vertical="center"/>
    </xf>
    <xf numFmtId="0" fontId="0" fillId="2" borderId="0" xfId="0" applyFill="1"/>
    <xf numFmtId="0" fontId="0" fillId="2" borderId="0" xfId="0" applyFill="1" applyAlignment="1"/>
    <xf numFmtId="0" fontId="0" fillId="2" borderId="0" xfId="0" applyFill="1" applyBorder="1"/>
    <xf numFmtId="0" fontId="3" fillId="2" borderId="0" xfId="0" applyFont="1" applyFill="1" applyBorder="1" applyAlignment="1">
      <alignment horizontal="center"/>
    </xf>
    <xf numFmtId="0" fontId="0" fillId="2" borderId="0" xfId="0" applyFill="1" applyAlignment="1">
      <alignment horizontal="center"/>
    </xf>
    <xf numFmtId="2" fontId="27" fillId="2" borderId="0" xfId="0" applyNumberFormat="1" applyFont="1" applyFill="1" applyAlignment="1">
      <alignment horizontal="center"/>
    </xf>
    <xf numFmtId="0" fontId="0" fillId="2" borderId="0" xfId="0" applyFill="1" applyAlignment="1">
      <alignment vertical="center"/>
    </xf>
    <xf numFmtId="0" fontId="0" fillId="2" borderId="0" xfId="0" applyFill="1" applyAlignment="1">
      <alignment wrapText="1"/>
    </xf>
    <xf numFmtId="0" fontId="0" fillId="2" borderId="0" xfId="0" applyFill="1" applyAlignment="1">
      <alignment horizontal="left" vertical="center"/>
    </xf>
    <xf numFmtId="0" fontId="25" fillId="2" borderId="0" xfId="0" applyFont="1" applyFill="1" applyBorder="1"/>
    <xf numFmtId="0" fontId="0" fillId="2" borderId="0" xfId="0" applyFill="1" applyBorder="1" applyAlignment="1">
      <alignment horizontal="left" vertical="center"/>
    </xf>
    <xf numFmtId="0" fontId="25" fillId="2" borderId="0" xfId="0" applyFont="1" applyFill="1" applyBorder="1" applyAlignment="1">
      <alignment horizontal="center"/>
    </xf>
    <xf numFmtId="0" fontId="0" fillId="30" borderId="0" xfId="0" applyFill="1"/>
    <xf numFmtId="0" fontId="0" fillId="30" borderId="0" xfId="0" applyFill="1" applyBorder="1"/>
    <xf numFmtId="0" fontId="3" fillId="30" borderId="0" xfId="0" applyFont="1" applyFill="1" applyBorder="1" applyAlignment="1">
      <alignment horizontal="center"/>
    </xf>
    <xf numFmtId="0" fontId="0" fillId="30" borderId="0" xfId="0" applyFill="1" applyAlignment="1">
      <alignment horizontal="center"/>
    </xf>
    <xf numFmtId="0" fontId="0" fillId="30" borderId="0" xfId="0" applyFill="1" applyAlignment="1">
      <alignment horizontal="left" vertical="center"/>
    </xf>
    <xf numFmtId="0" fontId="25" fillId="30" borderId="0" xfId="0" applyFont="1" applyFill="1" applyBorder="1"/>
    <xf numFmtId="0" fontId="0" fillId="30" borderId="0" xfId="0" applyFill="1" applyBorder="1" applyAlignment="1">
      <alignment horizontal="left" vertical="center"/>
    </xf>
    <xf numFmtId="0" fontId="25" fillId="30" borderId="0" xfId="0" applyFont="1" applyFill="1" applyBorder="1" applyAlignment="1">
      <alignment horizontal="center"/>
    </xf>
    <xf numFmtId="0" fontId="0" fillId="2" borderId="0" xfId="0" applyFill="1" applyBorder="1" applyAlignment="1">
      <alignment vertical="center" wrapText="1"/>
    </xf>
    <xf numFmtId="0" fontId="0" fillId="2" borderId="0" xfId="0" applyFill="1" applyBorder="1" applyAlignment="1">
      <alignment vertical="center"/>
    </xf>
    <xf numFmtId="0" fontId="0" fillId="2" borderId="0" xfId="0" applyFill="1" applyBorder="1" applyAlignment="1">
      <alignment wrapText="1"/>
    </xf>
    <xf numFmtId="0" fontId="0" fillId="2" borderId="0" xfId="0" applyFill="1" applyBorder="1" applyAlignment="1"/>
    <xf numFmtId="0" fontId="42" fillId="2" borderId="0" xfId="2" applyFont="1" applyFill="1" applyBorder="1" applyAlignment="1">
      <alignment horizontal="right" vertical="center" wrapText="1"/>
    </xf>
    <xf numFmtId="0" fontId="42" fillId="2" borderId="0" xfId="0" applyFont="1" applyFill="1" applyBorder="1" applyAlignment="1">
      <alignment horizontal="right"/>
    </xf>
    <xf numFmtId="0" fontId="42" fillId="2" borderId="0" xfId="0" applyFont="1" applyFill="1" applyAlignment="1">
      <alignment horizontal="right"/>
    </xf>
    <xf numFmtId="9" fontId="42" fillId="2" borderId="0" xfId="1" applyFont="1" applyFill="1" applyBorder="1" applyAlignment="1">
      <alignment horizontal="right"/>
    </xf>
    <xf numFmtId="167" fontId="42" fillId="2" borderId="0" xfId="0" applyNumberFormat="1" applyFont="1" applyFill="1" applyAlignment="1">
      <alignment horizontal="center"/>
    </xf>
    <xf numFmtId="167" fontId="39" fillId="25" borderId="0" xfId="0" applyNumberFormat="1" applyFont="1" applyFill="1" applyAlignment="1">
      <alignment horizontal="center" vertical="center"/>
    </xf>
    <xf numFmtId="167" fontId="39" fillId="25" borderId="0" xfId="0" applyNumberFormat="1" applyFont="1" applyFill="1" applyAlignment="1">
      <alignment horizontal="center"/>
    </xf>
    <xf numFmtId="0" fontId="42" fillId="2" borderId="0" xfId="0" applyFont="1" applyFill="1" applyAlignment="1">
      <alignment horizontal="center"/>
    </xf>
    <xf numFmtId="0" fontId="35" fillId="2" borderId="0" xfId="0" applyFont="1" applyFill="1" applyAlignment="1">
      <alignment horizontal="center" vertical="center"/>
    </xf>
    <xf numFmtId="0" fontId="35" fillId="2" borderId="0" xfId="0" applyFont="1" applyFill="1"/>
    <xf numFmtId="0" fontId="39" fillId="2" borderId="0" xfId="0" applyFont="1" applyFill="1" applyAlignment="1">
      <alignment horizontal="center"/>
    </xf>
    <xf numFmtId="0" fontId="35" fillId="2" borderId="0" xfId="0" applyFont="1" applyFill="1" applyProtection="1"/>
    <xf numFmtId="167" fontId="38" fillId="2" borderId="0" xfId="0" applyNumberFormat="1" applyFont="1" applyFill="1" applyAlignment="1">
      <alignment horizontal="center"/>
    </xf>
    <xf numFmtId="0" fontId="42" fillId="2" borderId="0" xfId="2" applyFont="1" applyFill="1" applyBorder="1" applyAlignment="1">
      <alignment horizontal="center" vertical="center" wrapText="1"/>
    </xf>
    <xf numFmtId="0" fontId="42" fillId="2" borderId="0" xfId="0" applyFont="1" applyFill="1" applyBorder="1" applyAlignment="1">
      <alignment horizontal="center"/>
    </xf>
    <xf numFmtId="167" fontId="40" fillId="29" borderId="0" xfId="0" applyNumberFormat="1" applyFont="1" applyFill="1" applyAlignment="1" applyProtection="1">
      <alignment horizontal="center"/>
      <protection locked="0"/>
    </xf>
    <xf numFmtId="0" fontId="43" fillId="2" borderId="0" xfId="0" applyFont="1" applyFill="1" applyAlignment="1">
      <alignment horizontal="center"/>
    </xf>
    <xf numFmtId="0" fontId="43" fillId="30" borderId="0" xfId="0" applyFont="1" applyFill="1" applyAlignment="1">
      <alignment horizontal="center"/>
    </xf>
    <xf numFmtId="0" fontId="46" fillId="0" borderId="0" xfId="2" applyFont="1" applyFill="1" applyBorder="1" applyAlignment="1">
      <alignment horizontal="left" vertical="center" wrapText="1"/>
    </xf>
    <xf numFmtId="0" fontId="46" fillId="0" borderId="0" xfId="2" applyFont="1" applyFill="1" applyBorder="1" applyAlignment="1">
      <alignment horizontal="center" vertical="center" wrapText="1"/>
    </xf>
    <xf numFmtId="0" fontId="44" fillId="0" borderId="0" xfId="0" applyFont="1" applyBorder="1"/>
    <xf numFmtId="0" fontId="45" fillId="0" borderId="0" xfId="0" applyFont="1" applyBorder="1" applyAlignment="1"/>
    <xf numFmtId="0" fontId="2" fillId="2" borderId="0" xfId="0" applyFont="1" applyFill="1" applyBorder="1" applyAlignment="1">
      <alignment horizontal="right"/>
    </xf>
    <xf numFmtId="0" fontId="0" fillId="0" borderId="0" xfId="0" applyBorder="1"/>
    <xf numFmtId="0" fontId="1" fillId="0" borderId="1" xfId="3" applyBorder="1" applyAlignment="1">
      <alignment horizontal="right"/>
    </xf>
    <xf numFmtId="10" fontId="1" fillId="0" borderId="1" xfId="3" applyNumberFormat="1" applyBorder="1" applyAlignment="1">
      <alignment horizontal="center"/>
    </xf>
    <xf numFmtId="0" fontId="3" fillId="0" borderId="0" xfId="0" quotePrefix="1" applyNumberFormat="1" applyFont="1" applyBorder="1"/>
    <xf numFmtId="0" fontId="0" fillId="0" borderId="0" xfId="0" applyBorder="1" applyAlignment="1">
      <alignment horizontal="right"/>
    </xf>
    <xf numFmtId="0" fontId="38" fillId="25" borderId="0" xfId="0" applyFont="1" applyFill="1" applyAlignment="1" applyProtection="1">
      <alignment horizontal="center"/>
    </xf>
    <xf numFmtId="0" fontId="0" fillId="0" borderId="0" xfId="0" applyAlignment="1">
      <alignment horizontal="center"/>
    </xf>
    <xf numFmtId="0" fontId="37" fillId="2" borderId="0" xfId="0" applyFont="1" applyFill="1" applyAlignment="1">
      <alignment horizontal="center" vertical="center"/>
    </xf>
    <xf numFmtId="0" fontId="40" fillId="29" borderId="0" xfId="0" applyFont="1" applyFill="1" applyAlignment="1" applyProtection="1">
      <alignment horizontal="center" vertical="center"/>
      <protection locked="0"/>
    </xf>
    <xf numFmtId="0" fontId="39" fillId="25" borderId="0" xfId="0" applyFont="1" applyFill="1" applyAlignment="1">
      <alignment horizontal="right" vertical="center"/>
    </xf>
    <xf numFmtId="0" fontId="39" fillId="2" borderId="0" xfId="0" applyFont="1" applyFill="1" applyAlignment="1">
      <alignment horizontal="center" vertical="center"/>
    </xf>
    <xf numFmtId="166" fontId="38" fillId="25" borderId="0" xfId="0" applyNumberFormat="1" applyFont="1" applyFill="1" applyBorder="1" applyAlignment="1" applyProtection="1">
      <alignment horizontal="center" vertical="center"/>
    </xf>
    <xf numFmtId="1" fontId="38" fillId="25" borderId="0" xfId="0" applyNumberFormat="1" applyFont="1" applyFill="1" applyBorder="1" applyAlignment="1" applyProtection="1">
      <alignment horizontal="center" vertical="center"/>
    </xf>
    <xf numFmtId="0" fontId="39" fillId="2" borderId="0" xfId="2" applyFont="1" applyFill="1" applyBorder="1" applyAlignment="1">
      <alignment horizontal="center" wrapText="1"/>
    </xf>
    <xf numFmtId="0" fontId="38" fillId="2" borderId="0" xfId="0" applyFont="1" applyFill="1" applyAlignment="1">
      <alignment horizontal="center"/>
    </xf>
    <xf numFmtId="0" fontId="35" fillId="2" borderId="0" xfId="0" applyFont="1" applyFill="1" applyAlignment="1">
      <alignment horizontal="center"/>
    </xf>
    <xf numFmtId="0" fontId="35" fillId="2" borderId="0" xfId="0" applyFont="1" applyFill="1" applyAlignment="1">
      <alignment horizontal="center" vertical="center"/>
    </xf>
    <xf numFmtId="0" fontId="31" fillId="0" borderId="2" xfId="2" applyFont="1" applyFill="1" applyBorder="1" applyAlignment="1">
      <alignment horizontal="left" vertical="center" wrapText="1"/>
    </xf>
    <xf numFmtId="0" fontId="31" fillId="0" borderId="17" xfId="2" applyFont="1" applyFill="1" applyBorder="1" applyAlignment="1">
      <alignment horizontal="left" vertical="center" wrapText="1"/>
    </xf>
    <xf numFmtId="0" fontId="32" fillId="26" borderId="2" xfId="2" applyFont="1" applyFill="1" applyBorder="1" applyAlignment="1">
      <alignment horizontal="center" vertical="center" textRotation="90" wrapText="1"/>
    </xf>
    <xf numFmtId="0" fontId="32" fillId="26" borderId="16" xfId="2" applyFont="1" applyFill="1" applyBorder="1" applyAlignment="1">
      <alignment horizontal="center" vertical="center" textRotation="90" wrapText="1"/>
    </xf>
    <xf numFmtId="0" fontId="47" fillId="2" borderId="12" xfId="0" applyFont="1" applyFill="1" applyBorder="1" applyAlignment="1">
      <alignment horizontal="center" vertical="center" wrapText="1"/>
    </xf>
    <xf numFmtId="0" fontId="47" fillId="2" borderId="14" xfId="0" applyFont="1" applyFill="1" applyBorder="1" applyAlignment="1">
      <alignment horizontal="center" vertical="center" wrapText="1"/>
    </xf>
    <xf numFmtId="0" fontId="47" fillId="2" borderId="11" xfId="0" applyFont="1" applyFill="1" applyBorder="1" applyAlignment="1">
      <alignment horizontal="center" vertical="center" wrapText="1"/>
    </xf>
    <xf numFmtId="0" fontId="2" fillId="0" borderId="0" xfId="0" applyFont="1" applyAlignment="1">
      <alignment horizontal="center"/>
    </xf>
    <xf numFmtId="0" fontId="30" fillId="0" borderId="0" xfId="0" applyFont="1" applyAlignment="1">
      <alignment horizontal="center"/>
    </xf>
    <xf numFmtId="0" fontId="0" fillId="2" borderId="0" xfId="0" applyFill="1" applyAlignment="1">
      <alignment horizontal="left" vertical="center"/>
    </xf>
    <xf numFmtId="166" fontId="41" fillId="25" borderId="0" xfId="0" applyNumberFormat="1" applyFont="1" applyFill="1" applyBorder="1" applyAlignment="1">
      <alignment horizontal="center" vertical="center"/>
    </xf>
    <xf numFmtId="0" fontId="2" fillId="2" borderId="0" xfId="0" applyFont="1" applyFill="1" applyBorder="1" applyAlignment="1">
      <alignment horizontal="right"/>
    </xf>
    <xf numFmtId="0" fontId="0" fillId="2" borderId="0" xfId="0" applyFill="1" applyBorder="1" applyAlignment="1">
      <alignment horizontal="left" vertical="center"/>
    </xf>
    <xf numFmtId="1" fontId="41" fillId="25" borderId="0" xfId="0" applyNumberFormat="1" applyFont="1" applyFill="1" applyBorder="1" applyAlignment="1">
      <alignment horizontal="center" vertical="center"/>
    </xf>
    <xf numFmtId="0" fontId="37" fillId="30" borderId="0" xfId="0" applyFont="1" applyFill="1" applyAlignment="1">
      <alignment horizontal="center" vertical="center"/>
    </xf>
    <xf numFmtId="166" fontId="41" fillId="31" borderId="0" xfId="0" applyNumberFormat="1" applyFont="1" applyFill="1" applyBorder="1" applyAlignment="1">
      <alignment horizontal="center" vertical="center"/>
    </xf>
    <xf numFmtId="0" fontId="2" fillId="30" borderId="0" xfId="0" applyFont="1" applyFill="1" applyBorder="1" applyAlignment="1">
      <alignment horizontal="right"/>
    </xf>
    <xf numFmtId="0" fontId="0" fillId="30" borderId="0" xfId="0" applyFill="1" applyAlignment="1">
      <alignment horizontal="left" vertical="center"/>
    </xf>
    <xf numFmtId="0" fontId="0" fillId="30" borderId="0" xfId="0" applyFill="1" applyBorder="1" applyAlignment="1">
      <alignment horizontal="left" vertical="center"/>
    </xf>
    <xf numFmtId="1" fontId="41" fillId="31" borderId="0" xfId="0" applyNumberFormat="1" applyFont="1" applyFill="1" applyBorder="1" applyAlignment="1">
      <alignment horizontal="center" vertical="center"/>
    </xf>
  </cellXfs>
  <cellStyles count="57">
    <cellStyle name="20% - Accent1" xfId="5"/>
    <cellStyle name="20% - Accent2" xfId="6"/>
    <cellStyle name="20% - Accent3" xfId="7"/>
    <cellStyle name="20% - Accent4" xfId="8"/>
    <cellStyle name="20% - Accent5" xfId="9"/>
    <cellStyle name="20% - Accent6" xfId="10"/>
    <cellStyle name="40% - Accent1" xfId="11"/>
    <cellStyle name="40% - Accent2" xfId="12"/>
    <cellStyle name="40% - Accent3" xfId="13"/>
    <cellStyle name="40% - Accent4" xfId="14"/>
    <cellStyle name="40% - Accent5" xfId="15"/>
    <cellStyle name="40% - Accent6" xfId="16"/>
    <cellStyle name="60% - Accent1" xfId="17"/>
    <cellStyle name="60% - Accent2" xfId="18"/>
    <cellStyle name="60% - Accent3" xfId="19"/>
    <cellStyle name="60% - Accent4" xfId="20"/>
    <cellStyle name="60% - Accent5" xfId="21"/>
    <cellStyle name="60% - Accent6" xfId="22"/>
    <cellStyle name="Accent1" xfId="23"/>
    <cellStyle name="Accent2" xfId="24"/>
    <cellStyle name="Accent3" xfId="25"/>
    <cellStyle name="Accent4" xfId="26"/>
    <cellStyle name="Accent5" xfId="27"/>
    <cellStyle name="Accent6" xfId="28"/>
    <cellStyle name="Bad" xfId="29"/>
    <cellStyle name="Calculation" xfId="30"/>
    <cellStyle name="Check Cell" xfId="31"/>
    <cellStyle name="Comma 2" xfId="32"/>
    <cellStyle name="Euro" xfId="33"/>
    <cellStyle name="Explanatory Text" xfId="34"/>
    <cellStyle name="Good" xfId="35"/>
    <cellStyle name="Heading 1" xfId="36"/>
    <cellStyle name="Heading 2" xfId="37"/>
    <cellStyle name="Heading 3" xfId="38"/>
    <cellStyle name="Heading 4" xfId="39"/>
    <cellStyle name="Input" xfId="40"/>
    <cellStyle name="Linked Cell" xfId="41"/>
    <cellStyle name="Millares 2" xfId="42"/>
    <cellStyle name="Normal" xfId="0" builtinId="0"/>
    <cellStyle name="Normal 2" xfId="43"/>
    <cellStyle name="Normal 2 2" xfId="44"/>
    <cellStyle name="Normal 2 2 2" xfId="56"/>
    <cellStyle name="Normal 3" xfId="45"/>
    <cellStyle name="Normal 3 2" xfId="46"/>
    <cellStyle name="Normal 4" xfId="47"/>
    <cellStyle name="Normal 5" xfId="3"/>
    <cellStyle name="Normal 6" xfId="2"/>
    <cellStyle name="Normal 7" xfId="4"/>
    <cellStyle name="Note" xfId="48"/>
    <cellStyle name="Output" xfId="49"/>
    <cellStyle name="Percent" xfId="1" builtinId="5"/>
    <cellStyle name="Percent 2" xfId="50"/>
    <cellStyle name="Percent 2 2" xfId="51"/>
    <cellStyle name="PillarHeading" xfId="52"/>
    <cellStyle name="Porcentaje 2" xfId="53"/>
    <cellStyle name="Title" xfId="54"/>
    <cellStyle name="Warning Text" xfId="5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Relationships xmlns="http://schemas.openxmlformats.org/package/2006/relationships">
  <Relationship Id="rId1" Type="http://schemas.openxmlformats.org/officeDocument/2006/relationships/worksheet" Target="worksheets/sheet1.xml"/>
  <Relationship Id="rId10" Type="http://schemas.openxmlformats.org/officeDocument/2006/relationships/theme" Target="theme/theme1.xml"/>
  <Relationship Id="rId11" Type="http://schemas.openxmlformats.org/officeDocument/2006/relationships/styles" Target="styles.xml"/>
  <Relationship Id="rId12" Type="http://schemas.openxmlformats.org/officeDocument/2006/relationships/sharedStrings" Target="sharedStrings.xml"/>
  <Relationship Id="rId13" Type="http://schemas.openxmlformats.org/officeDocument/2006/relationships/worksheet" Target="worksheets/sheet19.xml"/>
  <Relationship Id="rId14" Type="http://schemas.microsoft.com/office/2006/relationships/vbaProject" Target="vbaProject.bin"/>
  <Relationship Id="rId2" Type="http://schemas.openxmlformats.org/officeDocument/2006/relationships/worksheet" Target="worksheets/sheet2.xml"/>
  <Relationship Id="rId3" Type="http://schemas.openxmlformats.org/officeDocument/2006/relationships/worksheet" Target="worksheets/sheet3.xml"/>
  <Relationship Id="rId4" Type="http://schemas.openxmlformats.org/officeDocument/2006/relationships/worksheet" Target="worksheets/sheet4.xml"/>
  <Relationship Id="rId5" Type="http://schemas.openxmlformats.org/officeDocument/2006/relationships/worksheet" Target="worksheets/sheet5.xml"/>
  <Relationship Id="rId6" Type="http://schemas.openxmlformats.org/officeDocument/2006/relationships/worksheet" Target="worksheets/sheet6.xml"/>
  <Relationship Id="rId7" Type="http://schemas.openxmlformats.org/officeDocument/2006/relationships/worksheet" Target="worksheets/sheet7.xml"/>
  <Relationship Id="rId8" Type="http://schemas.openxmlformats.org/officeDocument/2006/relationships/worksheet" Target="worksheets/sheet8.xml"/>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19</xdr:row>
          <xdr:rowOff>25400</xdr:rowOff>
        </xdr:from>
        <xdr:to>
          <xdr:col>2</xdr:col>
          <xdr:colOff>177800</xdr:colOff>
          <xdr:row>19</xdr:row>
          <xdr:rowOff>177800</xdr:rowOff>
        </xdr:to>
        <xdr:sp macro="" textlink="">
          <xdr:nvSpPr>
            <xdr:cNvPr id="1048" name="Button 24" hidden="1">
              <a:extLst>
                <a:ext uri="{63B3BB69-23CF-44E3-9099-C40C66FF867C}">
                  <a14:compatExt spid="_x0000_s104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21</xdr:row>
          <xdr:rowOff>25400</xdr:rowOff>
        </xdr:from>
        <xdr:to>
          <xdr:col>2</xdr:col>
          <xdr:colOff>177800</xdr:colOff>
          <xdr:row>22</xdr:row>
          <xdr:rowOff>0</xdr:rowOff>
        </xdr:to>
        <xdr:sp macro="" textlink="">
          <xdr:nvSpPr>
            <xdr:cNvPr id="1049" name="Button 25" hidden="1">
              <a:extLst>
                <a:ext uri="{63B3BB69-23CF-44E3-9099-C40C66FF867C}">
                  <a14:compatExt spid="_x0000_s104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xdr:row>
          <xdr:rowOff>25400</xdr:rowOff>
        </xdr:from>
        <xdr:to>
          <xdr:col>2</xdr:col>
          <xdr:colOff>177800</xdr:colOff>
          <xdr:row>21</xdr:row>
          <xdr:rowOff>0</xdr:rowOff>
        </xdr:to>
        <xdr:sp macro="" textlink="">
          <xdr:nvSpPr>
            <xdr:cNvPr id="1050" name="Button 26" hidden="1">
              <a:extLst>
                <a:ext uri="{63B3BB69-23CF-44E3-9099-C40C66FF867C}">
                  <a14:compatExt spid="_x0000_s105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22</xdr:row>
          <xdr:rowOff>25400</xdr:rowOff>
        </xdr:from>
        <xdr:to>
          <xdr:col>2</xdr:col>
          <xdr:colOff>177800</xdr:colOff>
          <xdr:row>23</xdr:row>
          <xdr:rowOff>0</xdr:rowOff>
        </xdr:to>
        <xdr:sp macro="" textlink="">
          <xdr:nvSpPr>
            <xdr:cNvPr id="1051" name="Button 27" hidden="1">
              <a:extLst>
                <a:ext uri="{63B3BB69-23CF-44E3-9099-C40C66FF867C}">
                  <a14:compatExt spid="_x0000_s105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24</xdr:row>
          <xdr:rowOff>25400</xdr:rowOff>
        </xdr:from>
        <xdr:to>
          <xdr:col>2</xdr:col>
          <xdr:colOff>177800</xdr:colOff>
          <xdr:row>25</xdr:row>
          <xdr:rowOff>0</xdr:rowOff>
        </xdr:to>
        <xdr:sp macro="" textlink="">
          <xdr:nvSpPr>
            <xdr:cNvPr id="1052" name="Button 28" hidden="1">
              <a:extLst>
                <a:ext uri="{63B3BB69-23CF-44E3-9099-C40C66FF867C}">
                  <a14:compatExt spid="_x0000_s105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23</xdr:row>
          <xdr:rowOff>25400</xdr:rowOff>
        </xdr:from>
        <xdr:to>
          <xdr:col>2</xdr:col>
          <xdr:colOff>177800</xdr:colOff>
          <xdr:row>24</xdr:row>
          <xdr:rowOff>0</xdr:rowOff>
        </xdr:to>
        <xdr:sp macro="" textlink="">
          <xdr:nvSpPr>
            <xdr:cNvPr id="1053" name="Button 29" hidden="1">
              <a:extLst>
                <a:ext uri="{63B3BB69-23CF-44E3-9099-C40C66FF867C}">
                  <a14:compatExt spid="_x0000_s105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38100</xdr:colOff>
          <xdr:row>19</xdr:row>
          <xdr:rowOff>12700</xdr:rowOff>
        </xdr:from>
        <xdr:to>
          <xdr:col>4</xdr:col>
          <xdr:colOff>215900</xdr:colOff>
          <xdr:row>19</xdr:row>
          <xdr:rowOff>177800</xdr:rowOff>
        </xdr:to>
        <xdr:sp macro="" textlink="">
          <xdr:nvSpPr>
            <xdr:cNvPr id="1055" name="Button 31" hidden="1">
              <a:extLst>
                <a:ext uri="{63B3BB69-23CF-44E3-9099-C40C66FF867C}">
                  <a14:compatExt spid="_x0000_s105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38100</xdr:colOff>
          <xdr:row>20</xdr:row>
          <xdr:rowOff>12700</xdr:rowOff>
        </xdr:from>
        <xdr:to>
          <xdr:col>4</xdr:col>
          <xdr:colOff>215900</xdr:colOff>
          <xdr:row>20</xdr:row>
          <xdr:rowOff>177800</xdr:rowOff>
        </xdr:to>
        <xdr:sp macro="" textlink="">
          <xdr:nvSpPr>
            <xdr:cNvPr id="1056" name="Button 32" hidden="1">
              <a:extLst>
                <a:ext uri="{63B3BB69-23CF-44E3-9099-C40C66FF867C}">
                  <a14:compatExt spid="_x0000_s105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38100</xdr:colOff>
          <xdr:row>21</xdr:row>
          <xdr:rowOff>12700</xdr:rowOff>
        </xdr:from>
        <xdr:to>
          <xdr:col>4</xdr:col>
          <xdr:colOff>215900</xdr:colOff>
          <xdr:row>21</xdr:row>
          <xdr:rowOff>177800</xdr:rowOff>
        </xdr:to>
        <xdr:sp macro="" textlink="">
          <xdr:nvSpPr>
            <xdr:cNvPr id="1057" name="Button 33" hidden="1">
              <a:extLst>
                <a:ext uri="{63B3BB69-23CF-44E3-9099-C40C66FF867C}">
                  <a14:compatExt spid="_x0000_s105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38100</xdr:colOff>
          <xdr:row>22</xdr:row>
          <xdr:rowOff>12700</xdr:rowOff>
        </xdr:from>
        <xdr:to>
          <xdr:col>4</xdr:col>
          <xdr:colOff>215900</xdr:colOff>
          <xdr:row>22</xdr:row>
          <xdr:rowOff>177800</xdr:rowOff>
        </xdr:to>
        <xdr:sp macro="" textlink="">
          <xdr:nvSpPr>
            <xdr:cNvPr id="1058" name="Button 34" hidden="1">
              <a:extLst>
                <a:ext uri="{63B3BB69-23CF-44E3-9099-C40C66FF867C}">
                  <a14:compatExt spid="_x0000_s105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38100</xdr:colOff>
          <xdr:row>23</xdr:row>
          <xdr:rowOff>12700</xdr:rowOff>
        </xdr:from>
        <xdr:to>
          <xdr:col>4</xdr:col>
          <xdr:colOff>215900</xdr:colOff>
          <xdr:row>23</xdr:row>
          <xdr:rowOff>177800</xdr:rowOff>
        </xdr:to>
        <xdr:sp macro="" textlink="">
          <xdr:nvSpPr>
            <xdr:cNvPr id="1059" name="Button 35" hidden="1">
              <a:extLst>
                <a:ext uri="{63B3BB69-23CF-44E3-9099-C40C66FF867C}">
                  <a14:compatExt spid="_x0000_s105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38100</xdr:colOff>
          <xdr:row>24</xdr:row>
          <xdr:rowOff>12700</xdr:rowOff>
        </xdr:from>
        <xdr:to>
          <xdr:col>4</xdr:col>
          <xdr:colOff>215900</xdr:colOff>
          <xdr:row>24</xdr:row>
          <xdr:rowOff>177800</xdr:rowOff>
        </xdr:to>
        <xdr:sp macro="" textlink="">
          <xdr:nvSpPr>
            <xdr:cNvPr id="1060" name="Button 36" hidden="1">
              <a:extLst>
                <a:ext uri="{63B3BB69-23CF-44E3-9099-C40C66FF867C}">
                  <a14:compatExt spid="_x0000_s106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50800</xdr:colOff>
          <xdr:row>19</xdr:row>
          <xdr:rowOff>25400</xdr:rowOff>
        </xdr:from>
        <xdr:to>
          <xdr:col>8</xdr:col>
          <xdr:colOff>228600</xdr:colOff>
          <xdr:row>19</xdr:row>
          <xdr:rowOff>177800</xdr:rowOff>
        </xdr:to>
        <xdr:sp macro="" textlink="">
          <xdr:nvSpPr>
            <xdr:cNvPr id="1062" name="Button 38" hidden="1">
              <a:extLst>
                <a:ext uri="{63B3BB69-23CF-44E3-9099-C40C66FF867C}">
                  <a14:compatExt spid="_x0000_s106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50800</xdr:colOff>
          <xdr:row>20</xdr:row>
          <xdr:rowOff>12700</xdr:rowOff>
        </xdr:from>
        <xdr:to>
          <xdr:col>8</xdr:col>
          <xdr:colOff>228600</xdr:colOff>
          <xdr:row>20</xdr:row>
          <xdr:rowOff>165100</xdr:rowOff>
        </xdr:to>
        <xdr:sp macro="" textlink="">
          <xdr:nvSpPr>
            <xdr:cNvPr id="1063" name="Button 39" hidden="1">
              <a:extLst>
                <a:ext uri="{63B3BB69-23CF-44E3-9099-C40C66FF867C}">
                  <a14:compatExt spid="_x0000_s106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50800</xdr:colOff>
          <xdr:row>21</xdr:row>
          <xdr:rowOff>0</xdr:rowOff>
        </xdr:from>
        <xdr:to>
          <xdr:col>8</xdr:col>
          <xdr:colOff>228600</xdr:colOff>
          <xdr:row>21</xdr:row>
          <xdr:rowOff>165100</xdr:rowOff>
        </xdr:to>
        <xdr:sp macro="" textlink="">
          <xdr:nvSpPr>
            <xdr:cNvPr id="1064" name="Button 40" hidden="1">
              <a:extLst>
                <a:ext uri="{63B3BB69-23CF-44E3-9099-C40C66FF867C}">
                  <a14:compatExt spid="_x0000_s106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50800</xdr:colOff>
          <xdr:row>21</xdr:row>
          <xdr:rowOff>152400</xdr:rowOff>
        </xdr:from>
        <xdr:to>
          <xdr:col>8</xdr:col>
          <xdr:colOff>228600</xdr:colOff>
          <xdr:row>22</xdr:row>
          <xdr:rowOff>127000</xdr:rowOff>
        </xdr:to>
        <xdr:sp macro="" textlink="">
          <xdr:nvSpPr>
            <xdr:cNvPr id="1065" name="Button 41" hidden="1">
              <a:extLst>
                <a:ext uri="{63B3BB69-23CF-44E3-9099-C40C66FF867C}">
                  <a14:compatExt spid="_x0000_s106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50800</xdr:colOff>
          <xdr:row>22</xdr:row>
          <xdr:rowOff>139700</xdr:rowOff>
        </xdr:from>
        <xdr:to>
          <xdr:col>8</xdr:col>
          <xdr:colOff>228600</xdr:colOff>
          <xdr:row>23</xdr:row>
          <xdr:rowOff>114300</xdr:rowOff>
        </xdr:to>
        <xdr:sp macro="" textlink="">
          <xdr:nvSpPr>
            <xdr:cNvPr id="1066" name="Button 42" hidden="1">
              <a:extLst>
                <a:ext uri="{63B3BB69-23CF-44E3-9099-C40C66FF867C}">
                  <a14:compatExt spid="_x0000_s106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25400</xdr:colOff>
          <xdr:row>19</xdr:row>
          <xdr:rowOff>25400</xdr:rowOff>
        </xdr:from>
        <xdr:to>
          <xdr:col>10</xdr:col>
          <xdr:colOff>215900</xdr:colOff>
          <xdr:row>20</xdr:row>
          <xdr:rowOff>0</xdr:rowOff>
        </xdr:to>
        <xdr:sp macro="" textlink="">
          <xdr:nvSpPr>
            <xdr:cNvPr id="1067" name="Button 43" hidden="1">
              <a:extLst>
                <a:ext uri="{63B3BB69-23CF-44E3-9099-C40C66FF867C}">
                  <a14:compatExt spid="_x0000_s106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25400</xdr:colOff>
          <xdr:row>20</xdr:row>
          <xdr:rowOff>25400</xdr:rowOff>
        </xdr:from>
        <xdr:to>
          <xdr:col>10</xdr:col>
          <xdr:colOff>215900</xdr:colOff>
          <xdr:row>20</xdr:row>
          <xdr:rowOff>177800</xdr:rowOff>
        </xdr:to>
        <xdr:sp macro="" textlink="">
          <xdr:nvSpPr>
            <xdr:cNvPr id="1068" name="Button 44" hidden="1">
              <a:extLst>
                <a:ext uri="{63B3BB69-23CF-44E3-9099-C40C66FF867C}">
                  <a14:compatExt spid="_x0000_s106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25400</xdr:colOff>
          <xdr:row>21</xdr:row>
          <xdr:rowOff>25400</xdr:rowOff>
        </xdr:from>
        <xdr:to>
          <xdr:col>10</xdr:col>
          <xdr:colOff>215900</xdr:colOff>
          <xdr:row>22</xdr:row>
          <xdr:rowOff>0</xdr:rowOff>
        </xdr:to>
        <xdr:sp macro="" textlink="">
          <xdr:nvSpPr>
            <xdr:cNvPr id="1069" name="Button 45" hidden="1">
              <a:extLst>
                <a:ext uri="{63B3BB69-23CF-44E3-9099-C40C66FF867C}">
                  <a14:compatExt spid="_x0000_s106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25400</xdr:colOff>
          <xdr:row>22</xdr:row>
          <xdr:rowOff>38100</xdr:rowOff>
        </xdr:from>
        <xdr:to>
          <xdr:col>10</xdr:col>
          <xdr:colOff>215900</xdr:colOff>
          <xdr:row>23</xdr:row>
          <xdr:rowOff>0</xdr:rowOff>
        </xdr:to>
        <xdr:sp macro="" textlink="">
          <xdr:nvSpPr>
            <xdr:cNvPr id="1070" name="Button 46" hidden="1">
              <a:extLst>
                <a:ext uri="{63B3BB69-23CF-44E3-9099-C40C66FF867C}">
                  <a14:compatExt spid="_x0000_s107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25400</xdr:colOff>
          <xdr:row>23</xdr:row>
          <xdr:rowOff>25400</xdr:rowOff>
        </xdr:from>
        <xdr:to>
          <xdr:col>10</xdr:col>
          <xdr:colOff>215900</xdr:colOff>
          <xdr:row>23</xdr:row>
          <xdr:rowOff>177800</xdr:rowOff>
        </xdr:to>
        <xdr:sp macro="" textlink="">
          <xdr:nvSpPr>
            <xdr:cNvPr id="1071" name="Button 47" hidden="1">
              <a:extLst>
                <a:ext uri="{63B3BB69-23CF-44E3-9099-C40C66FF867C}">
                  <a14:compatExt spid="_x0000_s107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25400</xdr:colOff>
          <xdr:row>2</xdr:row>
          <xdr:rowOff>152400</xdr:rowOff>
        </xdr:from>
        <xdr:to>
          <xdr:col>10</xdr:col>
          <xdr:colOff>25400</xdr:colOff>
          <xdr:row>3</xdr:row>
          <xdr:rowOff>139700</xdr:rowOff>
        </xdr:to>
        <xdr:sp macro="" textlink="">
          <xdr:nvSpPr>
            <xdr:cNvPr id="1087" name="Button 63" hidden="1">
              <a:extLst>
                <a:ext uri="{63B3BB69-23CF-44E3-9099-C40C66FF867C}">
                  <a14:compatExt spid="_x0000_s108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25400</xdr:colOff>
          <xdr:row>4</xdr:row>
          <xdr:rowOff>0</xdr:rowOff>
        </xdr:from>
        <xdr:to>
          <xdr:col>10</xdr:col>
          <xdr:colOff>25400</xdr:colOff>
          <xdr:row>5</xdr:row>
          <xdr:rowOff>25400</xdr:rowOff>
        </xdr:to>
        <xdr:sp macro="" textlink="">
          <xdr:nvSpPr>
            <xdr:cNvPr id="1088" name="Button 64" hidden="1">
              <a:extLst>
                <a:ext uri="{63B3BB69-23CF-44E3-9099-C40C66FF867C}">
                  <a14:compatExt spid="_x0000_s108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63500</xdr:colOff>
          <xdr:row>11</xdr:row>
          <xdr:rowOff>0</xdr:rowOff>
        </xdr:from>
        <xdr:to>
          <xdr:col>9</xdr:col>
          <xdr:colOff>12700</xdr:colOff>
          <xdr:row>11</xdr:row>
          <xdr:rowOff>165100</xdr:rowOff>
        </xdr:to>
        <xdr:sp macro="" textlink="">
          <xdr:nvSpPr>
            <xdr:cNvPr id="1089" name="Button 65" hidden="1">
              <a:extLst>
                <a:ext uri="{63B3BB69-23CF-44E3-9099-C40C66FF867C}">
                  <a14:compatExt spid="_x0000_s108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a:t>
              </a:r>
            </a:p>
            <a:p>
              <a:pPr algn="ctr" rtl="0">
                <a:defRPr sz="1000"/>
              </a:pPr>
              <a:r>
                <a:rPr lang="en-US" sz="1100" b="0" i="0" u="none" strike="noStrike" baseline="0">
                  <a:solidFill>
                    <a:srgbClr val="000000"/>
                  </a:solidFill>
                  <a:latin typeface="Calibri"/>
                  <a:ea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63500</xdr:colOff>
          <xdr:row>12</xdr:row>
          <xdr:rowOff>0</xdr:rowOff>
        </xdr:from>
        <xdr:to>
          <xdr:col>9</xdr:col>
          <xdr:colOff>12700</xdr:colOff>
          <xdr:row>12</xdr:row>
          <xdr:rowOff>165100</xdr:rowOff>
        </xdr:to>
        <xdr:sp macro="" textlink="">
          <xdr:nvSpPr>
            <xdr:cNvPr id="1090" name="Button 66" hidden="1">
              <a:extLst>
                <a:ext uri="{63B3BB69-23CF-44E3-9099-C40C66FF867C}">
                  <a14:compatExt spid="_x0000_s109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63500</xdr:colOff>
          <xdr:row>13</xdr:row>
          <xdr:rowOff>0</xdr:rowOff>
        </xdr:from>
        <xdr:to>
          <xdr:col>9</xdr:col>
          <xdr:colOff>12700</xdr:colOff>
          <xdr:row>13</xdr:row>
          <xdr:rowOff>165100</xdr:rowOff>
        </xdr:to>
        <xdr:sp macro="" textlink="">
          <xdr:nvSpPr>
            <xdr:cNvPr id="1091" name="Button 67" hidden="1">
              <a:extLst>
                <a:ext uri="{63B3BB69-23CF-44E3-9099-C40C66FF867C}">
                  <a14:compatExt spid="_x0000_s109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63500</xdr:colOff>
          <xdr:row>13</xdr:row>
          <xdr:rowOff>152400</xdr:rowOff>
        </xdr:from>
        <xdr:to>
          <xdr:col>9</xdr:col>
          <xdr:colOff>12700</xdr:colOff>
          <xdr:row>14</xdr:row>
          <xdr:rowOff>127000</xdr:rowOff>
        </xdr:to>
        <xdr:sp macro="" textlink="">
          <xdr:nvSpPr>
            <xdr:cNvPr id="1092" name="Button 68" hidden="1">
              <a:extLst>
                <a:ext uri="{63B3BB69-23CF-44E3-9099-C40C66FF867C}">
                  <a14:compatExt spid="_x0000_s109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25400</xdr:colOff>
          <xdr:row>11</xdr:row>
          <xdr:rowOff>0</xdr:rowOff>
        </xdr:from>
        <xdr:to>
          <xdr:col>10</xdr:col>
          <xdr:colOff>203200</xdr:colOff>
          <xdr:row>11</xdr:row>
          <xdr:rowOff>165100</xdr:rowOff>
        </xdr:to>
        <xdr:sp macro="" textlink="">
          <xdr:nvSpPr>
            <xdr:cNvPr id="1093" name="Button 69" hidden="1">
              <a:extLst>
                <a:ext uri="{63B3BB69-23CF-44E3-9099-C40C66FF867C}">
                  <a14:compatExt spid="_x0000_s109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25400</xdr:colOff>
          <xdr:row>11</xdr:row>
          <xdr:rowOff>152400</xdr:rowOff>
        </xdr:from>
        <xdr:to>
          <xdr:col>10</xdr:col>
          <xdr:colOff>203200</xdr:colOff>
          <xdr:row>12</xdr:row>
          <xdr:rowOff>127000</xdr:rowOff>
        </xdr:to>
        <xdr:sp macro="" textlink="">
          <xdr:nvSpPr>
            <xdr:cNvPr id="1094" name="Button 70" hidden="1">
              <a:extLst>
                <a:ext uri="{63B3BB69-23CF-44E3-9099-C40C66FF867C}">
                  <a14:compatExt spid="_x0000_s109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25400</xdr:colOff>
          <xdr:row>12</xdr:row>
          <xdr:rowOff>152400</xdr:rowOff>
        </xdr:from>
        <xdr:to>
          <xdr:col>10</xdr:col>
          <xdr:colOff>203200</xdr:colOff>
          <xdr:row>13</xdr:row>
          <xdr:rowOff>127000</xdr:rowOff>
        </xdr:to>
        <xdr:sp macro="" textlink="">
          <xdr:nvSpPr>
            <xdr:cNvPr id="1095" name="Button 71" hidden="1">
              <a:extLst>
                <a:ext uri="{63B3BB69-23CF-44E3-9099-C40C66FF867C}">
                  <a14:compatExt spid="_x0000_s109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25400</xdr:colOff>
          <xdr:row>13</xdr:row>
          <xdr:rowOff>139700</xdr:rowOff>
        </xdr:from>
        <xdr:to>
          <xdr:col>10</xdr:col>
          <xdr:colOff>203200</xdr:colOff>
          <xdr:row>14</xdr:row>
          <xdr:rowOff>114300</xdr:rowOff>
        </xdr:to>
        <xdr:sp macro="" textlink="">
          <xdr:nvSpPr>
            <xdr:cNvPr id="1096" name="Button 72" hidden="1">
              <a:extLst>
                <a:ext uri="{63B3BB69-23CF-44E3-9099-C40C66FF867C}">
                  <a14:compatExt spid="_x0000_s109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11</xdr:col>
      <xdr:colOff>624417</xdr:colOff>
      <xdr:row>9</xdr:row>
      <xdr:rowOff>84668</xdr:rowOff>
    </xdr:from>
    <xdr:to>
      <xdr:col>13</xdr:col>
      <xdr:colOff>353483</xdr:colOff>
      <xdr:row>10</xdr:row>
      <xdr:rowOff>4235</xdr:rowOff>
    </xdr:to>
    <xdr:cxnSp macro="">
      <xdr:nvCxnSpPr>
        <xdr:cNvPr id="2" name="1 Conector recto"/>
        <xdr:cNvCxnSpPr/>
      </xdr:nvCxnSpPr>
      <xdr:spPr>
        <a:xfrm>
          <a:off x="11054292" y="1570568"/>
          <a:ext cx="1253066" cy="81492"/>
        </a:xfrm>
        <a:prstGeom prst="line">
          <a:avLst/>
        </a:prstGeom>
        <a:ln>
          <a:headEnd type="oval" w="med" len="med"/>
          <a:tailEnd type="oval"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368298</xdr:colOff>
      <xdr:row>7</xdr:row>
      <xdr:rowOff>92418</xdr:rowOff>
    </xdr:from>
    <xdr:to>
      <xdr:col>11</xdr:col>
      <xdr:colOff>616670</xdr:colOff>
      <xdr:row>12</xdr:row>
      <xdr:rowOff>61383</xdr:rowOff>
    </xdr:to>
    <xdr:cxnSp macro="">
      <xdr:nvCxnSpPr>
        <xdr:cNvPr id="3" name="2 Conector recto"/>
        <xdr:cNvCxnSpPr>
          <a:endCxn id="8" idx="7"/>
        </xdr:cNvCxnSpPr>
      </xdr:nvCxnSpPr>
      <xdr:spPr>
        <a:xfrm flipV="1">
          <a:off x="10036173" y="1254468"/>
          <a:ext cx="1010372" cy="778590"/>
        </a:xfrm>
        <a:prstGeom prst="line">
          <a:avLst/>
        </a:prstGeom>
        <a:ln>
          <a:headEnd type="oval" w="med" len="med"/>
          <a:tailEnd type="oval"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21168</xdr:colOff>
      <xdr:row>6</xdr:row>
      <xdr:rowOff>52917</xdr:rowOff>
    </xdr:from>
    <xdr:to>
      <xdr:col>11</xdr:col>
      <xdr:colOff>677335</xdr:colOff>
      <xdr:row>8</xdr:row>
      <xdr:rowOff>10583</xdr:rowOff>
    </xdr:to>
    <xdr:sp macro="" textlink="">
      <xdr:nvSpPr>
        <xdr:cNvPr id="4" name="3 CuadroTexto"/>
        <xdr:cNvSpPr txBox="1"/>
      </xdr:nvSpPr>
      <xdr:spPr>
        <a:xfrm>
          <a:off x="10451043" y="1053042"/>
          <a:ext cx="656167" cy="2815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L" sz="1100"/>
            <a:t>s176</a:t>
          </a:r>
        </a:p>
      </xdr:txBody>
    </xdr:sp>
    <xdr:clientData/>
  </xdr:twoCellAnchor>
  <xdr:twoCellAnchor>
    <xdr:from>
      <xdr:col>10</xdr:col>
      <xdr:colOff>51858</xdr:colOff>
      <xdr:row>7</xdr:row>
      <xdr:rowOff>134258</xdr:rowOff>
    </xdr:from>
    <xdr:to>
      <xdr:col>10</xdr:col>
      <xdr:colOff>708025</xdr:colOff>
      <xdr:row>10</xdr:row>
      <xdr:rowOff>130025</xdr:rowOff>
    </xdr:to>
    <xdr:sp macro="" textlink="">
      <xdr:nvSpPr>
        <xdr:cNvPr id="5" name="4 CuadroTexto"/>
        <xdr:cNvSpPr txBox="1"/>
      </xdr:nvSpPr>
      <xdr:spPr>
        <a:xfrm>
          <a:off x="9719733" y="1296308"/>
          <a:ext cx="656167" cy="4815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L" sz="1100"/>
            <a:t>207</a:t>
          </a:r>
          <a:r>
            <a:rPr lang="es-CL" sz="1100" baseline="0"/>
            <a:t> mts</a:t>
          </a:r>
        </a:p>
        <a:p>
          <a:r>
            <a:rPr lang="es-CL" sz="1100" baseline="0"/>
            <a:t>21 s</a:t>
          </a:r>
        </a:p>
        <a:p>
          <a:endParaRPr lang="es-CL" sz="1100"/>
        </a:p>
      </xdr:txBody>
    </xdr:sp>
    <xdr:clientData/>
  </xdr:twoCellAnchor>
  <xdr:twoCellAnchor>
    <xdr:from>
      <xdr:col>11</xdr:col>
      <xdr:colOff>565149</xdr:colOff>
      <xdr:row>9</xdr:row>
      <xdr:rowOff>67736</xdr:rowOff>
    </xdr:from>
    <xdr:to>
      <xdr:col>12</xdr:col>
      <xdr:colOff>459316</xdr:colOff>
      <xdr:row>11</xdr:row>
      <xdr:rowOff>25402</xdr:rowOff>
    </xdr:to>
    <xdr:sp macro="" textlink="">
      <xdr:nvSpPr>
        <xdr:cNvPr id="6" name="5 CuadroTexto"/>
        <xdr:cNvSpPr txBox="1"/>
      </xdr:nvSpPr>
      <xdr:spPr>
        <a:xfrm>
          <a:off x="10995024" y="1553636"/>
          <a:ext cx="656167" cy="2815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L" sz="1100"/>
            <a:t>s2447</a:t>
          </a:r>
        </a:p>
      </xdr:txBody>
    </xdr:sp>
    <xdr:clientData/>
  </xdr:twoCellAnchor>
  <xdr:twoCellAnchor>
    <xdr:from>
      <xdr:col>14</xdr:col>
      <xdr:colOff>480483</xdr:colOff>
      <xdr:row>11</xdr:row>
      <xdr:rowOff>14820</xdr:rowOff>
    </xdr:from>
    <xdr:to>
      <xdr:col>15</xdr:col>
      <xdr:colOff>374650</xdr:colOff>
      <xdr:row>12</xdr:row>
      <xdr:rowOff>131236</xdr:rowOff>
    </xdr:to>
    <xdr:sp macro="" textlink="">
      <xdr:nvSpPr>
        <xdr:cNvPr id="7" name="6 CuadroTexto"/>
        <xdr:cNvSpPr txBox="1"/>
      </xdr:nvSpPr>
      <xdr:spPr>
        <a:xfrm>
          <a:off x="13196358" y="1824570"/>
          <a:ext cx="656167" cy="2783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L" sz="1100"/>
            <a:t>s329</a:t>
          </a:r>
        </a:p>
      </xdr:txBody>
    </xdr:sp>
    <xdr:clientData/>
  </xdr:twoCellAnchor>
  <xdr:twoCellAnchor>
    <xdr:from>
      <xdr:col>11</xdr:col>
      <xdr:colOff>571503</xdr:colOff>
      <xdr:row>7</xdr:row>
      <xdr:rowOff>84668</xdr:rowOff>
    </xdr:from>
    <xdr:to>
      <xdr:col>11</xdr:col>
      <xdr:colOff>624419</xdr:colOff>
      <xdr:row>7</xdr:row>
      <xdr:rowOff>137585</xdr:rowOff>
    </xdr:to>
    <xdr:sp macro="" textlink="">
      <xdr:nvSpPr>
        <xdr:cNvPr id="8" name="7 Elipse"/>
        <xdr:cNvSpPr/>
      </xdr:nvSpPr>
      <xdr:spPr>
        <a:xfrm>
          <a:off x="11001378" y="1246718"/>
          <a:ext cx="52916" cy="52917"/>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L" sz="1100"/>
        </a:p>
      </xdr:txBody>
    </xdr:sp>
    <xdr:clientData/>
  </xdr:twoCellAnchor>
  <xdr:twoCellAnchor>
    <xdr:from>
      <xdr:col>13</xdr:col>
      <xdr:colOff>364068</xdr:colOff>
      <xdr:row>10</xdr:row>
      <xdr:rowOff>14818</xdr:rowOff>
    </xdr:from>
    <xdr:to>
      <xdr:col>15</xdr:col>
      <xdr:colOff>93134</xdr:colOff>
      <xdr:row>10</xdr:row>
      <xdr:rowOff>93135</xdr:rowOff>
    </xdr:to>
    <xdr:cxnSp macro="">
      <xdr:nvCxnSpPr>
        <xdr:cNvPr id="9" name="8 Conector recto"/>
        <xdr:cNvCxnSpPr/>
      </xdr:nvCxnSpPr>
      <xdr:spPr>
        <a:xfrm>
          <a:off x="12317943" y="1662643"/>
          <a:ext cx="1253066" cy="78317"/>
        </a:xfrm>
        <a:prstGeom prst="line">
          <a:avLst/>
        </a:prstGeom>
        <a:ln>
          <a:headEnd type="oval" w="med" len="med"/>
          <a:tailEnd type="oval"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67733</xdr:colOff>
      <xdr:row>10</xdr:row>
      <xdr:rowOff>99487</xdr:rowOff>
    </xdr:from>
    <xdr:to>
      <xdr:col>13</xdr:col>
      <xdr:colOff>723900</xdr:colOff>
      <xdr:row>12</xdr:row>
      <xdr:rowOff>57153</xdr:rowOff>
    </xdr:to>
    <xdr:sp macro="" textlink="">
      <xdr:nvSpPr>
        <xdr:cNvPr id="10" name="9 CuadroTexto"/>
        <xdr:cNvSpPr txBox="1"/>
      </xdr:nvSpPr>
      <xdr:spPr>
        <a:xfrm>
          <a:off x="12021608" y="1747312"/>
          <a:ext cx="656167" cy="2815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L" sz="1100"/>
            <a:t>s993</a:t>
          </a:r>
        </a:p>
      </xdr:txBody>
    </xdr:sp>
    <xdr:clientData/>
  </xdr:twoCellAnchor>
  <xdr:twoCellAnchor>
    <xdr:from>
      <xdr:col>12</xdr:col>
      <xdr:colOff>230715</xdr:colOff>
      <xdr:row>7</xdr:row>
      <xdr:rowOff>29633</xdr:rowOff>
    </xdr:from>
    <xdr:to>
      <xdr:col>13</xdr:col>
      <xdr:colOff>124882</xdr:colOff>
      <xdr:row>10</xdr:row>
      <xdr:rowOff>25400</xdr:rowOff>
    </xdr:to>
    <xdr:sp macro="" textlink="">
      <xdr:nvSpPr>
        <xdr:cNvPr id="11" name="10 CuadroTexto"/>
        <xdr:cNvSpPr txBox="1"/>
      </xdr:nvSpPr>
      <xdr:spPr>
        <a:xfrm>
          <a:off x="11422590" y="1191683"/>
          <a:ext cx="656167" cy="4815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L" sz="1100"/>
            <a:t>224</a:t>
          </a:r>
          <a:r>
            <a:rPr lang="es-CL" sz="1100" baseline="0"/>
            <a:t> mts</a:t>
          </a:r>
        </a:p>
        <a:p>
          <a:r>
            <a:rPr lang="es-CL" sz="1100" baseline="0"/>
            <a:t>23 s</a:t>
          </a:r>
        </a:p>
        <a:p>
          <a:endParaRPr lang="es-CL" sz="1100"/>
        </a:p>
      </xdr:txBody>
    </xdr:sp>
    <xdr:clientData/>
  </xdr:twoCellAnchor>
  <xdr:twoCellAnchor>
    <xdr:from>
      <xdr:col>13</xdr:col>
      <xdr:colOff>711198</xdr:colOff>
      <xdr:row>7</xdr:row>
      <xdr:rowOff>76199</xdr:rowOff>
    </xdr:from>
    <xdr:to>
      <xdr:col>14</xdr:col>
      <xdr:colOff>605365</xdr:colOff>
      <xdr:row>10</xdr:row>
      <xdr:rowOff>71966</xdr:rowOff>
    </xdr:to>
    <xdr:sp macro="" textlink="">
      <xdr:nvSpPr>
        <xdr:cNvPr id="12" name="11 CuadroTexto"/>
        <xdr:cNvSpPr txBox="1"/>
      </xdr:nvSpPr>
      <xdr:spPr>
        <a:xfrm>
          <a:off x="12665073" y="1238249"/>
          <a:ext cx="656167" cy="4815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L" sz="1100"/>
            <a:t>116 </a:t>
          </a:r>
          <a:r>
            <a:rPr lang="es-CL" sz="1100" baseline="0"/>
            <a:t>mts</a:t>
          </a:r>
        </a:p>
        <a:p>
          <a:r>
            <a:rPr lang="es-CL" sz="1100" baseline="0"/>
            <a:t>12 s</a:t>
          </a:r>
        </a:p>
        <a:p>
          <a:endParaRPr lang="es-CL" sz="1100"/>
        </a:p>
      </xdr:txBody>
    </xdr:sp>
    <xdr:clientData/>
  </xdr:twoCellAnchor>
  <xdr:twoCellAnchor>
    <xdr:from>
      <xdr:col>11</xdr:col>
      <xdr:colOff>203198</xdr:colOff>
      <xdr:row>7</xdr:row>
      <xdr:rowOff>86783</xdr:rowOff>
    </xdr:from>
    <xdr:to>
      <xdr:col>12</xdr:col>
      <xdr:colOff>97365</xdr:colOff>
      <xdr:row>10</xdr:row>
      <xdr:rowOff>82550</xdr:rowOff>
    </xdr:to>
    <xdr:sp macro="" textlink="">
      <xdr:nvSpPr>
        <xdr:cNvPr id="13" name="12 CuadroTexto"/>
        <xdr:cNvSpPr txBox="1"/>
      </xdr:nvSpPr>
      <xdr:spPr>
        <a:xfrm>
          <a:off x="10633073" y="1248833"/>
          <a:ext cx="656167" cy="4815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L" sz="1100"/>
            <a:t>10</a:t>
          </a:r>
          <a:r>
            <a:rPr lang="es-CL" sz="1100" baseline="0"/>
            <a:t>mts</a:t>
          </a:r>
        </a:p>
        <a:p>
          <a:r>
            <a:rPr lang="es-CL" sz="1100" baseline="0"/>
            <a:t>1s</a:t>
          </a:r>
        </a:p>
        <a:p>
          <a:r>
            <a:rPr lang="es-CL" sz="1100" baseline="0"/>
            <a:t>s</a:t>
          </a:r>
        </a:p>
        <a:p>
          <a:endParaRPr lang="es-CL" sz="1100"/>
        </a:p>
      </xdr:txBody>
    </xdr:sp>
    <xdr:clientData/>
  </xdr:twoCellAnchor>
  <xdr:twoCellAnchor>
    <xdr:from>
      <xdr:col>11</xdr:col>
      <xdr:colOff>605518</xdr:colOff>
      <xdr:row>7</xdr:row>
      <xdr:rowOff>102054</xdr:rowOff>
    </xdr:from>
    <xdr:to>
      <xdr:col>11</xdr:col>
      <xdr:colOff>653143</xdr:colOff>
      <xdr:row>9</xdr:row>
      <xdr:rowOff>81643</xdr:rowOff>
    </xdr:to>
    <xdr:cxnSp macro="">
      <xdr:nvCxnSpPr>
        <xdr:cNvPr id="14" name="13 Conector recto"/>
        <xdr:cNvCxnSpPr/>
      </xdr:nvCxnSpPr>
      <xdr:spPr>
        <a:xfrm>
          <a:off x="11035393" y="1264104"/>
          <a:ext cx="47625" cy="303439"/>
        </a:xfrm>
        <a:prstGeom prst="line">
          <a:avLst/>
        </a:prstGeom>
        <a:ln>
          <a:headEnd type="oval" w="med" len="med"/>
          <a:tailEnd type="oval"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624417</xdr:colOff>
      <xdr:row>9</xdr:row>
      <xdr:rowOff>84668</xdr:rowOff>
    </xdr:from>
    <xdr:to>
      <xdr:col>13</xdr:col>
      <xdr:colOff>353483</xdr:colOff>
      <xdr:row>10</xdr:row>
      <xdr:rowOff>4235</xdr:rowOff>
    </xdr:to>
    <xdr:cxnSp macro="">
      <xdr:nvCxnSpPr>
        <xdr:cNvPr id="15" name="14 Conector recto"/>
        <xdr:cNvCxnSpPr/>
      </xdr:nvCxnSpPr>
      <xdr:spPr>
        <a:xfrm>
          <a:off x="11054292" y="1570568"/>
          <a:ext cx="1253066" cy="81492"/>
        </a:xfrm>
        <a:prstGeom prst="line">
          <a:avLst/>
        </a:prstGeom>
        <a:ln>
          <a:headEnd type="oval" w="med" len="med"/>
          <a:tailEnd type="oval"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368298</xdr:colOff>
      <xdr:row>7</xdr:row>
      <xdr:rowOff>92418</xdr:rowOff>
    </xdr:from>
    <xdr:to>
      <xdr:col>11</xdr:col>
      <xdr:colOff>616670</xdr:colOff>
      <xdr:row>12</xdr:row>
      <xdr:rowOff>61383</xdr:rowOff>
    </xdr:to>
    <xdr:cxnSp macro="">
      <xdr:nvCxnSpPr>
        <xdr:cNvPr id="16" name="15 Conector recto"/>
        <xdr:cNvCxnSpPr>
          <a:endCxn id="21" idx="7"/>
        </xdr:cNvCxnSpPr>
      </xdr:nvCxnSpPr>
      <xdr:spPr>
        <a:xfrm flipV="1">
          <a:off x="10036173" y="1254468"/>
          <a:ext cx="1010372" cy="778590"/>
        </a:xfrm>
        <a:prstGeom prst="line">
          <a:avLst/>
        </a:prstGeom>
        <a:ln>
          <a:headEnd type="oval" w="med" len="med"/>
          <a:tailEnd type="oval"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21168</xdr:colOff>
      <xdr:row>6</xdr:row>
      <xdr:rowOff>52917</xdr:rowOff>
    </xdr:from>
    <xdr:to>
      <xdr:col>11</xdr:col>
      <xdr:colOff>677335</xdr:colOff>
      <xdr:row>8</xdr:row>
      <xdr:rowOff>10583</xdr:rowOff>
    </xdr:to>
    <xdr:sp macro="" textlink="">
      <xdr:nvSpPr>
        <xdr:cNvPr id="17" name="16 CuadroTexto"/>
        <xdr:cNvSpPr txBox="1"/>
      </xdr:nvSpPr>
      <xdr:spPr>
        <a:xfrm>
          <a:off x="10451043" y="1053042"/>
          <a:ext cx="656167" cy="2815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L" sz="1100"/>
            <a:t>s176</a:t>
          </a:r>
        </a:p>
      </xdr:txBody>
    </xdr:sp>
    <xdr:clientData/>
  </xdr:twoCellAnchor>
  <xdr:twoCellAnchor>
    <xdr:from>
      <xdr:col>10</xdr:col>
      <xdr:colOff>51858</xdr:colOff>
      <xdr:row>7</xdr:row>
      <xdr:rowOff>134258</xdr:rowOff>
    </xdr:from>
    <xdr:to>
      <xdr:col>10</xdr:col>
      <xdr:colOff>708025</xdr:colOff>
      <xdr:row>10</xdr:row>
      <xdr:rowOff>130025</xdr:rowOff>
    </xdr:to>
    <xdr:sp macro="" textlink="">
      <xdr:nvSpPr>
        <xdr:cNvPr id="18" name="17 CuadroTexto"/>
        <xdr:cNvSpPr txBox="1"/>
      </xdr:nvSpPr>
      <xdr:spPr>
        <a:xfrm>
          <a:off x="9719733" y="1296308"/>
          <a:ext cx="656167" cy="4815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L" sz="1100"/>
            <a:t>207</a:t>
          </a:r>
          <a:r>
            <a:rPr lang="es-CL" sz="1100" baseline="0"/>
            <a:t> mts</a:t>
          </a:r>
        </a:p>
        <a:p>
          <a:r>
            <a:rPr lang="es-CL" sz="1100" baseline="0"/>
            <a:t>21 s</a:t>
          </a:r>
        </a:p>
        <a:p>
          <a:endParaRPr lang="es-CL" sz="1100"/>
        </a:p>
      </xdr:txBody>
    </xdr:sp>
    <xdr:clientData/>
  </xdr:twoCellAnchor>
  <xdr:twoCellAnchor>
    <xdr:from>
      <xdr:col>11</xdr:col>
      <xdr:colOff>565149</xdr:colOff>
      <xdr:row>9</xdr:row>
      <xdr:rowOff>67736</xdr:rowOff>
    </xdr:from>
    <xdr:to>
      <xdr:col>12</xdr:col>
      <xdr:colOff>459316</xdr:colOff>
      <xdr:row>11</xdr:row>
      <xdr:rowOff>25402</xdr:rowOff>
    </xdr:to>
    <xdr:sp macro="" textlink="">
      <xdr:nvSpPr>
        <xdr:cNvPr id="19" name="18 CuadroTexto"/>
        <xdr:cNvSpPr txBox="1"/>
      </xdr:nvSpPr>
      <xdr:spPr>
        <a:xfrm>
          <a:off x="10995024" y="1553636"/>
          <a:ext cx="656167" cy="2815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L" sz="1100"/>
            <a:t>s2447</a:t>
          </a:r>
        </a:p>
      </xdr:txBody>
    </xdr:sp>
    <xdr:clientData/>
  </xdr:twoCellAnchor>
  <xdr:twoCellAnchor>
    <xdr:from>
      <xdr:col>14</xdr:col>
      <xdr:colOff>480483</xdr:colOff>
      <xdr:row>11</xdr:row>
      <xdr:rowOff>14820</xdr:rowOff>
    </xdr:from>
    <xdr:to>
      <xdr:col>15</xdr:col>
      <xdr:colOff>374650</xdr:colOff>
      <xdr:row>12</xdr:row>
      <xdr:rowOff>131236</xdr:rowOff>
    </xdr:to>
    <xdr:sp macro="" textlink="">
      <xdr:nvSpPr>
        <xdr:cNvPr id="20" name="19 CuadroTexto"/>
        <xdr:cNvSpPr txBox="1"/>
      </xdr:nvSpPr>
      <xdr:spPr>
        <a:xfrm>
          <a:off x="13196358" y="1824570"/>
          <a:ext cx="656167" cy="2783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L" sz="1100"/>
            <a:t>s329</a:t>
          </a:r>
        </a:p>
      </xdr:txBody>
    </xdr:sp>
    <xdr:clientData/>
  </xdr:twoCellAnchor>
  <xdr:twoCellAnchor>
    <xdr:from>
      <xdr:col>11</xdr:col>
      <xdr:colOff>571503</xdr:colOff>
      <xdr:row>7</xdr:row>
      <xdr:rowOff>84668</xdr:rowOff>
    </xdr:from>
    <xdr:to>
      <xdr:col>11</xdr:col>
      <xdr:colOff>624419</xdr:colOff>
      <xdr:row>7</xdr:row>
      <xdr:rowOff>137585</xdr:rowOff>
    </xdr:to>
    <xdr:sp macro="" textlink="">
      <xdr:nvSpPr>
        <xdr:cNvPr id="21" name="20 Elipse"/>
        <xdr:cNvSpPr/>
      </xdr:nvSpPr>
      <xdr:spPr>
        <a:xfrm>
          <a:off x="11001378" y="1246718"/>
          <a:ext cx="52916" cy="52917"/>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L" sz="1100"/>
        </a:p>
      </xdr:txBody>
    </xdr:sp>
    <xdr:clientData/>
  </xdr:twoCellAnchor>
  <xdr:twoCellAnchor>
    <xdr:from>
      <xdr:col>13</xdr:col>
      <xdr:colOff>364068</xdr:colOff>
      <xdr:row>10</xdr:row>
      <xdr:rowOff>14818</xdr:rowOff>
    </xdr:from>
    <xdr:to>
      <xdr:col>15</xdr:col>
      <xdr:colOff>93134</xdr:colOff>
      <xdr:row>10</xdr:row>
      <xdr:rowOff>93135</xdr:rowOff>
    </xdr:to>
    <xdr:cxnSp macro="">
      <xdr:nvCxnSpPr>
        <xdr:cNvPr id="22" name="21 Conector recto"/>
        <xdr:cNvCxnSpPr/>
      </xdr:nvCxnSpPr>
      <xdr:spPr>
        <a:xfrm>
          <a:off x="12317943" y="1662643"/>
          <a:ext cx="1253066" cy="78317"/>
        </a:xfrm>
        <a:prstGeom prst="line">
          <a:avLst/>
        </a:prstGeom>
        <a:ln>
          <a:headEnd type="oval" w="med" len="med"/>
          <a:tailEnd type="oval"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67733</xdr:colOff>
      <xdr:row>10</xdr:row>
      <xdr:rowOff>99487</xdr:rowOff>
    </xdr:from>
    <xdr:to>
      <xdr:col>13</xdr:col>
      <xdr:colOff>723900</xdr:colOff>
      <xdr:row>12</xdr:row>
      <xdr:rowOff>57153</xdr:rowOff>
    </xdr:to>
    <xdr:sp macro="" textlink="">
      <xdr:nvSpPr>
        <xdr:cNvPr id="23" name="22 CuadroTexto"/>
        <xdr:cNvSpPr txBox="1"/>
      </xdr:nvSpPr>
      <xdr:spPr>
        <a:xfrm>
          <a:off x="12021608" y="1747312"/>
          <a:ext cx="656167" cy="2815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L" sz="1100"/>
            <a:t>s993</a:t>
          </a:r>
        </a:p>
      </xdr:txBody>
    </xdr:sp>
    <xdr:clientData/>
  </xdr:twoCellAnchor>
  <xdr:twoCellAnchor>
    <xdr:from>
      <xdr:col>12</xdr:col>
      <xdr:colOff>230715</xdr:colOff>
      <xdr:row>7</xdr:row>
      <xdr:rowOff>29633</xdr:rowOff>
    </xdr:from>
    <xdr:to>
      <xdr:col>13</xdr:col>
      <xdr:colOff>124882</xdr:colOff>
      <xdr:row>10</xdr:row>
      <xdr:rowOff>25400</xdr:rowOff>
    </xdr:to>
    <xdr:sp macro="" textlink="">
      <xdr:nvSpPr>
        <xdr:cNvPr id="24" name="23 CuadroTexto"/>
        <xdr:cNvSpPr txBox="1"/>
      </xdr:nvSpPr>
      <xdr:spPr>
        <a:xfrm>
          <a:off x="11422590" y="1191683"/>
          <a:ext cx="656167" cy="4815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L" sz="1100"/>
            <a:t>224</a:t>
          </a:r>
          <a:r>
            <a:rPr lang="es-CL" sz="1100" baseline="0"/>
            <a:t> mts</a:t>
          </a:r>
        </a:p>
        <a:p>
          <a:r>
            <a:rPr lang="es-CL" sz="1100" baseline="0"/>
            <a:t>23 s</a:t>
          </a:r>
        </a:p>
        <a:p>
          <a:endParaRPr lang="es-CL" sz="1100"/>
        </a:p>
      </xdr:txBody>
    </xdr:sp>
    <xdr:clientData/>
  </xdr:twoCellAnchor>
  <xdr:twoCellAnchor>
    <xdr:from>
      <xdr:col>13</xdr:col>
      <xdr:colOff>711198</xdr:colOff>
      <xdr:row>7</xdr:row>
      <xdr:rowOff>76199</xdr:rowOff>
    </xdr:from>
    <xdr:to>
      <xdr:col>14</xdr:col>
      <xdr:colOff>605365</xdr:colOff>
      <xdr:row>10</xdr:row>
      <xdr:rowOff>71966</xdr:rowOff>
    </xdr:to>
    <xdr:sp macro="" textlink="">
      <xdr:nvSpPr>
        <xdr:cNvPr id="25" name="24 CuadroTexto"/>
        <xdr:cNvSpPr txBox="1"/>
      </xdr:nvSpPr>
      <xdr:spPr>
        <a:xfrm>
          <a:off x="12665073" y="1238249"/>
          <a:ext cx="656167" cy="4815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L" sz="1100"/>
            <a:t>116 </a:t>
          </a:r>
          <a:r>
            <a:rPr lang="es-CL" sz="1100" baseline="0"/>
            <a:t>mts</a:t>
          </a:r>
        </a:p>
        <a:p>
          <a:r>
            <a:rPr lang="es-CL" sz="1100" baseline="0"/>
            <a:t>12 s</a:t>
          </a:r>
        </a:p>
        <a:p>
          <a:endParaRPr lang="es-CL" sz="1100"/>
        </a:p>
      </xdr:txBody>
    </xdr:sp>
    <xdr:clientData/>
  </xdr:twoCellAnchor>
  <xdr:twoCellAnchor>
    <xdr:from>
      <xdr:col>11</xdr:col>
      <xdr:colOff>203198</xdr:colOff>
      <xdr:row>7</xdr:row>
      <xdr:rowOff>86783</xdr:rowOff>
    </xdr:from>
    <xdr:to>
      <xdr:col>12</xdr:col>
      <xdr:colOff>97365</xdr:colOff>
      <xdr:row>10</xdr:row>
      <xdr:rowOff>82550</xdr:rowOff>
    </xdr:to>
    <xdr:sp macro="" textlink="">
      <xdr:nvSpPr>
        <xdr:cNvPr id="26" name="25 CuadroTexto"/>
        <xdr:cNvSpPr txBox="1"/>
      </xdr:nvSpPr>
      <xdr:spPr>
        <a:xfrm>
          <a:off x="10633073" y="1248833"/>
          <a:ext cx="656167" cy="4815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L" sz="1100"/>
            <a:t>10</a:t>
          </a:r>
          <a:r>
            <a:rPr lang="es-CL" sz="1100" baseline="0"/>
            <a:t>mts</a:t>
          </a:r>
        </a:p>
        <a:p>
          <a:r>
            <a:rPr lang="es-CL" sz="1100" baseline="0"/>
            <a:t>1s</a:t>
          </a:r>
        </a:p>
        <a:p>
          <a:r>
            <a:rPr lang="es-CL" sz="1100" baseline="0"/>
            <a:t>s</a:t>
          </a:r>
        </a:p>
        <a:p>
          <a:endParaRPr lang="es-CL" sz="1100"/>
        </a:p>
      </xdr:txBody>
    </xdr:sp>
    <xdr:clientData/>
  </xdr:twoCellAnchor>
  <xdr:twoCellAnchor>
    <xdr:from>
      <xdr:col>11</xdr:col>
      <xdr:colOff>605518</xdr:colOff>
      <xdr:row>7</xdr:row>
      <xdr:rowOff>102054</xdr:rowOff>
    </xdr:from>
    <xdr:to>
      <xdr:col>11</xdr:col>
      <xdr:colOff>653143</xdr:colOff>
      <xdr:row>9</xdr:row>
      <xdr:rowOff>81643</xdr:rowOff>
    </xdr:to>
    <xdr:cxnSp macro="">
      <xdr:nvCxnSpPr>
        <xdr:cNvPr id="27" name="26 Conector recto"/>
        <xdr:cNvCxnSpPr/>
      </xdr:nvCxnSpPr>
      <xdr:spPr>
        <a:xfrm>
          <a:off x="11035393" y="1264104"/>
          <a:ext cx="47625" cy="303439"/>
        </a:xfrm>
        <a:prstGeom prst="line">
          <a:avLst/>
        </a:prstGeom>
        <a:ln>
          <a:headEnd type="oval" w="med" len="med"/>
          <a:tailEnd type="oval" w="med" len="med"/>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0</xdr:colOff>
      <xdr:row>56</xdr:row>
      <xdr:rowOff>0</xdr:rowOff>
    </xdr:to>
    <xdr:sp macro="" textlink="">
      <xdr:nvSpPr>
        <xdr:cNvPr id="2" name="AutoShape 39"/>
        <xdr:cNvSpPr>
          <a:spLocks noChangeArrowheads="1"/>
        </xdr:cNvSpPr>
      </xdr:nvSpPr>
      <xdr:spPr bwMode="auto">
        <a:xfrm>
          <a:off x="0" y="0"/>
          <a:ext cx="609600" cy="10668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xdr:col>
      <xdr:colOff>0</xdr:colOff>
      <xdr:row>56</xdr:row>
      <xdr:rowOff>0</xdr:rowOff>
    </xdr:to>
    <xdr:sp macro="" textlink="">
      <xdr:nvSpPr>
        <xdr:cNvPr id="3" name="AutoShape 39"/>
        <xdr:cNvSpPr>
          <a:spLocks noChangeArrowheads="1"/>
        </xdr:cNvSpPr>
      </xdr:nvSpPr>
      <xdr:spPr bwMode="auto">
        <a:xfrm>
          <a:off x="0" y="0"/>
          <a:ext cx="609600" cy="10668000"/>
        </a:xfrm>
        <a:custGeom>
          <a:avLst/>
          <a:gdLst/>
          <a:ahLst/>
          <a:cxnLst/>
          <a:rect l="0" t="0" r="r" b="b"/>
          <a:pathLst/>
        </a:custGeom>
        <a:solidFill>
          <a:srgbClr val="FFFFFF"/>
        </a:solidFill>
        <a:ln w="9525">
          <a:solidFill>
            <a:srgbClr val="000000"/>
          </a:solidFill>
          <a:round/>
          <a:headEnd/>
          <a:tailEnd/>
        </a:ln>
      </xdr:spPr>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Relationships xmlns="http://schemas.openxmlformats.org/package/2006/relationships">
  <Relationship Id="rId1" Type="http://schemas.openxmlformats.org/officeDocument/2006/relationships/printerSettings" Target="../printerSettings/printerSettings1.bin"/>
  <Relationship Id="rId10" Type="http://schemas.openxmlformats.org/officeDocument/2006/relationships/ctrlProp" Target="../ctrlProps/ctrlProp7.xml"/>
  <Relationship Id="rId11" Type="http://schemas.openxmlformats.org/officeDocument/2006/relationships/ctrlProp" Target="../ctrlProps/ctrlProp8.xml"/>
  <Relationship Id="rId12" Type="http://schemas.openxmlformats.org/officeDocument/2006/relationships/ctrlProp" Target="../ctrlProps/ctrlProp9.xml"/>
  <Relationship Id="rId13" Type="http://schemas.openxmlformats.org/officeDocument/2006/relationships/ctrlProp" Target="../ctrlProps/ctrlProp10.xml"/>
  <Relationship Id="rId14" Type="http://schemas.openxmlformats.org/officeDocument/2006/relationships/ctrlProp" Target="../ctrlProps/ctrlProp11.xml"/>
  <Relationship Id="rId15" Type="http://schemas.openxmlformats.org/officeDocument/2006/relationships/ctrlProp" Target="../ctrlProps/ctrlProp12.xml"/>
  <Relationship Id="rId16" Type="http://schemas.openxmlformats.org/officeDocument/2006/relationships/ctrlProp" Target="../ctrlProps/ctrlProp13.xml"/>
  <Relationship Id="rId17" Type="http://schemas.openxmlformats.org/officeDocument/2006/relationships/ctrlProp" Target="../ctrlProps/ctrlProp14.xml"/>
  <Relationship Id="rId18" Type="http://schemas.openxmlformats.org/officeDocument/2006/relationships/ctrlProp" Target="../ctrlProps/ctrlProp15.xml"/>
  <Relationship Id="rId19" Type="http://schemas.openxmlformats.org/officeDocument/2006/relationships/ctrlProp" Target="../ctrlProps/ctrlProp16.xml"/>
  <Relationship Id="rId2" Type="http://schemas.openxmlformats.org/officeDocument/2006/relationships/drawing" Target="../drawings/drawing1.xml"/>
  <Relationship Id="rId20" Type="http://schemas.openxmlformats.org/officeDocument/2006/relationships/ctrlProp" Target="../ctrlProps/ctrlProp17.xml"/>
  <Relationship Id="rId21" Type="http://schemas.openxmlformats.org/officeDocument/2006/relationships/ctrlProp" Target="../ctrlProps/ctrlProp18.xml"/>
  <Relationship Id="rId22" Type="http://schemas.openxmlformats.org/officeDocument/2006/relationships/ctrlProp" Target="../ctrlProps/ctrlProp19.xml"/>
  <Relationship Id="rId23" Type="http://schemas.openxmlformats.org/officeDocument/2006/relationships/ctrlProp" Target="../ctrlProps/ctrlProp20.xml"/>
  <Relationship Id="rId24" Type="http://schemas.openxmlformats.org/officeDocument/2006/relationships/ctrlProp" Target="../ctrlProps/ctrlProp21.xml"/>
  <Relationship Id="rId25" Type="http://schemas.openxmlformats.org/officeDocument/2006/relationships/ctrlProp" Target="../ctrlProps/ctrlProp22.xml"/>
  <Relationship Id="rId26" Type="http://schemas.openxmlformats.org/officeDocument/2006/relationships/ctrlProp" Target="../ctrlProps/ctrlProp23.xml"/>
  <Relationship Id="rId27" Type="http://schemas.openxmlformats.org/officeDocument/2006/relationships/ctrlProp" Target="../ctrlProps/ctrlProp24.xml"/>
  <Relationship Id="rId28" Type="http://schemas.openxmlformats.org/officeDocument/2006/relationships/ctrlProp" Target="../ctrlProps/ctrlProp25.xml"/>
  <Relationship Id="rId29" Type="http://schemas.openxmlformats.org/officeDocument/2006/relationships/ctrlProp" Target="../ctrlProps/ctrlProp26.xml"/>
  <Relationship Id="rId3" Type="http://schemas.openxmlformats.org/officeDocument/2006/relationships/vmlDrawing" Target="../drawings/vmlDrawing1.vml"/>
  <Relationship Id="rId30" Type="http://schemas.openxmlformats.org/officeDocument/2006/relationships/ctrlProp" Target="../ctrlProps/ctrlProp27.xml"/>
  <Relationship Id="rId31" Type="http://schemas.openxmlformats.org/officeDocument/2006/relationships/ctrlProp" Target="../ctrlProps/ctrlProp28.xml"/>
  <Relationship Id="rId32" Type="http://schemas.openxmlformats.org/officeDocument/2006/relationships/ctrlProp" Target="../ctrlProps/ctrlProp29.xml"/>
  <Relationship Id="rId33" Type="http://schemas.openxmlformats.org/officeDocument/2006/relationships/ctrlProp" Target="../ctrlProps/ctrlProp30.xml"/>
  <Relationship Id="rId34" Type="http://schemas.openxmlformats.org/officeDocument/2006/relationships/ctrlProp" Target="../ctrlProps/ctrlProp31.xml"/>
  <Relationship Id="rId35" Type="http://schemas.openxmlformats.org/officeDocument/2006/relationships/ctrlProp" Target="../ctrlProps/ctrlProp32.xml"/>
  <Relationship Id="rId4" Type="http://schemas.openxmlformats.org/officeDocument/2006/relationships/ctrlProp" Target="../ctrlProps/ctrlProp1.xml"/>
  <Relationship Id="rId5" Type="http://schemas.openxmlformats.org/officeDocument/2006/relationships/ctrlProp" Target="../ctrlProps/ctrlProp2.xml"/>
  <Relationship Id="rId6" Type="http://schemas.openxmlformats.org/officeDocument/2006/relationships/ctrlProp" Target="../ctrlProps/ctrlProp3.xml"/>
  <Relationship Id="rId7" Type="http://schemas.openxmlformats.org/officeDocument/2006/relationships/ctrlProp" Target="../ctrlProps/ctrlProp4.xml"/>
  <Relationship Id="rId8" Type="http://schemas.openxmlformats.org/officeDocument/2006/relationships/ctrlProp" Target="../ctrlProps/ctrlProp5.xml"/>
  <Relationship Id="rId9" Type="http://schemas.openxmlformats.org/officeDocument/2006/relationships/ctrlProp" Target="../ctrlProps/ctrlProp6.xml"/>
</Relationships>

</file>

<file path=xl/worksheets/_rels/sheet2.xml.rels><?xml version="1.0" encoding="UTF-8"?>

<Relationships xmlns="http://schemas.openxmlformats.org/package/2006/relationships">
  <Relationship Id="rId1" Type="http://schemas.openxmlformats.org/officeDocument/2006/relationships/printerSettings" Target="../printerSettings/printerSettings2.bin"/>
</Relationships>

</file>

<file path=xl/worksheets/_rels/sheet3.xml.rels><?xml version="1.0" encoding="UTF-8"?>

<Relationships xmlns="http://schemas.openxmlformats.org/package/2006/relationships">
  <Relationship Id="rId1" Type="http://schemas.openxmlformats.org/officeDocument/2006/relationships/printerSettings" Target="../printerSettings/printerSettings3.bin"/>
  <Relationship Id="rId2" Type="http://schemas.openxmlformats.org/officeDocument/2006/relationships/drawing" Target="../drawings/drawing2.xml"/>
</Relationships>

</file>

<file path=xl/worksheets/_rels/sheet4.xml.rels><?xml version="1.0" encoding="UTF-8"?>

<Relationships xmlns="http://schemas.openxmlformats.org/package/2006/relationships">
  <Relationship Id="rId1" Type="http://schemas.openxmlformats.org/officeDocument/2006/relationships/printerSettings" Target="../printerSettings/printerSettings4.bin"/>
</Relationships>

</file>

<file path=xl/worksheets/_rels/sheet6.xml.rels><?xml version="1.0" encoding="UTF-8"?>

<Relationships xmlns="http://schemas.openxmlformats.org/package/2006/relationships">
  <Relationship Id="rId1" Type="http://schemas.openxmlformats.org/officeDocument/2006/relationships/printerSettings" Target="../printerSettings/printerSettings5.bin"/>
  <Relationship Id="rId2" Type="http://schemas.openxmlformats.org/officeDocument/2006/relationships/drawing" Target="../drawings/drawing3.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enableFormatConditionsCalculation="0">
    <pageSetUpPr fitToPage="1"/>
  </sheetPr>
  <dimension ref="A1:L37"/>
  <sheetViews>
    <sheetView workbookViewId="0">
      <selection sqref="A1:L3"/>
    </sheetView>
  </sheetViews>
  <sheetFormatPr baseColWidth="10" defaultRowHeight="12.75" customHeight="1" x14ac:dyDescent="0.2"/>
  <cols>
    <col min="1" max="1" customWidth="true" style="78" width="21.5" collapsed="true"/>
    <col min="2" max="2" bestFit="true" customWidth="true" style="78" width="12.33203125" collapsed="true"/>
    <col min="3" max="3" customWidth="true" style="78" width="2.83203125" collapsed="true"/>
    <col min="4" max="4" customWidth="true" style="78" width="7.1640625" collapsed="true"/>
    <col min="5" max="5" customWidth="true" style="78" width="3.5" collapsed="true"/>
    <col min="6" max="6" customWidth="true" style="78" width="9.5" collapsed="true"/>
    <col min="7" max="7" customWidth="true" style="78" width="17.33203125" collapsed="true"/>
    <col min="8" max="8" customWidth="true" style="78" width="7.33203125" collapsed="true"/>
    <col min="9" max="9" customWidth="true" style="78" width="3.5" collapsed="true"/>
    <col min="10" max="10" customWidth="true" style="78" width="7.5" collapsed="true"/>
    <col min="11" max="11" customWidth="true" style="78" width="3.5" collapsed="true"/>
    <col min="12" max="16384" style="78" width="10.83203125" collapsed="true"/>
  </cols>
  <sheetData>
    <row r="1" spans="1:12" ht="15" customHeight="1" x14ac:dyDescent="0.2">
      <c r="A1" s="156" t="s">
        <v>7133</v>
      </c>
      <c r="B1" s="156"/>
      <c r="C1" s="156"/>
      <c r="D1" s="156"/>
      <c r="E1" s="156"/>
      <c r="F1" s="156"/>
      <c r="G1" s="156"/>
      <c r="H1" s="156"/>
      <c r="I1" s="156"/>
      <c r="J1" s="156"/>
      <c r="K1" s="156"/>
      <c r="L1" s="156"/>
    </row>
    <row r="2" spans="1:12" ht="15" customHeight="1" x14ac:dyDescent="0.2">
      <c r="A2" s="156"/>
      <c r="B2" s="156"/>
      <c r="C2" s="156"/>
      <c r="D2" s="156"/>
      <c r="E2" s="156"/>
      <c r="F2" s="156"/>
      <c r="G2" s="156"/>
      <c r="H2" s="156"/>
      <c r="I2" s="156"/>
      <c r="J2" s="156"/>
      <c r="K2" s="156"/>
      <c r="L2" s="156"/>
    </row>
    <row r="3" spans="1:12" ht="15" customHeight="1" x14ac:dyDescent="0.2">
      <c r="A3" s="156"/>
      <c r="B3" s="156"/>
      <c r="C3" s="156"/>
      <c r="D3" s="156"/>
      <c r="E3" s="156"/>
      <c r="F3" s="156"/>
      <c r="G3" s="156"/>
      <c r="H3" s="156"/>
      <c r="I3" s="156"/>
      <c r="J3" s="156"/>
      <c r="K3" s="156"/>
      <c r="L3" s="156"/>
    </row>
    <row r="4" spans="1:12" ht="12.75" customHeight="1" x14ac:dyDescent="0.2">
      <c r="A4" s="136" t="s">
        <v>509</v>
      </c>
      <c r="B4" s="160">
        <f>Tareas!L25</f>
        <v>25.14666771579196</v>
      </c>
      <c r="C4" s="79"/>
      <c r="D4" s="77"/>
      <c r="E4" s="77"/>
      <c r="F4" s="85"/>
      <c r="G4" s="136" t="s">
        <v>525</v>
      </c>
      <c r="H4" s="157">
        <v>30</v>
      </c>
      <c r="I4" s="157"/>
      <c r="J4" s="77"/>
      <c r="K4" s="77"/>
      <c r="L4" s="77"/>
    </row>
    <row r="5" spans="1:12" ht="12.75" customHeight="1" x14ac:dyDescent="0.2">
      <c r="A5" s="133" t="s">
        <v>510</v>
      </c>
      <c r="B5" s="160"/>
      <c r="C5" s="79"/>
      <c r="D5" s="77"/>
      <c r="E5" s="77"/>
      <c r="F5" s="85"/>
      <c r="G5" s="133" t="s">
        <v>521</v>
      </c>
      <c r="H5" s="157"/>
      <c r="I5" s="157"/>
      <c r="J5" s="77"/>
      <c r="K5" s="77"/>
      <c r="L5" s="77"/>
    </row>
    <row r="6" spans="1:12" ht="12.75" customHeight="1" x14ac:dyDescent="0.2">
      <c r="A6" s="163"/>
      <c r="B6" s="163"/>
      <c r="C6" s="163"/>
      <c r="D6" s="163"/>
      <c r="E6" s="163"/>
      <c r="F6" s="163"/>
      <c r="G6" s="163"/>
      <c r="H6" s="163"/>
      <c r="I6" s="163"/>
      <c r="J6" s="163"/>
      <c r="K6" s="163"/>
      <c r="L6" s="163"/>
    </row>
    <row r="7" spans="1:12" ht="12.75" customHeight="1" x14ac:dyDescent="0.2">
      <c r="A7" s="163"/>
      <c r="B7" s="163"/>
      <c r="C7" s="163"/>
      <c r="D7" s="163"/>
      <c r="E7" s="163"/>
      <c r="F7" s="163"/>
      <c r="G7" s="163"/>
      <c r="H7" s="163"/>
      <c r="I7" s="163"/>
      <c r="J7" s="163"/>
      <c r="K7" s="163"/>
      <c r="L7" s="163"/>
    </row>
    <row r="8" spans="1:12" ht="12.75" customHeight="1" x14ac:dyDescent="0.2">
      <c r="A8" s="159" t="s">
        <v>505</v>
      </c>
      <c r="B8" s="161">
        <f>SUM(B12:B15)</f>
        <v>485</v>
      </c>
      <c r="C8" s="77"/>
      <c r="D8" s="77"/>
      <c r="E8" s="77"/>
      <c r="F8" s="77"/>
      <c r="G8" s="159" t="s">
        <v>524</v>
      </c>
      <c r="H8" s="159"/>
      <c r="I8" s="159"/>
      <c r="J8" s="159"/>
      <c r="K8" s="159"/>
      <c r="L8" s="159"/>
    </row>
    <row r="9" spans="1:12" ht="12.75" customHeight="1" x14ac:dyDescent="0.2">
      <c r="A9" s="159"/>
      <c r="B9" s="161"/>
      <c r="C9" s="77"/>
      <c r="D9" s="77"/>
      <c r="E9" s="77"/>
      <c r="F9" s="77"/>
      <c r="G9" s="159"/>
      <c r="H9" s="159"/>
      <c r="I9" s="159"/>
      <c r="J9" s="159"/>
      <c r="K9" s="159"/>
      <c r="L9" s="159"/>
    </row>
    <row r="10" spans="1:12" ht="12.75" customHeight="1" x14ac:dyDescent="0.2">
      <c r="A10" s="165"/>
      <c r="B10" s="165"/>
      <c r="C10" s="165"/>
      <c r="D10" s="165"/>
      <c r="E10" s="165"/>
      <c r="F10" s="165"/>
      <c r="G10" s="165"/>
      <c r="H10" s="165"/>
      <c r="I10" s="165"/>
      <c r="J10" s="165"/>
      <c r="K10" s="165"/>
      <c r="L10" s="165"/>
    </row>
    <row r="11" spans="1:12" ht="12.75" customHeight="1" x14ac:dyDescent="0.2">
      <c r="A11" s="80" t="s">
        <v>8</v>
      </c>
      <c r="B11" s="134"/>
      <c r="C11" s="137"/>
      <c r="D11" s="80" t="s">
        <v>7134</v>
      </c>
      <c r="E11" s="81"/>
      <c r="F11" s="77"/>
      <c r="G11" s="77"/>
      <c r="H11" s="80" t="s">
        <v>8</v>
      </c>
      <c r="I11" s="135"/>
      <c r="J11" s="80" t="s">
        <v>522</v>
      </c>
      <c r="K11" s="135"/>
      <c r="L11" s="77"/>
    </row>
    <row r="12" spans="1:12" ht="15" customHeight="1" x14ac:dyDescent="0.2">
      <c r="A12" s="80" t="s">
        <v>11</v>
      </c>
      <c r="B12" s="154">
        <f>COUNTIFS('Puntos de Operacion'!G:G,"Si",'Puntos de Operacion'!F:F,"A")</f>
        <v>141</v>
      </c>
      <c r="C12" s="79"/>
      <c r="D12" s="130">
        <f>B12/$B$8</f>
        <v>0.2907216494845361</v>
      </c>
      <c r="E12" s="86"/>
      <c r="F12" s="77"/>
      <c r="G12" s="77"/>
      <c r="H12" s="81" t="s">
        <v>11</v>
      </c>
      <c r="I12" s="77"/>
      <c r="J12" s="89">
        <v>3</v>
      </c>
      <c r="K12" s="77"/>
      <c r="L12" s="77"/>
    </row>
    <row r="13" spans="1:12" ht="15" customHeight="1" x14ac:dyDescent="0.2">
      <c r="A13" s="80" t="s">
        <v>12</v>
      </c>
      <c r="B13" s="154">
        <f>COUNTIFS('Puntos de Operacion'!G:G,"Si",'Puntos de Operacion'!F:F,"B")</f>
        <v>114</v>
      </c>
      <c r="C13" s="79"/>
      <c r="D13" s="130">
        <f>B13/$B$8</f>
        <v>0.23505154639175257</v>
      </c>
      <c r="E13" s="86"/>
      <c r="F13" s="77"/>
      <c r="G13" s="77"/>
      <c r="H13" s="81" t="s">
        <v>12</v>
      </c>
      <c r="I13" s="77"/>
      <c r="J13" s="89">
        <v>1</v>
      </c>
      <c r="K13" s="77"/>
      <c r="L13" s="77"/>
    </row>
    <row r="14" spans="1:12" ht="15" customHeight="1" x14ac:dyDescent="0.2">
      <c r="A14" s="80" t="s">
        <v>513</v>
      </c>
      <c r="B14" s="154">
        <f>COUNTIFS('Puntos de Operacion'!G:G,"Si",'Puntos de Operacion'!F:F,"C")+COUNTIFS('Puntos de Operacion'!G:G,"Si",'Puntos de Operacion'!F:F,"D")+COUNTIFS('Puntos de Operacion'!G:G,"Si",'Puntos de Operacion'!F:F,"E")</f>
        <v>224</v>
      </c>
      <c r="C14" s="79"/>
      <c r="D14" s="130">
        <f>B14/$B$8</f>
        <v>0.46185567010309281</v>
      </c>
      <c r="E14" s="86"/>
      <c r="F14" s="77"/>
      <c r="G14" s="77"/>
      <c r="H14" s="81" t="s">
        <v>513</v>
      </c>
      <c r="I14" s="77"/>
      <c r="J14" s="89">
        <v>2</v>
      </c>
      <c r="K14" s="77"/>
      <c r="L14" s="77"/>
    </row>
    <row r="15" spans="1:12" ht="15" customHeight="1" x14ac:dyDescent="0.2">
      <c r="A15" s="80" t="s">
        <v>17</v>
      </c>
      <c r="B15" s="154">
        <f>COUNTIFS('Puntos de Operacion'!G:G,"Si",'Puntos de Operacion'!F:F,"X")</f>
        <v>6</v>
      </c>
      <c r="C15" s="79"/>
      <c r="D15" s="130">
        <f>B15/$B$8</f>
        <v>1.2371134020618556E-2</v>
      </c>
      <c r="E15" s="86"/>
      <c r="F15" s="77"/>
      <c r="G15" s="77"/>
      <c r="H15" s="81" t="s">
        <v>17</v>
      </c>
      <c r="I15" s="77"/>
      <c r="J15" s="89">
        <v>2</v>
      </c>
      <c r="K15" s="77"/>
      <c r="L15" s="77"/>
    </row>
    <row r="16" spans="1:12" ht="12.75" customHeight="1" x14ac:dyDescent="0.2">
      <c r="A16" s="164"/>
      <c r="B16" s="164"/>
      <c r="C16" s="164"/>
      <c r="D16" s="164"/>
      <c r="E16" s="164"/>
      <c r="F16" s="164"/>
      <c r="G16" s="164"/>
      <c r="H16" s="164"/>
      <c r="I16" s="164"/>
      <c r="J16" s="164"/>
      <c r="K16" s="164"/>
      <c r="L16" s="164"/>
    </row>
    <row r="17" spans="1:12" ht="12.75" customHeight="1" x14ac:dyDescent="0.2">
      <c r="A17" s="164"/>
      <c r="B17" s="164"/>
      <c r="C17" s="164"/>
      <c r="D17" s="164"/>
      <c r="E17" s="164"/>
      <c r="F17" s="164"/>
      <c r="G17" s="164"/>
      <c r="H17" s="164"/>
      <c r="I17" s="164"/>
      <c r="J17" s="164"/>
      <c r="K17" s="164"/>
      <c r="L17" s="164"/>
    </row>
    <row r="18" spans="1:12" s="96" customFormat="1" ht="12.75" customHeight="1" x14ac:dyDescent="0.2">
      <c r="A18" s="94" t="s">
        <v>0</v>
      </c>
      <c r="B18" s="83">
        <v>1</v>
      </c>
      <c r="C18" s="95"/>
      <c r="D18" s="84">
        <v>540</v>
      </c>
      <c r="E18" s="84"/>
      <c r="F18" s="84" t="s">
        <v>504</v>
      </c>
      <c r="G18" s="162" t="s">
        <v>520</v>
      </c>
      <c r="H18" s="162"/>
      <c r="I18" s="162"/>
      <c r="J18" s="162"/>
      <c r="K18" s="162"/>
      <c r="L18" s="95"/>
    </row>
    <row r="19" spans="1:12" ht="12.75" customHeight="1" x14ac:dyDescent="0.2">
      <c r="A19" s="163"/>
      <c r="B19" s="163"/>
      <c r="C19" s="163"/>
      <c r="D19" s="163"/>
      <c r="E19" s="163"/>
      <c r="F19" s="163"/>
      <c r="G19" s="163"/>
      <c r="H19" s="163"/>
      <c r="I19" s="163"/>
      <c r="J19" s="163"/>
      <c r="K19" s="163"/>
      <c r="L19" s="163"/>
    </row>
    <row r="20" spans="1:12" ht="15" customHeight="1" x14ac:dyDescent="0.2">
      <c r="A20" s="126" t="s">
        <v>2</v>
      </c>
      <c r="B20" s="138">
        <v>0</v>
      </c>
      <c r="C20" s="97"/>
      <c r="D20" s="89">
        <v>0</v>
      </c>
      <c r="E20" s="98"/>
      <c r="F20" s="139" t="s">
        <v>504</v>
      </c>
      <c r="G20" s="77"/>
      <c r="H20" s="129" t="s">
        <v>516</v>
      </c>
      <c r="I20" s="81"/>
      <c r="J20" s="141">
        <v>3.7892265570277348E-3</v>
      </c>
      <c r="K20" s="77"/>
      <c r="L20" s="77"/>
    </row>
    <row r="21" spans="1:12" ht="15" customHeight="1" x14ac:dyDescent="0.2">
      <c r="A21" s="126" t="s">
        <v>3</v>
      </c>
      <c r="B21" s="138">
        <f>$B$18*D21/$D$18</f>
        <v>0</v>
      </c>
      <c r="C21" s="97"/>
      <c r="D21" s="89">
        <v>0</v>
      </c>
      <c r="E21" s="98"/>
      <c r="F21" s="139" t="s">
        <v>504</v>
      </c>
      <c r="G21" s="77"/>
      <c r="H21" s="129" t="s">
        <v>517</v>
      </c>
      <c r="I21" s="77"/>
      <c r="J21" s="141">
        <v>4.3540120181136614E-2</v>
      </c>
      <c r="K21" s="77"/>
      <c r="L21" s="77"/>
    </row>
    <row r="22" spans="1:12" ht="15" customHeight="1" x14ac:dyDescent="0.2">
      <c r="A22" s="126" t="s">
        <v>4</v>
      </c>
      <c r="B22" s="138">
        <v>0.1111111111111111</v>
      </c>
      <c r="C22" s="97"/>
      <c r="D22" s="89">
        <v>60</v>
      </c>
      <c r="E22" s="98"/>
      <c r="F22" s="139" t="s">
        <v>504</v>
      </c>
      <c r="G22" s="77"/>
      <c r="H22" s="129" t="s">
        <v>506</v>
      </c>
      <c r="I22" s="77"/>
      <c r="J22" s="141">
        <v>9.1591437855121517E-3</v>
      </c>
      <c r="K22" s="77"/>
      <c r="L22" s="77"/>
    </row>
    <row r="23" spans="1:12" ht="15" customHeight="1" x14ac:dyDescent="0.2">
      <c r="A23" s="126" t="s">
        <v>1967</v>
      </c>
      <c r="B23" s="138">
        <v>5.5555555555555552E-2</v>
      </c>
      <c r="C23" s="97"/>
      <c r="D23" s="89">
        <v>30</v>
      </c>
      <c r="E23" s="98"/>
      <c r="F23" s="139" t="s">
        <v>504</v>
      </c>
      <c r="G23" s="77"/>
      <c r="H23" s="129" t="s">
        <v>518</v>
      </c>
      <c r="I23" s="77"/>
      <c r="J23" s="141">
        <v>8.6909301353692667E-2</v>
      </c>
      <c r="K23" s="77"/>
      <c r="L23" s="77"/>
    </row>
    <row r="24" spans="1:12" ht="15" customHeight="1" x14ac:dyDescent="0.2">
      <c r="A24" s="127" t="s">
        <v>508</v>
      </c>
      <c r="B24" s="138">
        <f>$B$18*D24/$D$18</f>
        <v>0</v>
      </c>
      <c r="C24" s="97"/>
      <c r="D24" s="89">
        <v>0</v>
      </c>
      <c r="E24" s="99"/>
      <c r="F24" s="140" t="s">
        <v>504</v>
      </c>
      <c r="G24" s="77"/>
      <c r="H24" s="129" t="s">
        <v>519</v>
      </c>
      <c r="I24" s="77"/>
      <c r="J24" s="141">
        <v>0.12653269543923637</v>
      </c>
      <c r="K24" s="77"/>
      <c r="L24" s="77"/>
    </row>
    <row r="25" spans="1:12" ht="15" customHeight="1" x14ac:dyDescent="0.2">
      <c r="A25" s="128" t="s">
        <v>507</v>
      </c>
      <c r="B25" s="138">
        <f>$B$18*D25/$D$18</f>
        <v>0</v>
      </c>
      <c r="C25" s="97"/>
      <c r="D25" s="89">
        <v>0</v>
      </c>
      <c r="E25" s="82"/>
      <c r="F25" s="133" t="s">
        <v>504</v>
      </c>
      <c r="G25" s="77"/>
      <c r="H25" s="77"/>
      <c r="I25" s="77"/>
      <c r="J25" s="77"/>
      <c r="K25" s="77"/>
      <c r="L25" s="77"/>
    </row>
    <row r="26" spans="1:12" ht="12.75" customHeight="1" x14ac:dyDescent="0.2">
      <c r="A26" s="163"/>
      <c r="B26" s="163"/>
      <c r="C26" s="163"/>
      <c r="D26" s="163"/>
      <c r="E26" s="163"/>
      <c r="F26" s="163"/>
      <c r="G26" s="163"/>
      <c r="H26" s="163"/>
      <c r="I26" s="163"/>
      <c r="J26" s="163"/>
      <c r="K26" s="163"/>
      <c r="L26" s="163"/>
    </row>
    <row r="27" spans="1:12" ht="15.75" customHeight="1" x14ac:dyDescent="0.2">
      <c r="A27" s="90" t="s">
        <v>515</v>
      </c>
      <c r="B27" s="131">
        <f>B18- SUM(B20:B25)</f>
        <v>0.83333333333333337</v>
      </c>
      <c r="C27" s="91"/>
      <c r="D27" s="92">
        <f>D18-SUM(D20:D25)</f>
        <v>450</v>
      </c>
      <c r="E27" s="93"/>
      <c r="F27" s="93" t="s">
        <v>504</v>
      </c>
      <c r="G27" s="158" t="s">
        <v>523</v>
      </c>
      <c r="H27" s="158"/>
      <c r="I27" s="91"/>
      <c r="J27" s="132">
        <f>SUM(J20:J24)</f>
        <v>0.26993048731660552</v>
      </c>
      <c r="K27" s="91"/>
      <c r="L27" s="100"/>
    </row>
    <row r="28" spans="1:12" ht="12.75" customHeight="1" x14ac:dyDescent="0.2">
      <c r="A28" s="163"/>
      <c r="B28" s="163"/>
      <c r="C28" s="163"/>
      <c r="D28" s="163"/>
      <c r="E28" s="163"/>
      <c r="F28" s="163"/>
      <c r="G28" s="163"/>
      <c r="H28" s="163"/>
      <c r="I28" s="163"/>
      <c r="J28" s="163"/>
      <c r="K28" s="163"/>
      <c r="L28" s="163"/>
    </row>
    <row r="29" spans="1:12" ht="12.75" customHeight="1" x14ac:dyDescent="0.2">
      <c r="A29" s="163"/>
      <c r="B29" s="163"/>
      <c r="C29" s="163"/>
      <c r="D29" s="163"/>
      <c r="E29" s="163"/>
      <c r="F29" s="163"/>
      <c r="G29" s="163"/>
      <c r="H29" s="163"/>
      <c r="I29" s="163"/>
      <c r="J29" s="163"/>
      <c r="K29" s="163"/>
      <c r="L29" s="163"/>
    </row>
    <row r="37" spans="1:2" ht="12.75" customHeight="1" x14ac:dyDescent="0.2">
      <c r="A37" s="87"/>
      <c r="B37" s="88"/>
    </row>
  </sheetData>
  <sheetProtection selectLockedCells="1"/>
  <mergeCells count="14">
    <mergeCell ref="A28:L29"/>
    <mergeCell ref="A26:L26"/>
    <mergeCell ref="A19:L19"/>
    <mergeCell ref="A16:L17"/>
    <mergeCell ref="A10:L10"/>
    <mergeCell ref="A1:L3"/>
    <mergeCell ref="H4:I5"/>
    <mergeCell ref="G27:H27"/>
    <mergeCell ref="G8:L9"/>
    <mergeCell ref="B4:B5"/>
    <mergeCell ref="A8:A9"/>
    <mergeCell ref="B8:B9"/>
    <mergeCell ref="G18:K18"/>
    <mergeCell ref="A6:L7"/>
  </mergeCells>
  <pageMargins left="0.7" right="0.7" top="0.75" bottom="0.75" header="0.3" footer="0.3"/>
  <pageSetup paperSize="9" scale="81" fitToHeight="0" orientation="portrait" r:id="rId1"/>
  <drawing r:id="rId2"/>
  <legacyDrawing r:id="rId3"/>
  <mc:AlternateContent>
    <mc:Choice Requires="x14">
      <controls>
        <mc:AlternateContent>
          <mc:Choice Requires="x14">
            <control shapeId="1048" r:id="rId4" name="Button 24">
              <controlPr defaultSize="0" print="0" autoFill="0" autoPict="0" macro="[0]!Botón24_Haga_clic_en">
                <anchor moveWithCells="1">
                  <from>
                    <xdr:col>2</xdr:col>
                    <xdr:colOff>0</xdr:colOff>
                    <xdr:row>19</xdr:row>
                    <xdr:rowOff>25400</xdr:rowOff>
                  </from>
                  <to>
                    <xdr:col>2</xdr:col>
                    <xdr:colOff>177800</xdr:colOff>
                    <xdr:row>19</xdr:row>
                    <xdr:rowOff>177800</xdr:rowOff>
                  </to>
                </anchor>
              </controlPr>
            </control>
          </mc:Choice>
          <mc:Fallback/>
        </mc:AlternateContent>
        <mc:AlternateContent>
          <mc:Choice Requires="x14">
            <control shapeId="1049" r:id="rId5" name="Button 25">
              <controlPr defaultSize="0" print="0" autoFill="0" autoPict="0" macro="[0]!Botón25_Haga_clic_en">
                <anchor moveWithCells="1">
                  <from>
                    <xdr:col>2</xdr:col>
                    <xdr:colOff>0</xdr:colOff>
                    <xdr:row>21</xdr:row>
                    <xdr:rowOff>25400</xdr:rowOff>
                  </from>
                  <to>
                    <xdr:col>2</xdr:col>
                    <xdr:colOff>177800</xdr:colOff>
                    <xdr:row>22</xdr:row>
                    <xdr:rowOff>0</xdr:rowOff>
                  </to>
                </anchor>
              </controlPr>
            </control>
          </mc:Choice>
          <mc:Fallback/>
        </mc:AlternateContent>
        <mc:AlternateContent>
          <mc:Choice Requires="x14">
            <control shapeId="1050" r:id="rId6" name="Button 26">
              <controlPr defaultSize="0" print="0" autoFill="0" autoPict="0" macro="[0]!Botón26_Haga_clic_en">
                <anchor moveWithCells="1">
                  <from>
                    <xdr:col>2</xdr:col>
                    <xdr:colOff>0</xdr:colOff>
                    <xdr:row>20</xdr:row>
                    <xdr:rowOff>25400</xdr:rowOff>
                  </from>
                  <to>
                    <xdr:col>2</xdr:col>
                    <xdr:colOff>177800</xdr:colOff>
                    <xdr:row>21</xdr:row>
                    <xdr:rowOff>0</xdr:rowOff>
                  </to>
                </anchor>
              </controlPr>
            </control>
          </mc:Choice>
          <mc:Fallback/>
        </mc:AlternateContent>
        <mc:AlternateContent>
          <mc:Choice Requires="x14">
            <control shapeId="1051" r:id="rId7" name="Button 27">
              <controlPr defaultSize="0" print="0" autoFill="0" autoPict="0" macro="[0]!Botón27_Haga_clic_en">
                <anchor moveWithCells="1">
                  <from>
                    <xdr:col>2</xdr:col>
                    <xdr:colOff>0</xdr:colOff>
                    <xdr:row>22</xdr:row>
                    <xdr:rowOff>25400</xdr:rowOff>
                  </from>
                  <to>
                    <xdr:col>2</xdr:col>
                    <xdr:colOff>177800</xdr:colOff>
                    <xdr:row>23</xdr:row>
                    <xdr:rowOff>0</xdr:rowOff>
                  </to>
                </anchor>
              </controlPr>
            </control>
          </mc:Choice>
          <mc:Fallback/>
        </mc:AlternateContent>
        <mc:AlternateContent>
          <mc:Choice Requires="x14">
            <control shapeId="1052" r:id="rId8" name="Button 28">
              <controlPr defaultSize="0" print="0" autoFill="0" autoPict="0" macro="[0]!Botón28_Haga_clic_en">
                <anchor moveWithCells="1">
                  <from>
                    <xdr:col>2</xdr:col>
                    <xdr:colOff>0</xdr:colOff>
                    <xdr:row>24</xdr:row>
                    <xdr:rowOff>25400</xdr:rowOff>
                  </from>
                  <to>
                    <xdr:col>2</xdr:col>
                    <xdr:colOff>177800</xdr:colOff>
                    <xdr:row>25</xdr:row>
                    <xdr:rowOff>0</xdr:rowOff>
                  </to>
                </anchor>
              </controlPr>
            </control>
          </mc:Choice>
          <mc:Fallback/>
        </mc:AlternateContent>
        <mc:AlternateContent>
          <mc:Choice Requires="x14">
            <control shapeId="1053" r:id="rId9" name="Button 29">
              <controlPr defaultSize="0" print="0" autoFill="0" autoPict="0" macro="[0]!Botón29_Haga_clic_en">
                <anchor moveWithCells="1">
                  <from>
                    <xdr:col>2</xdr:col>
                    <xdr:colOff>0</xdr:colOff>
                    <xdr:row>23</xdr:row>
                    <xdr:rowOff>25400</xdr:rowOff>
                  </from>
                  <to>
                    <xdr:col>2</xdr:col>
                    <xdr:colOff>177800</xdr:colOff>
                    <xdr:row>24</xdr:row>
                    <xdr:rowOff>0</xdr:rowOff>
                  </to>
                </anchor>
              </controlPr>
            </control>
          </mc:Choice>
          <mc:Fallback/>
        </mc:AlternateContent>
        <mc:AlternateContent>
          <mc:Choice Requires="x14">
            <control shapeId="1055" r:id="rId10" name="Button 31">
              <controlPr defaultSize="0" print="0" autoFill="0" autoPict="0" macro="[0]!Botón31_Haga_clic_en">
                <anchor moveWithCells="1">
                  <from>
                    <xdr:col>4</xdr:col>
                    <xdr:colOff>38100</xdr:colOff>
                    <xdr:row>19</xdr:row>
                    <xdr:rowOff>12700</xdr:rowOff>
                  </from>
                  <to>
                    <xdr:col>4</xdr:col>
                    <xdr:colOff>215900</xdr:colOff>
                    <xdr:row>19</xdr:row>
                    <xdr:rowOff>177800</xdr:rowOff>
                  </to>
                </anchor>
              </controlPr>
            </control>
          </mc:Choice>
          <mc:Fallback/>
        </mc:AlternateContent>
        <mc:AlternateContent>
          <mc:Choice Requires="x14">
            <control shapeId="1056" r:id="rId11" name="Button 32">
              <controlPr defaultSize="0" print="0" autoFill="0" autoPict="0" macro="[0]!Botón32_Haga_clic_en">
                <anchor moveWithCells="1">
                  <from>
                    <xdr:col>4</xdr:col>
                    <xdr:colOff>38100</xdr:colOff>
                    <xdr:row>20</xdr:row>
                    <xdr:rowOff>12700</xdr:rowOff>
                  </from>
                  <to>
                    <xdr:col>4</xdr:col>
                    <xdr:colOff>215900</xdr:colOff>
                    <xdr:row>20</xdr:row>
                    <xdr:rowOff>177800</xdr:rowOff>
                  </to>
                </anchor>
              </controlPr>
            </control>
          </mc:Choice>
          <mc:Fallback/>
        </mc:AlternateContent>
        <mc:AlternateContent>
          <mc:Choice Requires="x14">
            <control shapeId="1057" r:id="rId12" name="Button 33">
              <controlPr defaultSize="0" print="0" autoFill="0" autoPict="0" macro="[0]!Botón33_Haga_clic_en">
                <anchor moveWithCells="1">
                  <from>
                    <xdr:col>4</xdr:col>
                    <xdr:colOff>38100</xdr:colOff>
                    <xdr:row>21</xdr:row>
                    <xdr:rowOff>12700</xdr:rowOff>
                  </from>
                  <to>
                    <xdr:col>4</xdr:col>
                    <xdr:colOff>215900</xdr:colOff>
                    <xdr:row>21</xdr:row>
                    <xdr:rowOff>177800</xdr:rowOff>
                  </to>
                </anchor>
              </controlPr>
            </control>
          </mc:Choice>
          <mc:Fallback/>
        </mc:AlternateContent>
        <mc:AlternateContent>
          <mc:Choice Requires="x14">
            <control shapeId="1058" r:id="rId13" name="Button 34">
              <controlPr defaultSize="0" print="0" autoFill="0" autoPict="0" macro="[0]!Botón34_Haga_clic_en">
                <anchor moveWithCells="1">
                  <from>
                    <xdr:col>4</xdr:col>
                    <xdr:colOff>38100</xdr:colOff>
                    <xdr:row>22</xdr:row>
                    <xdr:rowOff>12700</xdr:rowOff>
                  </from>
                  <to>
                    <xdr:col>4</xdr:col>
                    <xdr:colOff>215900</xdr:colOff>
                    <xdr:row>22</xdr:row>
                    <xdr:rowOff>177800</xdr:rowOff>
                  </to>
                </anchor>
              </controlPr>
            </control>
          </mc:Choice>
          <mc:Fallback/>
        </mc:AlternateContent>
        <mc:AlternateContent>
          <mc:Choice Requires="x14">
            <control shapeId="1059" r:id="rId14" name="Button 35">
              <controlPr defaultSize="0" print="0" autoFill="0" autoPict="0" macro="[0]!Botón35_Haga_clic_en">
                <anchor moveWithCells="1">
                  <from>
                    <xdr:col>4</xdr:col>
                    <xdr:colOff>38100</xdr:colOff>
                    <xdr:row>23</xdr:row>
                    <xdr:rowOff>12700</xdr:rowOff>
                  </from>
                  <to>
                    <xdr:col>4</xdr:col>
                    <xdr:colOff>215900</xdr:colOff>
                    <xdr:row>23</xdr:row>
                    <xdr:rowOff>177800</xdr:rowOff>
                  </to>
                </anchor>
              </controlPr>
            </control>
          </mc:Choice>
          <mc:Fallback/>
        </mc:AlternateContent>
        <mc:AlternateContent>
          <mc:Choice Requires="x14">
            <control shapeId="1060" r:id="rId15" name="Button 36">
              <controlPr defaultSize="0" print="0" autoFill="0" autoPict="0" macro="[0]!Botón36_Haga_clic_en">
                <anchor moveWithCells="1">
                  <from>
                    <xdr:col>4</xdr:col>
                    <xdr:colOff>38100</xdr:colOff>
                    <xdr:row>24</xdr:row>
                    <xdr:rowOff>12700</xdr:rowOff>
                  </from>
                  <to>
                    <xdr:col>4</xdr:col>
                    <xdr:colOff>215900</xdr:colOff>
                    <xdr:row>24</xdr:row>
                    <xdr:rowOff>177800</xdr:rowOff>
                  </to>
                </anchor>
              </controlPr>
            </control>
          </mc:Choice>
          <mc:Fallback/>
        </mc:AlternateContent>
        <mc:AlternateContent>
          <mc:Choice Requires="x14">
            <control shapeId="1062" r:id="rId16" name="Button 38">
              <controlPr defaultSize="0" print="0" autoFill="0" autoPict="0" macro="[0]!Botón38_Haga_clic_en">
                <anchor moveWithCells="1">
                  <from>
                    <xdr:col>8</xdr:col>
                    <xdr:colOff>50800</xdr:colOff>
                    <xdr:row>19</xdr:row>
                    <xdr:rowOff>25400</xdr:rowOff>
                  </from>
                  <to>
                    <xdr:col>8</xdr:col>
                    <xdr:colOff>228600</xdr:colOff>
                    <xdr:row>19</xdr:row>
                    <xdr:rowOff>177800</xdr:rowOff>
                  </to>
                </anchor>
              </controlPr>
            </control>
          </mc:Choice>
          <mc:Fallback/>
        </mc:AlternateContent>
        <mc:AlternateContent>
          <mc:Choice Requires="x14">
            <control shapeId="1063" r:id="rId17" name="Button 39">
              <controlPr defaultSize="0" print="0" autoFill="0" autoPict="0" macro="[0]!Botón39_Haga_clic_en">
                <anchor moveWithCells="1">
                  <from>
                    <xdr:col>8</xdr:col>
                    <xdr:colOff>50800</xdr:colOff>
                    <xdr:row>20</xdr:row>
                    <xdr:rowOff>12700</xdr:rowOff>
                  </from>
                  <to>
                    <xdr:col>8</xdr:col>
                    <xdr:colOff>228600</xdr:colOff>
                    <xdr:row>20</xdr:row>
                    <xdr:rowOff>165100</xdr:rowOff>
                  </to>
                </anchor>
              </controlPr>
            </control>
          </mc:Choice>
          <mc:Fallback/>
        </mc:AlternateContent>
        <mc:AlternateContent>
          <mc:Choice Requires="x14">
            <control shapeId="1064" r:id="rId18" name="Button 40">
              <controlPr defaultSize="0" print="0" autoFill="0" autoPict="0" macro="[0]!Botón40_Haga_clic_en">
                <anchor moveWithCells="1">
                  <from>
                    <xdr:col>8</xdr:col>
                    <xdr:colOff>50800</xdr:colOff>
                    <xdr:row>21</xdr:row>
                    <xdr:rowOff>0</xdr:rowOff>
                  </from>
                  <to>
                    <xdr:col>8</xdr:col>
                    <xdr:colOff>228600</xdr:colOff>
                    <xdr:row>21</xdr:row>
                    <xdr:rowOff>165100</xdr:rowOff>
                  </to>
                </anchor>
              </controlPr>
            </control>
          </mc:Choice>
          <mc:Fallback/>
        </mc:AlternateContent>
        <mc:AlternateContent>
          <mc:Choice Requires="x14">
            <control shapeId="1065" r:id="rId19" name="Button 41">
              <controlPr defaultSize="0" print="0" autoFill="0" autoPict="0" macro="[0]!Botón41_Haga_clic_en">
                <anchor moveWithCells="1">
                  <from>
                    <xdr:col>8</xdr:col>
                    <xdr:colOff>50800</xdr:colOff>
                    <xdr:row>21</xdr:row>
                    <xdr:rowOff>152400</xdr:rowOff>
                  </from>
                  <to>
                    <xdr:col>8</xdr:col>
                    <xdr:colOff>228600</xdr:colOff>
                    <xdr:row>22</xdr:row>
                    <xdr:rowOff>127000</xdr:rowOff>
                  </to>
                </anchor>
              </controlPr>
            </control>
          </mc:Choice>
          <mc:Fallback/>
        </mc:AlternateContent>
        <mc:AlternateContent>
          <mc:Choice Requires="x14">
            <control shapeId="1066" r:id="rId20" name="Button 42">
              <controlPr defaultSize="0" print="0" autoFill="0" autoPict="0" macro="[0]!Botón42_Haga_clic_en">
                <anchor moveWithCells="1">
                  <from>
                    <xdr:col>8</xdr:col>
                    <xdr:colOff>50800</xdr:colOff>
                    <xdr:row>22</xdr:row>
                    <xdr:rowOff>139700</xdr:rowOff>
                  </from>
                  <to>
                    <xdr:col>8</xdr:col>
                    <xdr:colOff>228600</xdr:colOff>
                    <xdr:row>23</xdr:row>
                    <xdr:rowOff>114300</xdr:rowOff>
                  </to>
                </anchor>
              </controlPr>
            </control>
          </mc:Choice>
          <mc:Fallback/>
        </mc:AlternateContent>
        <mc:AlternateContent>
          <mc:Choice Requires="x14">
            <control shapeId="1067" r:id="rId21" name="Button 43">
              <controlPr defaultSize="0" print="0" autoFill="0" autoPict="0" macro="[0]!Botón43_Haga_clic_en">
                <anchor moveWithCells="1">
                  <from>
                    <xdr:col>10</xdr:col>
                    <xdr:colOff>25400</xdr:colOff>
                    <xdr:row>19</xdr:row>
                    <xdr:rowOff>25400</xdr:rowOff>
                  </from>
                  <to>
                    <xdr:col>10</xdr:col>
                    <xdr:colOff>215900</xdr:colOff>
                    <xdr:row>20</xdr:row>
                    <xdr:rowOff>0</xdr:rowOff>
                  </to>
                </anchor>
              </controlPr>
            </control>
          </mc:Choice>
          <mc:Fallback/>
        </mc:AlternateContent>
        <mc:AlternateContent>
          <mc:Choice Requires="x14">
            <control shapeId="1068" r:id="rId22" name="Button 44">
              <controlPr defaultSize="0" print="0" autoFill="0" autoPict="0" macro="[0]!Botón44_Haga_clic_en">
                <anchor moveWithCells="1">
                  <from>
                    <xdr:col>10</xdr:col>
                    <xdr:colOff>25400</xdr:colOff>
                    <xdr:row>20</xdr:row>
                    <xdr:rowOff>25400</xdr:rowOff>
                  </from>
                  <to>
                    <xdr:col>10</xdr:col>
                    <xdr:colOff>215900</xdr:colOff>
                    <xdr:row>20</xdr:row>
                    <xdr:rowOff>177800</xdr:rowOff>
                  </to>
                </anchor>
              </controlPr>
            </control>
          </mc:Choice>
          <mc:Fallback/>
        </mc:AlternateContent>
        <mc:AlternateContent>
          <mc:Choice Requires="x14">
            <control shapeId="1069" r:id="rId23" name="Button 45">
              <controlPr defaultSize="0" print="0" autoFill="0" autoPict="0" macro="[0]!Botón45_Haga_clic_en">
                <anchor moveWithCells="1">
                  <from>
                    <xdr:col>10</xdr:col>
                    <xdr:colOff>25400</xdr:colOff>
                    <xdr:row>21</xdr:row>
                    <xdr:rowOff>25400</xdr:rowOff>
                  </from>
                  <to>
                    <xdr:col>10</xdr:col>
                    <xdr:colOff>215900</xdr:colOff>
                    <xdr:row>22</xdr:row>
                    <xdr:rowOff>0</xdr:rowOff>
                  </to>
                </anchor>
              </controlPr>
            </control>
          </mc:Choice>
          <mc:Fallback/>
        </mc:AlternateContent>
        <mc:AlternateContent>
          <mc:Choice Requires="x14">
            <control shapeId="1070" r:id="rId24" name="Button 46">
              <controlPr defaultSize="0" print="0" autoFill="0" autoPict="0" macro="[0]!Botón46_Haga_clic_en">
                <anchor moveWithCells="1">
                  <from>
                    <xdr:col>10</xdr:col>
                    <xdr:colOff>25400</xdr:colOff>
                    <xdr:row>22</xdr:row>
                    <xdr:rowOff>38100</xdr:rowOff>
                  </from>
                  <to>
                    <xdr:col>10</xdr:col>
                    <xdr:colOff>215900</xdr:colOff>
                    <xdr:row>23</xdr:row>
                    <xdr:rowOff>0</xdr:rowOff>
                  </to>
                </anchor>
              </controlPr>
            </control>
          </mc:Choice>
          <mc:Fallback/>
        </mc:AlternateContent>
        <mc:AlternateContent>
          <mc:Choice Requires="x14">
            <control shapeId="1071" r:id="rId25" name="Button 47">
              <controlPr defaultSize="0" print="0" autoFill="0" autoPict="0" macro="[0]!Botón47_Haga_clic_en">
                <anchor moveWithCells="1">
                  <from>
                    <xdr:col>10</xdr:col>
                    <xdr:colOff>25400</xdr:colOff>
                    <xdr:row>23</xdr:row>
                    <xdr:rowOff>25400</xdr:rowOff>
                  </from>
                  <to>
                    <xdr:col>10</xdr:col>
                    <xdr:colOff>215900</xdr:colOff>
                    <xdr:row>23</xdr:row>
                    <xdr:rowOff>177800</xdr:rowOff>
                  </to>
                </anchor>
              </controlPr>
            </control>
          </mc:Choice>
          <mc:Fallback/>
        </mc:AlternateContent>
        <mc:AlternateContent>
          <mc:Choice Requires="x14">
            <control shapeId="1087" r:id="rId26" name="Button 63">
              <controlPr defaultSize="0" print="0" autoFill="0" autoPict="0" macro="[0]!Botón63_Haga_clic_en">
                <anchor moveWithCells="1">
                  <from>
                    <xdr:col>9</xdr:col>
                    <xdr:colOff>25400</xdr:colOff>
                    <xdr:row>2</xdr:row>
                    <xdr:rowOff>152400</xdr:rowOff>
                  </from>
                  <to>
                    <xdr:col>10</xdr:col>
                    <xdr:colOff>25400</xdr:colOff>
                    <xdr:row>3</xdr:row>
                    <xdr:rowOff>139700</xdr:rowOff>
                  </to>
                </anchor>
              </controlPr>
            </control>
          </mc:Choice>
          <mc:Fallback/>
        </mc:AlternateContent>
        <mc:AlternateContent>
          <mc:Choice Requires="x14">
            <control shapeId="1088" r:id="rId27" name="Button 64">
              <controlPr defaultSize="0" print="0" autoFill="0" autoPict="0" macro="[0]!Botón64_Haga_clic_en">
                <anchor moveWithCells="1">
                  <from>
                    <xdr:col>9</xdr:col>
                    <xdr:colOff>25400</xdr:colOff>
                    <xdr:row>4</xdr:row>
                    <xdr:rowOff>0</xdr:rowOff>
                  </from>
                  <to>
                    <xdr:col>10</xdr:col>
                    <xdr:colOff>25400</xdr:colOff>
                    <xdr:row>5</xdr:row>
                    <xdr:rowOff>25400</xdr:rowOff>
                  </to>
                </anchor>
              </controlPr>
            </control>
          </mc:Choice>
          <mc:Fallback/>
        </mc:AlternateContent>
        <mc:AlternateContent>
          <mc:Choice Requires="x14">
            <control shapeId="1089" r:id="rId28" name="Button 65">
              <controlPr defaultSize="0" print="0" autoFill="0" autoPict="0" macro="[0]!Botón65_Haga_clic_en">
                <anchor moveWithCells="1">
                  <from>
                    <xdr:col>8</xdr:col>
                    <xdr:colOff>63500</xdr:colOff>
                    <xdr:row>11</xdr:row>
                    <xdr:rowOff>0</xdr:rowOff>
                  </from>
                  <to>
                    <xdr:col>9</xdr:col>
                    <xdr:colOff>12700</xdr:colOff>
                    <xdr:row>11</xdr:row>
                    <xdr:rowOff>165100</xdr:rowOff>
                  </to>
                </anchor>
              </controlPr>
            </control>
          </mc:Choice>
          <mc:Fallback/>
        </mc:AlternateContent>
        <mc:AlternateContent>
          <mc:Choice Requires="x14">
            <control shapeId="1090" r:id="rId29" name="Button 66">
              <controlPr defaultSize="0" print="0" autoFill="0" autoPict="0" macro="[0]!Botón66_Haga_clic_en">
                <anchor moveWithCells="1">
                  <from>
                    <xdr:col>8</xdr:col>
                    <xdr:colOff>63500</xdr:colOff>
                    <xdr:row>12</xdr:row>
                    <xdr:rowOff>0</xdr:rowOff>
                  </from>
                  <to>
                    <xdr:col>9</xdr:col>
                    <xdr:colOff>12700</xdr:colOff>
                    <xdr:row>12</xdr:row>
                    <xdr:rowOff>165100</xdr:rowOff>
                  </to>
                </anchor>
              </controlPr>
            </control>
          </mc:Choice>
          <mc:Fallback/>
        </mc:AlternateContent>
        <mc:AlternateContent>
          <mc:Choice Requires="x14">
            <control shapeId="1091" r:id="rId30" name="Button 67">
              <controlPr defaultSize="0" print="0" autoFill="0" autoPict="0" macro="[0]!Botón67_Haga_clic_en">
                <anchor moveWithCells="1">
                  <from>
                    <xdr:col>8</xdr:col>
                    <xdr:colOff>63500</xdr:colOff>
                    <xdr:row>13</xdr:row>
                    <xdr:rowOff>0</xdr:rowOff>
                  </from>
                  <to>
                    <xdr:col>9</xdr:col>
                    <xdr:colOff>12700</xdr:colOff>
                    <xdr:row>13</xdr:row>
                    <xdr:rowOff>165100</xdr:rowOff>
                  </to>
                </anchor>
              </controlPr>
            </control>
          </mc:Choice>
          <mc:Fallback/>
        </mc:AlternateContent>
        <mc:AlternateContent>
          <mc:Choice Requires="x14">
            <control shapeId="1092" r:id="rId31" name="Button 68">
              <controlPr defaultSize="0" print="0" autoFill="0" autoPict="0" macro="[0]!Botón68_Haga_clic_en">
                <anchor moveWithCells="1">
                  <from>
                    <xdr:col>8</xdr:col>
                    <xdr:colOff>63500</xdr:colOff>
                    <xdr:row>13</xdr:row>
                    <xdr:rowOff>152400</xdr:rowOff>
                  </from>
                  <to>
                    <xdr:col>9</xdr:col>
                    <xdr:colOff>12700</xdr:colOff>
                    <xdr:row>14</xdr:row>
                    <xdr:rowOff>127000</xdr:rowOff>
                  </to>
                </anchor>
              </controlPr>
            </control>
          </mc:Choice>
          <mc:Fallback/>
        </mc:AlternateContent>
        <mc:AlternateContent>
          <mc:Choice Requires="x14">
            <control shapeId="1093" r:id="rId32" name="Button 69">
              <controlPr defaultSize="0" print="0" autoFill="0" autoPict="0" macro="[0]!Botón69_Haga_clic_en">
                <anchor moveWithCells="1">
                  <from>
                    <xdr:col>10</xdr:col>
                    <xdr:colOff>25400</xdr:colOff>
                    <xdr:row>11</xdr:row>
                    <xdr:rowOff>0</xdr:rowOff>
                  </from>
                  <to>
                    <xdr:col>10</xdr:col>
                    <xdr:colOff>203200</xdr:colOff>
                    <xdr:row>11</xdr:row>
                    <xdr:rowOff>165100</xdr:rowOff>
                  </to>
                </anchor>
              </controlPr>
            </control>
          </mc:Choice>
          <mc:Fallback/>
        </mc:AlternateContent>
        <mc:AlternateContent>
          <mc:Choice Requires="x14">
            <control shapeId="1094" r:id="rId33" name="Button 70">
              <controlPr defaultSize="0" print="0" autoFill="0" autoPict="0" macro="[0]!Botón70_Haga_clic_en">
                <anchor moveWithCells="1">
                  <from>
                    <xdr:col>10</xdr:col>
                    <xdr:colOff>25400</xdr:colOff>
                    <xdr:row>11</xdr:row>
                    <xdr:rowOff>152400</xdr:rowOff>
                  </from>
                  <to>
                    <xdr:col>10</xdr:col>
                    <xdr:colOff>203200</xdr:colOff>
                    <xdr:row>12</xdr:row>
                    <xdr:rowOff>127000</xdr:rowOff>
                  </to>
                </anchor>
              </controlPr>
            </control>
          </mc:Choice>
          <mc:Fallback/>
        </mc:AlternateContent>
        <mc:AlternateContent>
          <mc:Choice Requires="x14">
            <control shapeId="1095" r:id="rId34" name="Button 71">
              <controlPr defaultSize="0" print="0" autoFill="0" autoPict="0" macro="[0]!Botón71_Haga_clic_en">
                <anchor moveWithCells="1">
                  <from>
                    <xdr:col>10</xdr:col>
                    <xdr:colOff>25400</xdr:colOff>
                    <xdr:row>12</xdr:row>
                    <xdr:rowOff>152400</xdr:rowOff>
                  </from>
                  <to>
                    <xdr:col>10</xdr:col>
                    <xdr:colOff>203200</xdr:colOff>
                    <xdr:row>13</xdr:row>
                    <xdr:rowOff>127000</xdr:rowOff>
                  </to>
                </anchor>
              </controlPr>
            </control>
          </mc:Choice>
          <mc:Fallback/>
        </mc:AlternateContent>
        <mc:AlternateContent>
          <mc:Choice Requires="x14">
            <control shapeId="1096" r:id="rId35" name="Button 72">
              <controlPr defaultSize="0" print="0" autoFill="0" autoPict="0" macro="[0]!Botón72_Haga_clic_en">
                <anchor moveWithCells="1">
                  <from>
                    <xdr:col>10</xdr:col>
                    <xdr:colOff>25400</xdr:colOff>
                    <xdr:row>13</xdr:row>
                    <xdr:rowOff>139700</xdr:rowOff>
                  </from>
                  <to>
                    <xdr:col>10</xdr:col>
                    <xdr:colOff>203200</xdr:colOff>
                    <xdr:row>14</xdr:row>
                    <xdr:rowOff>114300</xdr:rowOff>
                  </to>
                </anchor>
              </controlPr>
            </control>
          </mc:Choice>
          <mc:Fallback/>
        </mc:AlternateContent>
      </controls>
    </mc:Choice>
    <mc:Fallback/>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enableFormatConditionsCalculation="0"/>
  <dimension ref="A1:F9"/>
  <sheetViews>
    <sheetView zoomScale="90" zoomScaleNormal="90" zoomScalePageLayoutView="90" workbookViewId="0">
      <selection sqref="A1:A9"/>
    </sheetView>
  </sheetViews>
  <sheetFormatPr baseColWidth="10" defaultRowHeight="15.75" customHeight="1" x14ac:dyDescent="0.2"/>
  <cols>
    <col min="1" max="1" customWidth="true" style="2" width="5.5" collapsed="true"/>
    <col min="2" max="2" bestFit="true" customWidth="true" style="2" width="30.5" collapsed="true"/>
    <col min="3" max="3" customWidth="true" style="2" width="11.83203125" collapsed="true"/>
    <col min="4" max="4" bestFit="true" customWidth="true" style="2" width="10.33203125" collapsed="true"/>
    <col min="5" max="5" customWidth="true" style="2" width="3.6640625" collapsed="true"/>
    <col min="6" max="6" bestFit="true" customWidth="true" style="2" width="113.5" collapsed="true"/>
    <col min="7" max="16384" style="2" width="10.83203125" collapsed="true"/>
  </cols>
  <sheetData>
    <row r="1" spans="1:6" ht="15.75" customHeight="1" x14ac:dyDescent="0.2">
      <c r="A1" s="168" t="s">
        <v>1756</v>
      </c>
      <c r="B1" s="28" t="s">
        <v>1753</v>
      </c>
      <c r="C1" s="28" t="s">
        <v>1754</v>
      </c>
      <c r="D1" s="28" t="s">
        <v>1755</v>
      </c>
    </row>
    <row r="2" spans="1:6" ht="15.75" customHeight="1" x14ac:dyDescent="0.2">
      <c r="A2" s="169"/>
      <c r="B2" s="29" t="s">
        <v>0</v>
      </c>
      <c r="C2" s="30">
        <v>540</v>
      </c>
      <c r="D2" s="29" t="s">
        <v>1</v>
      </c>
      <c r="F2" s="31" t="s">
        <v>1757</v>
      </c>
    </row>
    <row r="3" spans="1:6" ht="15.75" customHeight="1" x14ac:dyDescent="0.2">
      <c r="A3" s="169"/>
      <c r="B3" s="31" t="s">
        <v>1956</v>
      </c>
      <c r="C3" s="32">
        <f>Input!D27/2</f>
        <v>225</v>
      </c>
      <c r="D3" s="31" t="s">
        <v>1</v>
      </c>
      <c r="F3" s="31" t="s">
        <v>1957</v>
      </c>
    </row>
    <row r="4" spans="1:6" ht="15" x14ac:dyDescent="0.2">
      <c r="A4" s="169"/>
      <c r="B4" s="31" t="s">
        <v>2</v>
      </c>
      <c r="C4" s="33" t="s">
        <v>1758</v>
      </c>
      <c r="D4" s="31" t="s">
        <v>1</v>
      </c>
      <c r="F4" s="166" t="s">
        <v>1759</v>
      </c>
    </row>
    <row r="5" spans="1:6" ht="15.75" customHeight="1" x14ac:dyDescent="0.2">
      <c r="A5" s="169"/>
      <c r="B5" s="31" t="s">
        <v>3</v>
      </c>
      <c r="C5" s="33" t="s">
        <v>1758</v>
      </c>
      <c r="D5" s="31" t="s">
        <v>1</v>
      </c>
      <c r="F5" s="167"/>
    </row>
    <row r="6" spans="1:6" ht="15.75" customHeight="1" x14ac:dyDescent="0.2">
      <c r="A6" s="169"/>
      <c r="B6" s="31" t="s">
        <v>1760</v>
      </c>
      <c r="C6" s="33">
        <v>80</v>
      </c>
      <c r="D6" s="29" t="s">
        <v>1</v>
      </c>
      <c r="F6" s="31" t="s">
        <v>1761</v>
      </c>
    </row>
    <row r="7" spans="1:6" ht="28" x14ac:dyDescent="0.2">
      <c r="A7" s="169"/>
      <c r="B7" s="31" t="s">
        <v>1762</v>
      </c>
      <c r="C7" s="33" t="s">
        <v>1758</v>
      </c>
      <c r="D7" s="29" t="s">
        <v>1</v>
      </c>
      <c r="F7" s="31" t="s">
        <v>1763</v>
      </c>
    </row>
    <row r="8" spans="1:6" ht="15" x14ac:dyDescent="0.2">
      <c r="A8" s="169"/>
      <c r="B8" s="29" t="s">
        <v>6</v>
      </c>
      <c r="C8" s="34">
        <v>20.399999999999999</v>
      </c>
      <c r="D8" s="29" t="s">
        <v>7</v>
      </c>
      <c r="F8" s="54"/>
    </row>
    <row r="9" spans="1:6" ht="15.75" customHeight="1" x14ac:dyDescent="0.2">
      <c r="A9" s="169"/>
      <c r="B9" s="29" t="s">
        <v>1764</v>
      </c>
      <c r="C9" s="30">
        <v>2</v>
      </c>
      <c r="D9" s="29" t="s">
        <v>5</v>
      </c>
      <c r="F9" s="31" t="s">
        <v>1765</v>
      </c>
    </row>
  </sheetData>
  <sheetProtection sheet="1" objects="1" scenarios="1" selectLockedCells="1"/>
  <mergeCells count="2">
    <mergeCell ref="F4:F5"/>
    <mergeCell ref="A1:A9"/>
  </mergeCells>
  <pageMargins left="0.7" right="0.7" top="0.75" bottom="0.75" header="0.3" footer="0.3"/>
  <pageSetup paperSize="9" orientation="portrait"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 enableFormatConditionsCalculation="0"/>
  <dimension ref="A1:K1896"/>
  <sheetViews>
    <sheetView showGridLines="0" zoomScale="90" zoomScaleNormal="90" zoomScalePageLayoutView="90" workbookViewId="0">
      <selection activeCell="B1" sqref="B1"/>
    </sheetView>
  </sheetViews>
  <sheetFormatPr baseColWidth="10" defaultRowHeight="14" x14ac:dyDescent="0.2"/>
  <cols>
    <col min="1" max="1" customWidth="true" style="46" width="4.6640625" collapsed="true"/>
    <col min="2" max="2" customWidth="true" style="38" width="18.6640625" collapsed="true"/>
    <col min="3" max="4" customWidth="true" style="38" width="20.6640625" collapsed="true"/>
    <col min="5" max="5" customWidth="true" style="38" width="21.83203125" collapsed="true"/>
    <col min="6" max="6" bestFit="true" customWidth="true" style="38" width="24.0" collapsed="true"/>
    <col min="7" max="7" customWidth="true" hidden="true" style="46" width="11.5" collapsed="true"/>
    <col min="8" max="16384" style="38" width="10.83203125" collapsed="true"/>
  </cols>
  <sheetData>
    <row r="1" spans="1:11" s="35" customFormat="1" ht="15" x14ac:dyDescent="0.2">
      <c r="A1" s="101"/>
      <c r="B1" s="36" t="s">
        <v>1766</v>
      </c>
      <c r="C1" s="36" t="s">
        <v>1767</v>
      </c>
      <c r="D1" s="36" t="s">
        <v>1768</v>
      </c>
      <c r="E1" s="36" t="s">
        <v>1769</v>
      </c>
      <c r="F1" s="36" t="s">
        <v>1770</v>
      </c>
      <c r="G1" s="37" t="s">
        <v>1771</v>
      </c>
    </row>
    <row r="2" spans="1:11" x14ac:dyDescent="0.2">
      <c r="B2" s="39" t="s">
        <v>7186</v>
      </c>
      <c r="C2" s="39" t="s">
        <v>1772</v>
      </c>
      <c r="D2" s="39" t="s">
        <v>1196</v>
      </c>
      <c r="E2" s="40">
        <v>207</v>
      </c>
      <c r="F2" s="41">
        <f>$E2*3600/(Input!$H$4*1000)</f>
        <v>24.84</v>
      </c>
      <c r="G2" s="42" t="str">
        <f t="shared" ref="G2:G65" si="0">MID(B2,7,LEN(B2)-6)</f>
        <v>1</v>
      </c>
      <c r="I2" s="43" t="s">
        <v>1773</v>
      </c>
    </row>
    <row r="3" spans="1:11" x14ac:dyDescent="0.2">
      <c r="B3" s="39" t="s">
        <v>7187</v>
      </c>
      <c r="C3" s="39" t="s">
        <v>214</v>
      </c>
      <c r="D3" s="39" t="s">
        <v>500</v>
      </c>
      <c r="E3" s="40">
        <v>224</v>
      </c>
      <c r="F3" s="41">
        <f>$E3*3600/(Input!$H$4*1000)</f>
        <v>26.88</v>
      </c>
      <c r="G3" s="42" t="str">
        <f t="shared" si="0"/>
        <v>2</v>
      </c>
    </row>
    <row r="4" spans="1:11" x14ac:dyDescent="0.2">
      <c r="B4" s="39" t="s">
        <v>7188</v>
      </c>
      <c r="C4" s="39" t="s">
        <v>500</v>
      </c>
      <c r="D4" s="39" t="s">
        <v>1443</v>
      </c>
      <c r="E4" s="40">
        <v>116</v>
      </c>
      <c r="F4" s="41">
        <f>$E4*3600/(Input!$H$4*1000)</f>
        <v>13.92</v>
      </c>
      <c r="G4" s="42" t="str">
        <f t="shared" si="0"/>
        <v>3</v>
      </c>
      <c r="I4" s="38" t="s">
        <v>1774</v>
      </c>
    </row>
    <row r="5" spans="1:11" x14ac:dyDescent="0.2">
      <c r="B5" s="39" t="s">
        <v>7189</v>
      </c>
      <c r="C5" s="39" t="s">
        <v>1443</v>
      </c>
      <c r="D5" s="39" t="s">
        <v>880</v>
      </c>
      <c r="E5" s="40">
        <v>96</v>
      </c>
      <c r="F5" s="41">
        <f>$E5*3600/(Input!$H$4*1000)</f>
        <v>11.52</v>
      </c>
      <c r="G5" s="42" t="str">
        <f t="shared" si="0"/>
        <v>4</v>
      </c>
      <c r="I5" s="38" t="s">
        <v>1775</v>
      </c>
    </row>
    <row r="6" spans="1:11" x14ac:dyDescent="0.2">
      <c r="B6" s="39" t="s">
        <v>7190</v>
      </c>
      <c r="C6" s="39" t="s">
        <v>870</v>
      </c>
      <c r="D6" s="39" t="s">
        <v>65</v>
      </c>
      <c r="E6" s="40">
        <v>329</v>
      </c>
      <c r="F6" s="41">
        <f>$E6*3600/(Input!$H$4*1000)</f>
        <v>39.479999999999997</v>
      </c>
      <c r="G6" s="42" t="str">
        <f t="shared" si="0"/>
        <v>5</v>
      </c>
      <c r="I6" s="38" t="s">
        <v>1776</v>
      </c>
    </row>
    <row r="7" spans="1:11" x14ac:dyDescent="0.2">
      <c r="B7" s="39" t="s">
        <v>7191</v>
      </c>
      <c r="C7" s="39" t="s">
        <v>880</v>
      </c>
      <c r="D7" s="39" t="s">
        <v>886</v>
      </c>
      <c r="E7" s="40">
        <v>368</v>
      </c>
      <c r="F7" s="41">
        <f>$E7*3600/(Input!$H$4*1000)</f>
        <v>44.16</v>
      </c>
      <c r="G7" s="42" t="str">
        <f t="shared" si="0"/>
        <v>6</v>
      </c>
    </row>
    <row r="8" spans="1:11" x14ac:dyDescent="0.2">
      <c r="B8" s="39" t="s">
        <v>7192</v>
      </c>
      <c r="C8" s="39" t="s">
        <v>886</v>
      </c>
      <c r="D8" s="39" t="s">
        <v>125</v>
      </c>
      <c r="E8" s="40">
        <v>147</v>
      </c>
      <c r="F8" s="41">
        <f>$E8*3600/(Input!$H$4*1000)</f>
        <v>17.64</v>
      </c>
      <c r="G8" s="42" t="str">
        <f t="shared" si="0"/>
        <v>7</v>
      </c>
    </row>
    <row r="9" spans="1:11" x14ac:dyDescent="0.2">
      <c r="B9" s="39" t="s">
        <v>7193</v>
      </c>
      <c r="C9" s="39" t="s">
        <v>125</v>
      </c>
      <c r="D9" s="39" t="s">
        <v>885</v>
      </c>
      <c r="E9" s="40">
        <v>167</v>
      </c>
      <c r="F9" s="41">
        <f>$E9*3600/(Input!$H$4*1000)</f>
        <v>20.04</v>
      </c>
      <c r="G9" s="42" t="str">
        <f t="shared" si="0"/>
        <v>8</v>
      </c>
    </row>
    <row r="10" spans="1:11" x14ac:dyDescent="0.2">
      <c r="B10" s="39" t="s">
        <v>7194</v>
      </c>
      <c r="C10" s="39" t="s">
        <v>885</v>
      </c>
      <c r="D10" s="39" t="s">
        <v>949</v>
      </c>
      <c r="E10" s="40">
        <v>90</v>
      </c>
      <c r="F10" s="41">
        <f>$E10*3600/(Input!$H$4*1000)</f>
        <v>10.8</v>
      </c>
      <c r="G10" s="42" t="str">
        <f t="shared" si="0"/>
        <v>9</v>
      </c>
    </row>
    <row r="11" spans="1:11" x14ac:dyDescent="0.2">
      <c r="B11" s="39" t="s">
        <v>7195</v>
      </c>
      <c r="C11" s="39" t="s">
        <v>880</v>
      </c>
      <c r="D11" s="39" t="s">
        <v>105</v>
      </c>
      <c r="E11" s="40">
        <v>239</v>
      </c>
      <c r="F11" s="41">
        <f>$E11*3600/(Input!$H$4*1000)</f>
        <v>28.68</v>
      </c>
      <c r="G11" s="42" t="str">
        <f t="shared" si="0"/>
        <v>10</v>
      </c>
    </row>
    <row r="12" spans="1:11" x14ac:dyDescent="0.2">
      <c r="B12" s="39" t="s">
        <v>1777</v>
      </c>
      <c r="C12" s="39" t="s">
        <v>880</v>
      </c>
      <c r="D12" s="39" t="s">
        <v>1078</v>
      </c>
      <c r="E12" s="40">
        <v>320</v>
      </c>
      <c r="F12" s="41">
        <f>$E12*3600/(Input!$H$4*1000)</f>
        <v>38.4</v>
      </c>
      <c r="G12" s="42" t="str">
        <f t="shared" si="0"/>
        <v>11</v>
      </c>
    </row>
    <row r="13" spans="1:11" x14ac:dyDescent="0.2">
      <c r="B13" s="39" t="s">
        <v>1778</v>
      </c>
      <c r="C13" s="39" t="s">
        <v>1772</v>
      </c>
      <c r="D13" s="39" t="s">
        <v>1338</v>
      </c>
      <c r="E13" s="40">
        <v>113</v>
      </c>
      <c r="F13" s="41">
        <f>$E13*3600/(Input!$H$4*1000)</f>
        <v>13.56</v>
      </c>
      <c r="G13" s="42" t="str">
        <f t="shared" si="0"/>
        <v>12</v>
      </c>
    </row>
    <row r="14" spans="1:11" x14ac:dyDescent="0.2">
      <c r="B14" s="39" t="s">
        <v>7196</v>
      </c>
      <c r="C14" s="39" t="s">
        <v>1772</v>
      </c>
      <c r="D14" s="39" t="s">
        <v>487</v>
      </c>
      <c r="E14" s="40">
        <v>253</v>
      </c>
      <c r="F14" s="41">
        <f>$E14*3600/(Input!$H$4*1000)</f>
        <v>30.36</v>
      </c>
      <c r="G14" s="42" t="str">
        <f t="shared" si="0"/>
        <v>13</v>
      </c>
      <c r="K14" s="38" t="s">
        <v>1772</v>
      </c>
    </row>
    <row r="15" spans="1:11" x14ac:dyDescent="0.2">
      <c r="B15" s="39" t="s">
        <v>7197</v>
      </c>
      <c r="C15" s="39" t="s">
        <v>1772</v>
      </c>
      <c r="D15" s="39" t="s">
        <v>1409</v>
      </c>
      <c r="E15" s="40">
        <v>369</v>
      </c>
      <c r="F15" s="41">
        <f>$E15*3600/(Input!$H$4*1000)</f>
        <v>44.28</v>
      </c>
      <c r="G15" s="42" t="str">
        <f t="shared" si="0"/>
        <v>14</v>
      </c>
      <c r="K15" s="38" t="s">
        <v>1779</v>
      </c>
    </row>
    <row r="16" spans="1:11" x14ac:dyDescent="0.2">
      <c r="B16" s="39" t="s">
        <v>7198</v>
      </c>
      <c r="C16" s="39" t="s">
        <v>1409</v>
      </c>
      <c r="D16" s="39" t="s">
        <v>689</v>
      </c>
      <c r="E16" s="40">
        <v>97</v>
      </c>
      <c r="F16" s="41">
        <f>$E16*3600/(Input!$H$4*1000)</f>
        <v>11.64</v>
      </c>
      <c r="G16" s="42" t="str">
        <f t="shared" si="0"/>
        <v>15</v>
      </c>
    </row>
    <row r="17" spans="2:11" s="38" customFormat="1" x14ac:dyDescent="0.2">
      <c r="B17" s="44" t="s">
        <v>7199</v>
      </c>
      <c r="C17" s="44" t="s">
        <v>497</v>
      </c>
      <c r="D17" s="44" t="s">
        <v>689</v>
      </c>
      <c r="E17" s="45">
        <v>92</v>
      </c>
      <c r="F17" s="41">
        <f>$E17*3600/(Input!$H$4*1000)</f>
        <v>11.04</v>
      </c>
      <c r="G17" s="42" t="str">
        <f t="shared" si="0"/>
        <v>16</v>
      </c>
    </row>
    <row r="18" spans="2:11" s="38" customFormat="1" x14ac:dyDescent="0.2">
      <c r="B18" s="39" t="s">
        <v>7200</v>
      </c>
      <c r="C18" s="39" t="s">
        <v>1348</v>
      </c>
      <c r="D18" s="39" t="s">
        <v>497</v>
      </c>
      <c r="E18" s="40">
        <v>179</v>
      </c>
      <c r="F18" s="41">
        <f>$E18*3600/(Input!$H$4*1000)</f>
        <v>21.48</v>
      </c>
      <c r="G18" s="42" t="str">
        <f t="shared" si="0"/>
        <v>17</v>
      </c>
    </row>
    <row r="19" spans="2:11" s="38" customFormat="1" x14ac:dyDescent="0.2">
      <c r="B19" s="39" t="s">
        <v>7201</v>
      </c>
      <c r="C19" s="39" t="s">
        <v>29</v>
      </c>
      <c r="D19" s="39" t="s">
        <v>497</v>
      </c>
      <c r="E19" s="40">
        <v>242</v>
      </c>
      <c r="F19" s="41">
        <f>$E19*3600/(Input!$H$4*1000)</f>
        <v>29.04</v>
      </c>
      <c r="G19" s="42" t="str">
        <f t="shared" si="0"/>
        <v>18</v>
      </c>
    </row>
    <row r="20" spans="2:11" s="38" customFormat="1" x14ac:dyDescent="0.2">
      <c r="B20" s="39" t="s">
        <v>7202</v>
      </c>
      <c r="C20" s="39" t="s">
        <v>1772</v>
      </c>
      <c r="D20" s="39" t="s">
        <v>1185</v>
      </c>
      <c r="E20" s="40">
        <v>564</v>
      </c>
      <c r="F20" s="41">
        <f>$E20*3600/(Input!$H$4*1000)</f>
        <v>67.680000000000007</v>
      </c>
      <c r="G20" s="42" t="str">
        <f t="shared" si="0"/>
        <v>19</v>
      </c>
    </row>
    <row r="21" spans="2:11" s="38" customFormat="1" x14ac:dyDescent="0.2">
      <c r="B21" s="39" t="s">
        <v>7203</v>
      </c>
      <c r="C21" s="39" t="s">
        <v>1185</v>
      </c>
      <c r="D21" s="39" t="s">
        <v>946</v>
      </c>
      <c r="E21" s="40">
        <v>276</v>
      </c>
      <c r="F21" s="41">
        <f>$E21*3600/(Input!$H$4*1000)</f>
        <v>33.119999999999997</v>
      </c>
      <c r="G21" s="42" t="str">
        <f t="shared" si="0"/>
        <v>20</v>
      </c>
    </row>
    <row r="22" spans="2:11" s="38" customFormat="1" x14ac:dyDescent="0.2">
      <c r="B22" s="39" t="s">
        <v>7204</v>
      </c>
      <c r="C22" s="39" t="s">
        <v>1185</v>
      </c>
      <c r="D22" s="39" t="s">
        <v>39</v>
      </c>
      <c r="E22" s="40">
        <v>456</v>
      </c>
      <c r="F22" s="41">
        <f>$E22*3600/(Input!$H$4*1000)</f>
        <v>54.72</v>
      </c>
      <c r="G22" s="42" t="str">
        <f t="shared" si="0"/>
        <v>21</v>
      </c>
    </row>
    <row r="23" spans="2:11" s="46" customFormat="1" x14ac:dyDescent="0.2">
      <c r="B23" s="39" t="s">
        <v>7205</v>
      </c>
      <c r="C23" s="39" t="s">
        <v>1185</v>
      </c>
      <c r="D23" s="39" t="s">
        <v>1730</v>
      </c>
      <c r="E23" s="40">
        <v>284</v>
      </c>
      <c r="F23" s="41">
        <f>$E23*3600/(Input!$H$4*1000)</f>
        <v>34.08</v>
      </c>
      <c r="G23" s="42" t="str">
        <f t="shared" si="0"/>
        <v>22</v>
      </c>
      <c r="K23" s="38"/>
    </row>
    <row r="24" spans="2:11" s="46" customFormat="1" x14ac:dyDescent="0.2">
      <c r="B24" s="39" t="s">
        <v>7206</v>
      </c>
      <c r="C24" s="39" t="s">
        <v>1184</v>
      </c>
      <c r="D24" s="39" t="s">
        <v>273</v>
      </c>
      <c r="E24" s="40">
        <v>228</v>
      </c>
      <c r="F24" s="41">
        <f>$E24*3600/(Input!$H$4*1000)</f>
        <v>27.36</v>
      </c>
      <c r="G24" s="42" t="str">
        <f t="shared" si="0"/>
        <v>23</v>
      </c>
    </row>
    <row r="25" spans="2:11" s="46" customFormat="1" x14ac:dyDescent="0.2">
      <c r="B25" s="39" t="s">
        <v>7207</v>
      </c>
      <c r="C25" s="39" t="s">
        <v>39</v>
      </c>
      <c r="D25" s="39" t="s">
        <v>771</v>
      </c>
      <c r="E25" s="40">
        <v>261</v>
      </c>
      <c r="F25" s="41">
        <f>$E25*3600/(Input!$H$4*1000)</f>
        <v>31.32</v>
      </c>
      <c r="G25" s="42" t="str">
        <f t="shared" si="0"/>
        <v>24</v>
      </c>
    </row>
    <row r="26" spans="2:11" s="38" customFormat="1" x14ac:dyDescent="0.2">
      <c r="B26" s="39" t="s">
        <v>7208</v>
      </c>
      <c r="C26" s="39" t="s">
        <v>39</v>
      </c>
      <c r="D26" s="39" t="s">
        <v>898</v>
      </c>
      <c r="E26" s="40">
        <v>288</v>
      </c>
      <c r="F26" s="41">
        <f>$E26*3600/(Input!$H$4*1000)</f>
        <v>34.56</v>
      </c>
      <c r="G26" s="42" t="str">
        <f t="shared" si="0"/>
        <v>25</v>
      </c>
      <c r="K26" s="46"/>
    </row>
    <row r="27" spans="2:11" s="38" customFormat="1" x14ac:dyDescent="0.2">
      <c r="B27" s="39" t="s">
        <v>7209</v>
      </c>
      <c r="C27" s="39" t="s">
        <v>771</v>
      </c>
      <c r="D27" s="39" t="s">
        <v>894</v>
      </c>
      <c r="E27" s="40">
        <v>395</v>
      </c>
      <c r="F27" s="41">
        <f>$E27*3600/(Input!$H$4*1000)</f>
        <v>47.4</v>
      </c>
      <c r="G27" s="42" t="str">
        <f t="shared" si="0"/>
        <v>26</v>
      </c>
      <c r="K27" s="46"/>
    </row>
    <row r="28" spans="2:11" s="38" customFormat="1" x14ac:dyDescent="0.2">
      <c r="B28" s="39" t="s">
        <v>7210</v>
      </c>
      <c r="C28" s="39" t="s">
        <v>105</v>
      </c>
      <c r="D28" s="39" t="s">
        <v>764</v>
      </c>
      <c r="E28" s="40">
        <v>236</v>
      </c>
      <c r="F28" s="41">
        <f>$E28*3600/(Input!$H$4*1000)</f>
        <v>28.32</v>
      </c>
      <c r="G28" s="42" t="str">
        <f t="shared" si="0"/>
        <v>27</v>
      </c>
      <c r="K28" s="46"/>
    </row>
    <row r="29" spans="2:11" s="38" customFormat="1" x14ac:dyDescent="0.2">
      <c r="B29" s="39" t="s">
        <v>7211</v>
      </c>
      <c r="C29" s="39" t="s">
        <v>880</v>
      </c>
      <c r="D29" s="39" t="s">
        <v>870</v>
      </c>
      <c r="E29" s="40">
        <v>236</v>
      </c>
      <c r="F29" s="41">
        <f>$E29*3600/(Input!$H$4*1000)</f>
        <v>28.32</v>
      </c>
      <c r="G29" s="42" t="str">
        <f t="shared" si="0"/>
        <v>28</v>
      </c>
    </row>
    <row r="30" spans="2:11" s="38" customFormat="1" x14ac:dyDescent="0.2">
      <c r="B30" s="39" t="s">
        <v>7212</v>
      </c>
      <c r="C30" s="39" t="s">
        <v>898</v>
      </c>
      <c r="D30" s="39" t="s">
        <v>894</v>
      </c>
      <c r="E30" s="40">
        <v>536</v>
      </c>
      <c r="F30" s="41">
        <f>$E30*3600/(Input!$H$4*1000)</f>
        <v>64.319999999999993</v>
      </c>
      <c r="G30" s="42" t="str">
        <f t="shared" si="0"/>
        <v>29</v>
      </c>
    </row>
    <row r="31" spans="2:11" s="38" customFormat="1" x14ac:dyDescent="0.2">
      <c r="B31" s="39" t="s">
        <v>7213</v>
      </c>
      <c r="C31" s="39" t="s">
        <v>870</v>
      </c>
      <c r="D31" s="39" t="s">
        <v>588</v>
      </c>
      <c r="E31" s="40">
        <v>135</v>
      </c>
      <c r="F31" s="41">
        <f>$E31*3600/(Input!$H$4*1000)</f>
        <v>16.2</v>
      </c>
      <c r="G31" s="42" t="str">
        <f t="shared" si="0"/>
        <v>30</v>
      </c>
    </row>
    <row r="32" spans="2:11" s="38" customFormat="1" x14ac:dyDescent="0.2">
      <c r="B32" s="39" t="s">
        <v>7214</v>
      </c>
      <c r="C32" s="39" t="s">
        <v>870</v>
      </c>
      <c r="D32" s="39" t="s">
        <v>764</v>
      </c>
      <c r="E32" s="40">
        <v>410</v>
      </c>
      <c r="F32" s="41">
        <f>$E32*3600/(Input!$H$4*1000)</f>
        <v>49.2</v>
      </c>
      <c r="G32" s="42" t="str">
        <f t="shared" si="0"/>
        <v>31</v>
      </c>
    </row>
    <row r="33" spans="2:7" s="38" customFormat="1" x14ac:dyDescent="0.2">
      <c r="B33" s="39" t="s">
        <v>7215</v>
      </c>
      <c r="C33" s="39" t="s">
        <v>870</v>
      </c>
      <c r="D33" s="39" t="s">
        <v>273</v>
      </c>
      <c r="E33" s="40">
        <v>262</v>
      </c>
      <c r="F33" s="41">
        <f>$E33*3600/(Input!$H$4*1000)</f>
        <v>31.44</v>
      </c>
      <c r="G33" s="42" t="str">
        <f t="shared" si="0"/>
        <v>32</v>
      </c>
    </row>
    <row r="34" spans="2:7" s="38" customFormat="1" x14ac:dyDescent="0.2">
      <c r="B34" s="39" t="s">
        <v>7216</v>
      </c>
      <c r="C34" s="39" t="s">
        <v>1429</v>
      </c>
      <c r="D34" s="39" t="s">
        <v>764</v>
      </c>
      <c r="E34" s="40">
        <v>341</v>
      </c>
      <c r="F34" s="41">
        <f>$E34*3600/(Input!$H$4*1000)</f>
        <v>40.92</v>
      </c>
      <c r="G34" s="42" t="str">
        <f t="shared" si="0"/>
        <v>33</v>
      </c>
    </row>
    <row r="35" spans="2:7" s="38" customFormat="1" x14ac:dyDescent="0.2">
      <c r="B35" s="39" t="s">
        <v>7217</v>
      </c>
      <c r="C35" s="39" t="s">
        <v>1234</v>
      </c>
      <c r="D35" s="39" t="s">
        <v>1429</v>
      </c>
      <c r="E35" s="40">
        <v>271</v>
      </c>
      <c r="F35" s="41">
        <f>$E35*3600/(Input!$H$4*1000)</f>
        <v>32.520000000000003</v>
      </c>
      <c r="G35" s="42" t="str">
        <f t="shared" si="0"/>
        <v>34</v>
      </c>
    </row>
    <row r="36" spans="2:7" s="38" customFormat="1" x14ac:dyDescent="0.2">
      <c r="B36" s="39" t="s">
        <v>1780</v>
      </c>
      <c r="C36" s="39" t="s">
        <v>494</v>
      </c>
      <c r="D36" s="39" t="s">
        <v>1349</v>
      </c>
      <c r="E36" s="40">
        <v>272</v>
      </c>
      <c r="F36" s="41">
        <f>$E36*3600/(Input!$H$4*1000)</f>
        <v>32.64</v>
      </c>
      <c r="G36" s="42" t="str">
        <f t="shared" si="0"/>
        <v>35</v>
      </c>
    </row>
    <row r="37" spans="2:7" s="38" customFormat="1" x14ac:dyDescent="0.2">
      <c r="B37" s="39" t="s">
        <v>7218</v>
      </c>
      <c r="C37" s="39" t="s">
        <v>1424</v>
      </c>
      <c r="D37" s="39" t="s">
        <v>1458</v>
      </c>
      <c r="E37" s="40">
        <v>195</v>
      </c>
      <c r="F37" s="41">
        <f>$E37*3600/(Input!$H$4*1000)</f>
        <v>23.4</v>
      </c>
      <c r="G37" s="42" t="str">
        <f t="shared" si="0"/>
        <v>36</v>
      </c>
    </row>
    <row r="38" spans="2:7" s="38" customFormat="1" x14ac:dyDescent="0.2">
      <c r="B38" s="39" t="s">
        <v>7219</v>
      </c>
      <c r="C38" s="39" t="s">
        <v>1458</v>
      </c>
      <c r="D38" s="39" t="s">
        <v>672</v>
      </c>
      <c r="E38" s="40">
        <v>110</v>
      </c>
      <c r="F38" s="41">
        <f>$E38*3600/(Input!$H$4*1000)</f>
        <v>13.2</v>
      </c>
      <c r="G38" s="42" t="str">
        <f t="shared" si="0"/>
        <v>37</v>
      </c>
    </row>
    <row r="39" spans="2:7" s="38" customFormat="1" x14ac:dyDescent="0.2">
      <c r="B39" s="39" t="s">
        <v>7220</v>
      </c>
      <c r="C39" s="39" t="s">
        <v>1576</v>
      </c>
      <c r="D39" s="39" t="s">
        <v>672</v>
      </c>
      <c r="E39" s="40">
        <v>109</v>
      </c>
      <c r="F39" s="41">
        <f>$E39*3600/(Input!$H$4*1000)</f>
        <v>13.08</v>
      </c>
      <c r="G39" s="42" t="str">
        <f t="shared" si="0"/>
        <v>38</v>
      </c>
    </row>
    <row r="40" spans="2:7" s="38" customFormat="1" x14ac:dyDescent="0.2">
      <c r="B40" s="39" t="s">
        <v>7221</v>
      </c>
      <c r="C40" s="39" t="s">
        <v>1781</v>
      </c>
      <c r="D40" s="39" t="s">
        <v>1576</v>
      </c>
      <c r="E40" s="40">
        <v>57</v>
      </c>
      <c r="F40" s="41">
        <f>$E40*3600/(Input!$H$4*1000)</f>
        <v>6.84</v>
      </c>
      <c r="G40" s="42" t="str">
        <f t="shared" si="0"/>
        <v>39</v>
      </c>
    </row>
    <row r="41" spans="2:7" s="38" customFormat="1" x14ac:dyDescent="0.2">
      <c r="B41" s="39" t="s">
        <v>7222</v>
      </c>
      <c r="C41" s="39" t="s">
        <v>1458</v>
      </c>
      <c r="D41" s="39" t="s">
        <v>157</v>
      </c>
      <c r="E41" s="40">
        <v>316</v>
      </c>
      <c r="F41" s="41">
        <f>$E41*3600/(Input!$H$4*1000)</f>
        <v>37.92</v>
      </c>
      <c r="G41" s="42" t="str">
        <f t="shared" si="0"/>
        <v>40</v>
      </c>
    </row>
    <row r="42" spans="2:7" s="38" customFormat="1" x14ac:dyDescent="0.2">
      <c r="B42" s="39" t="s">
        <v>7223</v>
      </c>
      <c r="C42" s="39" t="s">
        <v>832</v>
      </c>
      <c r="D42" s="39" t="s">
        <v>878</v>
      </c>
      <c r="E42" s="40">
        <v>185</v>
      </c>
      <c r="F42" s="41">
        <f>$E42*3600/(Input!$H$4*1000)</f>
        <v>22.2</v>
      </c>
      <c r="G42" s="42" t="str">
        <f t="shared" si="0"/>
        <v>41</v>
      </c>
    </row>
    <row r="43" spans="2:7" s="38" customFormat="1" x14ac:dyDescent="0.2">
      <c r="B43" s="39" t="s">
        <v>7224</v>
      </c>
      <c r="C43" s="39" t="s">
        <v>832</v>
      </c>
      <c r="D43" s="39" t="s">
        <v>1234</v>
      </c>
      <c r="E43" s="40">
        <v>302</v>
      </c>
      <c r="F43" s="41">
        <f>$E43*3600/(Input!$H$4*1000)</f>
        <v>36.24</v>
      </c>
      <c r="G43" s="42" t="str">
        <f t="shared" si="0"/>
        <v>42</v>
      </c>
    </row>
    <row r="44" spans="2:7" s="38" customFormat="1" x14ac:dyDescent="0.2">
      <c r="B44" s="39" t="s">
        <v>7225</v>
      </c>
      <c r="C44" s="39" t="s">
        <v>1458</v>
      </c>
      <c r="D44" s="39" t="s">
        <v>1576</v>
      </c>
      <c r="E44" s="40">
        <v>166</v>
      </c>
      <c r="F44" s="41">
        <f>$E44*3600/(Input!$H$4*1000)</f>
        <v>19.920000000000002</v>
      </c>
      <c r="G44" s="42" t="str">
        <f t="shared" si="0"/>
        <v>43</v>
      </c>
    </row>
    <row r="45" spans="2:7" s="38" customFormat="1" x14ac:dyDescent="0.2">
      <c r="B45" s="39" t="s">
        <v>7226</v>
      </c>
      <c r="C45" s="39" t="s">
        <v>1428</v>
      </c>
      <c r="D45" s="39" t="s">
        <v>1234</v>
      </c>
      <c r="E45" s="40">
        <v>204</v>
      </c>
      <c r="F45" s="41">
        <f>$E45*3600/(Input!$H$4*1000)</f>
        <v>24.48</v>
      </c>
      <c r="G45" s="42" t="str">
        <f t="shared" si="0"/>
        <v>44</v>
      </c>
    </row>
    <row r="46" spans="2:7" s="38" customFormat="1" x14ac:dyDescent="0.2">
      <c r="B46" s="39" t="s">
        <v>7227</v>
      </c>
      <c r="C46" s="39" t="s">
        <v>213</v>
      </c>
      <c r="D46" s="39" t="s">
        <v>361</v>
      </c>
      <c r="E46" s="40">
        <v>1110</v>
      </c>
      <c r="F46" s="41">
        <f>$E46*3600/(Input!$H$4*1000)</f>
        <v>133.19999999999999</v>
      </c>
      <c r="G46" s="42" t="str">
        <f t="shared" si="0"/>
        <v>45</v>
      </c>
    </row>
    <row r="47" spans="2:7" s="38" customFormat="1" x14ac:dyDescent="0.2">
      <c r="B47" s="39" t="s">
        <v>7228</v>
      </c>
      <c r="C47" s="39" t="s">
        <v>1292</v>
      </c>
      <c r="D47" s="39" t="s">
        <v>832</v>
      </c>
      <c r="E47" s="40">
        <v>176</v>
      </c>
      <c r="F47" s="41">
        <f>$E47*3600/(Input!$H$4*1000)</f>
        <v>21.12</v>
      </c>
      <c r="G47" s="42" t="str">
        <f t="shared" si="0"/>
        <v>46</v>
      </c>
    </row>
    <row r="48" spans="2:7" s="38" customFormat="1" x14ac:dyDescent="0.2">
      <c r="B48" s="39" t="s">
        <v>7229</v>
      </c>
      <c r="C48" s="39" t="s">
        <v>1622</v>
      </c>
      <c r="D48" s="39" t="s">
        <v>878</v>
      </c>
      <c r="E48" s="40">
        <v>134</v>
      </c>
      <c r="F48" s="41">
        <f>$E48*3600/(Input!$H$4*1000)</f>
        <v>16.079999999999998</v>
      </c>
      <c r="G48" s="42" t="str">
        <f t="shared" si="0"/>
        <v>47</v>
      </c>
    </row>
    <row r="49" spans="2:7" s="38" customFormat="1" x14ac:dyDescent="0.2">
      <c r="B49" s="39" t="s">
        <v>7230</v>
      </c>
      <c r="C49" s="39" t="s">
        <v>1782</v>
      </c>
      <c r="D49" s="39" t="s">
        <v>842</v>
      </c>
      <c r="E49" s="40">
        <v>151</v>
      </c>
      <c r="F49" s="41">
        <f>$E49*3600/(Input!$H$4*1000)</f>
        <v>18.12</v>
      </c>
      <c r="G49" s="42" t="str">
        <f t="shared" si="0"/>
        <v>48</v>
      </c>
    </row>
    <row r="50" spans="2:7" s="38" customFormat="1" x14ac:dyDescent="0.2">
      <c r="B50" s="39" t="s">
        <v>7231</v>
      </c>
      <c r="C50" s="39" t="s">
        <v>1401</v>
      </c>
      <c r="D50" s="39" t="s">
        <v>1782</v>
      </c>
      <c r="E50" s="40">
        <v>256</v>
      </c>
      <c r="F50" s="41">
        <f>$E50*3600/(Input!$H$4*1000)</f>
        <v>30.72</v>
      </c>
      <c r="G50" s="42" t="str">
        <f t="shared" si="0"/>
        <v>49</v>
      </c>
    </row>
    <row r="51" spans="2:7" s="38" customFormat="1" x14ac:dyDescent="0.2">
      <c r="B51" s="39" t="s">
        <v>7232</v>
      </c>
      <c r="C51" s="39" t="s">
        <v>1428</v>
      </c>
      <c r="D51" s="39" t="s">
        <v>949</v>
      </c>
      <c r="E51" s="40">
        <v>256</v>
      </c>
      <c r="F51" s="41">
        <f>$E51*3600/(Input!$H$4*1000)</f>
        <v>30.72</v>
      </c>
      <c r="G51" s="42" t="str">
        <f t="shared" si="0"/>
        <v>50</v>
      </c>
    </row>
    <row r="52" spans="2:7" s="38" customFormat="1" x14ac:dyDescent="0.2">
      <c r="B52" s="39" t="s">
        <v>7233</v>
      </c>
      <c r="C52" s="39" t="s">
        <v>1401</v>
      </c>
      <c r="D52" s="39" t="s">
        <v>949</v>
      </c>
      <c r="E52" s="40">
        <v>272</v>
      </c>
      <c r="F52" s="41">
        <f>$E52*3600/(Input!$H$4*1000)</f>
        <v>32.64</v>
      </c>
      <c r="G52" s="42" t="str">
        <f t="shared" si="0"/>
        <v>51</v>
      </c>
    </row>
    <row r="53" spans="2:7" s="38" customFormat="1" x14ac:dyDescent="0.2">
      <c r="B53" s="39" t="s">
        <v>7234</v>
      </c>
      <c r="C53" s="39" t="s">
        <v>885</v>
      </c>
      <c r="D53" s="39" t="s">
        <v>691</v>
      </c>
      <c r="E53" s="40">
        <v>194</v>
      </c>
      <c r="F53" s="41">
        <f>$E53*3600/(Input!$H$4*1000)</f>
        <v>23.28</v>
      </c>
      <c r="G53" s="42" t="str">
        <f t="shared" si="0"/>
        <v>52</v>
      </c>
    </row>
    <row r="54" spans="2:7" s="38" customFormat="1" x14ac:dyDescent="0.2">
      <c r="B54" s="39" t="s">
        <v>7235</v>
      </c>
      <c r="C54" s="39" t="s">
        <v>1622</v>
      </c>
      <c r="D54" s="39" t="s">
        <v>1782</v>
      </c>
      <c r="E54" s="40">
        <v>269</v>
      </c>
      <c r="F54" s="41">
        <f>$E54*3600/(Input!$H$4*1000)</f>
        <v>32.28</v>
      </c>
      <c r="G54" s="42" t="str">
        <f t="shared" si="0"/>
        <v>53</v>
      </c>
    </row>
    <row r="55" spans="2:7" s="38" customFormat="1" x14ac:dyDescent="0.2">
      <c r="B55" s="39" t="s">
        <v>7236</v>
      </c>
      <c r="C55" s="39" t="s">
        <v>1403</v>
      </c>
      <c r="D55" s="39" t="s">
        <v>1366</v>
      </c>
      <c r="E55" s="40">
        <v>225</v>
      </c>
      <c r="F55" s="41">
        <f>$E55*3600/(Input!$H$4*1000)</f>
        <v>27</v>
      </c>
      <c r="G55" s="42" t="str">
        <f t="shared" si="0"/>
        <v>54</v>
      </c>
    </row>
    <row r="56" spans="2:7" s="38" customFormat="1" x14ac:dyDescent="0.2">
      <c r="B56" s="44" t="s">
        <v>7237</v>
      </c>
      <c r="C56" s="44" t="s">
        <v>691</v>
      </c>
      <c r="D56" s="44" t="s">
        <v>1366</v>
      </c>
      <c r="E56" s="45">
        <v>165</v>
      </c>
      <c r="F56" s="41">
        <f>$E56*3600/(Input!$H$4*1000)</f>
        <v>19.8</v>
      </c>
      <c r="G56" s="42" t="str">
        <f t="shared" si="0"/>
        <v>55</v>
      </c>
    </row>
    <row r="57" spans="2:7" s="38" customFormat="1" x14ac:dyDescent="0.2">
      <c r="B57" s="39" t="s">
        <v>7238</v>
      </c>
      <c r="C57" s="39" t="s">
        <v>1253</v>
      </c>
      <c r="D57" s="39" t="s">
        <v>1366</v>
      </c>
      <c r="E57" s="40">
        <v>247</v>
      </c>
      <c r="F57" s="41">
        <f>$E57*3600/(Input!$H$4*1000)</f>
        <v>29.64</v>
      </c>
      <c r="G57" s="42" t="str">
        <f t="shared" si="0"/>
        <v>56</v>
      </c>
    </row>
    <row r="58" spans="2:7" s="38" customFormat="1" x14ac:dyDescent="0.2">
      <c r="B58" s="39" t="s">
        <v>7239</v>
      </c>
      <c r="C58" s="39" t="s">
        <v>1253</v>
      </c>
      <c r="D58" s="39" t="s">
        <v>691</v>
      </c>
      <c r="E58" s="40">
        <v>221</v>
      </c>
      <c r="F58" s="41">
        <f>$E58*3600/(Input!$H$4*1000)</f>
        <v>26.52</v>
      </c>
      <c r="G58" s="42" t="str">
        <f t="shared" si="0"/>
        <v>57</v>
      </c>
    </row>
    <row r="59" spans="2:7" s="38" customFormat="1" x14ac:dyDescent="0.2">
      <c r="B59" s="39" t="s">
        <v>7240</v>
      </c>
      <c r="C59" s="39" t="s">
        <v>1253</v>
      </c>
      <c r="D59" s="39" t="s">
        <v>1401</v>
      </c>
      <c r="E59" s="40">
        <v>228</v>
      </c>
      <c r="F59" s="41">
        <f>$E59*3600/(Input!$H$4*1000)</f>
        <v>27.36</v>
      </c>
      <c r="G59" s="42" t="str">
        <f t="shared" si="0"/>
        <v>58</v>
      </c>
    </row>
    <row r="60" spans="2:7" s="38" customFormat="1" x14ac:dyDescent="0.2">
      <c r="B60" s="39" t="s">
        <v>7241</v>
      </c>
      <c r="C60" s="39" t="s">
        <v>1403</v>
      </c>
      <c r="D60" s="39" t="s">
        <v>498</v>
      </c>
      <c r="E60" s="40">
        <v>175</v>
      </c>
      <c r="F60" s="41">
        <f>$E60*3600/(Input!$H$4*1000)</f>
        <v>21</v>
      </c>
      <c r="G60" s="42" t="str">
        <f t="shared" si="0"/>
        <v>59</v>
      </c>
    </row>
    <row r="61" spans="2:7" s="38" customFormat="1" x14ac:dyDescent="0.2">
      <c r="B61" s="39" t="s">
        <v>7242</v>
      </c>
      <c r="C61" s="39" t="s">
        <v>731</v>
      </c>
      <c r="D61" s="39" t="s">
        <v>1366</v>
      </c>
      <c r="E61" s="40">
        <v>313</v>
      </c>
      <c r="F61" s="41">
        <f>$E61*3600/(Input!$H$4*1000)</f>
        <v>37.56</v>
      </c>
      <c r="G61" s="42" t="str">
        <f t="shared" si="0"/>
        <v>60</v>
      </c>
    </row>
    <row r="62" spans="2:7" s="38" customFormat="1" x14ac:dyDescent="0.2">
      <c r="B62" s="39" t="s">
        <v>7243</v>
      </c>
      <c r="C62" s="39" t="s">
        <v>1405</v>
      </c>
      <c r="D62" s="39" t="s">
        <v>1366</v>
      </c>
      <c r="E62" s="40">
        <v>237</v>
      </c>
      <c r="F62" s="41">
        <f>$E62*3600/(Input!$H$4*1000)</f>
        <v>28.44</v>
      </c>
      <c r="G62" s="42" t="str">
        <f t="shared" si="0"/>
        <v>61</v>
      </c>
    </row>
    <row r="63" spans="2:7" s="38" customFormat="1" x14ac:dyDescent="0.2">
      <c r="B63" s="39" t="s">
        <v>7244</v>
      </c>
      <c r="C63" s="39" t="s">
        <v>1195</v>
      </c>
      <c r="D63" s="39" t="s">
        <v>1730</v>
      </c>
      <c r="E63" s="40">
        <v>231</v>
      </c>
      <c r="F63" s="41">
        <f>$E63*3600/(Input!$H$4*1000)</f>
        <v>27.72</v>
      </c>
      <c r="G63" s="42" t="str">
        <f t="shared" si="0"/>
        <v>62</v>
      </c>
    </row>
    <row r="64" spans="2:7" s="38" customFormat="1" x14ac:dyDescent="0.2">
      <c r="B64" s="39" t="s">
        <v>7245</v>
      </c>
      <c r="C64" s="39" t="s">
        <v>1730</v>
      </c>
      <c r="D64" s="39" t="s">
        <v>1192</v>
      </c>
      <c r="E64" s="40">
        <v>322</v>
      </c>
      <c r="F64" s="41">
        <f>$E64*3600/(Input!$H$4*1000)</f>
        <v>38.64</v>
      </c>
      <c r="G64" s="42" t="str">
        <f t="shared" si="0"/>
        <v>63</v>
      </c>
    </row>
    <row r="65" spans="2:7" s="38" customFormat="1" x14ac:dyDescent="0.2">
      <c r="B65" s="39" t="s">
        <v>7246</v>
      </c>
      <c r="C65" s="39" t="s">
        <v>195</v>
      </c>
      <c r="D65" s="39" t="s">
        <v>1158</v>
      </c>
      <c r="E65" s="40">
        <v>138</v>
      </c>
      <c r="F65" s="41">
        <f>$E65*3600/(Input!$H$4*1000)</f>
        <v>16.559999999999999</v>
      </c>
      <c r="G65" s="42" t="str">
        <f t="shared" si="0"/>
        <v>64</v>
      </c>
    </row>
    <row r="66" spans="2:7" s="38" customFormat="1" x14ac:dyDescent="0.2">
      <c r="B66" s="39" t="s">
        <v>7247</v>
      </c>
      <c r="C66" s="39" t="s">
        <v>1239</v>
      </c>
      <c r="D66" s="39" t="s">
        <v>195</v>
      </c>
      <c r="E66" s="40">
        <v>198</v>
      </c>
      <c r="F66" s="41">
        <f>$E66*3600/(Input!$H$4*1000)</f>
        <v>23.76</v>
      </c>
      <c r="G66" s="42" t="str">
        <f t="shared" ref="G66:G129" si="1">MID(B66,7,LEN(B66)-6)</f>
        <v>65</v>
      </c>
    </row>
    <row r="67" spans="2:7" s="38" customFormat="1" x14ac:dyDescent="0.2">
      <c r="B67" s="39" t="s">
        <v>7248</v>
      </c>
      <c r="C67" s="39" t="s">
        <v>195</v>
      </c>
      <c r="D67" s="39" t="s">
        <v>1389</v>
      </c>
      <c r="E67" s="40">
        <v>115</v>
      </c>
      <c r="F67" s="41">
        <f>$E67*3600/(Input!$H$4*1000)</f>
        <v>13.8</v>
      </c>
      <c r="G67" s="42" t="str">
        <f t="shared" si="1"/>
        <v>66</v>
      </c>
    </row>
    <row r="68" spans="2:7" s="38" customFormat="1" x14ac:dyDescent="0.2">
      <c r="B68" s="39" t="s">
        <v>7249</v>
      </c>
      <c r="C68" s="39" t="s">
        <v>195</v>
      </c>
      <c r="D68" s="39" t="s">
        <v>649</v>
      </c>
      <c r="E68" s="40">
        <v>517</v>
      </c>
      <c r="F68" s="41">
        <f>$E68*3600/(Input!$H$4*1000)</f>
        <v>62.04</v>
      </c>
      <c r="G68" s="42" t="str">
        <f t="shared" si="1"/>
        <v>67</v>
      </c>
    </row>
    <row r="69" spans="2:7" s="38" customFormat="1" x14ac:dyDescent="0.2">
      <c r="B69" s="39" t="s">
        <v>7250</v>
      </c>
      <c r="C69" s="39" t="s">
        <v>649</v>
      </c>
      <c r="D69" s="39" t="s">
        <v>1173</v>
      </c>
      <c r="E69" s="40">
        <v>96</v>
      </c>
      <c r="F69" s="41">
        <f>$E69*3600/(Input!$H$4*1000)</f>
        <v>11.52</v>
      </c>
      <c r="G69" s="42" t="str">
        <f t="shared" si="1"/>
        <v>68</v>
      </c>
    </row>
    <row r="70" spans="2:7" s="38" customFormat="1" x14ac:dyDescent="0.2">
      <c r="B70" s="39" t="s">
        <v>7251</v>
      </c>
      <c r="C70" s="39" t="s">
        <v>1181</v>
      </c>
      <c r="D70" s="39" t="s">
        <v>195</v>
      </c>
      <c r="E70" s="40">
        <v>579</v>
      </c>
      <c r="F70" s="41">
        <f>$E70*3600/(Input!$H$4*1000)</f>
        <v>69.48</v>
      </c>
      <c r="G70" s="42" t="str">
        <f t="shared" si="1"/>
        <v>69</v>
      </c>
    </row>
    <row r="71" spans="2:7" s="38" customFormat="1" x14ac:dyDescent="0.2">
      <c r="B71" s="39" t="s">
        <v>7252</v>
      </c>
      <c r="C71" s="39" t="s">
        <v>1181</v>
      </c>
      <c r="D71" s="39" t="s">
        <v>62</v>
      </c>
      <c r="E71" s="40">
        <v>278</v>
      </c>
      <c r="F71" s="41">
        <f>$E71*3600/(Input!$H$4*1000)</f>
        <v>33.36</v>
      </c>
      <c r="G71" s="42" t="str">
        <f t="shared" si="1"/>
        <v>70</v>
      </c>
    </row>
    <row r="72" spans="2:7" s="38" customFormat="1" x14ac:dyDescent="0.2">
      <c r="B72" s="39" t="s">
        <v>7253</v>
      </c>
      <c r="C72" s="39" t="s">
        <v>1181</v>
      </c>
      <c r="D72" s="39" t="s">
        <v>1182</v>
      </c>
      <c r="E72" s="40">
        <v>273</v>
      </c>
      <c r="F72" s="41">
        <f>$E72*3600/(Input!$H$4*1000)</f>
        <v>32.76</v>
      </c>
      <c r="G72" s="42" t="str">
        <f t="shared" si="1"/>
        <v>71</v>
      </c>
    </row>
    <row r="73" spans="2:7" s="46" customFormat="1" x14ac:dyDescent="0.2">
      <c r="B73" s="39" t="s">
        <v>7254</v>
      </c>
      <c r="C73" s="39" t="s">
        <v>1181</v>
      </c>
      <c r="D73" s="39" t="s">
        <v>971</v>
      </c>
      <c r="E73" s="40">
        <v>205</v>
      </c>
      <c r="F73" s="41">
        <f>$E73*3600/(Input!$H$4*1000)</f>
        <v>24.6</v>
      </c>
      <c r="G73" s="42" t="str">
        <f t="shared" si="1"/>
        <v>72</v>
      </c>
    </row>
    <row r="74" spans="2:7" s="46" customFormat="1" x14ac:dyDescent="0.2">
      <c r="B74" s="39" t="s">
        <v>7255</v>
      </c>
      <c r="C74" s="39" t="s">
        <v>1172</v>
      </c>
      <c r="D74" s="39" t="s">
        <v>971</v>
      </c>
      <c r="E74" s="40">
        <v>93</v>
      </c>
      <c r="F74" s="41">
        <f>$E74*3600/(Input!$H$4*1000)</f>
        <v>11.16</v>
      </c>
      <c r="G74" s="42" t="str">
        <f t="shared" si="1"/>
        <v>73</v>
      </c>
    </row>
    <row r="75" spans="2:7" s="46" customFormat="1" x14ac:dyDescent="0.2">
      <c r="B75" s="39" t="s">
        <v>7256</v>
      </c>
      <c r="C75" s="39" t="s">
        <v>1183</v>
      </c>
      <c r="D75" s="39" t="s">
        <v>1182</v>
      </c>
      <c r="E75" s="40">
        <v>233</v>
      </c>
      <c r="F75" s="41">
        <f>$E75*3600/(Input!$H$4*1000)</f>
        <v>27.96</v>
      </c>
      <c r="G75" s="42" t="str">
        <f t="shared" si="1"/>
        <v>74</v>
      </c>
    </row>
    <row r="76" spans="2:7" s="38" customFormat="1" x14ac:dyDescent="0.2">
      <c r="B76" s="39" t="s">
        <v>7257</v>
      </c>
      <c r="C76" s="39" t="s">
        <v>1136</v>
      </c>
      <c r="D76" s="39" t="s">
        <v>1183</v>
      </c>
      <c r="E76" s="40">
        <v>281</v>
      </c>
      <c r="F76" s="41">
        <f>$E76*3600/(Input!$H$4*1000)</f>
        <v>33.72</v>
      </c>
      <c r="G76" s="42" t="str">
        <f t="shared" si="1"/>
        <v>75</v>
      </c>
    </row>
    <row r="77" spans="2:7" s="38" customFormat="1" x14ac:dyDescent="0.2">
      <c r="B77" s="39" t="s">
        <v>7258</v>
      </c>
      <c r="C77" s="39" t="s">
        <v>1136</v>
      </c>
      <c r="D77" s="39" t="s">
        <v>690</v>
      </c>
      <c r="E77" s="40">
        <v>390</v>
      </c>
      <c r="F77" s="41">
        <f>$E77*3600/(Input!$H$4*1000)</f>
        <v>46.8</v>
      </c>
      <c r="G77" s="42" t="str">
        <f t="shared" si="1"/>
        <v>76</v>
      </c>
    </row>
    <row r="78" spans="2:7" s="38" customFormat="1" x14ac:dyDescent="0.2">
      <c r="B78" s="39" t="s">
        <v>7259</v>
      </c>
      <c r="C78" s="39" t="s">
        <v>1136</v>
      </c>
      <c r="D78" s="39" t="s">
        <v>1575</v>
      </c>
      <c r="E78" s="40">
        <v>117</v>
      </c>
      <c r="F78" s="41">
        <f>$E78*3600/(Input!$H$4*1000)</f>
        <v>14.04</v>
      </c>
      <c r="G78" s="42" t="str">
        <f t="shared" si="1"/>
        <v>77</v>
      </c>
    </row>
    <row r="79" spans="2:7" s="38" customFormat="1" x14ac:dyDescent="0.2">
      <c r="B79" s="39" t="s">
        <v>7260</v>
      </c>
      <c r="C79" s="39" t="s">
        <v>1575</v>
      </c>
      <c r="D79" s="39" t="s">
        <v>674</v>
      </c>
      <c r="E79" s="40">
        <v>396</v>
      </c>
      <c r="F79" s="41">
        <f>$E79*3600/(Input!$H$4*1000)</f>
        <v>47.52</v>
      </c>
      <c r="G79" s="42" t="str">
        <f t="shared" si="1"/>
        <v>78</v>
      </c>
    </row>
    <row r="80" spans="2:7" s="38" customFormat="1" x14ac:dyDescent="0.2">
      <c r="B80" s="39" t="s">
        <v>7261</v>
      </c>
      <c r="C80" s="39" t="s">
        <v>1227</v>
      </c>
      <c r="D80" s="39" t="s">
        <v>690</v>
      </c>
      <c r="E80" s="40">
        <v>242</v>
      </c>
      <c r="F80" s="41">
        <f>$E80*3600/(Input!$H$4*1000)</f>
        <v>29.04</v>
      </c>
      <c r="G80" s="42" t="str">
        <f t="shared" si="1"/>
        <v>79</v>
      </c>
    </row>
    <row r="81" spans="2:7" s="38" customFormat="1" x14ac:dyDescent="0.2">
      <c r="B81" s="39" t="s">
        <v>7262</v>
      </c>
      <c r="C81" s="39" t="s">
        <v>948</v>
      </c>
      <c r="D81" s="39" t="s">
        <v>1227</v>
      </c>
      <c r="E81" s="40">
        <v>214</v>
      </c>
      <c r="F81" s="41">
        <f>$E81*3600/(Input!$H$4*1000)</f>
        <v>25.68</v>
      </c>
      <c r="G81" s="42" t="str">
        <f t="shared" si="1"/>
        <v>80</v>
      </c>
    </row>
    <row r="82" spans="2:7" s="38" customFormat="1" x14ac:dyDescent="0.2">
      <c r="B82" s="39" t="s">
        <v>7263</v>
      </c>
      <c r="C82" s="39" t="s">
        <v>1227</v>
      </c>
      <c r="D82" s="39" t="s">
        <v>699</v>
      </c>
      <c r="E82" s="40">
        <v>236</v>
      </c>
      <c r="F82" s="41">
        <f>$E82*3600/(Input!$H$4*1000)</f>
        <v>28.32</v>
      </c>
      <c r="G82" s="42" t="str">
        <f t="shared" si="1"/>
        <v>81</v>
      </c>
    </row>
    <row r="83" spans="2:7" s="38" customFormat="1" x14ac:dyDescent="0.2">
      <c r="B83" s="39" t="s">
        <v>7264</v>
      </c>
      <c r="C83" s="39" t="s">
        <v>36</v>
      </c>
      <c r="D83" s="39" t="s">
        <v>1227</v>
      </c>
      <c r="E83" s="40">
        <v>375</v>
      </c>
      <c r="F83" s="41">
        <f>$E83*3600/(Input!$H$4*1000)</f>
        <v>45</v>
      </c>
      <c r="G83" s="42" t="str">
        <f t="shared" si="1"/>
        <v>82</v>
      </c>
    </row>
    <row r="84" spans="2:7" s="38" customFormat="1" x14ac:dyDescent="0.2">
      <c r="B84" s="39" t="s">
        <v>7265</v>
      </c>
      <c r="C84" s="39" t="s">
        <v>1227</v>
      </c>
      <c r="D84" s="39" t="s">
        <v>264</v>
      </c>
      <c r="E84" s="40">
        <v>123</v>
      </c>
      <c r="F84" s="41">
        <f>$E84*3600/(Input!$H$4*1000)</f>
        <v>14.76</v>
      </c>
      <c r="G84" s="42" t="str">
        <f t="shared" si="1"/>
        <v>83</v>
      </c>
    </row>
    <row r="85" spans="2:7" s="38" customFormat="1" x14ac:dyDescent="0.2">
      <c r="B85" s="39" t="s">
        <v>7266</v>
      </c>
      <c r="C85" s="39" t="s">
        <v>674</v>
      </c>
      <c r="D85" s="39" t="s">
        <v>264</v>
      </c>
      <c r="E85" s="40">
        <v>143</v>
      </c>
      <c r="F85" s="41">
        <f>$E85*3600/(Input!$H$4*1000)</f>
        <v>17.16</v>
      </c>
      <c r="G85" s="42" t="str">
        <f t="shared" si="1"/>
        <v>84</v>
      </c>
    </row>
    <row r="86" spans="2:7" s="38" customFormat="1" x14ac:dyDescent="0.2">
      <c r="B86" s="39" t="s">
        <v>7267</v>
      </c>
      <c r="C86" s="39" t="s">
        <v>1566</v>
      </c>
      <c r="D86" s="39" t="s">
        <v>674</v>
      </c>
      <c r="E86" s="40">
        <v>312</v>
      </c>
      <c r="F86" s="41">
        <f>$E86*3600/(Input!$H$4*1000)</f>
        <v>37.44</v>
      </c>
      <c r="G86" s="42" t="str">
        <f t="shared" si="1"/>
        <v>85</v>
      </c>
    </row>
    <row r="87" spans="2:7" s="38" customFormat="1" x14ac:dyDescent="0.2">
      <c r="B87" s="39" t="s">
        <v>7268</v>
      </c>
      <c r="C87" s="39" t="s">
        <v>1566</v>
      </c>
      <c r="D87" s="39" t="s">
        <v>107</v>
      </c>
      <c r="E87" s="40">
        <v>309</v>
      </c>
      <c r="F87" s="41">
        <f>$E87*3600/(Input!$H$4*1000)</f>
        <v>37.08</v>
      </c>
      <c r="G87" s="42" t="str">
        <f t="shared" si="1"/>
        <v>86</v>
      </c>
    </row>
    <row r="88" spans="2:7" s="38" customFormat="1" x14ac:dyDescent="0.2">
      <c r="B88" s="39" t="s">
        <v>7269</v>
      </c>
      <c r="C88" s="39" t="s">
        <v>193</v>
      </c>
      <c r="D88" s="39" t="s">
        <v>107</v>
      </c>
      <c r="E88" s="40">
        <v>200</v>
      </c>
      <c r="F88" s="41">
        <f>$E88*3600/(Input!$H$4*1000)</f>
        <v>24</v>
      </c>
      <c r="G88" s="42" t="str">
        <f t="shared" si="1"/>
        <v>87</v>
      </c>
    </row>
    <row r="89" spans="2:7" s="38" customFormat="1" x14ac:dyDescent="0.2">
      <c r="B89" s="39" t="s">
        <v>7270</v>
      </c>
      <c r="C89" s="39" t="s">
        <v>36</v>
      </c>
      <c r="D89" s="39" t="s">
        <v>160</v>
      </c>
      <c r="E89" s="40">
        <v>72</v>
      </c>
      <c r="F89" s="41">
        <f>$E89*3600/(Input!$H$4*1000)</f>
        <v>8.64</v>
      </c>
      <c r="G89" s="42" t="str">
        <f t="shared" si="1"/>
        <v>88</v>
      </c>
    </row>
    <row r="90" spans="2:7" s="38" customFormat="1" x14ac:dyDescent="0.2">
      <c r="B90" s="39" t="s">
        <v>7271</v>
      </c>
      <c r="C90" s="39" t="s">
        <v>1247</v>
      </c>
      <c r="D90" s="39" t="s">
        <v>36</v>
      </c>
      <c r="E90" s="40">
        <v>270</v>
      </c>
      <c r="F90" s="41">
        <f>$E90*3600/(Input!$H$4*1000)</f>
        <v>32.4</v>
      </c>
      <c r="G90" s="42" t="str">
        <f t="shared" si="1"/>
        <v>89</v>
      </c>
    </row>
    <row r="91" spans="2:7" s="38" customFormat="1" x14ac:dyDescent="0.2">
      <c r="B91" s="39" t="s">
        <v>7272</v>
      </c>
      <c r="C91" s="39" t="s">
        <v>948</v>
      </c>
      <c r="D91" s="39" t="s">
        <v>1161</v>
      </c>
      <c r="E91" s="40">
        <v>313</v>
      </c>
      <c r="F91" s="41">
        <f>$E91*3600/(Input!$H$4*1000)</f>
        <v>37.56</v>
      </c>
      <c r="G91" s="42" t="str">
        <f t="shared" si="1"/>
        <v>90</v>
      </c>
    </row>
    <row r="92" spans="2:7" s="38" customFormat="1" x14ac:dyDescent="0.2">
      <c r="B92" s="39" t="s">
        <v>7273</v>
      </c>
      <c r="C92" s="39" t="s">
        <v>1247</v>
      </c>
      <c r="D92" s="39" t="s">
        <v>727</v>
      </c>
      <c r="E92" s="40">
        <v>951</v>
      </c>
      <c r="F92" s="41">
        <f>$E92*3600/(Input!$H$4*1000)</f>
        <v>114.12</v>
      </c>
      <c r="G92" s="42" t="str">
        <f t="shared" si="1"/>
        <v>91</v>
      </c>
    </row>
    <row r="93" spans="2:7" s="38" customFormat="1" x14ac:dyDescent="0.2">
      <c r="B93" s="39" t="s">
        <v>7274</v>
      </c>
      <c r="C93" s="39" t="s">
        <v>119</v>
      </c>
      <c r="D93" s="39" t="s">
        <v>727</v>
      </c>
      <c r="E93" s="40">
        <v>539</v>
      </c>
      <c r="F93" s="41">
        <f>$E93*3600/(Input!$H$4*1000)</f>
        <v>64.680000000000007</v>
      </c>
      <c r="G93" s="42" t="str">
        <f t="shared" si="1"/>
        <v>92</v>
      </c>
    </row>
    <row r="94" spans="2:7" s="38" customFormat="1" x14ac:dyDescent="0.2">
      <c r="B94" s="39" t="s">
        <v>7275</v>
      </c>
      <c r="C94" s="39" t="s">
        <v>129</v>
      </c>
      <c r="D94" s="39" t="s">
        <v>119</v>
      </c>
      <c r="E94" s="40">
        <v>354</v>
      </c>
      <c r="F94" s="41">
        <f>$E94*3600/(Input!$H$4*1000)</f>
        <v>42.48</v>
      </c>
      <c r="G94" s="42" t="str">
        <f t="shared" si="1"/>
        <v>93</v>
      </c>
    </row>
    <row r="95" spans="2:7" s="38" customFormat="1" x14ac:dyDescent="0.2">
      <c r="B95" s="39" t="s">
        <v>7276</v>
      </c>
      <c r="C95" s="39" t="s">
        <v>129</v>
      </c>
      <c r="D95" s="39" t="s">
        <v>727</v>
      </c>
      <c r="E95" s="40">
        <v>722</v>
      </c>
      <c r="F95" s="41">
        <f>$E95*3600/(Input!$H$4*1000)</f>
        <v>86.64</v>
      </c>
      <c r="G95" s="42" t="str">
        <f t="shared" si="1"/>
        <v>94</v>
      </c>
    </row>
    <row r="96" spans="2:7" s="38" customFormat="1" x14ac:dyDescent="0.2">
      <c r="B96" s="39" t="s">
        <v>7277</v>
      </c>
      <c r="C96" s="39" t="s">
        <v>674</v>
      </c>
      <c r="D96" s="39" t="s">
        <v>1254</v>
      </c>
      <c r="E96" s="40">
        <v>219</v>
      </c>
      <c r="F96" s="41">
        <f>$E96*3600/(Input!$H$4*1000)</f>
        <v>26.28</v>
      </c>
      <c r="G96" s="42" t="str">
        <f t="shared" si="1"/>
        <v>95</v>
      </c>
    </row>
    <row r="97" spans="2:7" s="38" customFormat="1" x14ac:dyDescent="0.2">
      <c r="B97" s="39" t="s">
        <v>7278</v>
      </c>
      <c r="C97" s="39" t="s">
        <v>1387</v>
      </c>
      <c r="D97" s="39" t="s">
        <v>1254</v>
      </c>
      <c r="E97" s="40">
        <v>142</v>
      </c>
      <c r="F97" s="41">
        <f>$E97*3600/(Input!$H$4*1000)</f>
        <v>17.04</v>
      </c>
      <c r="G97" s="42" t="str">
        <f t="shared" si="1"/>
        <v>96</v>
      </c>
    </row>
    <row r="98" spans="2:7" s="38" customFormat="1" x14ac:dyDescent="0.2">
      <c r="B98" s="39" t="s">
        <v>7279</v>
      </c>
      <c r="C98" s="39" t="s">
        <v>107</v>
      </c>
      <c r="D98" s="39" t="s">
        <v>1456</v>
      </c>
      <c r="E98" s="40">
        <v>204</v>
      </c>
      <c r="F98" s="41">
        <f>$E98*3600/(Input!$H$4*1000)</f>
        <v>24.48</v>
      </c>
      <c r="G98" s="42" t="str">
        <f t="shared" si="1"/>
        <v>97</v>
      </c>
    </row>
    <row r="99" spans="2:7" s="38" customFormat="1" x14ac:dyDescent="0.2">
      <c r="B99" s="39" t="s">
        <v>7280</v>
      </c>
      <c r="C99" s="39" t="s">
        <v>1569</v>
      </c>
      <c r="D99" s="39" t="s">
        <v>107</v>
      </c>
      <c r="E99" s="40">
        <v>389</v>
      </c>
      <c r="F99" s="41">
        <f>$E99*3600/(Input!$H$4*1000)</f>
        <v>46.68</v>
      </c>
      <c r="G99" s="42" t="str">
        <f t="shared" si="1"/>
        <v>98</v>
      </c>
    </row>
    <row r="100" spans="2:7" s="38" customFormat="1" x14ac:dyDescent="0.2">
      <c r="B100" s="39" t="s">
        <v>7281</v>
      </c>
      <c r="C100" s="39" t="s">
        <v>1569</v>
      </c>
      <c r="D100" s="39" t="s">
        <v>1456</v>
      </c>
      <c r="E100" s="40">
        <v>253</v>
      </c>
      <c r="F100" s="41">
        <f>$E100*3600/(Input!$H$4*1000)</f>
        <v>30.36</v>
      </c>
      <c r="G100" s="42" t="str">
        <f t="shared" si="1"/>
        <v>99</v>
      </c>
    </row>
    <row r="101" spans="2:7" s="38" customFormat="1" x14ac:dyDescent="0.2">
      <c r="B101" s="39" t="s">
        <v>7282</v>
      </c>
      <c r="C101" s="39" t="s">
        <v>1665</v>
      </c>
      <c r="D101" s="39" t="s">
        <v>1569</v>
      </c>
      <c r="E101" s="40">
        <v>272</v>
      </c>
      <c r="F101" s="41">
        <f>$E101*3600/(Input!$H$4*1000)</f>
        <v>32.64</v>
      </c>
      <c r="G101" s="42" t="str">
        <f t="shared" si="1"/>
        <v>100</v>
      </c>
    </row>
    <row r="102" spans="2:7" s="38" customFormat="1" x14ac:dyDescent="0.2">
      <c r="B102" s="39" t="s">
        <v>7283</v>
      </c>
      <c r="C102" s="39" t="s">
        <v>662</v>
      </c>
      <c r="D102" s="39" t="s">
        <v>1665</v>
      </c>
      <c r="E102" s="40">
        <v>178</v>
      </c>
      <c r="F102" s="41">
        <f>$E102*3600/(Input!$H$4*1000)</f>
        <v>21.36</v>
      </c>
      <c r="G102" s="42" t="str">
        <f t="shared" si="1"/>
        <v>101</v>
      </c>
    </row>
    <row r="103" spans="2:7" s="38" customFormat="1" x14ac:dyDescent="0.2">
      <c r="B103" s="39" t="s">
        <v>7284</v>
      </c>
      <c r="C103" s="39" t="s">
        <v>797</v>
      </c>
      <c r="D103" s="39" t="s">
        <v>1561</v>
      </c>
      <c r="E103" s="40">
        <v>298</v>
      </c>
      <c r="F103" s="41">
        <f>$E103*3600/(Input!$H$4*1000)</f>
        <v>35.76</v>
      </c>
      <c r="G103" s="42" t="str">
        <f t="shared" si="1"/>
        <v>102</v>
      </c>
    </row>
    <row r="104" spans="2:7" s="38" customFormat="1" x14ac:dyDescent="0.2">
      <c r="B104" s="39" t="s">
        <v>7285</v>
      </c>
      <c r="C104" s="39" t="s">
        <v>598</v>
      </c>
      <c r="D104" s="39" t="s">
        <v>1561</v>
      </c>
      <c r="E104" s="40">
        <v>326</v>
      </c>
      <c r="F104" s="41">
        <f>$E104*3600/(Input!$H$4*1000)</f>
        <v>39.119999999999997</v>
      </c>
      <c r="G104" s="42" t="str">
        <f t="shared" si="1"/>
        <v>103</v>
      </c>
    </row>
    <row r="105" spans="2:7" s="38" customFormat="1" x14ac:dyDescent="0.2">
      <c r="B105" s="39" t="s">
        <v>7286</v>
      </c>
      <c r="C105" s="39" t="s">
        <v>664</v>
      </c>
      <c r="D105" s="39" t="s">
        <v>1561</v>
      </c>
      <c r="E105" s="40">
        <v>283</v>
      </c>
      <c r="F105" s="41">
        <f>$E105*3600/(Input!$H$4*1000)</f>
        <v>33.96</v>
      </c>
      <c r="G105" s="42" t="str">
        <f t="shared" si="1"/>
        <v>104</v>
      </c>
    </row>
    <row r="106" spans="2:7" s="38" customFormat="1" x14ac:dyDescent="0.2">
      <c r="B106" s="39" t="s">
        <v>7287</v>
      </c>
      <c r="C106" s="39" t="s">
        <v>664</v>
      </c>
      <c r="D106" s="39" t="s">
        <v>1007</v>
      </c>
      <c r="E106" s="40">
        <v>118</v>
      </c>
      <c r="F106" s="41">
        <f>$E106*3600/(Input!$H$4*1000)</f>
        <v>14.16</v>
      </c>
      <c r="G106" s="42" t="str">
        <f t="shared" si="1"/>
        <v>105</v>
      </c>
    </row>
    <row r="107" spans="2:7" s="38" customFormat="1" x14ac:dyDescent="0.2">
      <c r="B107" s="39" t="s">
        <v>7288</v>
      </c>
      <c r="C107" s="39" t="s">
        <v>1638</v>
      </c>
      <c r="D107" s="39" t="s">
        <v>1007</v>
      </c>
      <c r="E107" s="40">
        <v>175</v>
      </c>
      <c r="F107" s="41">
        <f>$E107*3600/(Input!$H$4*1000)</f>
        <v>21</v>
      </c>
      <c r="G107" s="42" t="str">
        <f t="shared" si="1"/>
        <v>106</v>
      </c>
    </row>
    <row r="108" spans="2:7" s="38" customFormat="1" x14ac:dyDescent="0.2">
      <c r="B108" s="39" t="s">
        <v>7289</v>
      </c>
      <c r="C108" s="39" t="s">
        <v>660</v>
      </c>
      <c r="D108" s="39" t="s">
        <v>1638</v>
      </c>
      <c r="E108" s="40">
        <v>153</v>
      </c>
      <c r="F108" s="41">
        <f>$E108*3600/(Input!$H$4*1000)</f>
        <v>18.36</v>
      </c>
      <c r="G108" s="42" t="str">
        <f t="shared" si="1"/>
        <v>107</v>
      </c>
    </row>
    <row r="109" spans="2:7" s="38" customFormat="1" x14ac:dyDescent="0.2">
      <c r="B109" s="39" t="s">
        <v>7290</v>
      </c>
      <c r="C109" s="39" t="s">
        <v>1009</v>
      </c>
      <c r="D109" s="39" t="s">
        <v>1638</v>
      </c>
      <c r="E109" s="40">
        <v>289</v>
      </c>
      <c r="F109" s="41">
        <f>$E109*3600/(Input!$H$4*1000)</f>
        <v>34.68</v>
      </c>
      <c r="G109" s="42" t="str">
        <f t="shared" si="1"/>
        <v>108</v>
      </c>
    </row>
    <row r="110" spans="2:7" s="38" customFormat="1" x14ac:dyDescent="0.2">
      <c r="B110" s="39" t="s">
        <v>7291</v>
      </c>
      <c r="C110" s="39" t="s">
        <v>1572</v>
      </c>
      <c r="D110" s="39" t="s">
        <v>1009</v>
      </c>
      <c r="E110" s="40">
        <v>251</v>
      </c>
      <c r="F110" s="41">
        <f>$E110*3600/(Input!$H$4*1000)</f>
        <v>30.12</v>
      </c>
      <c r="G110" s="42" t="str">
        <f t="shared" si="1"/>
        <v>109</v>
      </c>
    </row>
    <row r="111" spans="2:7" s="38" customFormat="1" x14ac:dyDescent="0.2">
      <c r="B111" s="39" t="s">
        <v>7292</v>
      </c>
      <c r="C111" s="39" t="s">
        <v>1571</v>
      </c>
      <c r="D111" s="39" t="s">
        <v>1572</v>
      </c>
      <c r="E111" s="40">
        <v>395</v>
      </c>
      <c r="F111" s="41">
        <f>$E111*3600/(Input!$H$4*1000)</f>
        <v>47.4</v>
      </c>
      <c r="G111" s="42" t="str">
        <f t="shared" si="1"/>
        <v>110</v>
      </c>
    </row>
    <row r="112" spans="2:7" s="38" customFormat="1" x14ac:dyDescent="0.2">
      <c r="B112" s="39" t="s">
        <v>7293</v>
      </c>
      <c r="C112" s="39" t="s">
        <v>598</v>
      </c>
      <c r="D112" s="39" t="s">
        <v>1571</v>
      </c>
      <c r="E112" s="40">
        <v>573</v>
      </c>
      <c r="F112" s="41">
        <f>$E112*3600/(Input!$H$4*1000)</f>
        <v>68.760000000000005</v>
      </c>
      <c r="G112" s="42" t="str">
        <f t="shared" si="1"/>
        <v>111</v>
      </c>
    </row>
    <row r="113" spans="2:7" s="38" customFormat="1" x14ac:dyDescent="0.2">
      <c r="B113" s="39" t="s">
        <v>7294</v>
      </c>
      <c r="C113" s="39" t="s">
        <v>1009</v>
      </c>
      <c r="D113" s="39" t="s">
        <v>1573</v>
      </c>
      <c r="E113" s="40">
        <v>258</v>
      </c>
      <c r="F113" s="41">
        <f>$E113*3600/(Input!$H$4*1000)</f>
        <v>30.96</v>
      </c>
      <c r="G113" s="42" t="str">
        <f t="shared" si="1"/>
        <v>112</v>
      </c>
    </row>
    <row r="114" spans="2:7" s="38" customFormat="1" x14ac:dyDescent="0.2">
      <c r="B114" s="39" t="s">
        <v>7295</v>
      </c>
      <c r="C114" s="39" t="s">
        <v>147</v>
      </c>
      <c r="D114" s="39" t="s">
        <v>1009</v>
      </c>
      <c r="E114" s="40">
        <v>172</v>
      </c>
      <c r="F114" s="41">
        <f>$E114*3600/(Input!$H$4*1000)</f>
        <v>20.64</v>
      </c>
      <c r="G114" s="42" t="str">
        <f t="shared" si="1"/>
        <v>113</v>
      </c>
    </row>
    <row r="115" spans="2:7" s="38" customFormat="1" x14ac:dyDescent="0.2">
      <c r="B115" s="39" t="s">
        <v>7296</v>
      </c>
      <c r="C115" s="39" t="s">
        <v>1009</v>
      </c>
      <c r="D115" s="39" t="s">
        <v>781</v>
      </c>
      <c r="E115" s="40">
        <v>340</v>
      </c>
      <c r="F115" s="41">
        <f>$E115*3600/(Input!$H$4*1000)</f>
        <v>40.799999999999997</v>
      </c>
      <c r="G115" s="42" t="str">
        <f t="shared" si="1"/>
        <v>114</v>
      </c>
    </row>
    <row r="116" spans="2:7" s="38" customFormat="1" x14ac:dyDescent="0.2">
      <c r="B116" s="39" t="s">
        <v>7297</v>
      </c>
      <c r="C116" s="39" t="s">
        <v>1009</v>
      </c>
      <c r="D116" s="39" t="s">
        <v>371</v>
      </c>
      <c r="E116" s="40">
        <v>241</v>
      </c>
      <c r="F116" s="41">
        <f>$E116*3600/(Input!$H$4*1000)</f>
        <v>28.92</v>
      </c>
      <c r="G116" s="42" t="str">
        <f t="shared" si="1"/>
        <v>115</v>
      </c>
    </row>
    <row r="117" spans="2:7" s="38" customFormat="1" x14ac:dyDescent="0.2">
      <c r="B117" s="39" t="s">
        <v>7298</v>
      </c>
      <c r="C117" s="39" t="s">
        <v>1602</v>
      </c>
      <c r="D117" s="39" t="s">
        <v>277</v>
      </c>
      <c r="E117" s="40">
        <v>373</v>
      </c>
      <c r="F117" s="41">
        <f>$E117*3600/(Input!$H$4*1000)</f>
        <v>44.76</v>
      </c>
      <c r="G117" s="42" t="str">
        <f t="shared" si="1"/>
        <v>116</v>
      </c>
    </row>
    <row r="118" spans="2:7" s="38" customFormat="1" x14ac:dyDescent="0.2">
      <c r="B118" s="39" t="s">
        <v>7299</v>
      </c>
      <c r="C118" s="39" t="s">
        <v>1574</v>
      </c>
      <c r="D118" s="39" t="s">
        <v>1602</v>
      </c>
      <c r="E118" s="40">
        <v>505</v>
      </c>
      <c r="F118" s="41">
        <f>$E118*3600/(Input!$H$4*1000)</f>
        <v>60.6</v>
      </c>
      <c r="G118" s="42" t="str">
        <f t="shared" si="1"/>
        <v>117</v>
      </c>
    </row>
    <row r="119" spans="2:7" s="38" customFormat="1" x14ac:dyDescent="0.2">
      <c r="B119" s="39" t="s">
        <v>7300</v>
      </c>
      <c r="C119" s="39" t="s">
        <v>1010</v>
      </c>
      <c r="D119" s="39" t="s">
        <v>1573</v>
      </c>
      <c r="E119" s="40">
        <v>372</v>
      </c>
      <c r="F119" s="41">
        <f>$E119*3600/(Input!$H$4*1000)</f>
        <v>44.64</v>
      </c>
      <c r="G119" s="42" t="str">
        <f t="shared" si="1"/>
        <v>118</v>
      </c>
    </row>
    <row r="120" spans="2:7" s="38" customFormat="1" x14ac:dyDescent="0.2">
      <c r="B120" s="39" t="s">
        <v>7301</v>
      </c>
      <c r="C120" s="39" t="s">
        <v>692</v>
      </c>
      <c r="D120" s="39" t="s">
        <v>1543</v>
      </c>
      <c r="E120" s="40">
        <v>445</v>
      </c>
      <c r="F120" s="41">
        <f>$E120*3600/(Input!$H$4*1000)</f>
        <v>53.4</v>
      </c>
      <c r="G120" s="42" t="str">
        <f t="shared" si="1"/>
        <v>119</v>
      </c>
    </row>
    <row r="121" spans="2:7" s="38" customFormat="1" x14ac:dyDescent="0.2">
      <c r="B121" s="39" t="s">
        <v>7302</v>
      </c>
      <c r="C121" s="39" t="s">
        <v>1010</v>
      </c>
      <c r="D121" s="39" t="s">
        <v>822</v>
      </c>
      <c r="E121" s="40">
        <v>196</v>
      </c>
      <c r="F121" s="41">
        <f>$E121*3600/(Input!$H$4*1000)</f>
        <v>23.52</v>
      </c>
      <c r="G121" s="42" t="str">
        <f t="shared" si="1"/>
        <v>120</v>
      </c>
    </row>
    <row r="122" spans="2:7" s="38" customFormat="1" x14ac:dyDescent="0.2">
      <c r="B122" s="39" t="s">
        <v>7303</v>
      </c>
      <c r="C122" s="39" t="s">
        <v>1013</v>
      </c>
      <c r="D122" s="39" t="s">
        <v>822</v>
      </c>
      <c r="E122" s="40">
        <v>358</v>
      </c>
      <c r="F122" s="41">
        <f>$E122*3600/(Input!$H$4*1000)</f>
        <v>42.96</v>
      </c>
      <c r="G122" s="42" t="str">
        <f t="shared" si="1"/>
        <v>121</v>
      </c>
    </row>
    <row r="123" spans="2:7" s="38" customFormat="1" x14ac:dyDescent="0.2">
      <c r="B123" s="39" t="s">
        <v>7304</v>
      </c>
      <c r="C123" s="39" t="s">
        <v>1013</v>
      </c>
      <c r="D123" s="39" t="s">
        <v>931</v>
      </c>
      <c r="E123" s="40">
        <v>122</v>
      </c>
      <c r="F123" s="41">
        <f>$E123*3600/(Input!$H$4*1000)</f>
        <v>14.64</v>
      </c>
      <c r="G123" s="42" t="str">
        <f t="shared" si="1"/>
        <v>122</v>
      </c>
    </row>
    <row r="124" spans="2:7" s="38" customFormat="1" x14ac:dyDescent="0.2">
      <c r="B124" s="39" t="s">
        <v>7305</v>
      </c>
      <c r="C124" s="39" t="s">
        <v>822</v>
      </c>
      <c r="D124" s="39" t="s">
        <v>931</v>
      </c>
      <c r="E124" s="40">
        <v>214</v>
      </c>
      <c r="F124" s="41">
        <f>$E124*3600/(Input!$H$4*1000)</f>
        <v>25.68</v>
      </c>
      <c r="G124" s="42" t="str">
        <f t="shared" si="1"/>
        <v>123</v>
      </c>
    </row>
    <row r="125" spans="2:7" s="38" customFormat="1" x14ac:dyDescent="0.2">
      <c r="B125" s="39" t="s">
        <v>7306</v>
      </c>
      <c r="C125" s="39" t="s">
        <v>822</v>
      </c>
      <c r="D125" s="39" t="s">
        <v>806</v>
      </c>
      <c r="E125" s="40">
        <v>225</v>
      </c>
      <c r="F125" s="41">
        <f>$E125*3600/(Input!$H$4*1000)</f>
        <v>27</v>
      </c>
      <c r="G125" s="42" t="str">
        <f t="shared" si="1"/>
        <v>124</v>
      </c>
    </row>
    <row r="126" spans="2:7" s="38" customFormat="1" x14ac:dyDescent="0.2">
      <c r="B126" s="39" t="s">
        <v>7307</v>
      </c>
      <c r="C126" s="39" t="s">
        <v>1012</v>
      </c>
      <c r="D126" s="39" t="s">
        <v>1543</v>
      </c>
      <c r="E126" s="40">
        <v>201</v>
      </c>
      <c r="F126" s="41">
        <f>$E126*3600/(Input!$H$4*1000)</f>
        <v>24.12</v>
      </c>
      <c r="G126" s="42" t="str">
        <f t="shared" si="1"/>
        <v>125</v>
      </c>
    </row>
    <row r="127" spans="2:7" s="38" customFormat="1" x14ac:dyDescent="0.2">
      <c r="B127" s="39" t="s">
        <v>7308</v>
      </c>
      <c r="C127" s="39" t="s">
        <v>1543</v>
      </c>
      <c r="D127" s="39" t="s">
        <v>933</v>
      </c>
      <c r="E127" s="40">
        <v>205</v>
      </c>
      <c r="F127" s="41">
        <f>$E127*3600/(Input!$H$4*1000)</f>
        <v>24.6</v>
      </c>
      <c r="G127" s="42" t="str">
        <f t="shared" si="1"/>
        <v>126</v>
      </c>
    </row>
    <row r="128" spans="2:7" s="38" customFormat="1" x14ac:dyDescent="0.2">
      <c r="B128" s="39" t="s">
        <v>7309</v>
      </c>
      <c r="C128" s="39" t="s">
        <v>969</v>
      </c>
      <c r="D128" s="39" t="s">
        <v>1543</v>
      </c>
      <c r="E128" s="40">
        <v>211</v>
      </c>
      <c r="F128" s="41">
        <f>$E128*3600/(Input!$H$4*1000)</f>
        <v>25.32</v>
      </c>
      <c r="G128" s="42" t="str">
        <f t="shared" si="1"/>
        <v>127</v>
      </c>
    </row>
    <row r="129" spans="2:7" s="38" customFormat="1" x14ac:dyDescent="0.2">
      <c r="B129" s="39" t="s">
        <v>7310</v>
      </c>
      <c r="C129" s="39" t="s">
        <v>1013</v>
      </c>
      <c r="D129" s="39" t="s">
        <v>187</v>
      </c>
      <c r="E129" s="40">
        <v>454</v>
      </c>
      <c r="F129" s="41">
        <f>$E129*3600/(Input!$H$4*1000)</f>
        <v>54.48</v>
      </c>
      <c r="G129" s="42" t="str">
        <f t="shared" si="1"/>
        <v>128</v>
      </c>
    </row>
    <row r="130" spans="2:7" s="38" customFormat="1" x14ac:dyDescent="0.2">
      <c r="B130" s="39" t="s">
        <v>7311</v>
      </c>
      <c r="C130" s="39" t="s">
        <v>187</v>
      </c>
      <c r="D130" s="39" t="s">
        <v>371</v>
      </c>
      <c r="E130" s="40">
        <v>278</v>
      </c>
      <c r="F130" s="41">
        <f>$E130*3600/(Input!$H$4*1000)</f>
        <v>33.36</v>
      </c>
      <c r="G130" s="42" t="str">
        <f t="shared" ref="G130:G193" si="2">MID(B130,7,LEN(B130)-6)</f>
        <v>129</v>
      </c>
    </row>
    <row r="131" spans="2:7" s="38" customFormat="1" x14ac:dyDescent="0.2">
      <c r="B131" s="39" t="s">
        <v>7312</v>
      </c>
      <c r="C131" s="39" t="s">
        <v>1013</v>
      </c>
      <c r="D131" s="39" t="s">
        <v>929</v>
      </c>
      <c r="E131" s="40">
        <v>349</v>
      </c>
      <c r="F131" s="41">
        <f>$E131*3600/(Input!$H$4*1000)</f>
        <v>41.88</v>
      </c>
      <c r="G131" s="42" t="str">
        <f t="shared" si="2"/>
        <v>130</v>
      </c>
    </row>
    <row r="132" spans="2:7" s="38" customFormat="1" x14ac:dyDescent="0.2">
      <c r="B132" s="39" t="s">
        <v>7313</v>
      </c>
      <c r="C132" s="39" t="s">
        <v>1638</v>
      </c>
      <c r="D132" s="39" t="s">
        <v>993</v>
      </c>
      <c r="E132" s="40">
        <v>392</v>
      </c>
      <c r="F132" s="41">
        <f>$E132*3600/(Input!$H$4*1000)</f>
        <v>47.04</v>
      </c>
      <c r="G132" s="42" t="str">
        <f t="shared" si="2"/>
        <v>131</v>
      </c>
    </row>
    <row r="133" spans="2:7" s="38" customFormat="1" x14ac:dyDescent="0.2">
      <c r="B133" s="39" t="s">
        <v>7314</v>
      </c>
      <c r="C133" s="39" t="s">
        <v>1638</v>
      </c>
      <c r="D133" s="39" t="s">
        <v>1424</v>
      </c>
      <c r="E133" s="40">
        <v>244</v>
      </c>
      <c r="F133" s="41">
        <f>$E133*3600/(Input!$H$4*1000)</f>
        <v>29.28</v>
      </c>
      <c r="G133" s="42" t="str">
        <f t="shared" si="2"/>
        <v>132</v>
      </c>
    </row>
    <row r="134" spans="2:7" s="38" customFormat="1" x14ac:dyDescent="0.2">
      <c r="B134" s="39" t="s">
        <v>7315</v>
      </c>
      <c r="C134" s="39" t="s">
        <v>187</v>
      </c>
      <c r="D134" s="39" t="s">
        <v>1627</v>
      </c>
      <c r="E134" s="40">
        <v>215</v>
      </c>
      <c r="F134" s="41">
        <f>$E134*3600/(Input!$H$4*1000)</f>
        <v>25.8</v>
      </c>
      <c r="G134" s="42" t="str">
        <f t="shared" si="2"/>
        <v>133</v>
      </c>
    </row>
    <row r="135" spans="2:7" s="38" customFormat="1" x14ac:dyDescent="0.2">
      <c r="B135" s="39" t="s">
        <v>7316</v>
      </c>
      <c r="C135" s="39" t="s">
        <v>1627</v>
      </c>
      <c r="D135" s="39" t="s">
        <v>389</v>
      </c>
      <c r="E135" s="40">
        <v>200</v>
      </c>
      <c r="F135" s="41">
        <f>$E135*3600/(Input!$H$4*1000)</f>
        <v>24</v>
      </c>
      <c r="G135" s="42" t="str">
        <f t="shared" si="2"/>
        <v>134</v>
      </c>
    </row>
    <row r="136" spans="2:7" s="38" customFormat="1" x14ac:dyDescent="0.2">
      <c r="B136" s="39" t="s">
        <v>7317</v>
      </c>
      <c r="C136" s="39" t="s">
        <v>757</v>
      </c>
      <c r="D136" s="39" t="s">
        <v>929</v>
      </c>
      <c r="E136" s="40">
        <v>103</v>
      </c>
      <c r="F136" s="41">
        <f>$E136*3600/(Input!$H$4*1000)</f>
        <v>12.36</v>
      </c>
      <c r="G136" s="42" t="str">
        <f t="shared" si="2"/>
        <v>135</v>
      </c>
    </row>
    <row r="137" spans="2:7" s="38" customFormat="1" x14ac:dyDescent="0.2">
      <c r="B137" s="39" t="s">
        <v>7318</v>
      </c>
      <c r="C137" s="39" t="s">
        <v>757</v>
      </c>
      <c r="D137" s="39" t="s">
        <v>370</v>
      </c>
      <c r="E137" s="40">
        <v>344</v>
      </c>
      <c r="F137" s="41">
        <f>$E137*3600/(Input!$H$4*1000)</f>
        <v>41.28</v>
      </c>
      <c r="G137" s="42" t="str">
        <f t="shared" si="2"/>
        <v>136</v>
      </c>
    </row>
    <row r="138" spans="2:7" s="38" customFormat="1" x14ac:dyDescent="0.2">
      <c r="B138" s="39" t="s">
        <v>7319</v>
      </c>
      <c r="C138" s="39" t="s">
        <v>757</v>
      </c>
      <c r="D138" s="39" t="s">
        <v>1628</v>
      </c>
      <c r="E138" s="40">
        <v>375</v>
      </c>
      <c r="F138" s="41">
        <f>$E138*3600/(Input!$H$4*1000)</f>
        <v>45</v>
      </c>
      <c r="G138" s="42" t="str">
        <f t="shared" si="2"/>
        <v>137</v>
      </c>
    </row>
    <row r="139" spans="2:7" s="38" customFormat="1" x14ac:dyDescent="0.2">
      <c r="B139" s="39" t="s">
        <v>7320</v>
      </c>
      <c r="C139" s="39" t="s">
        <v>1628</v>
      </c>
      <c r="D139" s="39" t="s">
        <v>370</v>
      </c>
      <c r="E139" s="40">
        <v>446</v>
      </c>
      <c r="F139" s="41">
        <f>$E139*3600/(Input!$H$4*1000)</f>
        <v>53.52</v>
      </c>
      <c r="G139" s="42" t="str">
        <f t="shared" si="2"/>
        <v>138</v>
      </c>
    </row>
    <row r="140" spans="2:7" s="38" customFormat="1" x14ac:dyDescent="0.2">
      <c r="B140" s="39" t="s">
        <v>7321</v>
      </c>
      <c r="C140" s="39" t="s">
        <v>370</v>
      </c>
      <c r="D140" s="39" t="s">
        <v>930</v>
      </c>
      <c r="E140" s="40">
        <v>365</v>
      </c>
      <c r="F140" s="41">
        <f>$E140*3600/(Input!$H$4*1000)</f>
        <v>43.8</v>
      </c>
      <c r="G140" s="42" t="str">
        <f t="shared" si="2"/>
        <v>139</v>
      </c>
    </row>
    <row r="141" spans="2:7" s="38" customFormat="1" x14ac:dyDescent="0.2">
      <c r="B141" s="39" t="s">
        <v>7322</v>
      </c>
      <c r="C141" s="39" t="s">
        <v>1474</v>
      </c>
      <c r="D141" s="39" t="s">
        <v>662</v>
      </c>
      <c r="E141" s="40">
        <v>245</v>
      </c>
      <c r="F141" s="41">
        <f>$E141*3600/(Input!$H$4*1000)</f>
        <v>29.4</v>
      </c>
      <c r="G141" s="42" t="str">
        <f t="shared" si="2"/>
        <v>140</v>
      </c>
    </row>
    <row r="142" spans="2:7" s="38" customFormat="1" x14ac:dyDescent="0.2">
      <c r="B142" s="39" t="s">
        <v>7323</v>
      </c>
      <c r="C142" s="39" t="s">
        <v>1561</v>
      </c>
      <c r="D142" s="39" t="s">
        <v>983</v>
      </c>
      <c r="E142" s="40">
        <v>177</v>
      </c>
      <c r="F142" s="41">
        <f>$E142*3600/(Input!$H$4*1000)</f>
        <v>21.24</v>
      </c>
      <c r="G142" s="42" t="str">
        <f t="shared" si="2"/>
        <v>141</v>
      </c>
    </row>
    <row r="143" spans="2:7" s="38" customFormat="1" x14ac:dyDescent="0.2">
      <c r="B143" s="39" t="s">
        <v>7324</v>
      </c>
      <c r="C143" s="39" t="s">
        <v>1574</v>
      </c>
      <c r="D143" s="39" t="s">
        <v>277</v>
      </c>
      <c r="E143" s="40">
        <v>414</v>
      </c>
      <c r="F143" s="41">
        <f>$E143*3600/(Input!$H$4*1000)</f>
        <v>49.68</v>
      </c>
      <c r="G143" s="42" t="str">
        <f t="shared" si="2"/>
        <v>142</v>
      </c>
    </row>
    <row r="144" spans="2:7" s="38" customFormat="1" x14ac:dyDescent="0.2">
      <c r="B144" s="39" t="s">
        <v>7325</v>
      </c>
      <c r="C144" s="39" t="s">
        <v>1229</v>
      </c>
      <c r="D144" s="39" t="s">
        <v>1456</v>
      </c>
      <c r="E144" s="40">
        <v>106</v>
      </c>
      <c r="F144" s="41">
        <f>$E144*3600/(Input!$H$4*1000)</f>
        <v>12.72</v>
      </c>
      <c r="G144" s="42" t="str">
        <f t="shared" si="2"/>
        <v>143</v>
      </c>
    </row>
    <row r="145" spans="2:7" s="38" customFormat="1" x14ac:dyDescent="0.2">
      <c r="B145" s="39" t="s">
        <v>7326</v>
      </c>
      <c r="C145" s="39" t="s">
        <v>1229</v>
      </c>
      <c r="D145" s="39" t="s">
        <v>983</v>
      </c>
      <c r="E145" s="40">
        <v>482</v>
      </c>
      <c r="F145" s="41">
        <f>$E145*3600/(Input!$H$4*1000)</f>
        <v>57.84</v>
      </c>
      <c r="G145" s="42" t="str">
        <f t="shared" si="2"/>
        <v>144</v>
      </c>
    </row>
    <row r="146" spans="2:7" s="38" customFormat="1" x14ac:dyDescent="0.2">
      <c r="B146" s="39" t="s">
        <v>7327</v>
      </c>
      <c r="C146" s="39" t="s">
        <v>1474</v>
      </c>
      <c r="D146" s="39" t="s">
        <v>1229</v>
      </c>
      <c r="E146" s="40">
        <v>238</v>
      </c>
      <c r="F146" s="41">
        <f>$E146*3600/(Input!$H$4*1000)</f>
        <v>28.56</v>
      </c>
      <c r="G146" s="42" t="str">
        <f t="shared" si="2"/>
        <v>145</v>
      </c>
    </row>
    <row r="147" spans="2:7" s="38" customFormat="1" x14ac:dyDescent="0.2">
      <c r="B147" s="39" t="s">
        <v>7328</v>
      </c>
      <c r="C147" s="39" t="s">
        <v>1474</v>
      </c>
      <c r="D147" s="39" t="s">
        <v>663</v>
      </c>
      <c r="E147" s="40">
        <v>199</v>
      </c>
      <c r="F147" s="41">
        <f>$E147*3600/(Input!$H$4*1000)</f>
        <v>23.88</v>
      </c>
      <c r="G147" s="42" t="str">
        <f t="shared" si="2"/>
        <v>146</v>
      </c>
    </row>
    <row r="148" spans="2:7" s="38" customFormat="1" x14ac:dyDescent="0.2">
      <c r="B148" s="39" t="s">
        <v>7329</v>
      </c>
      <c r="C148" s="39" t="s">
        <v>1474</v>
      </c>
      <c r="D148" s="39" t="s">
        <v>1783</v>
      </c>
      <c r="E148" s="40">
        <v>171</v>
      </c>
      <c r="F148" s="41">
        <f>$E148*3600/(Input!$H$4*1000)</f>
        <v>20.52</v>
      </c>
      <c r="G148" s="42" t="str">
        <f t="shared" si="2"/>
        <v>147</v>
      </c>
    </row>
    <row r="149" spans="2:7" s="38" customFormat="1" x14ac:dyDescent="0.2">
      <c r="B149" s="39" t="s">
        <v>7330</v>
      </c>
      <c r="C149" s="39" t="s">
        <v>663</v>
      </c>
      <c r="D149" s="39" t="s">
        <v>975</v>
      </c>
      <c r="E149" s="40">
        <v>140</v>
      </c>
      <c r="F149" s="41">
        <f>$E149*3600/(Input!$H$4*1000)</f>
        <v>16.8</v>
      </c>
      <c r="G149" s="42" t="str">
        <f t="shared" si="2"/>
        <v>148</v>
      </c>
    </row>
    <row r="150" spans="2:7" s="38" customFormat="1" x14ac:dyDescent="0.2">
      <c r="B150" s="39" t="s">
        <v>7331</v>
      </c>
      <c r="C150" s="39" t="s">
        <v>1617</v>
      </c>
      <c r="D150" s="39" t="s">
        <v>975</v>
      </c>
      <c r="E150" s="40">
        <v>216</v>
      </c>
      <c r="F150" s="41">
        <f>$E150*3600/(Input!$H$4*1000)</f>
        <v>25.92</v>
      </c>
      <c r="G150" s="42" t="str">
        <f t="shared" si="2"/>
        <v>149</v>
      </c>
    </row>
    <row r="151" spans="2:7" s="38" customFormat="1" x14ac:dyDescent="0.2">
      <c r="B151" s="39" t="s">
        <v>7332</v>
      </c>
      <c r="C151" s="39" t="s">
        <v>947</v>
      </c>
      <c r="D151" s="39" t="s">
        <v>1783</v>
      </c>
      <c r="E151" s="40">
        <v>252</v>
      </c>
      <c r="F151" s="41">
        <f>$E151*3600/(Input!$H$4*1000)</f>
        <v>30.24</v>
      </c>
      <c r="G151" s="42" t="str">
        <f t="shared" si="2"/>
        <v>150</v>
      </c>
    </row>
    <row r="152" spans="2:7" s="38" customFormat="1" x14ac:dyDescent="0.2">
      <c r="B152" s="39" t="s">
        <v>7333</v>
      </c>
      <c r="C152" s="39" t="s">
        <v>947</v>
      </c>
      <c r="D152" s="39" t="s">
        <v>792</v>
      </c>
      <c r="E152" s="40">
        <v>96</v>
      </c>
      <c r="F152" s="41">
        <f>$E152*3600/(Input!$H$4*1000)</f>
        <v>11.52</v>
      </c>
      <c r="G152" s="42" t="str">
        <f t="shared" si="2"/>
        <v>151</v>
      </c>
    </row>
    <row r="153" spans="2:7" s="38" customFormat="1" x14ac:dyDescent="0.2">
      <c r="B153" s="39" t="s">
        <v>7334</v>
      </c>
      <c r="C153" s="39" t="s">
        <v>792</v>
      </c>
      <c r="D153" s="39" t="s">
        <v>839</v>
      </c>
      <c r="E153" s="40">
        <v>132</v>
      </c>
      <c r="F153" s="41">
        <f>$E153*3600/(Input!$H$4*1000)</f>
        <v>15.84</v>
      </c>
      <c r="G153" s="42" t="str">
        <f t="shared" si="2"/>
        <v>152</v>
      </c>
    </row>
    <row r="154" spans="2:7" s="38" customFormat="1" x14ac:dyDescent="0.2">
      <c r="B154" s="39" t="s">
        <v>7335</v>
      </c>
      <c r="C154" s="39" t="s">
        <v>947</v>
      </c>
      <c r="D154" s="39" t="s">
        <v>1442</v>
      </c>
      <c r="E154" s="40">
        <v>229</v>
      </c>
      <c r="F154" s="41">
        <f>$E154*3600/(Input!$H$4*1000)</f>
        <v>27.48</v>
      </c>
      <c r="G154" s="42" t="str">
        <f t="shared" si="2"/>
        <v>153</v>
      </c>
    </row>
    <row r="155" spans="2:7" s="38" customFormat="1" x14ac:dyDescent="0.2">
      <c r="B155" s="39" t="s">
        <v>7336</v>
      </c>
      <c r="C155" s="39" t="s">
        <v>1399</v>
      </c>
      <c r="D155" s="39" t="s">
        <v>1578</v>
      </c>
      <c r="E155" s="40">
        <v>112</v>
      </c>
      <c r="F155" s="41">
        <f>$E155*3600/(Input!$H$4*1000)</f>
        <v>13.44</v>
      </c>
      <c r="G155" s="42" t="str">
        <f t="shared" si="2"/>
        <v>154</v>
      </c>
    </row>
    <row r="156" spans="2:7" s="38" customFormat="1" x14ac:dyDescent="0.2">
      <c r="B156" s="39" t="s">
        <v>7337</v>
      </c>
      <c r="C156" s="39" t="s">
        <v>974</v>
      </c>
      <c r="D156" s="39" t="s">
        <v>792</v>
      </c>
      <c r="E156" s="40">
        <v>233</v>
      </c>
      <c r="F156" s="41">
        <f>$E156*3600/(Input!$H$4*1000)</f>
        <v>27.96</v>
      </c>
      <c r="G156" s="42" t="str">
        <f t="shared" si="2"/>
        <v>155</v>
      </c>
    </row>
    <row r="157" spans="2:7" s="38" customFormat="1" x14ac:dyDescent="0.2">
      <c r="B157" s="39" t="s">
        <v>7338</v>
      </c>
      <c r="C157" s="39" t="s">
        <v>1253</v>
      </c>
      <c r="D157" s="39" t="s">
        <v>1356</v>
      </c>
      <c r="E157" s="40">
        <v>110</v>
      </c>
      <c r="F157" s="41">
        <f>$E157*3600/(Input!$H$4*1000)</f>
        <v>13.2</v>
      </c>
      <c r="G157" s="42" t="str">
        <f t="shared" si="2"/>
        <v>156</v>
      </c>
    </row>
    <row r="158" spans="2:7" s="38" customFormat="1" x14ac:dyDescent="0.2">
      <c r="B158" s="39" t="s">
        <v>7339</v>
      </c>
      <c r="C158" s="39" t="s">
        <v>1253</v>
      </c>
      <c r="D158" s="39" t="s">
        <v>974</v>
      </c>
      <c r="E158" s="40">
        <v>432</v>
      </c>
      <c r="F158" s="41">
        <f>$E158*3600/(Input!$H$4*1000)</f>
        <v>51.84</v>
      </c>
      <c r="G158" s="42" t="str">
        <f t="shared" si="2"/>
        <v>157</v>
      </c>
    </row>
    <row r="159" spans="2:7" s="38" customFormat="1" x14ac:dyDescent="0.2">
      <c r="B159" s="39" t="s">
        <v>7340</v>
      </c>
      <c r="C159" s="39" t="s">
        <v>1352</v>
      </c>
      <c r="D159" s="39" t="s">
        <v>978</v>
      </c>
      <c r="E159" s="40">
        <v>100</v>
      </c>
      <c r="F159" s="41">
        <f>$E159*3600/(Input!$H$4*1000)</f>
        <v>12</v>
      </c>
      <c r="G159" s="42" t="str">
        <f t="shared" si="2"/>
        <v>158</v>
      </c>
    </row>
    <row r="160" spans="2:7" s="38" customFormat="1" x14ac:dyDescent="0.2">
      <c r="B160" s="39" t="s">
        <v>7341</v>
      </c>
      <c r="C160" s="39" t="s">
        <v>976</v>
      </c>
      <c r="D160" s="39" t="s">
        <v>1352</v>
      </c>
      <c r="E160" s="40">
        <v>110</v>
      </c>
      <c r="F160" s="41">
        <f>$E160*3600/(Input!$H$4*1000)</f>
        <v>13.2</v>
      </c>
      <c r="G160" s="42" t="str">
        <f t="shared" si="2"/>
        <v>159</v>
      </c>
    </row>
    <row r="161" spans="1:7" x14ac:dyDescent="0.2">
      <c r="B161" s="39" t="s">
        <v>7342</v>
      </c>
      <c r="C161" s="39" t="s">
        <v>1352</v>
      </c>
      <c r="D161" s="39" t="s">
        <v>731</v>
      </c>
      <c r="E161" s="40">
        <v>183</v>
      </c>
      <c r="F161" s="41">
        <f>$E161*3600/(Input!$H$4*1000)</f>
        <v>21.96</v>
      </c>
      <c r="G161" s="42" t="str">
        <f t="shared" si="2"/>
        <v>160</v>
      </c>
    </row>
    <row r="162" spans="1:7" x14ac:dyDescent="0.2">
      <c r="A162" s="47"/>
      <c r="B162" s="39" t="s">
        <v>7343</v>
      </c>
      <c r="C162" s="39" t="s">
        <v>1615</v>
      </c>
      <c r="D162" s="39" t="s">
        <v>1352</v>
      </c>
      <c r="E162" s="40">
        <v>295</v>
      </c>
      <c r="F162" s="41">
        <f>$E162*3600/(Input!$H$4*1000)</f>
        <v>35.4</v>
      </c>
      <c r="G162" s="42" t="str">
        <f t="shared" si="2"/>
        <v>161</v>
      </c>
    </row>
    <row r="163" spans="1:7" x14ac:dyDescent="0.2">
      <c r="B163" s="39" t="s">
        <v>7344</v>
      </c>
      <c r="C163" s="39" t="s">
        <v>977</v>
      </c>
      <c r="D163" s="39" t="s">
        <v>1615</v>
      </c>
      <c r="E163" s="40">
        <v>266</v>
      </c>
      <c r="F163" s="41">
        <f>$E163*3600/(Input!$H$4*1000)</f>
        <v>31.92</v>
      </c>
      <c r="G163" s="42" t="str">
        <f t="shared" si="2"/>
        <v>162</v>
      </c>
    </row>
    <row r="164" spans="1:7" x14ac:dyDescent="0.2">
      <c r="B164" s="39" t="s">
        <v>7345</v>
      </c>
      <c r="C164" s="39" t="s">
        <v>248</v>
      </c>
      <c r="D164" s="39" t="s">
        <v>792</v>
      </c>
      <c r="E164" s="40">
        <v>364</v>
      </c>
      <c r="F164" s="41">
        <f>$E164*3600/(Input!$H$4*1000)</f>
        <v>43.68</v>
      </c>
      <c r="G164" s="42" t="str">
        <f t="shared" si="2"/>
        <v>163</v>
      </c>
    </row>
    <row r="165" spans="1:7" x14ac:dyDescent="0.2">
      <c r="B165" s="39" t="s">
        <v>7346</v>
      </c>
      <c r="C165" s="39" t="s">
        <v>248</v>
      </c>
      <c r="D165" s="39" t="s">
        <v>977</v>
      </c>
      <c r="E165" s="40">
        <v>172</v>
      </c>
      <c r="F165" s="41">
        <f>$E165*3600/(Input!$H$4*1000)</f>
        <v>20.64</v>
      </c>
      <c r="G165" s="42" t="str">
        <f t="shared" si="2"/>
        <v>164</v>
      </c>
    </row>
    <row r="166" spans="1:7" x14ac:dyDescent="0.2">
      <c r="B166" s="39" t="s">
        <v>7347</v>
      </c>
      <c r="C166" s="39" t="s">
        <v>248</v>
      </c>
      <c r="D166" s="39" t="s">
        <v>1615</v>
      </c>
      <c r="E166" s="40">
        <v>761</v>
      </c>
      <c r="F166" s="41">
        <f>$E166*3600/(Input!$H$4*1000)</f>
        <v>91.32</v>
      </c>
      <c r="G166" s="42" t="str">
        <f t="shared" si="2"/>
        <v>165</v>
      </c>
    </row>
    <row r="167" spans="1:7" x14ac:dyDescent="0.2">
      <c r="B167" s="39" t="s">
        <v>7348</v>
      </c>
      <c r="C167" s="39" t="s">
        <v>248</v>
      </c>
      <c r="D167" s="39" t="s">
        <v>943</v>
      </c>
      <c r="E167" s="40">
        <v>333</v>
      </c>
      <c r="F167" s="41">
        <f>$E167*3600/(Input!$H$4*1000)</f>
        <v>39.96</v>
      </c>
      <c r="G167" s="42" t="str">
        <f t="shared" si="2"/>
        <v>166</v>
      </c>
    </row>
    <row r="168" spans="1:7" x14ac:dyDescent="0.2">
      <c r="B168" s="39" t="s">
        <v>7349</v>
      </c>
      <c r="C168" s="39" t="s">
        <v>248</v>
      </c>
      <c r="D168" s="39" t="s">
        <v>230</v>
      </c>
      <c r="E168" s="40">
        <v>439</v>
      </c>
      <c r="F168" s="41">
        <f>$E168*3600/(Input!$H$4*1000)</f>
        <v>52.68</v>
      </c>
      <c r="G168" s="42" t="str">
        <f t="shared" si="2"/>
        <v>167</v>
      </c>
    </row>
    <row r="169" spans="1:7" x14ac:dyDescent="0.2">
      <c r="B169" s="39" t="s">
        <v>7350</v>
      </c>
      <c r="C169" s="39" t="s">
        <v>919</v>
      </c>
      <c r="D169" s="39" t="s">
        <v>230</v>
      </c>
      <c r="E169" s="40">
        <v>165</v>
      </c>
      <c r="F169" s="41">
        <f>$E169*3600/(Input!$H$4*1000)</f>
        <v>19.8</v>
      </c>
      <c r="G169" s="42" t="str">
        <f t="shared" si="2"/>
        <v>168</v>
      </c>
    </row>
    <row r="170" spans="1:7" x14ac:dyDescent="0.2">
      <c r="B170" s="39" t="s">
        <v>7351</v>
      </c>
      <c r="C170" s="39" t="s">
        <v>919</v>
      </c>
      <c r="D170" s="39" t="s">
        <v>1626</v>
      </c>
      <c r="E170" s="40">
        <v>180</v>
      </c>
      <c r="F170" s="41">
        <f>$E170*3600/(Input!$H$4*1000)</f>
        <v>21.6</v>
      </c>
      <c r="G170" s="42" t="str">
        <f t="shared" si="2"/>
        <v>169</v>
      </c>
    </row>
    <row r="171" spans="1:7" x14ac:dyDescent="0.2">
      <c r="B171" s="39" t="s">
        <v>7352</v>
      </c>
      <c r="C171" s="39" t="s">
        <v>387</v>
      </c>
      <c r="D171" s="39" t="s">
        <v>1626</v>
      </c>
      <c r="E171" s="40">
        <v>270</v>
      </c>
      <c r="F171" s="41">
        <f>$E171*3600/(Input!$H$4*1000)</f>
        <v>32.4</v>
      </c>
      <c r="G171" s="42" t="str">
        <f t="shared" si="2"/>
        <v>170</v>
      </c>
    </row>
    <row r="172" spans="1:7" x14ac:dyDescent="0.2">
      <c r="B172" s="39" t="s">
        <v>7353</v>
      </c>
      <c r="C172" s="39" t="s">
        <v>1587</v>
      </c>
      <c r="D172" s="39" t="s">
        <v>285</v>
      </c>
      <c r="E172" s="40">
        <v>149</v>
      </c>
      <c r="F172" s="41">
        <f>$E172*3600/(Input!$H$4*1000)</f>
        <v>17.88</v>
      </c>
      <c r="G172" s="42" t="str">
        <f t="shared" si="2"/>
        <v>171</v>
      </c>
    </row>
    <row r="173" spans="1:7" x14ac:dyDescent="0.2">
      <c r="B173" s="39" t="s">
        <v>7354</v>
      </c>
      <c r="C173" s="39" t="s">
        <v>1626</v>
      </c>
      <c r="D173" s="39" t="s">
        <v>369</v>
      </c>
      <c r="E173" s="40">
        <v>228</v>
      </c>
      <c r="F173" s="41">
        <f>$E173*3600/(Input!$H$4*1000)</f>
        <v>27.36</v>
      </c>
      <c r="G173" s="42" t="str">
        <f t="shared" si="2"/>
        <v>172</v>
      </c>
    </row>
    <row r="174" spans="1:7" x14ac:dyDescent="0.2">
      <c r="B174" s="39" t="s">
        <v>7355</v>
      </c>
      <c r="C174" s="39" t="s">
        <v>1626</v>
      </c>
      <c r="D174" s="39" t="s">
        <v>285</v>
      </c>
      <c r="E174" s="40">
        <v>247</v>
      </c>
      <c r="F174" s="41">
        <f>$E174*3600/(Input!$H$4*1000)</f>
        <v>29.64</v>
      </c>
      <c r="G174" s="42" t="str">
        <f t="shared" si="2"/>
        <v>173</v>
      </c>
    </row>
    <row r="175" spans="1:7" x14ac:dyDescent="0.2">
      <c r="B175" s="39" t="s">
        <v>7356</v>
      </c>
      <c r="C175" s="39" t="s">
        <v>1614</v>
      </c>
      <c r="D175" s="39" t="s">
        <v>285</v>
      </c>
      <c r="E175" s="40">
        <v>68</v>
      </c>
      <c r="F175" s="41">
        <f>$E175*3600/(Input!$H$4*1000)</f>
        <v>8.16</v>
      </c>
      <c r="G175" s="42" t="str">
        <f t="shared" si="2"/>
        <v>174</v>
      </c>
    </row>
    <row r="176" spans="1:7" x14ac:dyDescent="0.2">
      <c r="B176" s="39" t="s">
        <v>7357</v>
      </c>
      <c r="C176" s="39" t="s">
        <v>1614</v>
      </c>
      <c r="D176" s="39" t="s">
        <v>388</v>
      </c>
      <c r="E176" s="40">
        <v>171</v>
      </c>
      <c r="F176" s="41">
        <f>$E176*3600/(Input!$H$4*1000)</f>
        <v>20.52</v>
      </c>
      <c r="G176" s="42" t="str">
        <f t="shared" si="2"/>
        <v>175</v>
      </c>
    </row>
    <row r="177" spans="2:7" s="38" customFormat="1" x14ac:dyDescent="0.2">
      <c r="B177" s="39" t="s">
        <v>7358</v>
      </c>
      <c r="C177" s="39" t="s">
        <v>1296</v>
      </c>
      <c r="D177" s="39" t="s">
        <v>387</v>
      </c>
      <c r="E177" s="40">
        <v>346</v>
      </c>
      <c r="F177" s="41">
        <f>$E177*3600/(Input!$H$4*1000)</f>
        <v>41.52</v>
      </c>
      <c r="G177" s="42" t="str">
        <f t="shared" si="2"/>
        <v>176</v>
      </c>
    </row>
    <row r="178" spans="2:7" s="38" customFormat="1" x14ac:dyDescent="0.2">
      <c r="B178" s="39" t="s">
        <v>7359</v>
      </c>
      <c r="C178" s="39" t="s">
        <v>387</v>
      </c>
      <c r="D178" s="39" t="s">
        <v>385</v>
      </c>
      <c r="E178" s="40">
        <v>458</v>
      </c>
      <c r="F178" s="41">
        <f>$E178*3600/(Input!$H$4*1000)</f>
        <v>54.96</v>
      </c>
      <c r="G178" s="42" t="str">
        <f t="shared" si="2"/>
        <v>177</v>
      </c>
    </row>
    <row r="179" spans="2:7" s="38" customFormat="1" x14ac:dyDescent="0.2">
      <c r="B179" s="39" t="s">
        <v>7360</v>
      </c>
      <c r="C179" s="39" t="s">
        <v>970</v>
      </c>
      <c r="D179" s="39" t="s">
        <v>385</v>
      </c>
      <c r="E179" s="40">
        <v>228</v>
      </c>
      <c r="F179" s="41">
        <f>$E179*3600/(Input!$H$4*1000)</f>
        <v>27.36</v>
      </c>
      <c r="G179" s="42" t="str">
        <f t="shared" si="2"/>
        <v>178</v>
      </c>
    </row>
    <row r="180" spans="2:7" s="38" customFormat="1" x14ac:dyDescent="0.2">
      <c r="B180" s="39" t="s">
        <v>7361</v>
      </c>
      <c r="C180" s="39" t="s">
        <v>1784</v>
      </c>
      <c r="D180" s="39" t="s">
        <v>385</v>
      </c>
      <c r="E180" s="40">
        <v>244</v>
      </c>
      <c r="F180" s="41">
        <f>$E180*3600/(Input!$H$4*1000)</f>
        <v>29.28</v>
      </c>
      <c r="G180" s="42" t="str">
        <f t="shared" si="2"/>
        <v>179</v>
      </c>
    </row>
    <row r="181" spans="2:7" s="46" customFormat="1" x14ac:dyDescent="0.2">
      <c r="B181" s="39" t="s">
        <v>7362</v>
      </c>
      <c r="C181" s="39" t="s">
        <v>1608</v>
      </c>
      <c r="D181" s="39" t="s">
        <v>385</v>
      </c>
      <c r="E181" s="40">
        <v>205</v>
      </c>
      <c r="F181" s="41">
        <f>$E181*3600/(Input!$H$4*1000)</f>
        <v>24.6</v>
      </c>
      <c r="G181" s="42" t="str">
        <f t="shared" si="2"/>
        <v>180</v>
      </c>
    </row>
    <row r="182" spans="2:7" s="46" customFormat="1" x14ac:dyDescent="0.2">
      <c r="B182" s="39" t="s">
        <v>7363</v>
      </c>
      <c r="C182" s="39" t="s">
        <v>1608</v>
      </c>
      <c r="D182" s="39" t="s">
        <v>1510</v>
      </c>
      <c r="E182" s="40">
        <v>122</v>
      </c>
      <c r="F182" s="41">
        <f>$E182*3600/(Input!$H$4*1000)</f>
        <v>14.64</v>
      </c>
      <c r="G182" s="42" t="str">
        <f t="shared" si="2"/>
        <v>181</v>
      </c>
    </row>
    <row r="183" spans="2:7" s="38" customFormat="1" x14ac:dyDescent="0.2">
      <c r="B183" s="39" t="s">
        <v>7364</v>
      </c>
      <c r="C183" s="39" t="s">
        <v>1608</v>
      </c>
      <c r="D183" s="39" t="s">
        <v>665</v>
      </c>
      <c r="E183" s="40">
        <v>266</v>
      </c>
      <c r="F183" s="41">
        <f>$E183*3600/(Input!$H$4*1000)</f>
        <v>31.92</v>
      </c>
      <c r="G183" s="42" t="str">
        <f t="shared" si="2"/>
        <v>182</v>
      </c>
    </row>
    <row r="184" spans="2:7" s="38" customFormat="1" x14ac:dyDescent="0.2">
      <c r="B184" s="39" t="s">
        <v>7365</v>
      </c>
      <c r="C184" s="39" t="s">
        <v>970</v>
      </c>
      <c r="D184" s="39" t="s">
        <v>1540</v>
      </c>
      <c r="E184" s="40">
        <v>344</v>
      </c>
      <c r="F184" s="41">
        <f>$E184*3600/(Input!$H$4*1000)</f>
        <v>41.28</v>
      </c>
      <c r="G184" s="42" t="str">
        <f t="shared" si="2"/>
        <v>183</v>
      </c>
    </row>
    <row r="185" spans="2:7" s="38" customFormat="1" x14ac:dyDescent="0.2">
      <c r="B185" s="39" t="s">
        <v>7366</v>
      </c>
      <c r="C185" s="39" t="s">
        <v>970</v>
      </c>
      <c r="D185" s="39" t="s">
        <v>1510</v>
      </c>
      <c r="E185" s="40">
        <v>112</v>
      </c>
      <c r="F185" s="41">
        <f>$E185*3600/(Input!$H$4*1000)</f>
        <v>13.44</v>
      </c>
      <c r="G185" s="42" t="str">
        <f t="shared" si="2"/>
        <v>184</v>
      </c>
    </row>
    <row r="186" spans="2:7" s="38" customFormat="1" x14ac:dyDescent="0.2">
      <c r="B186" s="39" t="s">
        <v>7367</v>
      </c>
      <c r="C186" s="39" t="s">
        <v>1608</v>
      </c>
      <c r="D186" s="39" t="s">
        <v>1552</v>
      </c>
      <c r="E186" s="40">
        <v>360</v>
      </c>
      <c r="F186" s="41">
        <f>$E186*3600/(Input!$H$4*1000)</f>
        <v>43.2</v>
      </c>
      <c r="G186" s="42" t="str">
        <f t="shared" si="2"/>
        <v>185</v>
      </c>
    </row>
    <row r="187" spans="2:7" s="38" customFormat="1" x14ac:dyDescent="0.2">
      <c r="B187" s="39" t="s">
        <v>7368</v>
      </c>
      <c r="C187" s="39" t="s">
        <v>1540</v>
      </c>
      <c r="D187" s="39" t="s">
        <v>1607</v>
      </c>
      <c r="E187" s="40">
        <v>64</v>
      </c>
      <c r="F187" s="41">
        <f>$E187*3600/(Input!$H$4*1000)</f>
        <v>7.68</v>
      </c>
      <c r="G187" s="42" t="str">
        <f t="shared" si="2"/>
        <v>186</v>
      </c>
    </row>
    <row r="188" spans="2:7" s="38" customFormat="1" x14ac:dyDescent="0.2">
      <c r="B188" s="44" t="s">
        <v>7369</v>
      </c>
      <c r="C188" s="44" t="s">
        <v>1329</v>
      </c>
      <c r="D188" s="44" t="s">
        <v>920</v>
      </c>
      <c r="E188" s="45">
        <v>571</v>
      </c>
      <c r="F188" s="41">
        <f>$E188*3600/(Input!$H$4*1000)</f>
        <v>68.52</v>
      </c>
      <c r="G188" s="42" t="str">
        <f t="shared" si="2"/>
        <v>187</v>
      </c>
    </row>
    <row r="189" spans="2:7" s="38" customFormat="1" x14ac:dyDescent="0.2">
      <c r="B189" s="39" t="s">
        <v>7370</v>
      </c>
      <c r="C189" s="39" t="s">
        <v>380</v>
      </c>
      <c r="D189" s="39" t="s">
        <v>705</v>
      </c>
      <c r="E189" s="40">
        <v>425</v>
      </c>
      <c r="F189" s="41">
        <f>$E189*3600/(Input!$H$4*1000)</f>
        <v>51</v>
      </c>
      <c r="G189" s="42" t="str">
        <f t="shared" si="2"/>
        <v>188</v>
      </c>
    </row>
    <row r="190" spans="2:7" s="38" customFormat="1" x14ac:dyDescent="0.2">
      <c r="B190" s="39" t="s">
        <v>7371</v>
      </c>
      <c r="C190" s="39" t="s">
        <v>380</v>
      </c>
      <c r="D190" s="39" t="s">
        <v>1601</v>
      </c>
      <c r="E190" s="40">
        <v>312</v>
      </c>
      <c r="F190" s="41">
        <f>$E190*3600/(Input!$H$4*1000)</f>
        <v>37.44</v>
      </c>
      <c r="G190" s="42" t="str">
        <f t="shared" si="2"/>
        <v>189</v>
      </c>
    </row>
    <row r="191" spans="2:7" s="38" customFormat="1" x14ac:dyDescent="0.2">
      <c r="B191" s="39" t="s">
        <v>7372</v>
      </c>
      <c r="C191" s="39" t="s">
        <v>1601</v>
      </c>
      <c r="D191" s="39" t="s">
        <v>1511</v>
      </c>
      <c r="E191" s="40">
        <v>128</v>
      </c>
      <c r="F191" s="41">
        <f>$E191*3600/(Input!$H$4*1000)</f>
        <v>15.36</v>
      </c>
      <c r="G191" s="42" t="str">
        <f t="shared" si="2"/>
        <v>190</v>
      </c>
    </row>
    <row r="192" spans="2:7" s="38" customFormat="1" x14ac:dyDescent="0.2">
      <c r="B192" s="39" t="s">
        <v>7373</v>
      </c>
      <c r="C192" s="39" t="s">
        <v>1601</v>
      </c>
      <c r="D192" s="39" t="s">
        <v>913</v>
      </c>
      <c r="E192" s="40">
        <v>140</v>
      </c>
      <c r="F192" s="41">
        <f>$E192*3600/(Input!$H$4*1000)</f>
        <v>16.8</v>
      </c>
      <c r="G192" s="42" t="str">
        <f t="shared" si="2"/>
        <v>191</v>
      </c>
    </row>
    <row r="193" spans="2:7" s="38" customFormat="1" x14ac:dyDescent="0.2">
      <c r="B193" s="39" t="s">
        <v>7374</v>
      </c>
      <c r="C193" s="39" t="s">
        <v>383</v>
      </c>
      <c r="D193" s="39" t="s">
        <v>258</v>
      </c>
      <c r="E193" s="40">
        <v>180</v>
      </c>
      <c r="F193" s="41">
        <f>$E193*3600/(Input!$H$4*1000)</f>
        <v>21.6</v>
      </c>
      <c r="G193" s="42" t="str">
        <f t="shared" si="2"/>
        <v>192</v>
      </c>
    </row>
    <row r="194" spans="2:7" s="38" customFormat="1" x14ac:dyDescent="0.2">
      <c r="B194" s="39" t="s">
        <v>7375</v>
      </c>
      <c r="C194" s="39" t="s">
        <v>1601</v>
      </c>
      <c r="D194" s="39" t="s">
        <v>258</v>
      </c>
      <c r="E194" s="40">
        <v>164</v>
      </c>
      <c r="F194" s="41">
        <f>$E194*3600/(Input!$H$4*1000)</f>
        <v>19.68</v>
      </c>
      <c r="G194" s="42" t="str">
        <f t="shared" ref="G194:G257" si="3">MID(B194,7,LEN(B194)-6)</f>
        <v>193</v>
      </c>
    </row>
    <row r="195" spans="2:7" s="38" customFormat="1" x14ac:dyDescent="0.2">
      <c r="B195" s="39" t="s">
        <v>7376</v>
      </c>
      <c r="C195" s="39" t="s">
        <v>1601</v>
      </c>
      <c r="D195" s="39" t="s">
        <v>986</v>
      </c>
      <c r="E195" s="40">
        <v>130</v>
      </c>
      <c r="F195" s="41">
        <f>$E195*3600/(Input!$H$4*1000)</f>
        <v>15.6</v>
      </c>
      <c r="G195" s="42" t="str">
        <f t="shared" si="3"/>
        <v>194</v>
      </c>
    </row>
    <row r="196" spans="2:7" s="38" customFormat="1" x14ac:dyDescent="0.2">
      <c r="B196" s="39" t="s">
        <v>7377</v>
      </c>
      <c r="C196" s="39" t="s">
        <v>1785</v>
      </c>
      <c r="D196" s="39" t="s">
        <v>796</v>
      </c>
      <c r="E196" s="40">
        <v>265</v>
      </c>
      <c r="F196" s="41">
        <f>$E196*3600/(Input!$H$4*1000)</f>
        <v>31.8</v>
      </c>
      <c r="G196" s="42" t="str">
        <f t="shared" si="3"/>
        <v>195</v>
      </c>
    </row>
    <row r="197" spans="2:7" s="38" customFormat="1" x14ac:dyDescent="0.2">
      <c r="B197" s="39" t="s">
        <v>7378</v>
      </c>
      <c r="C197" s="39" t="s">
        <v>574</v>
      </c>
      <c r="D197" s="39" t="s">
        <v>385</v>
      </c>
      <c r="E197" s="40">
        <v>283</v>
      </c>
      <c r="F197" s="41">
        <f>$E197*3600/(Input!$H$4*1000)</f>
        <v>33.96</v>
      </c>
      <c r="G197" s="42" t="str">
        <f t="shared" si="3"/>
        <v>196</v>
      </c>
    </row>
    <row r="198" spans="2:7" s="38" customFormat="1" x14ac:dyDescent="0.2">
      <c r="B198" s="39" t="s">
        <v>7379</v>
      </c>
      <c r="C198" s="39" t="s">
        <v>826</v>
      </c>
      <c r="D198" s="39" t="s">
        <v>574</v>
      </c>
      <c r="E198" s="40">
        <v>378</v>
      </c>
      <c r="F198" s="41">
        <f>$E198*3600/(Input!$H$4*1000)</f>
        <v>45.36</v>
      </c>
      <c r="G198" s="42" t="str">
        <f t="shared" si="3"/>
        <v>197</v>
      </c>
    </row>
    <row r="199" spans="2:7" s="38" customFormat="1" x14ac:dyDescent="0.2">
      <c r="B199" s="39" t="s">
        <v>7380</v>
      </c>
      <c r="C199" s="39" t="s">
        <v>826</v>
      </c>
      <c r="D199" s="39" t="s">
        <v>384</v>
      </c>
      <c r="E199" s="40">
        <v>145</v>
      </c>
      <c r="F199" s="41">
        <f>$E199*3600/(Input!$H$4*1000)</f>
        <v>17.399999999999999</v>
      </c>
      <c r="G199" s="42" t="str">
        <f t="shared" si="3"/>
        <v>198</v>
      </c>
    </row>
    <row r="200" spans="2:7" s="38" customFormat="1" x14ac:dyDescent="0.2">
      <c r="B200" s="39" t="s">
        <v>7381</v>
      </c>
      <c r="C200" s="39" t="s">
        <v>915</v>
      </c>
      <c r="D200" s="39" t="s">
        <v>384</v>
      </c>
      <c r="E200" s="40">
        <v>91</v>
      </c>
      <c r="F200" s="41">
        <f>$E200*3600/(Input!$H$4*1000)</f>
        <v>10.92</v>
      </c>
      <c r="G200" s="42" t="str">
        <f t="shared" si="3"/>
        <v>199</v>
      </c>
    </row>
    <row r="201" spans="2:7" s="38" customFormat="1" x14ac:dyDescent="0.2">
      <c r="B201" s="39" t="s">
        <v>7382</v>
      </c>
      <c r="C201" s="39" t="s">
        <v>705</v>
      </c>
      <c r="D201" s="39" t="s">
        <v>827</v>
      </c>
      <c r="E201" s="40">
        <v>73</v>
      </c>
      <c r="F201" s="41">
        <f>$E201*3600/(Input!$H$4*1000)</f>
        <v>8.76</v>
      </c>
      <c r="G201" s="42" t="str">
        <f t="shared" si="3"/>
        <v>200</v>
      </c>
    </row>
    <row r="202" spans="2:7" s="38" customFormat="1" x14ac:dyDescent="0.2">
      <c r="B202" s="39" t="s">
        <v>7383</v>
      </c>
      <c r="C202" s="39" t="s">
        <v>705</v>
      </c>
      <c r="D202" s="39" t="s">
        <v>827</v>
      </c>
      <c r="E202" s="40">
        <v>73</v>
      </c>
      <c r="F202" s="41">
        <f>$E202*3600/(Input!$H$4*1000)</f>
        <v>8.76</v>
      </c>
      <c r="G202" s="42" t="str">
        <f t="shared" si="3"/>
        <v>201</v>
      </c>
    </row>
    <row r="203" spans="2:7" s="38" customFormat="1" x14ac:dyDescent="0.2">
      <c r="B203" s="39" t="s">
        <v>7384</v>
      </c>
      <c r="C203" s="39" t="s">
        <v>1510</v>
      </c>
      <c r="D203" s="39" t="s">
        <v>1329</v>
      </c>
      <c r="E203" s="40">
        <v>638</v>
      </c>
      <c r="F203" s="41">
        <f>$E203*3600/(Input!$H$4*1000)</f>
        <v>76.56</v>
      </c>
      <c r="G203" s="42" t="str">
        <f t="shared" si="3"/>
        <v>202</v>
      </c>
    </row>
    <row r="204" spans="2:7" s="38" customFormat="1" x14ac:dyDescent="0.2">
      <c r="B204" s="39" t="s">
        <v>7385</v>
      </c>
      <c r="C204" s="39" t="s">
        <v>1502</v>
      </c>
      <c r="D204" s="39" t="s">
        <v>381</v>
      </c>
      <c r="E204" s="40">
        <v>130</v>
      </c>
      <c r="F204" s="41">
        <f>$E204*3600/(Input!$H$4*1000)</f>
        <v>15.6</v>
      </c>
      <c r="G204" s="42" t="str">
        <f t="shared" si="3"/>
        <v>203</v>
      </c>
    </row>
    <row r="205" spans="2:7" s="38" customFormat="1" x14ac:dyDescent="0.2">
      <c r="B205" s="39" t="s">
        <v>7386</v>
      </c>
      <c r="C205" s="39" t="s">
        <v>1502</v>
      </c>
      <c r="D205" s="39" t="s">
        <v>922</v>
      </c>
      <c r="E205" s="40">
        <v>338</v>
      </c>
      <c r="F205" s="41">
        <f>$E205*3600/(Input!$H$4*1000)</f>
        <v>40.56</v>
      </c>
      <c r="G205" s="42" t="str">
        <f t="shared" si="3"/>
        <v>204</v>
      </c>
    </row>
    <row r="206" spans="2:7" s="38" customFormat="1" x14ac:dyDescent="0.2">
      <c r="B206" s="39" t="s">
        <v>7387</v>
      </c>
      <c r="C206" s="39" t="s">
        <v>381</v>
      </c>
      <c r="D206" s="39" t="s">
        <v>185</v>
      </c>
      <c r="E206" s="40">
        <v>160</v>
      </c>
      <c r="F206" s="41">
        <f>$E206*3600/(Input!$H$4*1000)</f>
        <v>19.2</v>
      </c>
      <c r="G206" s="42" t="str">
        <f t="shared" si="3"/>
        <v>205</v>
      </c>
    </row>
    <row r="207" spans="2:7" s="38" customFormat="1" x14ac:dyDescent="0.2">
      <c r="B207" s="39" t="s">
        <v>7388</v>
      </c>
      <c r="C207" s="39" t="s">
        <v>922</v>
      </c>
      <c r="D207" s="39" t="s">
        <v>581</v>
      </c>
      <c r="E207" s="40">
        <v>136</v>
      </c>
      <c r="F207" s="41">
        <f>$E207*3600/(Input!$H$4*1000)</f>
        <v>16.32</v>
      </c>
      <c r="G207" s="42" t="str">
        <f t="shared" si="3"/>
        <v>206</v>
      </c>
    </row>
    <row r="208" spans="2:7" s="38" customFormat="1" x14ac:dyDescent="0.2">
      <c r="B208" s="39" t="s">
        <v>7389</v>
      </c>
      <c r="C208" s="39" t="s">
        <v>922</v>
      </c>
      <c r="D208" s="39" t="s">
        <v>1544</v>
      </c>
      <c r="E208" s="40">
        <v>280</v>
      </c>
      <c r="F208" s="41">
        <f>$E208*3600/(Input!$H$4*1000)</f>
        <v>33.6</v>
      </c>
      <c r="G208" s="42" t="str">
        <f t="shared" si="3"/>
        <v>207</v>
      </c>
    </row>
    <row r="209" spans="2:7" s="38" customFormat="1" x14ac:dyDescent="0.2">
      <c r="B209" s="39" t="s">
        <v>7390</v>
      </c>
      <c r="C209" s="39" t="s">
        <v>920</v>
      </c>
      <c r="D209" s="39" t="s">
        <v>733</v>
      </c>
      <c r="E209" s="40">
        <v>154</v>
      </c>
      <c r="F209" s="41">
        <f>$E209*3600/(Input!$H$4*1000)</f>
        <v>18.48</v>
      </c>
      <c r="G209" s="42" t="str">
        <f t="shared" si="3"/>
        <v>208</v>
      </c>
    </row>
    <row r="210" spans="2:7" s="38" customFormat="1" x14ac:dyDescent="0.2">
      <c r="B210" s="39" t="s">
        <v>7391</v>
      </c>
      <c r="C210" s="39" t="s">
        <v>920</v>
      </c>
      <c r="D210" s="39" t="s">
        <v>650</v>
      </c>
      <c r="E210" s="40">
        <v>180</v>
      </c>
      <c r="F210" s="41">
        <f>$E210*3600/(Input!$H$4*1000)</f>
        <v>21.6</v>
      </c>
      <c r="G210" s="42" t="str">
        <f t="shared" si="3"/>
        <v>209</v>
      </c>
    </row>
    <row r="211" spans="2:7" s="38" customFormat="1" x14ac:dyDescent="0.2">
      <c r="B211" s="39" t="s">
        <v>7392</v>
      </c>
      <c r="C211" s="39" t="s">
        <v>966</v>
      </c>
      <c r="D211" s="39" t="s">
        <v>969</v>
      </c>
      <c r="E211" s="40">
        <v>189</v>
      </c>
      <c r="F211" s="41">
        <f>$E211*3600/(Input!$H$4*1000)</f>
        <v>22.68</v>
      </c>
      <c r="G211" s="42" t="str">
        <f t="shared" si="3"/>
        <v>210</v>
      </c>
    </row>
    <row r="212" spans="2:7" s="38" customFormat="1" x14ac:dyDescent="0.2">
      <c r="B212" s="39" t="s">
        <v>7393</v>
      </c>
      <c r="C212" s="39" t="s">
        <v>966</v>
      </c>
      <c r="D212" s="39" t="s">
        <v>1372</v>
      </c>
      <c r="E212" s="40">
        <v>211</v>
      </c>
      <c r="F212" s="41">
        <f>$E212*3600/(Input!$H$4*1000)</f>
        <v>25.32</v>
      </c>
      <c r="G212" s="42" t="str">
        <f t="shared" si="3"/>
        <v>211</v>
      </c>
    </row>
    <row r="213" spans="2:7" s="38" customFormat="1" x14ac:dyDescent="0.2">
      <c r="B213" s="39" t="s">
        <v>7394</v>
      </c>
      <c r="C213" s="39" t="s">
        <v>384</v>
      </c>
      <c r="D213" s="39" t="s">
        <v>385</v>
      </c>
      <c r="E213" s="40">
        <v>234</v>
      </c>
      <c r="F213" s="41">
        <f>$E213*3600/(Input!$H$4*1000)</f>
        <v>28.08</v>
      </c>
      <c r="G213" s="42" t="str">
        <f t="shared" si="3"/>
        <v>212</v>
      </c>
    </row>
    <row r="214" spans="2:7" s="38" customFormat="1" x14ac:dyDescent="0.2">
      <c r="B214" s="39" t="s">
        <v>7395</v>
      </c>
      <c r="C214" s="39" t="s">
        <v>1571</v>
      </c>
      <c r="D214" s="39" t="s">
        <v>1570</v>
      </c>
      <c r="E214" s="40">
        <v>2420</v>
      </c>
      <c r="F214" s="41">
        <f>$E214*3600/(Input!$H$4*1000)</f>
        <v>290.39999999999998</v>
      </c>
      <c r="G214" s="42" t="str">
        <f t="shared" si="3"/>
        <v>213</v>
      </c>
    </row>
    <row r="215" spans="2:7" s="38" customFormat="1" x14ac:dyDescent="0.2">
      <c r="B215" s="39" t="s">
        <v>7396</v>
      </c>
      <c r="C215" s="39" t="s">
        <v>1019</v>
      </c>
      <c r="D215" s="39" t="s">
        <v>1351</v>
      </c>
      <c r="E215" s="40">
        <v>110</v>
      </c>
      <c r="F215" s="41">
        <f>$E215*3600/(Input!$H$4*1000)</f>
        <v>13.2</v>
      </c>
      <c r="G215" s="42" t="str">
        <f t="shared" si="3"/>
        <v>214</v>
      </c>
    </row>
    <row r="216" spans="2:7" s="38" customFormat="1" x14ac:dyDescent="0.2">
      <c r="B216" s="39" t="s">
        <v>7397</v>
      </c>
      <c r="C216" s="39" t="s">
        <v>939</v>
      </c>
      <c r="D216" s="39" t="s">
        <v>1019</v>
      </c>
      <c r="E216" s="40">
        <v>264</v>
      </c>
      <c r="F216" s="41">
        <f>$E216*3600/(Input!$H$4*1000)</f>
        <v>31.68</v>
      </c>
      <c r="G216" s="42" t="str">
        <f t="shared" si="3"/>
        <v>215</v>
      </c>
    </row>
    <row r="217" spans="2:7" s="38" customFormat="1" x14ac:dyDescent="0.2">
      <c r="B217" s="39" t="s">
        <v>7398</v>
      </c>
      <c r="C217" s="39" t="s">
        <v>1019</v>
      </c>
      <c r="D217" s="39" t="s">
        <v>328</v>
      </c>
      <c r="E217" s="40">
        <v>139</v>
      </c>
      <c r="F217" s="41">
        <f>$E217*3600/(Input!$H$4*1000)</f>
        <v>16.68</v>
      </c>
      <c r="G217" s="42" t="str">
        <f t="shared" si="3"/>
        <v>216</v>
      </c>
    </row>
    <row r="218" spans="2:7" s="38" customFormat="1" x14ac:dyDescent="0.2">
      <c r="B218" s="39" t="s">
        <v>7399</v>
      </c>
      <c r="C218" s="39" t="s">
        <v>1332</v>
      </c>
      <c r="D218" s="39" t="s">
        <v>328</v>
      </c>
      <c r="E218" s="40">
        <v>94</v>
      </c>
      <c r="F218" s="41">
        <f>$E218*3600/(Input!$H$4*1000)</f>
        <v>11.28</v>
      </c>
      <c r="G218" s="42" t="str">
        <f t="shared" si="3"/>
        <v>217</v>
      </c>
    </row>
    <row r="219" spans="2:7" s="38" customFormat="1" x14ac:dyDescent="0.2">
      <c r="B219" s="39" t="s">
        <v>7400</v>
      </c>
      <c r="C219" s="39" t="s">
        <v>1332</v>
      </c>
      <c r="D219" s="39" t="s">
        <v>379</v>
      </c>
      <c r="E219" s="40">
        <v>132</v>
      </c>
      <c r="F219" s="41">
        <f>$E219*3600/(Input!$H$4*1000)</f>
        <v>15.84</v>
      </c>
      <c r="G219" s="42" t="str">
        <f t="shared" si="3"/>
        <v>218</v>
      </c>
    </row>
    <row r="220" spans="2:7" s="38" customFormat="1" x14ac:dyDescent="0.2">
      <c r="B220" s="39" t="s">
        <v>7401</v>
      </c>
      <c r="C220" s="39" t="s">
        <v>328</v>
      </c>
      <c r="D220" s="39" t="s">
        <v>379</v>
      </c>
      <c r="E220" s="40">
        <v>155</v>
      </c>
      <c r="F220" s="41">
        <f>$E220*3600/(Input!$H$4*1000)</f>
        <v>18.600000000000001</v>
      </c>
      <c r="G220" s="42" t="str">
        <f t="shared" si="3"/>
        <v>219</v>
      </c>
    </row>
    <row r="221" spans="2:7" s="38" customFormat="1" x14ac:dyDescent="0.2">
      <c r="B221" s="39" t="s">
        <v>7402</v>
      </c>
      <c r="C221" s="39" t="s">
        <v>57</v>
      </c>
      <c r="D221" s="39" t="s">
        <v>1351</v>
      </c>
      <c r="E221" s="40">
        <v>155</v>
      </c>
      <c r="F221" s="41">
        <f>$E221*3600/(Input!$H$4*1000)</f>
        <v>18.600000000000001</v>
      </c>
      <c r="G221" s="42" t="str">
        <f t="shared" si="3"/>
        <v>220</v>
      </c>
    </row>
    <row r="222" spans="2:7" s="38" customFormat="1" x14ac:dyDescent="0.2">
      <c r="B222" s="39" t="s">
        <v>7403</v>
      </c>
      <c r="C222" s="39" t="s">
        <v>1351</v>
      </c>
      <c r="D222" s="39" t="s">
        <v>939</v>
      </c>
      <c r="E222" s="40">
        <v>214</v>
      </c>
      <c r="F222" s="41">
        <f>$E222*3600/(Input!$H$4*1000)</f>
        <v>25.68</v>
      </c>
      <c r="G222" s="42" t="str">
        <f t="shared" si="3"/>
        <v>221</v>
      </c>
    </row>
    <row r="223" spans="2:7" s="38" customFormat="1" x14ac:dyDescent="0.2">
      <c r="B223" s="39" t="s">
        <v>7404</v>
      </c>
      <c r="C223" s="39" t="s">
        <v>57</v>
      </c>
      <c r="D223" s="39" t="s">
        <v>263</v>
      </c>
      <c r="E223" s="40">
        <v>187</v>
      </c>
      <c r="F223" s="41">
        <f>$E223*3600/(Input!$H$4*1000)</f>
        <v>22.44</v>
      </c>
      <c r="G223" s="42" t="str">
        <f t="shared" si="3"/>
        <v>222</v>
      </c>
    </row>
    <row r="224" spans="2:7" s="38" customFormat="1" x14ac:dyDescent="0.2">
      <c r="B224" s="39" t="s">
        <v>7405</v>
      </c>
      <c r="C224" s="39" t="s">
        <v>263</v>
      </c>
      <c r="D224" s="39" t="s">
        <v>280</v>
      </c>
      <c r="E224" s="40">
        <v>109</v>
      </c>
      <c r="F224" s="41">
        <f>$E224*3600/(Input!$H$4*1000)</f>
        <v>13.08</v>
      </c>
      <c r="G224" s="42" t="str">
        <f t="shared" si="3"/>
        <v>223</v>
      </c>
    </row>
    <row r="225" spans="2:7" s="38" customFormat="1" x14ac:dyDescent="0.2">
      <c r="B225" s="39" t="s">
        <v>7406</v>
      </c>
      <c r="C225" s="39" t="s">
        <v>1019</v>
      </c>
      <c r="D225" s="39" t="s">
        <v>263</v>
      </c>
      <c r="E225" s="40">
        <v>494</v>
      </c>
      <c r="F225" s="41">
        <f>$E225*3600/(Input!$H$4*1000)</f>
        <v>59.28</v>
      </c>
      <c r="G225" s="42" t="str">
        <f t="shared" si="3"/>
        <v>224</v>
      </c>
    </row>
    <row r="226" spans="2:7" s="38" customFormat="1" x14ac:dyDescent="0.2">
      <c r="B226" s="39" t="s">
        <v>7407</v>
      </c>
      <c r="C226" s="39" t="s">
        <v>863</v>
      </c>
      <c r="D226" s="39" t="s">
        <v>280</v>
      </c>
      <c r="E226" s="40">
        <v>153</v>
      </c>
      <c r="F226" s="41">
        <f>$E226*3600/(Input!$H$4*1000)</f>
        <v>18.36</v>
      </c>
      <c r="G226" s="42" t="str">
        <f t="shared" si="3"/>
        <v>225</v>
      </c>
    </row>
    <row r="227" spans="2:7" s="38" customFormat="1" x14ac:dyDescent="0.2">
      <c r="B227" s="39" t="s">
        <v>7408</v>
      </c>
      <c r="C227" s="39" t="s">
        <v>57</v>
      </c>
      <c r="D227" s="39" t="s">
        <v>142</v>
      </c>
      <c r="E227" s="40">
        <v>181</v>
      </c>
      <c r="F227" s="41">
        <f>$E227*3600/(Input!$H$4*1000)</f>
        <v>21.72</v>
      </c>
      <c r="G227" s="42" t="str">
        <f t="shared" si="3"/>
        <v>226</v>
      </c>
    </row>
    <row r="228" spans="2:7" s="38" customFormat="1" x14ac:dyDescent="0.2">
      <c r="B228" s="39" t="s">
        <v>7409</v>
      </c>
      <c r="C228" s="39" t="s">
        <v>585</v>
      </c>
      <c r="D228" s="39" t="s">
        <v>218</v>
      </c>
      <c r="E228" s="40">
        <v>236</v>
      </c>
      <c r="F228" s="41">
        <f>$E228*3600/(Input!$H$4*1000)</f>
        <v>28.32</v>
      </c>
      <c r="G228" s="42" t="str">
        <f t="shared" si="3"/>
        <v>227</v>
      </c>
    </row>
    <row r="229" spans="2:7" s="38" customFormat="1" x14ac:dyDescent="0.2">
      <c r="B229" s="39" t="s">
        <v>7410</v>
      </c>
      <c r="C229" s="39" t="s">
        <v>1537</v>
      </c>
      <c r="D229" s="39" t="s">
        <v>585</v>
      </c>
      <c r="E229" s="40">
        <v>129</v>
      </c>
      <c r="F229" s="41">
        <f>$E229*3600/(Input!$H$4*1000)</f>
        <v>15.48</v>
      </c>
      <c r="G229" s="42" t="str">
        <f t="shared" si="3"/>
        <v>228</v>
      </c>
    </row>
    <row r="230" spans="2:7" s="38" customFormat="1" x14ac:dyDescent="0.2">
      <c r="B230" s="39" t="s">
        <v>7411</v>
      </c>
      <c r="C230" s="39" t="s">
        <v>1537</v>
      </c>
      <c r="D230" s="39" t="s">
        <v>142</v>
      </c>
      <c r="E230" s="40">
        <v>610</v>
      </c>
      <c r="F230" s="41">
        <f>$E230*3600/(Input!$H$4*1000)</f>
        <v>73.2</v>
      </c>
      <c r="G230" s="42" t="str">
        <f t="shared" si="3"/>
        <v>229</v>
      </c>
    </row>
    <row r="231" spans="2:7" s="38" customFormat="1" x14ac:dyDescent="0.2">
      <c r="B231" s="39" t="s">
        <v>7412</v>
      </c>
      <c r="C231" s="39" t="s">
        <v>1537</v>
      </c>
      <c r="D231" s="39" t="s">
        <v>28</v>
      </c>
      <c r="E231" s="40">
        <v>209</v>
      </c>
      <c r="F231" s="41">
        <f>$E231*3600/(Input!$H$4*1000)</f>
        <v>25.08</v>
      </c>
      <c r="G231" s="42" t="str">
        <f t="shared" si="3"/>
        <v>230</v>
      </c>
    </row>
    <row r="232" spans="2:7" s="38" customFormat="1" x14ac:dyDescent="0.2">
      <c r="B232" s="39" t="s">
        <v>7413</v>
      </c>
      <c r="C232" s="39" t="s">
        <v>1232</v>
      </c>
      <c r="D232" s="39" t="s">
        <v>281</v>
      </c>
      <c r="E232" s="40">
        <v>313</v>
      </c>
      <c r="F232" s="41">
        <f>$E232*3600/(Input!$H$4*1000)</f>
        <v>37.56</v>
      </c>
      <c r="G232" s="42" t="str">
        <f t="shared" si="3"/>
        <v>231</v>
      </c>
    </row>
    <row r="233" spans="2:7" s="38" customFormat="1" x14ac:dyDescent="0.2">
      <c r="B233" s="39" t="s">
        <v>7414</v>
      </c>
      <c r="C233" s="39" t="s">
        <v>31</v>
      </c>
      <c r="D233" s="39" t="s">
        <v>1232</v>
      </c>
      <c r="E233" s="40">
        <v>464</v>
      </c>
      <c r="F233" s="41">
        <f>$E233*3600/(Input!$H$4*1000)</f>
        <v>55.68</v>
      </c>
      <c r="G233" s="42" t="str">
        <f t="shared" si="3"/>
        <v>232</v>
      </c>
    </row>
    <row r="234" spans="2:7" s="38" customFormat="1" x14ac:dyDescent="0.2">
      <c r="B234" s="39" t="s">
        <v>7415</v>
      </c>
      <c r="C234" s="39" t="s">
        <v>111</v>
      </c>
      <c r="D234" s="39" t="s">
        <v>1786</v>
      </c>
      <c r="E234" s="40">
        <v>139</v>
      </c>
      <c r="F234" s="41">
        <f>$E234*3600/(Input!$H$4*1000)</f>
        <v>16.68</v>
      </c>
      <c r="G234" s="42" t="str">
        <f t="shared" si="3"/>
        <v>233</v>
      </c>
    </row>
    <row r="235" spans="2:7" s="38" customFormat="1" x14ac:dyDescent="0.2">
      <c r="B235" s="39" t="s">
        <v>7416</v>
      </c>
      <c r="C235" s="39" t="s">
        <v>267</v>
      </c>
      <c r="D235" s="39" t="s">
        <v>184</v>
      </c>
      <c r="E235" s="40">
        <v>471</v>
      </c>
      <c r="F235" s="41">
        <f>$E235*3600/(Input!$H$4*1000)</f>
        <v>56.52</v>
      </c>
      <c r="G235" s="42" t="str">
        <f t="shared" si="3"/>
        <v>234</v>
      </c>
    </row>
    <row r="236" spans="2:7" s="38" customFormat="1" x14ac:dyDescent="0.2">
      <c r="B236" s="39" t="s">
        <v>7417</v>
      </c>
      <c r="C236" s="39" t="s">
        <v>1539</v>
      </c>
      <c r="D236" s="39" t="s">
        <v>1787</v>
      </c>
      <c r="E236" s="40">
        <v>105</v>
      </c>
      <c r="F236" s="41">
        <f>$E236*3600/(Input!$H$4*1000)</f>
        <v>12.6</v>
      </c>
      <c r="G236" s="42" t="str">
        <f t="shared" si="3"/>
        <v>235</v>
      </c>
    </row>
    <row r="237" spans="2:7" s="38" customFormat="1" x14ac:dyDescent="0.2">
      <c r="B237" s="39" t="s">
        <v>7418</v>
      </c>
      <c r="C237" s="39" t="s">
        <v>1537</v>
      </c>
      <c r="D237" s="39" t="s">
        <v>756</v>
      </c>
      <c r="E237" s="40">
        <v>256</v>
      </c>
      <c r="F237" s="41">
        <f>$E237*3600/(Input!$H$4*1000)</f>
        <v>30.72</v>
      </c>
      <c r="G237" s="42" t="str">
        <f t="shared" si="3"/>
        <v>236</v>
      </c>
    </row>
    <row r="238" spans="2:7" s="38" customFormat="1" x14ac:dyDescent="0.2">
      <c r="B238" s="39" t="s">
        <v>7419</v>
      </c>
      <c r="C238" s="39" t="s">
        <v>111</v>
      </c>
      <c r="D238" s="39" t="s">
        <v>756</v>
      </c>
      <c r="E238" s="40">
        <v>330</v>
      </c>
      <c r="F238" s="41">
        <f>$E238*3600/(Input!$H$4*1000)</f>
        <v>39.6</v>
      </c>
      <c r="G238" s="42" t="str">
        <f t="shared" si="3"/>
        <v>237</v>
      </c>
    </row>
    <row r="239" spans="2:7" s="38" customFormat="1" x14ac:dyDescent="0.2">
      <c r="B239" s="39" t="s">
        <v>7420</v>
      </c>
      <c r="C239" s="39" t="s">
        <v>756</v>
      </c>
      <c r="D239" s="39" t="s">
        <v>1725</v>
      </c>
      <c r="E239" s="40">
        <v>85</v>
      </c>
      <c r="F239" s="41">
        <f>$E239*3600/(Input!$H$4*1000)</f>
        <v>10.199999999999999</v>
      </c>
      <c r="G239" s="42" t="str">
        <f t="shared" si="3"/>
        <v>238</v>
      </c>
    </row>
    <row r="240" spans="2:7" s="38" customFormat="1" x14ac:dyDescent="0.2">
      <c r="B240" s="39" t="s">
        <v>7421</v>
      </c>
      <c r="C240" s="39" t="s">
        <v>863</v>
      </c>
      <c r="D240" s="39" t="s">
        <v>379</v>
      </c>
      <c r="E240" s="40">
        <v>165</v>
      </c>
      <c r="F240" s="41">
        <f>$E240*3600/(Input!$H$4*1000)</f>
        <v>19.8</v>
      </c>
      <c r="G240" s="42" t="str">
        <f t="shared" si="3"/>
        <v>239</v>
      </c>
    </row>
    <row r="241" spans="2:7" s="38" customFormat="1" x14ac:dyDescent="0.2">
      <c r="B241" s="39" t="s">
        <v>7422</v>
      </c>
      <c r="C241" s="39" t="s">
        <v>1332</v>
      </c>
      <c r="D241" s="39" t="s">
        <v>1331</v>
      </c>
      <c r="E241" s="40">
        <v>174</v>
      </c>
      <c r="F241" s="41">
        <f>$E241*3600/(Input!$H$4*1000)</f>
        <v>20.88</v>
      </c>
      <c r="G241" s="42" t="str">
        <f t="shared" si="3"/>
        <v>240</v>
      </c>
    </row>
    <row r="242" spans="2:7" s="38" customFormat="1" x14ac:dyDescent="0.2">
      <c r="B242" s="39" t="s">
        <v>7423</v>
      </c>
      <c r="C242" s="39" t="s">
        <v>1594</v>
      </c>
      <c r="D242" s="39" t="s">
        <v>143</v>
      </c>
      <c r="E242" s="40">
        <v>143</v>
      </c>
      <c r="F242" s="41">
        <f>$E242*3600/(Input!$H$4*1000)</f>
        <v>17.16</v>
      </c>
      <c r="G242" s="42" t="str">
        <f t="shared" si="3"/>
        <v>241</v>
      </c>
    </row>
    <row r="243" spans="2:7" s="38" customFormat="1" x14ac:dyDescent="0.2">
      <c r="B243" s="39" t="s">
        <v>7424</v>
      </c>
      <c r="C243" s="39" t="s">
        <v>143</v>
      </c>
      <c r="D243" s="39" t="s">
        <v>1331</v>
      </c>
      <c r="E243" s="40">
        <v>406</v>
      </c>
      <c r="F243" s="41">
        <f>$E243*3600/(Input!$H$4*1000)</f>
        <v>48.72</v>
      </c>
      <c r="G243" s="42" t="str">
        <f t="shared" si="3"/>
        <v>242</v>
      </c>
    </row>
    <row r="244" spans="2:7" s="38" customFormat="1" x14ac:dyDescent="0.2">
      <c r="B244" s="39" t="s">
        <v>7425</v>
      </c>
      <c r="C244" s="39" t="s">
        <v>1331</v>
      </c>
      <c r="D244" s="39" t="s">
        <v>1137</v>
      </c>
      <c r="E244" s="40">
        <v>358</v>
      </c>
      <c r="F244" s="41">
        <f>$E244*3600/(Input!$H$4*1000)</f>
        <v>42.96</v>
      </c>
      <c r="G244" s="42" t="str">
        <f t="shared" si="3"/>
        <v>243</v>
      </c>
    </row>
    <row r="245" spans="2:7" s="38" customFormat="1" x14ac:dyDescent="0.2">
      <c r="B245" s="39" t="s">
        <v>7426</v>
      </c>
      <c r="C245" s="39" t="s">
        <v>393</v>
      </c>
      <c r="D245" s="39" t="s">
        <v>1137</v>
      </c>
      <c r="E245" s="40">
        <v>438</v>
      </c>
      <c r="F245" s="41">
        <f>$E245*3600/(Input!$H$4*1000)</f>
        <v>52.56</v>
      </c>
      <c r="G245" s="42" t="str">
        <f t="shared" si="3"/>
        <v>244</v>
      </c>
    </row>
    <row r="246" spans="2:7" s="38" customFormat="1" x14ac:dyDescent="0.2">
      <c r="B246" s="39" t="s">
        <v>7427</v>
      </c>
      <c r="C246" s="39" t="s">
        <v>393</v>
      </c>
      <c r="D246" s="39" t="s">
        <v>1331</v>
      </c>
      <c r="E246" s="40">
        <v>338</v>
      </c>
      <c r="F246" s="41">
        <f>$E246*3600/(Input!$H$4*1000)</f>
        <v>40.56</v>
      </c>
      <c r="G246" s="42" t="str">
        <f t="shared" si="3"/>
        <v>245</v>
      </c>
    </row>
    <row r="247" spans="2:7" s="46" customFormat="1" x14ac:dyDescent="0.2">
      <c r="B247" s="39" t="s">
        <v>7428</v>
      </c>
      <c r="C247" s="39" t="s">
        <v>1316</v>
      </c>
      <c r="D247" s="39" t="s">
        <v>711</v>
      </c>
      <c r="E247" s="40">
        <v>112</v>
      </c>
      <c r="F247" s="41">
        <f>$E247*3600/(Input!$H$4*1000)</f>
        <v>13.44</v>
      </c>
      <c r="G247" s="42" t="str">
        <f t="shared" si="3"/>
        <v>246</v>
      </c>
    </row>
    <row r="248" spans="2:7" s="46" customFormat="1" x14ac:dyDescent="0.2">
      <c r="B248" s="39" t="s">
        <v>7429</v>
      </c>
      <c r="C248" s="39" t="s">
        <v>711</v>
      </c>
      <c r="D248" s="39" t="s">
        <v>197</v>
      </c>
      <c r="E248" s="40">
        <v>239</v>
      </c>
      <c r="F248" s="41">
        <f>$E248*3600/(Input!$H$4*1000)</f>
        <v>28.68</v>
      </c>
      <c r="G248" s="42" t="str">
        <f t="shared" si="3"/>
        <v>247</v>
      </c>
    </row>
    <row r="249" spans="2:7" s="38" customFormat="1" x14ac:dyDescent="0.2">
      <c r="B249" s="39" t="s">
        <v>7430</v>
      </c>
      <c r="C249" s="39" t="s">
        <v>393</v>
      </c>
      <c r="D249" s="39" t="s">
        <v>944</v>
      </c>
      <c r="E249" s="40">
        <v>771</v>
      </c>
      <c r="F249" s="41">
        <f>$E249*3600/(Input!$H$4*1000)</f>
        <v>92.52</v>
      </c>
      <c r="G249" s="42" t="str">
        <f t="shared" si="3"/>
        <v>248</v>
      </c>
    </row>
    <row r="250" spans="2:7" s="38" customFormat="1" x14ac:dyDescent="0.2">
      <c r="B250" s="39" t="s">
        <v>7431</v>
      </c>
      <c r="C250" s="39" t="s">
        <v>197</v>
      </c>
      <c r="D250" s="39" t="s">
        <v>963</v>
      </c>
      <c r="E250" s="40">
        <v>255</v>
      </c>
      <c r="F250" s="41">
        <f>$E250*3600/(Input!$H$4*1000)</f>
        <v>30.6</v>
      </c>
      <c r="G250" s="42" t="str">
        <f t="shared" si="3"/>
        <v>249</v>
      </c>
    </row>
    <row r="251" spans="2:7" s="38" customFormat="1" x14ac:dyDescent="0.2">
      <c r="B251" s="39" t="s">
        <v>7432</v>
      </c>
      <c r="C251" s="39" t="s">
        <v>963</v>
      </c>
      <c r="D251" s="39" t="s">
        <v>1788</v>
      </c>
      <c r="E251" s="40">
        <v>486</v>
      </c>
      <c r="F251" s="41">
        <f>$E251*3600/(Input!$H$4*1000)</f>
        <v>58.32</v>
      </c>
      <c r="G251" s="42" t="str">
        <f t="shared" si="3"/>
        <v>250</v>
      </c>
    </row>
    <row r="252" spans="2:7" s="38" customFormat="1" x14ac:dyDescent="0.2">
      <c r="B252" s="39" t="s">
        <v>7433</v>
      </c>
      <c r="C252" s="39" t="s">
        <v>963</v>
      </c>
      <c r="D252" s="39" t="s">
        <v>1789</v>
      </c>
      <c r="E252" s="40">
        <v>577</v>
      </c>
      <c r="F252" s="41">
        <f>$E252*3600/(Input!$H$4*1000)</f>
        <v>69.239999999999995</v>
      </c>
      <c r="G252" s="42" t="str">
        <f t="shared" si="3"/>
        <v>251</v>
      </c>
    </row>
    <row r="253" spans="2:7" s="38" customFormat="1" x14ac:dyDescent="0.2">
      <c r="B253" s="39" t="s">
        <v>7434</v>
      </c>
      <c r="C253" s="39" t="s">
        <v>1788</v>
      </c>
      <c r="D253" s="39" t="s">
        <v>1039</v>
      </c>
      <c r="E253" s="40">
        <v>352</v>
      </c>
      <c r="F253" s="41">
        <f>$E253*3600/(Input!$H$4*1000)</f>
        <v>42.24</v>
      </c>
      <c r="G253" s="42" t="str">
        <f t="shared" si="3"/>
        <v>252</v>
      </c>
    </row>
    <row r="254" spans="2:7" s="38" customFormat="1" x14ac:dyDescent="0.2">
      <c r="B254" s="39" t="s">
        <v>7435</v>
      </c>
      <c r="C254" s="39" t="s">
        <v>1789</v>
      </c>
      <c r="D254" s="39" t="s">
        <v>1039</v>
      </c>
      <c r="E254" s="40">
        <v>454</v>
      </c>
      <c r="F254" s="41">
        <f>$E254*3600/(Input!$H$4*1000)</f>
        <v>54.48</v>
      </c>
      <c r="G254" s="42" t="str">
        <f t="shared" si="3"/>
        <v>253</v>
      </c>
    </row>
    <row r="255" spans="2:7" s="38" customFormat="1" x14ac:dyDescent="0.2">
      <c r="B255" s="39" t="s">
        <v>7436</v>
      </c>
      <c r="C255" s="39" t="s">
        <v>437</v>
      </c>
      <c r="D255" s="39" t="s">
        <v>1039</v>
      </c>
      <c r="E255" s="40">
        <v>212</v>
      </c>
      <c r="F255" s="41">
        <f>$E255*3600/(Input!$H$4*1000)</f>
        <v>25.44</v>
      </c>
      <c r="G255" s="42" t="str">
        <f t="shared" si="3"/>
        <v>254</v>
      </c>
    </row>
    <row r="256" spans="2:7" s="38" customFormat="1" x14ac:dyDescent="0.2">
      <c r="B256" s="39" t="s">
        <v>7437</v>
      </c>
      <c r="C256" s="39" t="s">
        <v>437</v>
      </c>
      <c r="D256" s="39" t="s">
        <v>454</v>
      </c>
      <c r="E256" s="40">
        <v>305</v>
      </c>
      <c r="F256" s="41">
        <f>$E256*3600/(Input!$H$4*1000)</f>
        <v>36.6</v>
      </c>
      <c r="G256" s="42" t="str">
        <f t="shared" si="3"/>
        <v>255</v>
      </c>
    </row>
    <row r="257" spans="2:7" s="38" customFormat="1" x14ac:dyDescent="0.2">
      <c r="B257" s="39" t="s">
        <v>7438</v>
      </c>
      <c r="C257" s="39" t="s">
        <v>454</v>
      </c>
      <c r="D257" s="39" t="s">
        <v>1589</v>
      </c>
      <c r="E257" s="40">
        <v>429</v>
      </c>
      <c r="F257" s="41">
        <f>$E257*3600/(Input!$H$4*1000)</f>
        <v>51.48</v>
      </c>
      <c r="G257" s="42" t="str">
        <f t="shared" si="3"/>
        <v>256</v>
      </c>
    </row>
    <row r="258" spans="2:7" s="38" customFormat="1" x14ac:dyDescent="0.2">
      <c r="B258" s="39" t="s">
        <v>7439</v>
      </c>
      <c r="C258" s="39" t="s">
        <v>437</v>
      </c>
      <c r="D258" s="39" t="s">
        <v>1589</v>
      </c>
      <c r="E258" s="40">
        <v>256</v>
      </c>
      <c r="F258" s="41">
        <f>$E258*3600/(Input!$H$4*1000)</f>
        <v>30.72</v>
      </c>
      <c r="G258" s="42" t="str">
        <f t="shared" ref="G258:G321" si="4">MID(B258,7,LEN(B258)-6)</f>
        <v>257</v>
      </c>
    </row>
    <row r="259" spans="2:7" s="38" customFormat="1" x14ac:dyDescent="0.2">
      <c r="B259" s="39" t="s">
        <v>7440</v>
      </c>
      <c r="C259" s="39" t="s">
        <v>1589</v>
      </c>
      <c r="D259" s="39" t="s">
        <v>1045</v>
      </c>
      <c r="E259" s="40">
        <v>288</v>
      </c>
      <c r="F259" s="41">
        <f>$E259*3600/(Input!$H$4*1000)</f>
        <v>34.56</v>
      </c>
      <c r="G259" s="42" t="str">
        <f t="shared" si="4"/>
        <v>258</v>
      </c>
    </row>
    <row r="260" spans="2:7" s="38" customFormat="1" x14ac:dyDescent="0.2">
      <c r="B260" s="39" t="s">
        <v>7441</v>
      </c>
      <c r="C260" s="39" t="s">
        <v>1589</v>
      </c>
      <c r="D260" s="39" t="s">
        <v>228</v>
      </c>
      <c r="E260" s="40">
        <v>123</v>
      </c>
      <c r="F260" s="41">
        <f>$E260*3600/(Input!$H$4*1000)</f>
        <v>14.76</v>
      </c>
      <c r="G260" s="42" t="str">
        <f t="shared" si="4"/>
        <v>259</v>
      </c>
    </row>
    <row r="261" spans="2:7" s="38" customFormat="1" x14ac:dyDescent="0.2">
      <c r="B261" s="39" t="s">
        <v>7442</v>
      </c>
      <c r="C261" s="39" t="s">
        <v>378</v>
      </c>
      <c r="D261" s="39" t="s">
        <v>959</v>
      </c>
      <c r="E261" s="40">
        <v>460</v>
      </c>
      <c r="F261" s="41">
        <f>$E261*3600/(Input!$H$4*1000)</f>
        <v>55.2</v>
      </c>
      <c r="G261" s="42" t="str">
        <f t="shared" si="4"/>
        <v>260</v>
      </c>
    </row>
    <row r="262" spans="2:7" s="38" customFormat="1" x14ac:dyDescent="0.2">
      <c r="B262" s="39" t="s">
        <v>7443</v>
      </c>
      <c r="C262" s="39" t="s">
        <v>1589</v>
      </c>
      <c r="D262" s="39" t="s">
        <v>1690</v>
      </c>
      <c r="E262" s="40">
        <v>313</v>
      </c>
      <c r="F262" s="41">
        <f>$E262*3600/(Input!$H$4*1000)</f>
        <v>37.56</v>
      </c>
      <c r="G262" s="42" t="str">
        <f t="shared" si="4"/>
        <v>261</v>
      </c>
    </row>
    <row r="263" spans="2:7" s="38" customFormat="1" x14ac:dyDescent="0.2">
      <c r="B263" s="39" t="s">
        <v>7444</v>
      </c>
      <c r="C263" s="39" t="s">
        <v>1589</v>
      </c>
      <c r="D263" s="39" t="s">
        <v>1707</v>
      </c>
      <c r="E263" s="40">
        <v>290</v>
      </c>
      <c r="F263" s="41">
        <f>$E263*3600/(Input!$H$4*1000)</f>
        <v>34.799999999999997</v>
      </c>
      <c r="G263" s="42" t="str">
        <f t="shared" si="4"/>
        <v>262</v>
      </c>
    </row>
    <row r="264" spans="2:7" s="38" customFormat="1" x14ac:dyDescent="0.2">
      <c r="B264" s="39" t="s">
        <v>7445</v>
      </c>
      <c r="C264" s="39" t="s">
        <v>1045</v>
      </c>
      <c r="D264" s="39" t="s">
        <v>451</v>
      </c>
      <c r="E264" s="40">
        <v>267</v>
      </c>
      <c r="F264" s="41">
        <f>$E264*3600/(Input!$H$4*1000)</f>
        <v>32.04</v>
      </c>
      <c r="G264" s="42" t="str">
        <f t="shared" si="4"/>
        <v>263</v>
      </c>
    </row>
    <row r="265" spans="2:7" s="38" customFormat="1" x14ac:dyDescent="0.2">
      <c r="B265" s="39" t="s">
        <v>7446</v>
      </c>
      <c r="C265" s="39" t="s">
        <v>451</v>
      </c>
      <c r="D265" s="39" t="s">
        <v>446</v>
      </c>
      <c r="E265" s="40">
        <v>292</v>
      </c>
      <c r="F265" s="41">
        <f>$E265*3600/(Input!$H$4*1000)</f>
        <v>35.04</v>
      </c>
      <c r="G265" s="42" t="str">
        <f t="shared" si="4"/>
        <v>264</v>
      </c>
    </row>
    <row r="266" spans="2:7" s="38" customFormat="1" x14ac:dyDescent="0.2">
      <c r="B266" s="39" t="s">
        <v>7447</v>
      </c>
      <c r="C266" s="39" t="s">
        <v>446</v>
      </c>
      <c r="D266" s="39" t="s">
        <v>1047</v>
      </c>
      <c r="E266" s="40">
        <v>329</v>
      </c>
      <c r="F266" s="41">
        <f>$E266*3600/(Input!$H$4*1000)</f>
        <v>39.479999999999997</v>
      </c>
      <c r="G266" s="42" t="str">
        <f t="shared" si="4"/>
        <v>265</v>
      </c>
    </row>
    <row r="267" spans="2:7" s="38" customFormat="1" x14ac:dyDescent="0.2">
      <c r="B267" s="39" t="s">
        <v>7448</v>
      </c>
      <c r="C267" s="39" t="s">
        <v>1047</v>
      </c>
      <c r="D267" s="39" t="s">
        <v>1041</v>
      </c>
      <c r="E267" s="40">
        <v>332</v>
      </c>
      <c r="F267" s="41">
        <f>$E267*3600/(Input!$H$4*1000)</f>
        <v>39.840000000000003</v>
      </c>
      <c r="G267" s="42" t="str">
        <f t="shared" si="4"/>
        <v>266</v>
      </c>
    </row>
    <row r="268" spans="2:7" s="38" customFormat="1" x14ac:dyDescent="0.2">
      <c r="B268" s="39" t="s">
        <v>7449</v>
      </c>
      <c r="C268" s="39" t="s">
        <v>441</v>
      </c>
      <c r="D268" s="39" t="s">
        <v>164</v>
      </c>
      <c r="E268" s="40">
        <v>260</v>
      </c>
      <c r="F268" s="41">
        <f>$E268*3600/(Input!$H$4*1000)</f>
        <v>31.2</v>
      </c>
      <c r="G268" s="42" t="str">
        <f t="shared" si="4"/>
        <v>267</v>
      </c>
    </row>
    <row r="269" spans="2:7" s="38" customFormat="1" x14ac:dyDescent="0.2">
      <c r="B269" s="39" t="s">
        <v>7450</v>
      </c>
      <c r="C269" s="39" t="s">
        <v>441</v>
      </c>
      <c r="D269" s="39" t="s">
        <v>438</v>
      </c>
      <c r="E269" s="40">
        <v>271</v>
      </c>
      <c r="F269" s="41">
        <f>$E269*3600/(Input!$H$4*1000)</f>
        <v>32.520000000000003</v>
      </c>
      <c r="G269" s="42" t="str">
        <f t="shared" si="4"/>
        <v>268</v>
      </c>
    </row>
    <row r="270" spans="2:7" s="38" customFormat="1" x14ac:dyDescent="0.2">
      <c r="B270" s="39" t="s">
        <v>7451</v>
      </c>
      <c r="C270" s="39" t="s">
        <v>438</v>
      </c>
      <c r="D270" s="39" t="s">
        <v>164</v>
      </c>
      <c r="E270" s="40">
        <v>292</v>
      </c>
      <c r="F270" s="41">
        <f>$E270*3600/(Input!$H$4*1000)</f>
        <v>35.04</v>
      </c>
      <c r="G270" s="42" t="str">
        <f t="shared" si="4"/>
        <v>269</v>
      </c>
    </row>
    <row r="271" spans="2:7" s="38" customFormat="1" x14ac:dyDescent="0.2">
      <c r="B271" s="39" t="s">
        <v>7452</v>
      </c>
      <c r="C271" s="39" t="s">
        <v>446</v>
      </c>
      <c r="D271" s="39" t="s">
        <v>1042</v>
      </c>
      <c r="E271" s="40">
        <v>534</v>
      </c>
      <c r="F271" s="41">
        <f>$E271*3600/(Input!$H$4*1000)</f>
        <v>64.08</v>
      </c>
      <c r="G271" s="42" t="str">
        <f t="shared" si="4"/>
        <v>270</v>
      </c>
    </row>
    <row r="272" spans="2:7" s="38" customFormat="1" x14ac:dyDescent="0.2">
      <c r="B272" s="39" t="s">
        <v>7453</v>
      </c>
      <c r="C272" s="39" t="s">
        <v>1133</v>
      </c>
      <c r="D272" s="39" t="s">
        <v>441</v>
      </c>
      <c r="E272" s="40">
        <v>473</v>
      </c>
      <c r="F272" s="41">
        <f>$E272*3600/(Input!$H$4*1000)</f>
        <v>56.76</v>
      </c>
      <c r="G272" s="42" t="str">
        <f t="shared" si="4"/>
        <v>271</v>
      </c>
    </row>
    <row r="273" spans="2:7" s="38" customFormat="1" x14ac:dyDescent="0.2">
      <c r="B273" s="39" t="s">
        <v>7454</v>
      </c>
      <c r="C273" s="39" t="s">
        <v>453</v>
      </c>
      <c r="D273" s="39" t="s">
        <v>452</v>
      </c>
      <c r="E273" s="40">
        <v>224</v>
      </c>
      <c r="F273" s="41">
        <f>$E273*3600/(Input!$H$4*1000)</f>
        <v>26.88</v>
      </c>
      <c r="G273" s="42" t="str">
        <f t="shared" si="4"/>
        <v>272</v>
      </c>
    </row>
    <row r="274" spans="2:7" s="38" customFormat="1" x14ac:dyDescent="0.2">
      <c r="B274" s="39" t="s">
        <v>7455</v>
      </c>
      <c r="C274" s="39" t="s">
        <v>453</v>
      </c>
      <c r="D274" s="39" t="s">
        <v>1697</v>
      </c>
      <c r="E274" s="40">
        <v>258</v>
      </c>
      <c r="F274" s="41">
        <f>$E274*3600/(Input!$H$4*1000)</f>
        <v>30.96</v>
      </c>
      <c r="G274" s="42" t="str">
        <f t="shared" si="4"/>
        <v>273</v>
      </c>
    </row>
    <row r="275" spans="2:7" s="38" customFormat="1" x14ac:dyDescent="0.2">
      <c r="B275" s="39" t="s">
        <v>7456</v>
      </c>
      <c r="C275" s="39" t="s">
        <v>453</v>
      </c>
      <c r="D275" s="39" t="s">
        <v>134</v>
      </c>
      <c r="E275" s="40">
        <v>220</v>
      </c>
      <c r="F275" s="41">
        <f>$E275*3600/(Input!$H$4*1000)</f>
        <v>26.4</v>
      </c>
      <c r="G275" s="42" t="str">
        <f t="shared" si="4"/>
        <v>274</v>
      </c>
    </row>
    <row r="276" spans="2:7" s="38" customFormat="1" x14ac:dyDescent="0.2">
      <c r="B276" s="39" t="s">
        <v>7457</v>
      </c>
      <c r="C276" s="39" t="s">
        <v>279</v>
      </c>
      <c r="D276" s="39" t="s">
        <v>134</v>
      </c>
      <c r="E276" s="40">
        <v>194</v>
      </c>
      <c r="F276" s="41">
        <f>$E276*3600/(Input!$H$4*1000)</f>
        <v>23.28</v>
      </c>
      <c r="G276" s="42" t="str">
        <f t="shared" si="4"/>
        <v>275</v>
      </c>
    </row>
    <row r="277" spans="2:7" s="38" customFormat="1" x14ac:dyDescent="0.2">
      <c r="B277" s="39" t="s">
        <v>7458</v>
      </c>
      <c r="C277" s="39" t="s">
        <v>1696</v>
      </c>
      <c r="D277" s="39" t="s">
        <v>279</v>
      </c>
      <c r="E277" s="40">
        <v>104</v>
      </c>
      <c r="F277" s="41">
        <f>$E277*3600/(Input!$H$4*1000)</f>
        <v>12.48</v>
      </c>
      <c r="G277" s="42" t="str">
        <f t="shared" si="4"/>
        <v>276</v>
      </c>
    </row>
    <row r="278" spans="2:7" s="38" customFormat="1" x14ac:dyDescent="0.2">
      <c r="B278" s="39" t="s">
        <v>7459</v>
      </c>
      <c r="C278" s="39" t="s">
        <v>279</v>
      </c>
      <c r="D278" s="39" t="s">
        <v>1693</v>
      </c>
      <c r="E278" s="40">
        <v>369</v>
      </c>
      <c r="F278" s="41">
        <f>$E278*3600/(Input!$H$4*1000)</f>
        <v>44.28</v>
      </c>
      <c r="G278" s="42" t="str">
        <f t="shared" si="4"/>
        <v>277</v>
      </c>
    </row>
    <row r="279" spans="2:7" s="38" customFormat="1" x14ac:dyDescent="0.2">
      <c r="B279" s="39" t="s">
        <v>7460</v>
      </c>
      <c r="C279" s="39" t="s">
        <v>1693</v>
      </c>
      <c r="D279" s="39" t="s">
        <v>1042</v>
      </c>
      <c r="E279" s="40">
        <v>208</v>
      </c>
      <c r="F279" s="41">
        <f>$E279*3600/(Input!$H$4*1000)</f>
        <v>24.96</v>
      </c>
      <c r="G279" s="42" t="str">
        <f t="shared" si="4"/>
        <v>278</v>
      </c>
    </row>
    <row r="280" spans="2:7" s="38" customFormat="1" x14ac:dyDescent="0.2">
      <c r="B280" s="39" t="s">
        <v>7461</v>
      </c>
      <c r="C280" s="39" t="s">
        <v>1696</v>
      </c>
      <c r="D280" s="39" t="s">
        <v>1689</v>
      </c>
      <c r="E280" s="40">
        <v>236</v>
      </c>
      <c r="F280" s="41">
        <f>$E280*3600/(Input!$H$4*1000)</f>
        <v>28.32</v>
      </c>
      <c r="G280" s="42" t="str">
        <f t="shared" si="4"/>
        <v>279</v>
      </c>
    </row>
    <row r="281" spans="2:7" s="38" customFormat="1" x14ac:dyDescent="0.2">
      <c r="B281" s="39" t="s">
        <v>7462</v>
      </c>
      <c r="C281" s="39" t="s">
        <v>1689</v>
      </c>
      <c r="D281" s="39" t="s">
        <v>439</v>
      </c>
      <c r="E281" s="40">
        <v>315</v>
      </c>
      <c r="F281" s="41">
        <f>$E281*3600/(Input!$H$4*1000)</f>
        <v>37.799999999999997</v>
      </c>
      <c r="G281" s="42" t="str">
        <f t="shared" si="4"/>
        <v>280</v>
      </c>
    </row>
    <row r="282" spans="2:7" s="38" customFormat="1" x14ac:dyDescent="0.2">
      <c r="B282" s="39" t="s">
        <v>7463</v>
      </c>
      <c r="C282" s="39" t="s">
        <v>1689</v>
      </c>
      <c r="D282" s="39" t="s">
        <v>1693</v>
      </c>
      <c r="E282" s="40">
        <v>383</v>
      </c>
      <c r="F282" s="41">
        <f>$E282*3600/(Input!$H$4*1000)</f>
        <v>45.96</v>
      </c>
      <c r="G282" s="42" t="str">
        <f t="shared" si="4"/>
        <v>281</v>
      </c>
    </row>
    <row r="283" spans="2:7" s="38" customFormat="1" x14ac:dyDescent="0.2">
      <c r="B283" s="39" t="s">
        <v>7464</v>
      </c>
      <c r="C283" s="39" t="s">
        <v>440</v>
      </c>
      <c r="D283" s="39" t="s">
        <v>1694</v>
      </c>
      <c r="E283" s="40">
        <v>533</v>
      </c>
      <c r="F283" s="41">
        <f>$E283*3600/(Input!$H$4*1000)</f>
        <v>63.96</v>
      </c>
      <c r="G283" s="42" t="str">
        <f t="shared" si="4"/>
        <v>282</v>
      </c>
    </row>
    <row r="284" spans="2:7" s="38" customFormat="1" x14ac:dyDescent="0.2">
      <c r="B284" s="39" t="s">
        <v>7465</v>
      </c>
      <c r="C284" s="39" t="s">
        <v>440</v>
      </c>
      <c r="D284" s="39" t="s">
        <v>439</v>
      </c>
      <c r="E284" s="40">
        <v>273</v>
      </c>
      <c r="F284" s="41">
        <f>$E284*3600/(Input!$H$4*1000)</f>
        <v>32.76</v>
      </c>
      <c r="G284" s="42" t="str">
        <f t="shared" si="4"/>
        <v>283</v>
      </c>
    </row>
    <row r="285" spans="2:7" s="38" customFormat="1" x14ac:dyDescent="0.2">
      <c r="B285" s="39" t="s">
        <v>7466</v>
      </c>
      <c r="C285" s="39" t="s">
        <v>439</v>
      </c>
      <c r="D285" s="39" t="s">
        <v>1046</v>
      </c>
      <c r="E285" s="40">
        <v>220</v>
      </c>
      <c r="F285" s="41">
        <f>$E285*3600/(Input!$H$4*1000)</f>
        <v>26.4</v>
      </c>
      <c r="G285" s="42" t="str">
        <f t="shared" si="4"/>
        <v>284</v>
      </c>
    </row>
    <row r="286" spans="2:7" s="38" customFormat="1" x14ac:dyDescent="0.2">
      <c r="B286" s="39" t="s">
        <v>7467</v>
      </c>
      <c r="C286" s="39" t="s">
        <v>439</v>
      </c>
      <c r="D286" s="39" t="s">
        <v>445</v>
      </c>
      <c r="E286" s="40">
        <v>273</v>
      </c>
      <c r="F286" s="41">
        <f>$E286*3600/(Input!$H$4*1000)</f>
        <v>32.76</v>
      </c>
      <c r="G286" s="42" t="str">
        <f t="shared" si="4"/>
        <v>285</v>
      </c>
    </row>
    <row r="287" spans="2:7" s="38" customFormat="1" x14ac:dyDescent="0.2">
      <c r="B287" s="39" t="s">
        <v>7468</v>
      </c>
      <c r="C287" s="39" t="s">
        <v>439</v>
      </c>
      <c r="D287" s="39" t="s">
        <v>1700</v>
      </c>
      <c r="E287" s="40">
        <v>328</v>
      </c>
      <c r="F287" s="41">
        <f>$E287*3600/(Input!$H$4*1000)</f>
        <v>39.36</v>
      </c>
      <c r="G287" s="42" t="str">
        <f t="shared" si="4"/>
        <v>286</v>
      </c>
    </row>
    <row r="288" spans="2:7" s="38" customFormat="1" x14ac:dyDescent="0.2">
      <c r="B288" s="39" t="s">
        <v>7469</v>
      </c>
      <c r="C288" s="39" t="s">
        <v>1046</v>
      </c>
      <c r="D288" s="39" t="s">
        <v>1700</v>
      </c>
      <c r="E288" s="40">
        <v>299</v>
      </c>
      <c r="F288" s="41">
        <f>$E288*3600/(Input!$H$4*1000)</f>
        <v>35.880000000000003</v>
      </c>
      <c r="G288" s="42" t="str">
        <f t="shared" si="4"/>
        <v>287</v>
      </c>
    </row>
    <row r="289" spans="2:7" s="38" customFormat="1" x14ac:dyDescent="0.2">
      <c r="B289" s="39" t="s">
        <v>7470</v>
      </c>
      <c r="C289" s="39" t="s">
        <v>1694</v>
      </c>
      <c r="D289" s="39" t="s">
        <v>447</v>
      </c>
      <c r="E289" s="40">
        <v>280</v>
      </c>
      <c r="F289" s="41">
        <f>$E289*3600/(Input!$H$4*1000)</f>
        <v>33.6</v>
      </c>
      <c r="G289" s="42" t="str">
        <f t="shared" si="4"/>
        <v>288</v>
      </c>
    </row>
    <row r="290" spans="2:7" s="38" customFormat="1" x14ac:dyDescent="0.2">
      <c r="B290" s="39" t="s">
        <v>7471</v>
      </c>
      <c r="C290" s="39" t="s">
        <v>439</v>
      </c>
      <c r="D290" s="39" t="s">
        <v>1701</v>
      </c>
      <c r="E290" s="40">
        <v>586</v>
      </c>
      <c r="F290" s="41">
        <f>$E290*3600/(Input!$H$4*1000)</f>
        <v>70.319999999999993</v>
      </c>
      <c r="G290" s="42" t="str">
        <f t="shared" si="4"/>
        <v>289</v>
      </c>
    </row>
    <row r="291" spans="2:7" s="38" customFormat="1" x14ac:dyDescent="0.2">
      <c r="B291" s="39" t="s">
        <v>7472</v>
      </c>
      <c r="C291" s="39" t="s">
        <v>1701</v>
      </c>
      <c r="D291" s="39" t="s">
        <v>1152</v>
      </c>
      <c r="E291" s="40">
        <v>499</v>
      </c>
      <c r="F291" s="41">
        <f>$E291*3600/(Input!$H$4*1000)</f>
        <v>59.88</v>
      </c>
      <c r="G291" s="42" t="str">
        <f t="shared" si="4"/>
        <v>290</v>
      </c>
    </row>
    <row r="292" spans="2:7" s="38" customFormat="1" x14ac:dyDescent="0.2">
      <c r="B292" s="39" t="s">
        <v>7473</v>
      </c>
      <c r="C292" s="39" t="s">
        <v>1152</v>
      </c>
      <c r="D292" s="39" t="s">
        <v>539</v>
      </c>
      <c r="E292" s="40">
        <v>424</v>
      </c>
      <c r="F292" s="41">
        <f>$E292*3600/(Input!$H$4*1000)</f>
        <v>50.88</v>
      </c>
      <c r="G292" s="42" t="str">
        <f t="shared" si="4"/>
        <v>291</v>
      </c>
    </row>
    <row r="293" spans="2:7" s="38" customFormat="1" x14ac:dyDescent="0.2">
      <c r="B293" s="39" t="s">
        <v>7474</v>
      </c>
      <c r="C293" s="39" t="s">
        <v>21</v>
      </c>
      <c r="D293" s="39" t="s">
        <v>553</v>
      </c>
      <c r="E293" s="40">
        <v>398</v>
      </c>
      <c r="F293" s="41">
        <f>$E293*3600/(Input!$H$4*1000)</f>
        <v>47.76</v>
      </c>
      <c r="G293" s="42" t="str">
        <f t="shared" si="4"/>
        <v>292</v>
      </c>
    </row>
    <row r="294" spans="2:7" s="38" customFormat="1" x14ac:dyDescent="0.2">
      <c r="B294" s="39" t="s">
        <v>7475</v>
      </c>
      <c r="C294" s="39" t="s">
        <v>539</v>
      </c>
      <c r="D294" s="39" t="s">
        <v>553</v>
      </c>
      <c r="E294" s="40">
        <v>592</v>
      </c>
      <c r="F294" s="41">
        <f>$E294*3600/(Input!$H$4*1000)</f>
        <v>71.040000000000006</v>
      </c>
      <c r="G294" s="42" t="str">
        <f t="shared" si="4"/>
        <v>293</v>
      </c>
    </row>
    <row r="295" spans="2:7" s="38" customFormat="1" x14ac:dyDescent="0.2">
      <c r="B295" s="39" t="s">
        <v>7476</v>
      </c>
      <c r="C295" s="39" t="s">
        <v>549</v>
      </c>
      <c r="D295" s="39" t="s">
        <v>553</v>
      </c>
      <c r="E295" s="40">
        <v>264</v>
      </c>
      <c r="F295" s="41">
        <f>$E295*3600/(Input!$H$4*1000)</f>
        <v>31.68</v>
      </c>
      <c r="G295" s="42" t="str">
        <f t="shared" si="4"/>
        <v>294</v>
      </c>
    </row>
    <row r="296" spans="2:7" s="38" customFormat="1" x14ac:dyDescent="0.2">
      <c r="B296" s="39" t="s">
        <v>7477</v>
      </c>
      <c r="C296" s="39" t="s">
        <v>1143</v>
      </c>
      <c r="D296" s="39" t="s">
        <v>553</v>
      </c>
      <c r="E296" s="40">
        <v>882</v>
      </c>
      <c r="F296" s="41">
        <f>$E296*3600/(Input!$H$4*1000)</f>
        <v>105.84</v>
      </c>
      <c r="G296" s="42" t="str">
        <f t="shared" si="4"/>
        <v>295</v>
      </c>
    </row>
    <row r="297" spans="2:7" s="38" customFormat="1" x14ac:dyDescent="0.2">
      <c r="B297" s="39" t="s">
        <v>7478</v>
      </c>
      <c r="C297" s="39" t="s">
        <v>548</v>
      </c>
      <c r="D297" s="39" t="s">
        <v>18</v>
      </c>
      <c r="E297" s="40">
        <v>840</v>
      </c>
      <c r="F297" s="41">
        <f>$E297*3600/(Input!$H$4*1000)</f>
        <v>100.8</v>
      </c>
      <c r="G297" s="42" t="str">
        <f t="shared" si="4"/>
        <v>296</v>
      </c>
    </row>
    <row r="298" spans="2:7" s="38" customFormat="1" x14ac:dyDescent="0.2">
      <c r="B298" s="39" t="s">
        <v>7479</v>
      </c>
      <c r="C298" s="39" t="s">
        <v>548</v>
      </c>
      <c r="D298" s="39" t="s">
        <v>1590</v>
      </c>
      <c r="E298" s="40">
        <v>1250</v>
      </c>
      <c r="F298" s="41">
        <f>$E298*3600/(Input!$H$4*1000)</f>
        <v>150</v>
      </c>
      <c r="G298" s="42" t="str">
        <f t="shared" si="4"/>
        <v>297</v>
      </c>
    </row>
    <row r="299" spans="2:7" s="38" customFormat="1" x14ac:dyDescent="0.2">
      <c r="B299" s="39" t="s">
        <v>7480</v>
      </c>
      <c r="C299" s="39" t="s">
        <v>553</v>
      </c>
      <c r="D299" s="39" t="s">
        <v>1590</v>
      </c>
      <c r="E299" s="40">
        <v>848</v>
      </c>
      <c r="F299" s="41">
        <f>$E299*3600/(Input!$H$4*1000)</f>
        <v>101.76</v>
      </c>
      <c r="G299" s="42" t="str">
        <f t="shared" si="4"/>
        <v>298</v>
      </c>
    </row>
    <row r="300" spans="2:7" s="38" customFormat="1" x14ac:dyDescent="0.2">
      <c r="B300" s="39" t="s">
        <v>7481</v>
      </c>
      <c r="C300" s="39" t="s">
        <v>538</v>
      </c>
      <c r="D300" s="39" t="s">
        <v>1049</v>
      </c>
      <c r="E300" s="40">
        <v>608</v>
      </c>
      <c r="F300" s="41">
        <f>$E300*3600/(Input!$H$4*1000)</f>
        <v>72.959999999999994</v>
      </c>
      <c r="G300" s="42" t="str">
        <f t="shared" si="4"/>
        <v>299</v>
      </c>
    </row>
    <row r="301" spans="2:7" s="38" customFormat="1" x14ac:dyDescent="0.2">
      <c r="B301" s="39" t="s">
        <v>7482</v>
      </c>
      <c r="C301" s="39" t="s">
        <v>1049</v>
      </c>
      <c r="D301" s="39" t="s">
        <v>1705</v>
      </c>
      <c r="E301" s="40">
        <v>317</v>
      </c>
      <c r="F301" s="41">
        <f>$E301*3600/(Input!$H$4*1000)</f>
        <v>38.04</v>
      </c>
      <c r="G301" s="42" t="str">
        <f t="shared" si="4"/>
        <v>300</v>
      </c>
    </row>
    <row r="302" spans="2:7" s="38" customFormat="1" x14ac:dyDescent="0.2">
      <c r="B302" s="39" t="s">
        <v>7483</v>
      </c>
      <c r="C302" s="39" t="s">
        <v>1049</v>
      </c>
      <c r="D302" s="39" t="s">
        <v>1701</v>
      </c>
      <c r="E302" s="40">
        <v>214</v>
      </c>
      <c r="F302" s="41">
        <f>$E302*3600/(Input!$H$4*1000)</f>
        <v>25.68</v>
      </c>
      <c r="G302" s="42" t="str">
        <f t="shared" si="4"/>
        <v>301</v>
      </c>
    </row>
    <row r="303" spans="2:7" s="38" customFormat="1" x14ac:dyDescent="0.2">
      <c r="B303" s="39" t="s">
        <v>7484</v>
      </c>
      <c r="C303" s="39" t="s">
        <v>1049</v>
      </c>
      <c r="D303" s="39" t="s">
        <v>1700</v>
      </c>
      <c r="E303" s="40">
        <v>349</v>
      </c>
      <c r="F303" s="41">
        <f>$E303*3600/(Input!$H$4*1000)</f>
        <v>41.88</v>
      </c>
      <c r="G303" s="42" t="str">
        <f t="shared" si="4"/>
        <v>302</v>
      </c>
    </row>
    <row r="304" spans="2:7" s="38" customFormat="1" x14ac:dyDescent="0.2">
      <c r="B304" s="39" t="s">
        <v>7485</v>
      </c>
      <c r="C304" s="39" t="s">
        <v>96</v>
      </c>
      <c r="D304" s="39" t="s">
        <v>1145</v>
      </c>
      <c r="E304" s="40">
        <v>238</v>
      </c>
      <c r="F304" s="41">
        <f>$E304*3600/(Input!$H$4*1000)</f>
        <v>28.56</v>
      </c>
      <c r="G304" s="42" t="str">
        <f t="shared" si="4"/>
        <v>303</v>
      </c>
    </row>
    <row r="305" spans="2:7" s="38" customFormat="1" x14ac:dyDescent="0.2">
      <c r="B305" s="39" t="s">
        <v>7486</v>
      </c>
      <c r="C305" s="39" t="s">
        <v>1790</v>
      </c>
      <c r="D305" s="39" t="s">
        <v>1145</v>
      </c>
      <c r="E305" s="40">
        <v>293</v>
      </c>
      <c r="F305" s="41">
        <f>$E305*3600/(Input!$H$4*1000)</f>
        <v>35.159999999999997</v>
      </c>
      <c r="G305" s="42" t="str">
        <f t="shared" si="4"/>
        <v>304</v>
      </c>
    </row>
    <row r="306" spans="2:7" s="38" customFormat="1" x14ac:dyDescent="0.2">
      <c r="B306" s="39" t="s">
        <v>7487</v>
      </c>
      <c r="C306" s="39" t="s">
        <v>541</v>
      </c>
      <c r="D306" s="39" t="s">
        <v>1145</v>
      </c>
      <c r="E306" s="40">
        <v>424</v>
      </c>
      <c r="F306" s="41">
        <f>$E306*3600/(Input!$H$4*1000)</f>
        <v>50.88</v>
      </c>
      <c r="G306" s="42" t="str">
        <f t="shared" si="4"/>
        <v>305</v>
      </c>
    </row>
    <row r="307" spans="2:7" s="38" customFormat="1" x14ac:dyDescent="0.2">
      <c r="B307" s="39" t="s">
        <v>7488</v>
      </c>
      <c r="C307" s="39" t="s">
        <v>541</v>
      </c>
      <c r="D307" s="39" t="s">
        <v>1051</v>
      </c>
      <c r="E307" s="40">
        <v>370</v>
      </c>
      <c r="F307" s="41">
        <f>$E307*3600/(Input!$H$4*1000)</f>
        <v>44.4</v>
      </c>
      <c r="G307" s="42" t="str">
        <f t="shared" si="4"/>
        <v>306</v>
      </c>
    </row>
    <row r="308" spans="2:7" s="38" customFormat="1" x14ac:dyDescent="0.2">
      <c r="B308" s="39" t="s">
        <v>7489</v>
      </c>
      <c r="C308" s="39" t="s">
        <v>541</v>
      </c>
      <c r="D308" s="39" t="s">
        <v>551</v>
      </c>
      <c r="E308" s="40">
        <v>291</v>
      </c>
      <c r="F308" s="41">
        <f>$E308*3600/(Input!$H$4*1000)</f>
        <v>34.92</v>
      </c>
      <c r="G308" s="42" t="str">
        <f t="shared" si="4"/>
        <v>307</v>
      </c>
    </row>
    <row r="309" spans="2:7" s="38" customFormat="1" x14ac:dyDescent="0.2">
      <c r="B309" s="39" t="s">
        <v>7490</v>
      </c>
      <c r="C309" s="39" t="s">
        <v>1705</v>
      </c>
      <c r="D309" s="39" t="s">
        <v>541</v>
      </c>
      <c r="E309" s="40">
        <v>238</v>
      </c>
      <c r="F309" s="41">
        <f>$E309*3600/(Input!$H$4*1000)</f>
        <v>28.56</v>
      </c>
      <c r="G309" s="42" t="str">
        <f t="shared" si="4"/>
        <v>308</v>
      </c>
    </row>
    <row r="310" spans="2:7" s="38" customFormat="1" x14ac:dyDescent="0.2">
      <c r="B310" s="39" t="s">
        <v>7491</v>
      </c>
      <c r="C310" s="39" t="s">
        <v>1591</v>
      </c>
      <c r="D310" s="39" t="s">
        <v>1637</v>
      </c>
      <c r="E310" s="40">
        <v>1340</v>
      </c>
      <c r="F310" s="41">
        <f>$E310*3600/(Input!$H$4*1000)</f>
        <v>160.80000000000001</v>
      </c>
      <c r="G310" s="42" t="str">
        <f t="shared" si="4"/>
        <v>309</v>
      </c>
    </row>
    <row r="311" spans="2:7" s="38" customFormat="1" x14ac:dyDescent="0.2">
      <c r="B311" s="39" t="s">
        <v>7492</v>
      </c>
      <c r="C311" s="39" t="s">
        <v>22</v>
      </c>
      <c r="D311" s="39" t="s">
        <v>1591</v>
      </c>
      <c r="E311" s="40">
        <v>741</v>
      </c>
      <c r="F311" s="41">
        <f>$E311*3600/(Input!$H$4*1000)</f>
        <v>88.92</v>
      </c>
      <c r="G311" s="42" t="str">
        <f t="shared" si="4"/>
        <v>310</v>
      </c>
    </row>
    <row r="312" spans="2:7" s="38" customFormat="1" x14ac:dyDescent="0.2">
      <c r="B312" s="39" t="s">
        <v>7493</v>
      </c>
      <c r="C312" s="39" t="s">
        <v>22</v>
      </c>
      <c r="D312" s="39" t="s">
        <v>774</v>
      </c>
      <c r="E312" s="40">
        <v>428</v>
      </c>
      <c r="F312" s="41">
        <f>$E312*3600/(Input!$H$4*1000)</f>
        <v>51.36</v>
      </c>
      <c r="G312" s="42" t="str">
        <f t="shared" si="4"/>
        <v>311</v>
      </c>
    </row>
    <row r="313" spans="2:7" s="38" customFormat="1" x14ac:dyDescent="0.2">
      <c r="B313" s="39" t="s">
        <v>7494</v>
      </c>
      <c r="C313" s="39" t="s">
        <v>774</v>
      </c>
      <c r="D313" s="39" t="s">
        <v>200</v>
      </c>
      <c r="E313" s="40">
        <v>324</v>
      </c>
      <c r="F313" s="41">
        <f>$E313*3600/(Input!$H$4*1000)</f>
        <v>38.880000000000003</v>
      </c>
      <c r="G313" s="42" t="str">
        <f t="shared" si="4"/>
        <v>312</v>
      </c>
    </row>
    <row r="314" spans="2:7" s="38" customFormat="1" x14ac:dyDescent="0.2">
      <c r="B314" s="39" t="s">
        <v>7495</v>
      </c>
      <c r="C314" s="39" t="s">
        <v>760</v>
      </c>
      <c r="D314" s="39" t="s">
        <v>241</v>
      </c>
      <c r="E314" s="40">
        <v>293</v>
      </c>
      <c r="F314" s="41">
        <f>$E314*3600/(Input!$H$4*1000)</f>
        <v>35.159999999999997</v>
      </c>
      <c r="G314" s="42" t="str">
        <f t="shared" si="4"/>
        <v>313</v>
      </c>
    </row>
    <row r="315" spans="2:7" s="38" customFormat="1" x14ac:dyDescent="0.2">
      <c r="B315" s="39" t="s">
        <v>7496</v>
      </c>
      <c r="C315" s="39" t="s">
        <v>774</v>
      </c>
      <c r="D315" s="39" t="s">
        <v>240</v>
      </c>
      <c r="E315" s="40">
        <v>277</v>
      </c>
      <c r="F315" s="41">
        <f>$E315*3600/(Input!$H$4*1000)</f>
        <v>33.24</v>
      </c>
      <c r="G315" s="42" t="str">
        <f t="shared" si="4"/>
        <v>314</v>
      </c>
    </row>
    <row r="316" spans="2:7" s="38" customFormat="1" x14ac:dyDescent="0.2">
      <c r="B316" s="39" t="s">
        <v>7497</v>
      </c>
      <c r="C316" s="39" t="s">
        <v>774</v>
      </c>
      <c r="D316" s="39" t="s">
        <v>378</v>
      </c>
      <c r="E316" s="40">
        <v>517</v>
      </c>
      <c r="F316" s="41">
        <f>$E316*3600/(Input!$H$4*1000)</f>
        <v>62.04</v>
      </c>
      <c r="G316" s="42" t="str">
        <f t="shared" si="4"/>
        <v>315</v>
      </c>
    </row>
    <row r="317" spans="2:7" s="38" customFormat="1" x14ac:dyDescent="0.2">
      <c r="B317" s="39" t="s">
        <v>7498</v>
      </c>
      <c r="C317" s="39" t="s">
        <v>965</v>
      </c>
      <c r="D317" s="39" t="s">
        <v>760</v>
      </c>
      <c r="E317" s="40">
        <v>423</v>
      </c>
      <c r="F317" s="41">
        <f>$E317*3600/(Input!$H$4*1000)</f>
        <v>50.76</v>
      </c>
      <c r="G317" s="42" t="str">
        <f t="shared" si="4"/>
        <v>316</v>
      </c>
    </row>
    <row r="318" spans="2:7" s="38" customFormat="1" x14ac:dyDescent="0.2">
      <c r="B318" s="39" t="s">
        <v>7499</v>
      </c>
      <c r="C318" s="39" t="s">
        <v>392</v>
      </c>
      <c r="D318" s="39" t="s">
        <v>124</v>
      </c>
      <c r="E318" s="40">
        <v>144</v>
      </c>
      <c r="F318" s="41">
        <f>$E318*3600/(Input!$H$4*1000)</f>
        <v>17.28</v>
      </c>
      <c r="G318" s="42" t="str">
        <f t="shared" si="4"/>
        <v>317</v>
      </c>
    </row>
    <row r="319" spans="2:7" s="38" customFormat="1" x14ac:dyDescent="0.2">
      <c r="B319" s="39" t="s">
        <v>7500</v>
      </c>
      <c r="C319" s="39" t="s">
        <v>392</v>
      </c>
      <c r="D319" s="39" t="s">
        <v>760</v>
      </c>
      <c r="E319" s="40">
        <v>635</v>
      </c>
      <c r="F319" s="41">
        <f>$E319*3600/(Input!$H$4*1000)</f>
        <v>76.2</v>
      </c>
      <c r="G319" s="42" t="str">
        <f t="shared" si="4"/>
        <v>318</v>
      </c>
    </row>
    <row r="320" spans="2:7" s="38" customFormat="1" x14ac:dyDescent="0.2">
      <c r="B320" s="39" t="s">
        <v>7501</v>
      </c>
      <c r="C320" s="39" t="s">
        <v>999</v>
      </c>
      <c r="D320" s="39" t="s">
        <v>958</v>
      </c>
      <c r="E320" s="40">
        <v>623</v>
      </c>
      <c r="F320" s="41">
        <f>$E320*3600/(Input!$H$4*1000)</f>
        <v>74.760000000000005</v>
      </c>
      <c r="G320" s="42" t="str">
        <f t="shared" si="4"/>
        <v>319</v>
      </c>
    </row>
    <row r="321" spans="2:7" s="38" customFormat="1" x14ac:dyDescent="0.2">
      <c r="B321" s="39" t="s">
        <v>7502</v>
      </c>
      <c r="C321" s="39" t="s">
        <v>109</v>
      </c>
      <c r="D321" s="39" t="s">
        <v>958</v>
      </c>
      <c r="E321" s="40">
        <v>53</v>
      </c>
      <c r="F321" s="41">
        <f>$E321*3600/(Input!$H$4*1000)</f>
        <v>6.36</v>
      </c>
      <c r="G321" s="42" t="str">
        <f t="shared" si="4"/>
        <v>320</v>
      </c>
    </row>
    <row r="322" spans="2:7" s="38" customFormat="1" x14ac:dyDescent="0.2">
      <c r="B322" s="39" t="s">
        <v>7503</v>
      </c>
      <c r="C322" s="39" t="s">
        <v>200</v>
      </c>
      <c r="D322" s="39" t="s">
        <v>958</v>
      </c>
      <c r="E322" s="40">
        <v>378</v>
      </c>
      <c r="F322" s="41">
        <f>$E322*3600/(Input!$H$4*1000)</f>
        <v>45.36</v>
      </c>
      <c r="G322" s="42" t="str">
        <f t="shared" ref="G322:G385" si="5">MID(B322,7,LEN(B322)-6)</f>
        <v>321</v>
      </c>
    </row>
    <row r="323" spans="2:7" s="38" customFormat="1" x14ac:dyDescent="0.2">
      <c r="B323" s="39" t="s">
        <v>7504</v>
      </c>
      <c r="C323" s="39" t="s">
        <v>109</v>
      </c>
      <c r="D323" s="39" t="s">
        <v>1646</v>
      </c>
      <c r="E323" s="40">
        <v>213</v>
      </c>
      <c r="F323" s="41">
        <f>$E323*3600/(Input!$H$4*1000)</f>
        <v>25.56</v>
      </c>
      <c r="G323" s="42" t="str">
        <f t="shared" si="5"/>
        <v>322</v>
      </c>
    </row>
    <row r="324" spans="2:7" s="38" customFormat="1" x14ac:dyDescent="0.2">
      <c r="B324" s="39" t="s">
        <v>7505</v>
      </c>
      <c r="C324" s="39" t="s">
        <v>1646</v>
      </c>
      <c r="D324" s="39" t="s">
        <v>406</v>
      </c>
      <c r="E324" s="40">
        <v>258</v>
      </c>
      <c r="F324" s="41">
        <f>$E324*3600/(Input!$H$4*1000)</f>
        <v>30.96</v>
      </c>
      <c r="G324" s="42" t="str">
        <f t="shared" si="5"/>
        <v>323</v>
      </c>
    </row>
    <row r="325" spans="2:7" s="38" customFormat="1" x14ac:dyDescent="0.2">
      <c r="B325" s="39" t="s">
        <v>7506</v>
      </c>
      <c r="C325" s="39" t="s">
        <v>406</v>
      </c>
      <c r="D325" s="39" t="s">
        <v>235</v>
      </c>
      <c r="E325" s="40">
        <v>296</v>
      </c>
      <c r="F325" s="41">
        <f>$E325*3600/(Input!$H$4*1000)</f>
        <v>35.520000000000003</v>
      </c>
      <c r="G325" s="42" t="str">
        <f t="shared" si="5"/>
        <v>324</v>
      </c>
    </row>
    <row r="326" spans="2:7" s="38" customFormat="1" x14ac:dyDescent="0.2">
      <c r="B326" s="39" t="s">
        <v>7507</v>
      </c>
      <c r="C326" s="39" t="s">
        <v>255</v>
      </c>
      <c r="D326" s="39" t="s">
        <v>378</v>
      </c>
      <c r="E326" s="40">
        <v>948</v>
      </c>
      <c r="F326" s="41">
        <f>$E326*3600/(Input!$H$4*1000)</f>
        <v>113.76</v>
      </c>
      <c r="G326" s="42" t="str">
        <f t="shared" si="5"/>
        <v>325</v>
      </c>
    </row>
    <row r="327" spans="2:7" s="38" customFormat="1" x14ac:dyDescent="0.2">
      <c r="B327" s="39" t="s">
        <v>7508</v>
      </c>
      <c r="C327" s="39" t="s">
        <v>378</v>
      </c>
      <c r="D327" s="39" t="s">
        <v>202</v>
      </c>
      <c r="E327" s="40">
        <v>381</v>
      </c>
      <c r="F327" s="41">
        <f>$E327*3600/(Input!$H$4*1000)</f>
        <v>45.72</v>
      </c>
      <c r="G327" s="42" t="str">
        <f t="shared" si="5"/>
        <v>326</v>
      </c>
    </row>
    <row r="328" spans="2:7" s="38" customFormat="1" x14ac:dyDescent="0.2">
      <c r="B328" s="39" t="s">
        <v>7509</v>
      </c>
      <c r="C328" s="39" t="s">
        <v>1706</v>
      </c>
      <c r="D328" s="39" t="s">
        <v>1050</v>
      </c>
      <c r="E328" s="40">
        <v>356</v>
      </c>
      <c r="F328" s="41">
        <f>$E328*3600/(Input!$H$4*1000)</f>
        <v>42.72</v>
      </c>
      <c r="G328" s="42" t="str">
        <f t="shared" si="5"/>
        <v>327</v>
      </c>
    </row>
    <row r="329" spans="2:7" s="38" customFormat="1" x14ac:dyDescent="0.2">
      <c r="B329" s="39" t="s">
        <v>7510</v>
      </c>
      <c r="C329" s="39" t="s">
        <v>1052</v>
      </c>
      <c r="D329" s="39" t="s">
        <v>1051</v>
      </c>
      <c r="E329" s="40">
        <v>1006</v>
      </c>
      <c r="F329" s="41">
        <f>$E329*3600/(Input!$H$4*1000)</f>
        <v>120.72</v>
      </c>
      <c r="G329" s="42" t="str">
        <f t="shared" si="5"/>
        <v>328</v>
      </c>
    </row>
    <row r="330" spans="2:7" s="38" customFormat="1" x14ac:dyDescent="0.2">
      <c r="B330" s="39" t="s">
        <v>7511</v>
      </c>
      <c r="C330" s="39" t="s">
        <v>1050</v>
      </c>
      <c r="D330" s="39" t="s">
        <v>1700</v>
      </c>
      <c r="E330" s="40">
        <v>324</v>
      </c>
      <c r="F330" s="41">
        <f>$E330*3600/(Input!$H$4*1000)</f>
        <v>38.880000000000003</v>
      </c>
      <c r="G330" s="42" t="str">
        <f t="shared" si="5"/>
        <v>329</v>
      </c>
    </row>
    <row r="331" spans="2:7" s="38" customFormat="1" x14ac:dyDescent="0.2">
      <c r="B331" s="39" t="s">
        <v>7512</v>
      </c>
      <c r="C331" s="39" t="s">
        <v>1046</v>
      </c>
      <c r="D331" s="39" t="s">
        <v>450</v>
      </c>
      <c r="E331" s="40">
        <v>234</v>
      </c>
      <c r="F331" s="41">
        <f>$E331*3600/(Input!$H$4*1000)</f>
        <v>28.08</v>
      </c>
      <c r="G331" s="42" t="str">
        <f t="shared" si="5"/>
        <v>330</v>
      </c>
    </row>
    <row r="332" spans="2:7" s="38" customFormat="1" x14ac:dyDescent="0.2">
      <c r="B332" s="39" t="s">
        <v>7513</v>
      </c>
      <c r="C332" s="39" t="s">
        <v>1046</v>
      </c>
      <c r="D332" s="39" t="s">
        <v>1689</v>
      </c>
      <c r="E332" s="40">
        <v>411</v>
      </c>
      <c r="F332" s="41">
        <f>$E332*3600/(Input!$H$4*1000)</f>
        <v>49.32</v>
      </c>
      <c r="G332" s="42" t="str">
        <f t="shared" si="5"/>
        <v>331</v>
      </c>
    </row>
    <row r="333" spans="2:7" s="38" customFormat="1" x14ac:dyDescent="0.2">
      <c r="B333" s="39" t="s">
        <v>7514</v>
      </c>
      <c r="C333" s="39" t="s">
        <v>13</v>
      </c>
      <c r="D333" s="39" t="s">
        <v>1697</v>
      </c>
      <c r="E333" s="40">
        <v>402</v>
      </c>
      <c r="F333" s="41">
        <f>$E333*3600/(Input!$H$4*1000)</f>
        <v>48.24</v>
      </c>
      <c r="G333" s="42" t="str">
        <f t="shared" si="5"/>
        <v>332</v>
      </c>
    </row>
    <row r="334" spans="2:7" s="38" customFormat="1" x14ac:dyDescent="0.2">
      <c r="B334" s="39" t="s">
        <v>7515</v>
      </c>
      <c r="C334" s="39" t="s">
        <v>1702</v>
      </c>
      <c r="D334" s="39" t="s">
        <v>537</v>
      </c>
      <c r="E334" s="40">
        <v>452</v>
      </c>
      <c r="F334" s="41">
        <f>$E334*3600/(Input!$H$4*1000)</f>
        <v>54.24</v>
      </c>
      <c r="G334" s="42" t="str">
        <f t="shared" si="5"/>
        <v>333</v>
      </c>
    </row>
    <row r="335" spans="2:7" s="38" customFormat="1" x14ac:dyDescent="0.2">
      <c r="B335" s="39" t="s">
        <v>7516</v>
      </c>
      <c r="C335" s="39" t="s">
        <v>1702</v>
      </c>
      <c r="D335" s="39" t="s">
        <v>1046</v>
      </c>
      <c r="E335" s="40">
        <v>366</v>
      </c>
      <c r="F335" s="41">
        <f>$E335*3600/(Input!$H$4*1000)</f>
        <v>43.92</v>
      </c>
      <c r="G335" s="42" t="str">
        <f t="shared" si="5"/>
        <v>334</v>
      </c>
    </row>
    <row r="336" spans="2:7" s="38" customFormat="1" x14ac:dyDescent="0.2">
      <c r="B336" s="39" t="s">
        <v>7517</v>
      </c>
      <c r="C336" s="39" t="s">
        <v>450</v>
      </c>
      <c r="D336" s="39" t="s">
        <v>537</v>
      </c>
      <c r="E336" s="40">
        <v>311</v>
      </c>
      <c r="F336" s="41">
        <f>$E336*3600/(Input!$H$4*1000)</f>
        <v>37.32</v>
      </c>
      <c r="G336" s="42" t="str">
        <f t="shared" si="5"/>
        <v>335</v>
      </c>
    </row>
    <row r="337" spans="2:7" s="38" customFormat="1" x14ac:dyDescent="0.2">
      <c r="B337" s="39" t="s">
        <v>7518</v>
      </c>
      <c r="C337" s="39" t="s">
        <v>540</v>
      </c>
      <c r="D337" s="39" t="s">
        <v>542</v>
      </c>
      <c r="E337" s="40">
        <v>284</v>
      </c>
      <c r="F337" s="41">
        <f>$E337*3600/(Input!$H$4*1000)</f>
        <v>34.08</v>
      </c>
      <c r="G337" s="42" t="str">
        <f t="shared" si="5"/>
        <v>336</v>
      </c>
    </row>
    <row r="338" spans="2:7" s="38" customFormat="1" x14ac:dyDescent="0.2">
      <c r="B338" s="39" t="s">
        <v>7519</v>
      </c>
      <c r="C338" s="39" t="s">
        <v>540</v>
      </c>
      <c r="D338" s="39" t="s">
        <v>1128</v>
      </c>
      <c r="E338" s="40">
        <v>188</v>
      </c>
      <c r="F338" s="41">
        <f>$E338*3600/(Input!$H$4*1000)</f>
        <v>22.56</v>
      </c>
      <c r="G338" s="42" t="str">
        <f t="shared" si="5"/>
        <v>337</v>
      </c>
    </row>
    <row r="339" spans="2:7" s="38" customFormat="1" x14ac:dyDescent="0.2">
      <c r="B339" s="39" t="s">
        <v>7520</v>
      </c>
      <c r="C339" s="39" t="s">
        <v>540</v>
      </c>
      <c r="D339" s="39" t="s">
        <v>1671</v>
      </c>
      <c r="E339" s="40">
        <v>381</v>
      </c>
      <c r="F339" s="41">
        <f>$E339*3600/(Input!$H$4*1000)</f>
        <v>45.72</v>
      </c>
      <c r="G339" s="42" t="str">
        <f t="shared" si="5"/>
        <v>338</v>
      </c>
    </row>
    <row r="340" spans="2:7" s="38" customFormat="1" x14ac:dyDescent="0.2">
      <c r="B340" s="39" t="s">
        <v>7521</v>
      </c>
      <c r="C340" s="39" t="s">
        <v>455</v>
      </c>
      <c r="D340" s="39" t="s">
        <v>1707</v>
      </c>
      <c r="E340" s="40">
        <v>542</v>
      </c>
      <c r="F340" s="41">
        <f>$E340*3600/(Input!$H$4*1000)</f>
        <v>65.040000000000006</v>
      </c>
      <c r="G340" s="42" t="str">
        <f t="shared" si="5"/>
        <v>339</v>
      </c>
    </row>
    <row r="341" spans="2:7" s="38" customFormat="1" x14ac:dyDescent="0.2">
      <c r="B341" s="39" t="s">
        <v>7522</v>
      </c>
      <c r="C341" s="39" t="s">
        <v>959</v>
      </c>
      <c r="D341" s="39" t="s">
        <v>453</v>
      </c>
      <c r="E341" s="40">
        <v>507</v>
      </c>
      <c r="F341" s="41">
        <f>$E341*3600/(Input!$H$4*1000)</f>
        <v>60.84</v>
      </c>
      <c r="G341" s="42" t="str">
        <f t="shared" si="5"/>
        <v>340</v>
      </c>
    </row>
    <row r="342" spans="2:7" s="38" customFormat="1" x14ac:dyDescent="0.2">
      <c r="B342" s="39" t="s">
        <v>7523</v>
      </c>
      <c r="C342" s="39" t="s">
        <v>456</v>
      </c>
      <c r="D342" s="39" t="s">
        <v>1671</v>
      </c>
      <c r="E342" s="40">
        <v>922</v>
      </c>
      <c r="F342" s="41">
        <f>$E342*3600/(Input!$H$4*1000)</f>
        <v>110.64</v>
      </c>
      <c r="G342" s="42" t="str">
        <f t="shared" si="5"/>
        <v>341</v>
      </c>
    </row>
    <row r="343" spans="2:7" s="38" customFormat="1" x14ac:dyDescent="0.2">
      <c r="B343" s="39" t="s">
        <v>7524</v>
      </c>
      <c r="C343" s="39" t="s">
        <v>555</v>
      </c>
      <c r="D343" s="39" t="s">
        <v>412</v>
      </c>
      <c r="E343" s="40">
        <v>848</v>
      </c>
      <c r="F343" s="41">
        <f>$E343*3600/(Input!$H$4*1000)</f>
        <v>101.76</v>
      </c>
      <c r="G343" s="42" t="str">
        <f t="shared" si="5"/>
        <v>342</v>
      </c>
    </row>
    <row r="344" spans="2:7" s="38" customFormat="1" x14ac:dyDescent="0.2">
      <c r="B344" s="39" t="s">
        <v>7525</v>
      </c>
      <c r="C344" s="39" t="s">
        <v>1147</v>
      </c>
      <c r="D344" s="39" t="s">
        <v>555</v>
      </c>
      <c r="E344" s="40">
        <v>546</v>
      </c>
      <c r="F344" s="41">
        <f>$E344*3600/(Input!$H$4*1000)</f>
        <v>65.52</v>
      </c>
      <c r="G344" s="42" t="str">
        <f t="shared" si="5"/>
        <v>343</v>
      </c>
    </row>
    <row r="345" spans="2:7" s="38" customFormat="1" x14ac:dyDescent="0.2">
      <c r="B345" s="39" t="s">
        <v>7526</v>
      </c>
      <c r="C345" s="39" t="s">
        <v>1147</v>
      </c>
      <c r="D345" s="39" t="s">
        <v>552</v>
      </c>
      <c r="E345" s="40">
        <v>217</v>
      </c>
      <c r="F345" s="41">
        <f>$E345*3600/(Input!$H$4*1000)</f>
        <v>26.04</v>
      </c>
      <c r="G345" s="42" t="str">
        <f t="shared" si="5"/>
        <v>344</v>
      </c>
    </row>
    <row r="346" spans="2:7" s="38" customFormat="1" x14ac:dyDescent="0.2">
      <c r="B346" s="39" t="s">
        <v>7527</v>
      </c>
      <c r="C346" s="39" t="s">
        <v>552</v>
      </c>
      <c r="D346" s="39" t="s">
        <v>128</v>
      </c>
      <c r="E346" s="40">
        <v>436</v>
      </c>
      <c r="F346" s="41">
        <f>$E346*3600/(Input!$H$4*1000)</f>
        <v>52.32</v>
      </c>
      <c r="G346" s="42" t="str">
        <f t="shared" si="5"/>
        <v>345</v>
      </c>
    </row>
    <row r="347" spans="2:7" s="38" customFormat="1" x14ac:dyDescent="0.2">
      <c r="B347" s="39" t="s">
        <v>7528</v>
      </c>
      <c r="C347" s="39" t="s">
        <v>252</v>
      </c>
      <c r="D347" s="39" t="s">
        <v>1147</v>
      </c>
      <c r="E347" s="40">
        <v>196</v>
      </c>
      <c r="F347" s="41">
        <f>$E347*3600/(Input!$H$4*1000)</f>
        <v>23.52</v>
      </c>
      <c r="G347" s="42" t="str">
        <f t="shared" si="5"/>
        <v>346</v>
      </c>
    </row>
    <row r="348" spans="2:7" s="38" customFormat="1" x14ac:dyDescent="0.2">
      <c r="B348" s="39" t="s">
        <v>7529</v>
      </c>
      <c r="C348" s="39" t="s">
        <v>66</v>
      </c>
      <c r="D348" s="39" t="s">
        <v>252</v>
      </c>
      <c r="E348" s="40">
        <v>125</v>
      </c>
      <c r="F348" s="41">
        <f>$E348*3600/(Input!$H$4*1000)</f>
        <v>15</v>
      </c>
      <c r="G348" s="42" t="str">
        <f t="shared" si="5"/>
        <v>347</v>
      </c>
    </row>
    <row r="349" spans="2:7" s="38" customFormat="1" x14ac:dyDescent="0.2">
      <c r="B349" s="39" t="s">
        <v>7530</v>
      </c>
      <c r="C349" s="39" t="s">
        <v>227</v>
      </c>
      <c r="D349" s="39" t="s">
        <v>312</v>
      </c>
      <c r="E349" s="40">
        <v>182</v>
      </c>
      <c r="F349" s="41">
        <f>$E349*3600/(Input!$H$4*1000)</f>
        <v>21.84</v>
      </c>
      <c r="G349" s="42" t="str">
        <f t="shared" si="5"/>
        <v>348</v>
      </c>
    </row>
    <row r="350" spans="2:7" s="38" customFormat="1" x14ac:dyDescent="0.2">
      <c r="B350" s="39" t="s">
        <v>7531</v>
      </c>
      <c r="C350" s="39" t="s">
        <v>555</v>
      </c>
      <c r="D350" s="39" t="s">
        <v>227</v>
      </c>
      <c r="E350" s="40">
        <v>1008</v>
      </c>
      <c r="F350" s="41">
        <f>$E350*3600/(Input!$H$4*1000)</f>
        <v>120.96</v>
      </c>
      <c r="G350" s="42" t="str">
        <f t="shared" si="5"/>
        <v>349</v>
      </c>
    </row>
    <row r="351" spans="2:7" s="38" customFormat="1" x14ac:dyDescent="0.2">
      <c r="B351" s="39" t="s">
        <v>7532</v>
      </c>
      <c r="C351" s="39" t="s">
        <v>227</v>
      </c>
      <c r="D351" s="39" t="s">
        <v>550</v>
      </c>
      <c r="E351" s="40">
        <v>416</v>
      </c>
      <c r="F351" s="41">
        <f>$E351*3600/(Input!$H$4*1000)</f>
        <v>49.92</v>
      </c>
      <c r="G351" s="42" t="str">
        <f t="shared" si="5"/>
        <v>350</v>
      </c>
    </row>
    <row r="352" spans="2:7" s="38" customFormat="1" x14ac:dyDescent="0.2">
      <c r="B352" s="39" t="s">
        <v>7533</v>
      </c>
      <c r="C352" s="39" t="s">
        <v>74</v>
      </c>
      <c r="D352" s="39" t="s">
        <v>1551</v>
      </c>
      <c r="E352" s="40">
        <v>827</v>
      </c>
      <c r="F352" s="41">
        <f>$E352*3600/(Input!$H$4*1000)</f>
        <v>99.24</v>
      </c>
      <c r="G352" s="42" t="str">
        <f t="shared" si="5"/>
        <v>351</v>
      </c>
    </row>
    <row r="353" spans="2:7" s="38" customFormat="1" x14ac:dyDescent="0.2">
      <c r="B353" s="39" t="s">
        <v>7534</v>
      </c>
      <c r="C353" s="39" t="s">
        <v>253</v>
      </c>
      <c r="D353" s="39" t="s">
        <v>803</v>
      </c>
      <c r="E353" s="40">
        <v>582</v>
      </c>
      <c r="F353" s="41">
        <f>$E353*3600/(Input!$H$4*1000)</f>
        <v>69.84</v>
      </c>
      <c r="G353" s="42" t="str">
        <f t="shared" si="5"/>
        <v>352</v>
      </c>
    </row>
    <row r="354" spans="2:7" s="38" customFormat="1" x14ac:dyDescent="0.2">
      <c r="B354" s="39" t="s">
        <v>7535</v>
      </c>
      <c r="C354" s="39" t="s">
        <v>1139</v>
      </c>
      <c r="D354" s="39" t="s">
        <v>1156</v>
      </c>
      <c r="E354" s="40">
        <v>408</v>
      </c>
      <c r="F354" s="41">
        <f>$E354*3600/(Input!$H$4*1000)</f>
        <v>48.96</v>
      </c>
      <c r="G354" s="42" t="str">
        <f t="shared" si="5"/>
        <v>353</v>
      </c>
    </row>
    <row r="355" spans="2:7" s="38" customFormat="1" x14ac:dyDescent="0.2">
      <c r="B355" s="39" t="s">
        <v>7536</v>
      </c>
      <c r="C355" s="39" t="s">
        <v>1139</v>
      </c>
      <c r="D355" s="39" t="s">
        <v>552</v>
      </c>
      <c r="E355" s="40">
        <v>294</v>
      </c>
      <c r="F355" s="41">
        <f>$E355*3600/(Input!$H$4*1000)</f>
        <v>35.28</v>
      </c>
      <c r="G355" s="42" t="str">
        <f t="shared" si="5"/>
        <v>354</v>
      </c>
    </row>
    <row r="356" spans="2:7" s="38" customFormat="1" x14ac:dyDescent="0.2">
      <c r="B356" s="39" t="s">
        <v>7537</v>
      </c>
      <c r="C356" s="39" t="s">
        <v>1156</v>
      </c>
      <c r="D356" s="39" t="s">
        <v>1551</v>
      </c>
      <c r="E356" s="40">
        <v>735</v>
      </c>
      <c r="F356" s="41">
        <f>$E356*3600/(Input!$H$4*1000)</f>
        <v>88.2</v>
      </c>
      <c r="G356" s="42" t="str">
        <f t="shared" si="5"/>
        <v>355</v>
      </c>
    </row>
    <row r="357" spans="2:7" s="38" customFormat="1" x14ac:dyDescent="0.2">
      <c r="B357" s="39" t="s">
        <v>7538</v>
      </c>
      <c r="C357" s="39" t="s">
        <v>26</v>
      </c>
      <c r="D357" s="39" t="s">
        <v>24</v>
      </c>
      <c r="E357" s="40">
        <v>151</v>
      </c>
      <c r="F357" s="41">
        <f>$E357*3600/(Input!$H$4*1000)</f>
        <v>18.12</v>
      </c>
      <c r="G357" s="42" t="str">
        <f t="shared" si="5"/>
        <v>356</v>
      </c>
    </row>
    <row r="358" spans="2:7" s="38" customFormat="1" x14ac:dyDescent="0.2">
      <c r="B358" s="39" t="s">
        <v>7539</v>
      </c>
      <c r="C358" s="39" t="s">
        <v>26</v>
      </c>
      <c r="D358" s="39" t="s">
        <v>128</v>
      </c>
      <c r="E358" s="40">
        <v>119</v>
      </c>
      <c r="F358" s="41">
        <f>$E358*3600/(Input!$H$4*1000)</f>
        <v>14.28</v>
      </c>
      <c r="G358" s="42" t="str">
        <f t="shared" si="5"/>
        <v>357</v>
      </c>
    </row>
    <row r="359" spans="2:7" s="38" customFormat="1" x14ac:dyDescent="0.2">
      <c r="B359" s="39" t="s">
        <v>7540</v>
      </c>
      <c r="C359" s="39" t="s">
        <v>24</v>
      </c>
      <c r="D359" s="39" t="s">
        <v>1139</v>
      </c>
      <c r="E359" s="40">
        <v>254</v>
      </c>
      <c r="F359" s="41">
        <f>$E359*3600/(Input!$H$4*1000)</f>
        <v>30.48</v>
      </c>
      <c r="G359" s="42" t="str">
        <f t="shared" si="5"/>
        <v>358</v>
      </c>
    </row>
    <row r="360" spans="2:7" s="38" customFormat="1" x14ac:dyDescent="0.2">
      <c r="B360" s="39" t="s">
        <v>7541</v>
      </c>
      <c r="C360" s="39" t="s">
        <v>552</v>
      </c>
      <c r="D360" s="39" t="s">
        <v>127</v>
      </c>
      <c r="E360" s="40">
        <v>813</v>
      </c>
      <c r="F360" s="41">
        <f>$E360*3600/(Input!$H$4*1000)</f>
        <v>97.56</v>
      </c>
      <c r="G360" s="42" t="str">
        <f t="shared" si="5"/>
        <v>359</v>
      </c>
    </row>
    <row r="361" spans="2:7" s="38" customFormat="1" x14ac:dyDescent="0.2">
      <c r="B361" s="39" t="s">
        <v>7542</v>
      </c>
      <c r="C361" s="39" t="s">
        <v>556</v>
      </c>
      <c r="D361" s="39" t="s">
        <v>26</v>
      </c>
      <c r="E361" s="40">
        <v>341</v>
      </c>
      <c r="F361" s="41">
        <f>$E361*3600/(Input!$H$4*1000)</f>
        <v>40.92</v>
      </c>
      <c r="G361" s="42" t="str">
        <f t="shared" si="5"/>
        <v>360</v>
      </c>
    </row>
    <row r="362" spans="2:7" s="38" customFormat="1" x14ac:dyDescent="0.2">
      <c r="B362" s="39" t="s">
        <v>7543</v>
      </c>
      <c r="C362" s="39" t="s">
        <v>1155</v>
      </c>
      <c r="D362" s="39" t="s">
        <v>412</v>
      </c>
      <c r="E362" s="40">
        <v>550</v>
      </c>
      <c r="F362" s="41">
        <f>$E362*3600/(Input!$H$4*1000)</f>
        <v>66</v>
      </c>
      <c r="G362" s="42" t="str">
        <f t="shared" si="5"/>
        <v>361</v>
      </c>
    </row>
    <row r="363" spans="2:7" s="38" customFormat="1" x14ac:dyDescent="0.2">
      <c r="B363" s="39" t="s">
        <v>7544</v>
      </c>
      <c r="C363" s="39" t="s">
        <v>391</v>
      </c>
      <c r="D363" s="39" t="s">
        <v>1791</v>
      </c>
      <c r="E363" s="40">
        <v>373</v>
      </c>
      <c r="F363" s="41">
        <f>$E363*3600/(Input!$H$4*1000)</f>
        <v>44.76</v>
      </c>
      <c r="G363" s="42" t="str">
        <f t="shared" si="5"/>
        <v>362</v>
      </c>
    </row>
    <row r="364" spans="2:7" s="38" customFormat="1" x14ac:dyDescent="0.2">
      <c r="B364" s="39" t="s">
        <v>7545</v>
      </c>
      <c r="C364" s="39" t="s">
        <v>391</v>
      </c>
      <c r="D364" s="39" t="s">
        <v>1792</v>
      </c>
      <c r="E364" s="40">
        <v>325</v>
      </c>
      <c r="F364" s="41">
        <f>$E364*3600/(Input!$H$4*1000)</f>
        <v>39</v>
      </c>
      <c r="G364" s="42" t="str">
        <f t="shared" si="5"/>
        <v>363</v>
      </c>
    </row>
    <row r="365" spans="2:7" s="38" customFormat="1" x14ac:dyDescent="0.2">
      <c r="B365" s="39" t="s">
        <v>7546</v>
      </c>
      <c r="C365" s="39" t="s">
        <v>1597</v>
      </c>
      <c r="D365" s="39" t="s">
        <v>1625</v>
      </c>
      <c r="E365" s="40">
        <v>210</v>
      </c>
      <c r="F365" s="41">
        <f>$E365*3600/(Input!$H$4*1000)</f>
        <v>25.2</v>
      </c>
      <c r="G365" s="42" t="str">
        <f t="shared" si="5"/>
        <v>364</v>
      </c>
    </row>
    <row r="366" spans="2:7" s="38" customFormat="1" x14ac:dyDescent="0.2">
      <c r="B366" s="39" t="s">
        <v>7547</v>
      </c>
      <c r="C366" s="39" t="s">
        <v>1597</v>
      </c>
      <c r="D366" s="39" t="s">
        <v>392</v>
      </c>
      <c r="E366" s="40">
        <v>533</v>
      </c>
      <c r="F366" s="41">
        <f>$E366*3600/(Input!$H$4*1000)</f>
        <v>63.96</v>
      </c>
      <c r="G366" s="42" t="str">
        <f t="shared" si="5"/>
        <v>365</v>
      </c>
    </row>
    <row r="367" spans="2:7" s="38" customFormat="1" x14ac:dyDescent="0.2">
      <c r="B367" s="39" t="s">
        <v>7548</v>
      </c>
      <c r="C367" s="39" t="s">
        <v>1791</v>
      </c>
      <c r="D367" s="39" t="s">
        <v>1155</v>
      </c>
      <c r="E367" s="40">
        <v>84</v>
      </c>
      <c r="F367" s="41">
        <f>$E367*3600/(Input!$H$4*1000)</f>
        <v>10.08</v>
      </c>
      <c r="G367" s="42" t="str">
        <f t="shared" si="5"/>
        <v>366</v>
      </c>
    </row>
    <row r="368" spans="2:7" s="38" customFormat="1" x14ac:dyDescent="0.2">
      <c r="B368" s="39" t="s">
        <v>7549</v>
      </c>
      <c r="C368" s="39" t="s">
        <v>1791</v>
      </c>
      <c r="D368" s="39" t="s">
        <v>27</v>
      </c>
      <c r="E368" s="40">
        <v>118</v>
      </c>
      <c r="F368" s="41">
        <f>$E368*3600/(Input!$H$4*1000)</f>
        <v>14.16</v>
      </c>
      <c r="G368" s="42" t="str">
        <f t="shared" si="5"/>
        <v>367</v>
      </c>
    </row>
    <row r="369" spans="2:7" s="38" customFormat="1" x14ac:dyDescent="0.2">
      <c r="B369" s="39" t="s">
        <v>7550</v>
      </c>
      <c r="C369" s="39" t="s">
        <v>1791</v>
      </c>
      <c r="D369" s="39" t="s">
        <v>994</v>
      </c>
      <c r="E369" s="40">
        <v>229</v>
      </c>
      <c r="F369" s="41">
        <f>$E369*3600/(Input!$H$4*1000)</f>
        <v>27.48</v>
      </c>
      <c r="G369" s="42" t="str">
        <f t="shared" si="5"/>
        <v>368</v>
      </c>
    </row>
    <row r="370" spans="2:7" s="38" customFormat="1" x14ac:dyDescent="0.2">
      <c r="B370" s="39" t="s">
        <v>7551</v>
      </c>
      <c r="C370" s="39" t="s">
        <v>994</v>
      </c>
      <c r="D370" s="39" t="s">
        <v>1597</v>
      </c>
      <c r="E370" s="40">
        <v>169</v>
      </c>
      <c r="F370" s="41">
        <f>$E370*3600/(Input!$H$4*1000)</f>
        <v>20.28</v>
      </c>
      <c r="G370" s="42" t="str">
        <f t="shared" si="5"/>
        <v>369</v>
      </c>
    </row>
    <row r="371" spans="2:7" s="38" customFormat="1" x14ac:dyDescent="0.2">
      <c r="B371" s="39" t="s">
        <v>7552</v>
      </c>
      <c r="C371" s="39" t="s">
        <v>1624</v>
      </c>
      <c r="D371" s="39" t="s">
        <v>1597</v>
      </c>
      <c r="E371" s="40">
        <v>213</v>
      </c>
      <c r="F371" s="41">
        <f>$E371*3600/(Input!$H$4*1000)</f>
        <v>25.56</v>
      </c>
      <c r="G371" s="42" t="str">
        <f t="shared" si="5"/>
        <v>370</v>
      </c>
    </row>
    <row r="372" spans="2:7" s="38" customFormat="1" x14ac:dyDescent="0.2">
      <c r="B372" s="39" t="s">
        <v>7553</v>
      </c>
      <c r="C372" s="39" t="s">
        <v>1011</v>
      </c>
      <c r="D372" s="39" t="s">
        <v>1597</v>
      </c>
      <c r="E372" s="40">
        <v>465</v>
      </c>
      <c r="F372" s="41">
        <f>$E372*3600/(Input!$H$4*1000)</f>
        <v>55.8</v>
      </c>
      <c r="G372" s="42" t="str">
        <f t="shared" si="5"/>
        <v>371</v>
      </c>
    </row>
    <row r="373" spans="2:7" s="38" customFormat="1" x14ac:dyDescent="0.2">
      <c r="B373" s="39" t="s">
        <v>7554</v>
      </c>
      <c r="C373" s="39" t="s">
        <v>1151</v>
      </c>
      <c r="D373" s="39" t="s">
        <v>27</v>
      </c>
      <c r="E373" s="40">
        <v>197</v>
      </c>
      <c r="F373" s="41">
        <f>$E373*3600/(Input!$H$4*1000)</f>
        <v>23.64</v>
      </c>
      <c r="G373" s="42" t="str">
        <f t="shared" si="5"/>
        <v>372</v>
      </c>
    </row>
    <row r="374" spans="2:7" s="38" customFormat="1" x14ac:dyDescent="0.2">
      <c r="B374" s="39" t="s">
        <v>7555</v>
      </c>
      <c r="C374" s="39" t="s">
        <v>544</v>
      </c>
      <c r="D374" s="39" t="s">
        <v>1139</v>
      </c>
      <c r="E374" s="40">
        <v>439</v>
      </c>
      <c r="F374" s="41">
        <f>$E374*3600/(Input!$H$4*1000)</f>
        <v>52.68</v>
      </c>
      <c r="G374" s="42" t="str">
        <f t="shared" si="5"/>
        <v>373</v>
      </c>
    </row>
    <row r="375" spans="2:7" s="38" customFormat="1" x14ac:dyDescent="0.2">
      <c r="B375" s="39" t="s">
        <v>7556</v>
      </c>
      <c r="C375" s="39" t="s">
        <v>544</v>
      </c>
      <c r="D375" s="39" t="s">
        <v>1151</v>
      </c>
      <c r="E375" s="40">
        <v>428</v>
      </c>
      <c r="F375" s="41">
        <f>$E375*3600/(Input!$H$4*1000)</f>
        <v>51.36</v>
      </c>
      <c r="G375" s="42" t="str">
        <f t="shared" si="5"/>
        <v>374</v>
      </c>
    </row>
    <row r="376" spans="2:7" s="38" customFormat="1" x14ac:dyDescent="0.2">
      <c r="B376" s="39" t="s">
        <v>7557</v>
      </c>
      <c r="C376" s="39" t="s">
        <v>544</v>
      </c>
      <c r="D376" s="39" t="s">
        <v>135</v>
      </c>
      <c r="E376" s="40">
        <v>153</v>
      </c>
      <c r="F376" s="41">
        <f>$E376*3600/(Input!$H$4*1000)</f>
        <v>18.36</v>
      </c>
      <c r="G376" s="42" t="str">
        <f t="shared" si="5"/>
        <v>375</v>
      </c>
    </row>
    <row r="377" spans="2:7" s="38" customFormat="1" x14ac:dyDescent="0.2">
      <c r="B377" s="39" t="s">
        <v>7558</v>
      </c>
      <c r="C377" s="39" t="s">
        <v>25</v>
      </c>
      <c r="D377" s="39" t="s">
        <v>1153</v>
      </c>
      <c r="E377" s="40">
        <v>383</v>
      </c>
      <c r="F377" s="41">
        <f>$E377*3600/(Input!$H$4*1000)</f>
        <v>45.96</v>
      </c>
      <c r="G377" s="42" t="str">
        <f t="shared" si="5"/>
        <v>376</v>
      </c>
    </row>
    <row r="378" spans="2:7" s="38" customFormat="1" x14ac:dyDescent="0.2">
      <c r="B378" s="39" t="s">
        <v>7559</v>
      </c>
      <c r="C378" s="39" t="s">
        <v>570</v>
      </c>
      <c r="D378" s="39" t="s">
        <v>573</v>
      </c>
      <c r="E378" s="40">
        <v>626</v>
      </c>
      <c r="F378" s="41">
        <f>$E378*3600/(Input!$H$4*1000)</f>
        <v>75.12</v>
      </c>
      <c r="G378" s="42" t="str">
        <f t="shared" si="5"/>
        <v>377</v>
      </c>
    </row>
    <row r="379" spans="2:7" s="38" customFormat="1" x14ac:dyDescent="0.2">
      <c r="B379" s="39" t="s">
        <v>7560</v>
      </c>
      <c r="C379" s="39" t="s">
        <v>554</v>
      </c>
      <c r="D379" s="39" t="s">
        <v>570</v>
      </c>
      <c r="E379" s="40">
        <v>420</v>
      </c>
      <c r="F379" s="41">
        <f>$E379*3600/(Input!$H$4*1000)</f>
        <v>50.4</v>
      </c>
      <c r="G379" s="42" t="str">
        <f t="shared" si="5"/>
        <v>378</v>
      </c>
    </row>
    <row r="380" spans="2:7" s="38" customFormat="1" x14ac:dyDescent="0.2">
      <c r="B380" s="39" t="s">
        <v>7561</v>
      </c>
      <c r="C380" s="39" t="s">
        <v>554</v>
      </c>
      <c r="D380" s="39" t="s">
        <v>945</v>
      </c>
      <c r="E380" s="40">
        <v>648</v>
      </c>
      <c r="F380" s="41">
        <f>$E380*3600/(Input!$H$4*1000)</f>
        <v>77.760000000000005</v>
      </c>
      <c r="G380" s="42" t="str">
        <f t="shared" si="5"/>
        <v>379</v>
      </c>
    </row>
    <row r="381" spans="2:7" s="38" customFormat="1" x14ac:dyDescent="0.2">
      <c r="B381" s="39" t="s">
        <v>7562</v>
      </c>
      <c r="C381" s="39" t="s">
        <v>1154</v>
      </c>
      <c r="D381" s="39" t="s">
        <v>945</v>
      </c>
      <c r="E381" s="40">
        <v>274</v>
      </c>
      <c r="F381" s="41">
        <f>$E381*3600/(Input!$H$4*1000)</f>
        <v>32.880000000000003</v>
      </c>
      <c r="G381" s="42" t="str">
        <f t="shared" si="5"/>
        <v>380</v>
      </c>
    </row>
    <row r="382" spans="2:7" s="38" customFormat="1" x14ac:dyDescent="0.2">
      <c r="B382" s="39" t="s">
        <v>7563</v>
      </c>
      <c r="C382" s="39" t="s">
        <v>1154</v>
      </c>
      <c r="D382" s="39" t="s">
        <v>1793</v>
      </c>
      <c r="E382" s="40">
        <v>235</v>
      </c>
      <c r="F382" s="41">
        <f>$E382*3600/(Input!$H$4*1000)</f>
        <v>28.2</v>
      </c>
      <c r="G382" s="42" t="str">
        <f t="shared" si="5"/>
        <v>381</v>
      </c>
    </row>
    <row r="383" spans="2:7" s="38" customFormat="1" x14ac:dyDescent="0.2">
      <c r="B383" s="39" t="s">
        <v>7564</v>
      </c>
      <c r="C383" s="39" t="s">
        <v>40</v>
      </c>
      <c r="D383" s="39" t="s">
        <v>1793</v>
      </c>
      <c r="E383" s="40">
        <v>188</v>
      </c>
      <c r="F383" s="41">
        <f>$E383*3600/(Input!$H$4*1000)</f>
        <v>22.56</v>
      </c>
      <c r="G383" s="42" t="str">
        <f t="shared" si="5"/>
        <v>382</v>
      </c>
    </row>
    <row r="384" spans="2:7" s="38" customFormat="1" x14ac:dyDescent="0.2">
      <c r="B384" s="39" t="s">
        <v>7565</v>
      </c>
      <c r="C384" s="39" t="s">
        <v>1154</v>
      </c>
      <c r="D384" s="39" t="s">
        <v>60</v>
      </c>
      <c r="E384" s="40">
        <v>550</v>
      </c>
      <c r="F384" s="41">
        <f>$E384*3600/(Input!$H$4*1000)</f>
        <v>66</v>
      </c>
      <c r="G384" s="42" t="str">
        <f t="shared" si="5"/>
        <v>383</v>
      </c>
    </row>
    <row r="385" spans="2:7" s="38" customFormat="1" x14ac:dyDescent="0.2">
      <c r="B385" s="39" t="s">
        <v>7566</v>
      </c>
      <c r="C385" s="39" t="s">
        <v>1791</v>
      </c>
      <c r="D385" s="39" t="s">
        <v>1011</v>
      </c>
      <c r="E385" s="40">
        <v>323</v>
      </c>
      <c r="F385" s="41">
        <f>$E385*3600/(Input!$H$4*1000)</f>
        <v>38.76</v>
      </c>
      <c r="G385" s="42" t="str">
        <f t="shared" si="5"/>
        <v>384</v>
      </c>
    </row>
    <row r="386" spans="2:7" s="38" customFormat="1" x14ac:dyDescent="0.2">
      <c r="B386" s="39" t="s">
        <v>7567</v>
      </c>
      <c r="C386" s="39" t="s">
        <v>989</v>
      </c>
      <c r="D386" s="39" t="s">
        <v>999</v>
      </c>
      <c r="E386" s="40">
        <v>1170</v>
      </c>
      <c r="F386" s="41">
        <f>$E386*3600/(Input!$H$4*1000)</f>
        <v>140.4</v>
      </c>
      <c r="G386" s="42" t="str">
        <f t="shared" ref="G386:G449" si="6">MID(B386,7,LEN(B386)-6)</f>
        <v>385</v>
      </c>
    </row>
    <row r="387" spans="2:7" s="38" customFormat="1" x14ac:dyDescent="0.2">
      <c r="B387" s="39" t="s">
        <v>7568</v>
      </c>
      <c r="C387" s="39" t="s">
        <v>998</v>
      </c>
      <c r="D387" s="39" t="s">
        <v>1646</v>
      </c>
      <c r="E387" s="40">
        <v>500</v>
      </c>
      <c r="F387" s="41">
        <f>$E387*3600/(Input!$H$4*1000)</f>
        <v>60</v>
      </c>
      <c r="G387" s="42" t="str">
        <f t="shared" si="6"/>
        <v>386</v>
      </c>
    </row>
    <row r="388" spans="2:7" s="38" customFormat="1" x14ac:dyDescent="0.2">
      <c r="B388" s="39" t="s">
        <v>7569</v>
      </c>
      <c r="C388" s="39" t="s">
        <v>390</v>
      </c>
      <c r="D388" s="39" t="s">
        <v>1661</v>
      </c>
      <c r="E388" s="40">
        <v>132</v>
      </c>
      <c r="F388" s="41">
        <f>$E388*3600/(Input!$H$4*1000)</f>
        <v>15.84</v>
      </c>
      <c r="G388" s="42" t="str">
        <f t="shared" si="6"/>
        <v>387</v>
      </c>
    </row>
    <row r="389" spans="2:7" s="38" customFormat="1" x14ac:dyDescent="0.2">
      <c r="B389" s="39" t="s">
        <v>7570</v>
      </c>
      <c r="C389" s="39" t="s">
        <v>1646</v>
      </c>
      <c r="D389" s="39" t="s">
        <v>964</v>
      </c>
      <c r="E389" s="40">
        <v>386</v>
      </c>
      <c r="F389" s="41">
        <f>$E389*3600/(Input!$H$4*1000)</f>
        <v>46.32</v>
      </c>
      <c r="G389" s="42" t="str">
        <f t="shared" si="6"/>
        <v>388</v>
      </c>
    </row>
    <row r="390" spans="2:7" s="38" customFormat="1" x14ac:dyDescent="0.2">
      <c r="B390" s="39" t="s">
        <v>7571</v>
      </c>
      <c r="C390" s="39" t="s">
        <v>1788</v>
      </c>
      <c r="D390" s="39" t="s">
        <v>1589</v>
      </c>
      <c r="E390" s="40">
        <v>1140</v>
      </c>
      <c r="F390" s="41">
        <f>$E390*3600/(Input!$H$4*1000)</f>
        <v>136.80000000000001</v>
      </c>
      <c r="G390" s="42" t="str">
        <f t="shared" si="6"/>
        <v>389</v>
      </c>
    </row>
    <row r="391" spans="2:7" s="38" customFormat="1" x14ac:dyDescent="0.2">
      <c r="B391" s="39" t="s">
        <v>7572</v>
      </c>
      <c r="C391" s="39" t="s">
        <v>1529</v>
      </c>
      <c r="D391" s="39" t="s">
        <v>1788</v>
      </c>
      <c r="E391" s="40">
        <v>285</v>
      </c>
      <c r="F391" s="41">
        <f>$E391*3600/(Input!$H$4*1000)</f>
        <v>34.200000000000003</v>
      </c>
      <c r="G391" s="42" t="str">
        <f t="shared" si="6"/>
        <v>390</v>
      </c>
    </row>
    <row r="392" spans="2:7" s="38" customFormat="1" x14ac:dyDescent="0.2">
      <c r="B392" s="39" t="s">
        <v>7573</v>
      </c>
      <c r="C392" s="39" t="s">
        <v>990</v>
      </c>
      <c r="D392" s="39" t="s">
        <v>1631</v>
      </c>
      <c r="E392" s="40">
        <v>376</v>
      </c>
      <c r="F392" s="41">
        <f>$E392*3600/(Input!$H$4*1000)</f>
        <v>45.12</v>
      </c>
      <c r="G392" s="42" t="str">
        <f t="shared" si="6"/>
        <v>391</v>
      </c>
    </row>
    <row r="393" spans="2:7" s="38" customFormat="1" x14ac:dyDescent="0.2">
      <c r="B393" s="39" t="s">
        <v>7574</v>
      </c>
      <c r="C393" s="39" t="s">
        <v>990</v>
      </c>
      <c r="D393" s="39" t="s">
        <v>1624</v>
      </c>
      <c r="E393" s="40">
        <v>738</v>
      </c>
      <c r="F393" s="41">
        <f>$E393*3600/(Input!$H$4*1000)</f>
        <v>88.56</v>
      </c>
      <c r="G393" s="42" t="str">
        <f t="shared" si="6"/>
        <v>392</v>
      </c>
    </row>
    <row r="394" spans="2:7" s="38" customFormat="1" x14ac:dyDescent="0.2">
      <c r="B394" s="39" t="s">
        <v>7575</v>
      </c>
      <c r="C394" s="39" t="s">
        <v>990</v>
      </c>
      <c r="D394" s="39" t="s">
        <v>1633</v>
      </c>
      <c r="E394" s="40">
        <v>390</v>
      </c>
      <c r="F394" s="41">
        <f>$E394*3600/(Input!$H$4*1000)</f>
        <v>46.8</v>
      </c>
      <c r="G394" s="42" t="str">
        <f t="shared" si="6"/>
        <v>393</v>
      </c>
    </row>
    <row r="395" spans="2:7" s="38" customFormat="1" x14ac:dyDescent="0.2">
      <c r="B395" s="39" t="s">
        <v>7576</v>
      </c>
      <c r="C395" s="39" t="s">
        <v>1634</v>
      </c>
      <c r="D395" s="39" t="s">
        <v>991</v>
      </c>
      <c r="E395" s="40">
        <v>394</v>
      </c>
      <c r="F395" s="41">
        <f>$E395*3600/(Input!$H$4*1000)</f>
        <v>47.28</v>
      </c>
      <c r="G395" s="42" t="str">
        <f t="shared" si="6"/>
        <v>394</v>
      </c>
    </row>
    <row r="396" spans="2:7" s="38" customFormat="1" x14ac:dyDescent="0.2">
      <c r="B396" s="39" t="s">
        <v>7577</v>
      </c>
      <c r="C396" s="39" t="s">
        <v>1794</v>
      </c>
      <c r="D396" s="39" t="s">
        <v>1634</v>
      </c>
      <c r="E396" s="40">
        <v>435</v>
      </c>
      <c r="F396" s="41">
        <f>$E396*3600/(Input!$H$4*1000)</f>
        <v>52.2</v>
      </c>
      <c r="G396" s="42" t="str">
        <f t="shared" si="6"/>
        <v>395</v>
      </c>
    </row>
    <row r="397" spans="2:7" s="38" customFormat="1" x14ac:dyDescent="0.2">
      <c r="B397" s="39" t="s">
        <v>7578</v>
      </c>
      <c r="C397" s="39" t="s">
        <v>1596</v>
      </c>
      <c r="D397" s="39" t="s">
        <v>64</v>
      </c>
      <c r="E397" s="40">
        <v>474</v>
      </c>
      <c r="F397" s="41">
        <f>$E397*3600/(Input!$H$4*1000)</f>
        <v>56.88</v>
      </c>
      <c r="G397" s="42" t="str">
        <f t="shared" si="6"/>
        <v>396</v>
      </c>
    </row>
    <row r="398" spans="2:7" s="38" customFormat="1" x14ac:dyDescent="0.2">
      <c r="B398" s="39" t="s">
        <v>7579</v>
      </c>
      <c r="C398" s="39" t="s">
        <v>944</v>
      </c>
      <c r="D398" s="39" t="s">
        <v>1137</v>
      </c>
      <c r="E398" s="40">
        <v>310</v>
      </c>
      <c r="F398" s="41">
        <f>$E398*3600/(Input!$H$4*1000)</f>
        <v>37.200000000000003</v>
      </c>
      <c r="G398" s="42" t="str">
        <f t="shared" si="6"/>
        <v>397</v>
      </c>
    </row>
    <row r="399" spans="2:7" s="38" customFormat="1" x14ac:dyDescent="0.2">
      <c r="B399" s="39" t="s">
        <v>7580</v>
      </c>
      <c r="C399" s="39" t="s">
        <v>944</v>
      </c>
      <c r="D399" s="39" t="s">
        <v>64</v>
      </c>
      <c r="E399" s="40">
        <v>714</v>
      </c>
      <c r="F399" s="41">
        <f>$E399*3600/(Input!$H$4*1000)</f>
        <v>85.68</v>
      </c>
      <c r="G399" s="42" t="str">
        <f t="shared" si="6"/>
        <v>398</v>
      </c>
    </row>
    <row r="400" spans="2:7" s="38" customFormat="1" x14ac:dyDescent="0.2">
      <c r="B400" s="39" t="s">
        <v>7581</v>
      </c>
      <c r="C400" s="39" t="s">
        <v>944</v>
      </c>
      <c r="D400" s="39" t="s">
        <v>711</v>
      </c>
      <c r="E400" s="40">
        <v>388</v>
      </c>
      <c r="F400" s="41">
        <f>$E400*3600/(Input!$H$4*1000)</f>
        <v>46.56</v>
      </c>
      <c r="G400" s="42" t="str">
        <f t="shared" si="6"/>
        <v>399</v>
      </c>
    </row>
    <row r="401" spans="2:7" s="38" customFormat="1" x14ac:dyDescent="0.2">
      <c r="B401" s="39" t="s">
        <v>7582</v>
      </c>
      <c r="C401" s="39" t="s">
        <v>1596</v>
      </c>
      <c r="D401" s="39" t="s">
        <v>1529</v>
      </c>
      <c r="E401" s="40">
        <v>1140</v>
      </c>
      <c r="F401" s="41">
        <f>$E401*3600/(Input!$H$4*1000)</f>
        <v>136.80000000000001</v>
      </c>
      <c r="G401" s="42" t="str">
        <f t="shared" si="6"/>
        <v>400</v>
      </c>
    </row>
    <row r="402" spans="2:7" s="38" customFormat="1" x14ac:dyDescent="0.2">
      <c r="B402" s="39" t="s">
        <v>7583</v>
      </c>
      <c r="C402" s="39" t="s">
        <v>1589</v>
      </c>
      <c r="D402" s="39" t="s">
        <v>1598</v>
      </c>
      <c r="E402" s="40">
        <v>506</v>
      </c>
      <c r="F402" s="41">
        <f>$E402*3600/(Input!$H$4*1000)</f>
        <v>60.72</v>
      </c>
      <c r="G402" s="42" t="str">
        <f t="shared" si="6"/>
        <v>401</v>
      </c>
    </row>
    <row r="403" spans="2:7" s="38" customFormat="1" x14ac:dyDescent="0.2">
      <c r="B403" s="39" t="s">
        <v>7584</v>
      </c>
      <c r="C403" s="39" t="s">
        <v>640</v>
      </c>
      <c r="D403" s="39" t="s">
        <v>1633</v>
      </c>
      <c r="E403" s="40">
        <v>832</v>
      </c>
      <c r="F403" s="41">
        <f>$E403*3600/(Input!$H$4*1000)</f>
        <v>99.84</v>
      </c>
      <c r="G403" s="42" t="str">
        <f t="shared" si="6"/>
        <v>402</v>
      </c>
    </row>
    <row r="404" spans="2:7" s="38" customFormat="1" x14ac:dyDescent="0.2">
      <c r="B404" s="39" t="s">
        <v>7585</v>
      </c>
      <c r="C404" s="39" t="s">
        <v>1564</v>
      </c>
      <c r="D404" s="39" t="s">
        <v>1631</v>
      </c>
      <c r="E404" s="40">
        <v>507</v>
      </c>
      <c r="F404" s="41">
        <f>$E404*3600/(Input!$H$4*1000)</f>
        <v>60.84</v>
      </c>
      <c r="G404" s="42" t="str">
        <f t="shared" si="6"/>
        <v>403</v>
      </c>
    </row>
    <row r="405" spans="2:7" s="38" customFormat="1" x14ac:dyDescent="0.2">
      <c r="B405" s="39" t="s">
        <v>7586</v>
      </c>
      <c r="C405" s="39" t="s">
        <v>1794</v>
      </c>
      <c r="D405" s="39" t="s">
        <v>390</v>
      </c>
      <c r="E405" s="40">
        <v>525</v>
      </c>
      <c r="F405" s="41">
        <f>$E405*3600/(Input!$H$4*1000)</f>
        <v>63</v>
      </c>
      <c r="G405" s="42" t="str">
        <f t="shared" si="6"/>
        <v>404</v>
      </c>
    </row>
    <row r="406" spans="2:7" s="38" customFormat="1" x14ac:dyDescent="0.2">
      <c r="B406" s="39" t="s">
        <v>7587</v>
      </c>
      <c r="C406" s="39" t="s">
        <v>640</v>
      </c>
      <c r="D406" s="39" t="s">
        <v>410</v>
      </c>
      <c r="E406" s="40">
        <v>376</v>
      </c>
      <c r="F406" s="41">
        <f>$E406*3600/(Input!$H$4*1000)</f>
        <v>45.12</v>
      </c>
      <c r="G406" s="42" t="str">
        <f t="shared" si="6"/>
        <v>405</v>
      </c>
    </row>
    <row r="407" spans="2:7" s="38" customFormat="1" x14ac:dyDescent="0.2">
      <c r="B407" s="39" t="s">
        <v>7588</v>
      </c>
      <c r="C407" s="39" t="s">
        <v>1509</v>
      </c>
      <c r="D407" s="39" t="s">
        <v>1552</v>
      </c>
      <c r="E407" s="40">
        <v>370</v>
      </c>
      <c r="F407" s="41">
        <f>$E407*3600/(Input!$H$4*1000)</f>
        <v>44.4</v>
      </c>
      <c r="G407" s="42" t="str">
        <f t="shared" si="6"/>
        <v>406</v>
      </c>
    </row>
    <row r="408" spans="2:7" s="38" customFormat="1" x14ac:dyDescent="0.2">
      <c r="B408" s="39" t="s">
        <v>7589</v>
      </c>
      <c r="C408" s="39" t="s">
        <v>1274</v>
      </c>
      <c r="D408" s="39" t="s">
        <v>1502</v>
      </c>
      <c r="E408" s="40">
        <v>334</v>
      </c>
      <c r="F408" s="41">
        <f>$E408*3600/(Input!$H$4*1000)</f>
        <v>40.08</v>
      </c>
      <c r="G408" s="42" t="str">
        <f t="shared" si="6"/>
        <v>407</v>
      </c>
    </row>
    <row r="409" spans="2:7" s="38" customFormat="1" x14ac:dyDescent="0.2">
      <c r="B409" s="39" t="s">
        <v>7590</v>
      </c>
      <c r="C409" s="39" t="s">
        <v>1795</v>
      </c>
      <c r="D409" s="39" t="s">
        <v>1502</v>
      </c>
      <c r="E409" s="40">
        <v>279</v>
      </c>
      <c r="F409" s="41">
        <f>$E409*3600/(Input!$H$4*1000)</f>
        <v>33.479999999999997</v>
      </c>
      <c r="G409" s="42" t="str">
        <f t="shared" si="6"/>
        <v>408</v>
      </c>
    </row>
    <row r="410" spans="2:7" s="38" customFormat="1" x14ac:dyDescent="0.2">
      <c r="B410" s="39" t="s">
        <v>7591</v>
      </c>
      <c r="C410" s="39" t="s">
        <v>1665</v>
      </c>
      <c r="D410" s="39" t="s">
        <v>160</v>
      </c>
      <c r="E410" s="40">
        <v>511</v>
      </c>
      <c r="F410" s="41">
        <f>$E410*3600/(Input!$H$4*1000)</f>
        <v>61.32</v>
      </c>
      <c r="G410" s="42" t="str">
        <f t="shared" si="6"/>
        <v>409</v>
      </c>
    </row>
    <row r="411" spans="2:7" s="38" customFormat="1" x14ac:dyDescent="0.2">
      <c r="B411" s="39" t="s">
        <v>7592</v>
      </c>
      <c r="C411" s="39" t="s">
        <v>983</v>
      </c>
      <c r="D411" s="39" t="s">
        <v>1424</v>
      </c>
      <c r="E411" s="40">
        <v>1110</v>
      </c>
      <c r="F411" s="41">
        <f>$E411*3600/(Input!$H$4*1000)</f>
        <v>133.19999999999999</v>
      </c>
      <c r="G411" s="42" t="str">
        <f t="shared" si="6"/>
        <v>410</v>
      </c>
    </row>
    <row r="412" spans="2:7" s="38" customFormat="1" x14ac:dyDescent="0.2">
      <c r="B412" s="39" t="s">
        <v>7593</v>
      </c>
      <c r="C412" s="39" t="s">
        <v>1793</v>
      </c>
      <c r="D412" s="39" t="s">
        <v>35</v>
      </c>
      <c r="E412" s="40">
        <v>197</v>
      </c>
      <c r="F412" s="41">
        <f>$E412*3600/(Input!$H$4*1000)</f>
        <v>23.64</v>
      </c>
      <c r="G412" s="42" t="str">
        <f t="shared" si="6"/>
        <v>411</v>
      </c>
    </row>
    <row r="413" spans="2:7" s="38" customFormat="1" x14ac:dyDescent="0.2">
      <c r="B413" s="39" t="s">
        <v>7594</v>
      </c>
      <c r="C413" s="39" t="s">
        <v>1793</v>
      </c>
      <c r="D413" s="39" t="s">
        <v>641</v>
      </c>
      <c r="E413" s="40">
        <v>556</v>
      </c>
      <c r="F413" s="41">
        <f>$E413*3600/(Input!$H$4*1000)</f>
        <v>66.72</v>
      </c>
      <c r="G413" s="42" t="str">
        <f t="shared" si="6"/>
        <v>412</v>
      </c>
    </row>
    <row r="414" spans="2:7" s="38" customFormat="1" x14ac:dyDescent="0.2">
      <c r="B414" s="39" t="s">
        <v>7595</v>
      </c>
      <c r="C414" s="39" t="s">
        <v>1633</v>
      </c>
      <c r="D414" s="39" t="s">
        <v>995</v>
      </c>
      <c r="E414" s="40">
        <v>587</v>
      </c>
      <c r="F414" s="41">
        <f>$E414*3600/(Input!$H$4*1000)</f>
        <v>70.44</v>
      </c>
      <c r="G414" s="42" t="str">
        <f t="shared" si="6"/>
        <v>413</v>
      </c>
    </row>
    <row r="415" spans="2:7" s="38" customFormat="1" x14ac:dyDescent="0.2">
      <c r="B415" s="39" t="s">
        <v>7596</v>
      </c>
      <c r="C415" s="39" t="s">
        <v>995</v>
      </c>
      <c r="D415" s="39" t="s">
        <v>1662</v>
      </c>
      <c r="E415" s="40">
        <v>212</v>
      </c>
      <c r="F415" s="41">
        <f>$E415*3600/(Input!$H$4*1000)</f>
        <v>25.44</v>
      </c>
      <c r="G415" s="42" t="str">
        <f t="shared" si="6"/>
        <v>414</v>
      </c>
    </row>
    <row r="416" spans="2:7" s="38" customFormat="1" x14ac:dyDescent="0.2">
      <c r="B416" s="39" t="s">
        <v>7597</v>
      </c>
      <c r="C416" s="39" t="s">
        <v>1662</v>
      </c>
      <c r="D416" s="39" t="s">
        <v>641</v>
      </c>
      <c r="E416" s="40">
        <v>580</v>
      </c>
      <c r="F416" s="41">
        <f>$E416*3600/(Input!$H$4*1000)</f>
        <v>69.599999999999994</v>
      </c>
      <c r="G416" s="42" t="str">
        <f t="shared" si="6"/>
        <v>415</v>
      </c>
    </row>
    <row r="417" spans="2:7" s="38" customFormat="1" x14ac:dyDescent="0.2">
      <c r="B417" s="39" t="s">
        <v>7598</v>
      </c>
      <c r="C417" s="39" t="s">
        <v>554</v>
      </c>
      <c r="D417" s="39" t="s">
        <v>1153</v>
      </c>
      <c r="E417" s="40">
        <v>723</v>
      </c>
      <c r="F417" s="41">
        <f>$E417*3600/(Input!$H$4*1000)</f>
        <v>86.76</v>
      </c>
      <c r="G417" s="42" t="str">
        <f t="shared" si="6"/>
        <v>416</v>
      </c>
    </row>
    <row r="418" spans="2:7" s="38" customFormat="1" x14ac:dyDescent="0.2">
      <c r="B418" s="39" t="s">
        <v>7599</v>
      </c>
      <c r="C418" s="39" t="s">
        <v>619</v>
      </c>
      <c r="D418" s="39" t="s">
        <v>586</v>
      </c>
      <c r="E418" s="40">
        <v>492</v>
      </c>
      <c r="F418" s="41">
        <f>$E418*3600/(Input!$H$4*1000)</f>
        <v>59.04</v>
      </c>
      <c r="G418" s="42" t="str">
        <f t="shared" si="6"/>
        <v>417</v>
      </c>
    </row>
    <row r="419" spans="2:7" s="38" customFormat="1" x14ac:dyDescent="0.2">
      <c r="B419" s="39" t="s">
        <v>7600</v>
      </c>
      <c r="C419" s="39" t="s">
        <v>586</v>
      </c>
      <c r="D419" s="39" t="s">
        <v>570</v>
      </c>
      <c r="E419" s="40">
        <v>314</v>
      </c>
      <c r="F419" s="41">
        <f>$E419*3600/(Input!$H$4*1000)</f>
        <v>37.68</v>
      </c>
      <c r="G419" s="42" t="str">
        <f t="shared" si="6"/>
        <v>418</v>
      </c>
    </row>
    <row r="420" spans="2:7" s="38" customFormat="1" x14ac:dyDescent="0.2">
      <c r="B420" s="39" t="s">
        <v>7601</v>
      </c>
      <c r="C420" s="39" t="s">
        <v>570</v>
      </c>
      <c r="D420" s="39" t="s">
        <v>311</v>
      </c>
      <c r="E420" s="40">
        <v>206</v>
      </c>
      <c r="F420" s="41">
        <f>$E420*3600/(Input!$H$4*1000)</f>
        <v>24.72</v>
      </c>
      <c r="G420" s="42" t="str">
        <f t="shared" si="6"/>
        <v>419</v>
      </c>
    </row>
    <row r="421" spans="2:7" s="38" customFormat="1" x14ac:dyDescent="0.2">
      <c r="B421" s="39" t="s">
        <v>7602</v>
      </c>
      <c r="C421" s="39" t="s">
        <v>297</v>
      </c>
      <c r="D421" s="39" t="s">
        <v>586</v>
      </c>
      <c r="E421" s="40">
        <v>565</v>
      </c>
      <c r="F421" s="41">
        <f>$E421*3600/(Input!$H$4*1000)</f>
        <v>67.8</v>
      </c>
      <c r="G421" s="42" t="str">
        <f t="shared" si="6"/>
        <v>420</v>
      </c>
    </row>
    <row r="422" spans="2:7" s="38" customFormat="1" x14ac:dyDescent="0.2">
      <c r="B422" s="39" t="s">
        <v>7603</v>
      </c>
      <c r="C422" s="39" t="s">
        <v>491</v>
      </c>
      <c r="D422" s="39" t="s">
        <v>40</v>
      </c>
      <c r="E422" s="40">
        <v>238</v>
      </c>
      <c r="F422" s="41">
        <f>$E422*3600/(Input!$H$4*1000)</f>
        <v>28.56</v>
      </c>
      <c r="G422" s="42" t="str">
        <f t="shared" si="6"/>
        <v>421</v>
      </c>
    </row>
    <row r="423" spans="2:7" s="38" customFormat="1" x14ac:dyDescent="0.2">
      <c r="B423" s="39" t="s">
        <v>7604</v>
      </c>
      <c r="C423" s="39" t="s">
        <v>286</v>
      </c>
      <c r="D423" s="39" t="s">
        <v>40</v>
      </c>
      <c r="E423" s="40">
        <v>642</v>
      </c>
      <c r="F423" s="41">
        <f>$E423*3600/(Input!$H$4*1000)</f>
        <v>77.040000000000006</v>
      </c>
      <c r="G423" s="42" t="str">
        <f t="shared" si="6"/>
        <v>422</v>
      </c>
    </row>
    <row r="424" spans="2:7" s="38" customFormat="1" x14ac:dyDescent="0.2">
      <c r="B424" s="39" t="s">
        <v>7605</v>
      </c>
      <c r="C424" s="39" t="s">
        <v>286</v>
      </c>
      <c r="D424" s="39" t="s">
        <v>1264</v>
      </c>
      <c r="E424" s="40">
        <v>731</v>
      </c>
      <c r="F424" s="41">
        <f>$E424*3600/(Input!$H$4*1000)</f>
        <v>87.72</v>
      </c>
      <c r="G424" s="42" t="str">
        <f t="shared" si="6"/>
        <v>423</v>
      </c>
    </row>
    <row r="425" spans="2:7" s="38" customFormat="1" x14ac:dyDescent="0.2">
      <c r="B425" s="39" t="s">
        <v>7606</v>
      </c>
      <c r="C425" s="39" t="s">
        <v>276</v>
      </c>
      <c r="D425" s="39" t="s">
        <v>1262</v>
      </c>
      <c r="E425" s="40">
        <v>660</v>
      </c>
      <c r="F425" s="41">
        <f>$E425*3600/(Input!$H$4*1000)</f>
        <v>79.2</v>
      </c>
      <c r="G425" s="42" t="str">
        <f t="shared" si="6"/>
        <v>424</v>
      </c>
    </row>
    <row r="426" spans="2:7" s="38" customFormat="1" x14ac:dyDescent="0.2">
      <c r="B426" s="39" t="s">
        <v>7607</v>
      </c>
      <c r="C426" s="39" t="s">
        <v>852</v>
      </c>
      <c r="D426" s="39" t="s">
        <v>276</v>
      </c>
      <c r="E426" s="40">
        <v>204</v>
      </c>
      <c r="F426" s="41">
        <f>$E426*3600/(Input!$H$4*1000)</f>
        <v>24.48</v>
      </c>
      <c r="G426" s="42" t="str">
        <f t="shared" si="6"/>
        <v>425</v>
      </c>
    </row>
    <row r="427" spans="2:7" s="38" customFormat="1" x14ac:dyDescent="0.2">
      <c r="B427" s="39" t="s">
        <v>7608</v>
      </c>
      <c r="C427" s="39" t="s">
        <v>856</v>
      </c>
      <c r="D427" s="39" t="s">
        <v>243</v>
      </c>
      <c r="E427" s="40">
        <v>358</v>
      </c>
      <c r="F427" s="41">
        <f>$E427*3600/(Input!$H$4*1000)</f>
        <v>42.96</v>
      </c>
      <c r="G427" s="42" t="str">
        <f t="shared" si="6"/>
        <v>426</v>
      </c>
    </row>
    <row r="428" spans="2:7" s="38" customFormat="1" x14ac:dyDescent="0.2">
      <c r="B428" s="39" t="s">
        <v>7609</v>
      </c>
      <c r="C428" s="39" t="s">
        <v>243</v>
      </c>
      <c r="D428" s="39" t="s">
        <v>833</v>
      </c>
      <c r="E428" s="40">
        <v>174</v>
      </c>
      <c r="F428" s="41">
        <f>$E428*3600/(Input!$H$4*1000)</f>
        <v>20.88</v>
      </c>
      <c r="G428" s="42" t="str">
        <f t="shared" si="6"/>
        <v>427</v>
      </c>
    </row>
    <row r="429" spans="2:7" s="38" customFormat="1" x14ac:dyDescent="0.2">
      <c r="B429" s="39" t="s">
        <v>7610</v>
      </c>
      <c r="C429" s="39" t="s">
        <v>243</v>
      </c>
      <c r="D429" s="39" t="s">
        <v>1392</v>
      </c>
      <c r="E429" s="40">
        <v>470</v>
      </c>
      <c r="F429" s="41">
        <f>$E429*3600/(Input!$H$4*1000)</f>
        <v>56.4</v>
      </c>
      <c r="G429" s="42" t="str">
        <f t="shared" si="6"/>
        <v>428</v>
      </c>
    </row>
    <row r="430" spans="2:7" s="38" customFormat="1" x14ac:dyDescent="0.2">
      <c r="B430" s="39" t="s">
        <v>7611</v>
      </c>
      <c r="C430" s="39" t="s">
        <v>276</v>
      </c>
      <c r="D430" s="39" t="s">
        <v>1392</v>
      </c>
      <c r="E430" s="40">
        <v>315</v>
      </c>
      <c r="F430" s="41">
        <f>$E430*3600/(Input!$H$4*1000)</f>
        <v>37.799999999999997</v>
      </c>
      <c r="G430" s="42" t="str">
        <f t="shared" si="6"/>
        <v>429</v>
      </c>
    </row>
    <row r="431" spans="2:7" s="38" customFormat="1" x14ac:dyDescent="0.2">
      <c r="B431" s="39" t="s">
        <v>7612</v>
      </c>
      <c r="C431" s="39" t="s">
        <v>316</v>
      </c>
      <c r="D431" s="39" t="s">
        <v>1262</v>
      </c>
      <c r="E431" s="40">
        <v>305</v>
      </c>
      <c r="F431" s="41">
        <f>$E431*3600/(Input!$H$4*1000)</f>
        <v>36.6</v>
      </c>
      <c r="G431" s="42" t="str">
        <f t="shared" si="6"/>
        <v>430</v>
      </c>
    </row>
    <row r="432" spans="2:7" s="38" customFormat="1" x14ac:dyDescent="0.2">
      <c r="B432" s="39" t="s">
        <v>7613</v>
      </c>
      <c r="C432" s="39" t="s">
        <v>1262</v>
      </c>
      <c r="D432" s="39" t="s">
        <v>296</v>
      </c>
      <c r="E432" s="40">
        <v>171</v>
      </c>
      <c r="F432" s="41">
        <f>$E432*3600/(Input!$H$4*1000)</f>
        <v>20.52</v>
      </c>
      <c r="G432" s="42" t="str">
        <f t="shared" si="6"/>
        <v>431</v>
      </c>
    </row>
    <row r="433" spans="2:7" s="38" customFormat="1" x14ac:dyDescent="0.2">
      <c r="B433" s="39" t="s">
        <v>7614</v>
      </c>
      <c r="C433" s="39" t="s">
        <v>296</v>
      </c>
      <c r="D433" s="39" t="s">
        <v>77</v>
      </c>
      <c r="E433" s="40">
        <v>196</v>
      </c>
      <c r="F433" s="41">
        <f>$E433*3600/(Input!$H$4*1000)</f>
        <v>23.52</v>
      </c>
      <c r="G433" s="42" t="str">
        <f t="shared" si="6"/>
        <v>432</v>
      </c>
    </row>
    <row r="434" spans="2:7" s="38" customFormat="1" x14ac:dyDescent="0.2">
      <c r="B434" s="39" t="s">
        <v>7615</v>
      </c>
      <c r="C434" s="39" t="s">
        <v>586</v>
      </c>
      <c r="D434" s="39" t="s">
        <v>296</v>
      </c>
      <c r="E434" s="40">
        <v>790</v>
      </c>
      <c r="F434" s="41">
        <f>$E434*3600/(Input!$H$4*1000)</f>
        <v>94.8</v>
      </c>
      <c r="G434" s="42" t="str">
        <f t="shared" si="6"/>
        <v>433</v>
      </c>
    </row>
    <row r="435" spans="2:7" s="38" customFormat="1" x14ac:dyDescent="0.2">
      <c r="B435" s="39" t="s">
        <v>7616</v>
      </c>
      <c r="C435" s="39" t="s">
        <v>80</v>
      </c>
      <c r="D435" s="39" t="s">
        <v>322</v>
      </c>
      <c r="E435" s="40">
        <v>102</v>
      </c>
      <c r="F435" s="41">
        <f>$E435*3600/(Input!$H$4*1000)</f>
        <v>12.24</v>
      </c>
      <c r="G435" s="42" t="str">
        <f t="shared" si="6"/>
        <v>434</v>
      </c>
    </row>
    <row r="436" spans="2:7" s="38" customFormat="1" x14ac:dyDescent="0.2">
      <c r="B436" s="39" t="s">
        <v>7617</v>
      </c>
      <c r="C436" s="39" t="s">
        <v>77</v>
      </c>
      <c r="D436" s="39" t="s">
        <v>322</v>
      </c>
      <c r="E436" s="40">
        <v>84</v>
      </c>
      <c r="F436" s="41">
        <f>$E436*3600/(Input!$H$4*1000)</f>
        <v>10.08</v>
      </c>
      <c r="G436" s="42" t="str">
        <f t="shared" si="6"/>
        <v>435</v>
      </c>
    </row>
    <row r="437" spans="2:7" s="38" customFormat="1" x14ac:dyDescent="0.2">
      <c r="B437" s="39" t="s">
        <v>7618</v>
      </c>
      <c r="C437" s="39" t="s">
        <v>1384</v>
      </c>
      <c r="D437" s="39" t="s">
        <v>77</v>
      </c>
      <c r="E437" s="40">
        <v>228</v>
      </c>
      <c r="F437" s="41">
        <f>$E437*3600/(Input!$H$4*1000)</f>
        <v>27.36</v>
      </c>
      <c r="G437" s="42" t="str">
        <f t="shared" si="6"/>
        <v>436</v>
      </c>
    </row>
    <row r="438" spans="2:7" s="38" customFormat="1" x14ac:dyDescent="0.2">
      <c r="B438" s="39" t="s">
        <v>7619</v>
      </c>
      <c r="C438" s="39" t="s">
        <v>298</v>
      </c>
      <c r="D438" s="39" t="s">
        <v>1384</v>
      </c>
      <c r="E438" s="40">
        <v>369</v>
      </c>
      <c r="F438" s="41">
        <f>$E438*3600/(Input!$H$4*1000)</f>
        <v>44.28</v>
      </c>
      <c r="G438" s="42" t="str">
        <f t="shared" si="6"/>
        <v>437</v>
      </c>
    </row>
    <row r="439" spans="2:7" s="38" customFormat="1" x14ac:dyDescent="0.2">
      <c r="B439" s="39" t="s">
        <v>7620</v>
      </c>
      <c r="C439" s="39" t="s">
        <v>282</v>
      </c>
      <c r="D439" s="39" t="s">
        <v>80</v>
      </c>
      <c r="E439" s="40">
        <v>91</v>
      </c>
      <c r="F439" s="41">
        <f>$E439*3600/(Input!$H$4*1000)</f>
        <v>10.92</v>
      </c>
      <c r="G439" s="42" t="str">
        <f t="shared" si="6"/>
        <v>438</v>
      </c>
    </row>
    <row r="440" spans="2:7" s="38" customFormat="1" x14ac:dyDescent="0.2">
      <c r="B440" s="39" t="s">
        <v>7621</v>
      </c>
      <c r="C440" s="39" t="s">
        <v>81</v>
      </c>
      <c r="D440" s="39" t="s">
        <v>297</v>
      </c>
      <c r="E440" s="40">
        <v>181</v>
      </c>
      <c r="F440" s="41">
        <f>$E440*3600/(Input!$H$4*1000)</f>
        <v>21.72</v>
      </c>
      <c r="G440" s="42" t="str">
        <f t="shared" si="6"/>
        <v>439</v>
      </c>
    </row>
    <row r="441" spans="2:7" s="38" customFormat="1" x14ac:dyDescent="0.2">
      <c r="B441" s="39" t="s">
        <v>7622</v>
      </c>
      <c r="C441" s="39" t="s">
        <v>289</v>
      </c>
      <c r="D441" s="39" t="s">
        <v>1384</v>
      </c>
      <c r="E441" s="40">
        <v>335</v>
      </c>
      <c r="F441" s="41">
        <f>$E441*3600/(Input!$H$4*1000)</f>
        <v>40.200000000000003</v>
      </c>
      <c r="G441" s="42" t="str">
        <f t="shared" si="6"/>
        <v>440</v>
      </c>
    </row>
    <row r="442" spans="2:7" s="38" customFormat="1" x14ac:dyDescent="0.2">
      <c r="B442" s="39" t="s">
        <v>7623</v>
      </c>
      <c r="C442" s="39" t="s">
        <v>283</v>
      </c>
      <c r="D442" s="39" t="s">
        <v>289</v>
      </c>
      <c r="E442" s="40">
        <v>138</v>
      </c>
      <c r="F442" s="41">
        <f>$E442*3600/(Input!$H$4*1000)</f>
        <v>16.559999999999999</v>
      </c>
      <c r="G442" s="42" t="str">
        <f t="shared" si="6"/>
        <v>441</v>
      </c>
    </row>
    <row r="443" spans="2:7" s="38" customFormat="1" x14ac:dyDescent="0.2">
      <c r="B443" s="39" t="s">
        <v>7624</v>
      </c>
      <c r="C443" s="39" t="s">
        <v>283</v>
      </c>
      <c r="D443" s="39" t="s">
        <v>282</v>
      </c>
      <c r="E443" s="40">
        <v>352</v>
      </c>
      <c r="F443" s="41">
        <f>$E443*3600/(Input!$H$4*1000)</f>
        <v>42.24</v>
      </c>
      <c r="G443" s="42" t="str">
        <f t="shared" si="6"/>
        <v>442</v>
      </c>
    </row>
    <row r="444" spans="2:7" s="38" customFormat="1" x14ac:dyDescent="0.2">
      <c r="B444" s="39" t="s">
        <v>7625</v>
      </c>
      <c r="C444" s="39" t="s">
        <v>289</v>
      </c>
      <c r="D444" s="39" t="s">
        <v>305</v>
      </c>
      <c r="E444" s="40">
        <v>333</v>
      </c>
      <c r="F444" s="41">
        <f>$E444*3600/(Input!$H$4*1000)</f>
        <v>39.96</v>
      </c>
      <c r="G444" s="42" t="str">
        <f t="shared" si="6"/>
        <v>443</v>
      </c>
    </row>
    <row r="445" spans="2:7" s="38" customFormat="1" x14ac:dyDescent="0.2">
      <c r="B445" s="39" t="s">
        <v>7626</v>
      </c>
      <c r="C445" s="39" t="s">
        <v>283</v>
      </c>
      <c r="D445" s="39" t="s">
        <v>291</v>
      </c>
      <c r="E445" s="40">
        <v>583</v>
      </c>
      <c r="F445" s="41">
        <f>$E445*3600/(Input!$H$4*1000)</f>
        <v>69.959999999999994</v>
      </c>
      <c r="G445" s="42" t="str">
        <f t="shared" si="6"/>
        <v>444</v>
      </c>
    </row>
    <row r="446" spans="2:7" s="38" customFormat="1" x14ac:dyDescent="0.2">
      <c r="B446" s="39" t="s">
        <v>7627</v>
      </c>
      <c r="C446" s="39" t="s">
        <v>283</v>
      </c>
      <c r="D446" s="39" t="s">
        <v>282</v>
      </c>
      <c r="E446" s="40">
        <v>358</v>
      </c>
      <c r="F446" s="41">
        <f>$E446*3600/(Input!$H$4*1000)</f>
        <v>42.96</v>
      </c>
      <c r="G446" s="42" t="str">
        <f t="shared" si="6"/>
        <v>445</v>
      </c>
    </row>
    <row r="447" spans="2:7" s="38" customFormat="1" x14ac:dyDescent="0.2">
      <c r="B447" s="39" t="s">
        <v>7628</v>
      </c>
      <c r="C447" s="39" t="s">
        <v>1390</v>
      </c>
      <c r="D447" s="39" t="s">
        <v>289</v>
      </c>
      <c r="E447" s="40">
        <v>511</v>
      </c>
      <c r="F447" s="41">
        <f>$E447*3600/(Input!$H$4*1000)</f>
        <v>61.32</v>
      </c>
      <c r="G447" s="42" t="str">
        <f t="shared" si="6"/>
        <v>446</v>
      </c>
    </row>
    <row r="448" spans="2:7" s="38" customFormat="1" x14ac:dyDescent="0.2">
      <c r="B448" s="39" t="s">
        <v>7629</v>
      </c>
      <c r="C448" s="39" t="s">
        <v>310</v>
      </c>
      <c r="D448" s="39" t="s">
        <v>1390</v>
      </c>
      <c r="E448" s="40">
        <v>165</v>
      </c>
      <c r="F448" s="41">
        <f>$E448*3600/(Input!$H$4*1000)</f>
        <v>19.8</v>
      </c>
      <c r="G448" s="42" t="str">
        <f t="shared" si="6"/>
        <v>447</v>
      </c>
    </row>
    <row r="449" spans="2:7" s="38" customFormat="1" x14ac:dyDescent="0.2">
      <c r="B449" s="39" t="s">
        <v>7630</v>
      </c>
      <c r="C449" s="39" t="s">
        <v>304</v>
      </c>
      <c r="D449" s="39" t="s">
        <v>310</v>
      </c>
      <c r="E449" s="40">
        <v>136</v>
      </c>
      <c r="F449" s="41">
        <f>$E449*3600/(Input!$H$4*1000)</f>
        <v>16.32</v>
      </c>
      <c r="G449" s="42" t="str">
        <f t="shared" si="6"/>
        <v>448</v>
      </c>
    </row>
    <row r="450" spans="2:7" s="38" customFormat="1" x14ac:dyDescent="0.2">
      <c r="B450" s="39" t="s">
        <v>7631</v>
      </c>
      <c r="C450" s="39" t="s">
        <v>317</v>
      </c>
      <c r="D450" s="39" t="s">
        <v>304</v>
      </c>
      <c r="E450" s="40">
        <v>255</v>
      </c>
      <c r="F450" s="41">
        <f>$E450*3600/(Input!$H$4*1000)</f>
        <v>30.6</v>
      </c>
      <c r="G450" s="42" t="str">
        <f t="shared" ref="G450:G513" si="7">MID(B450,7,LEN(B450)-6)</f>
        <v>449</v>
      </c>
    </row>
    <row r="451" spans="2:7" s="38" customFormat="1" x14ac:dyDescent="0.2">
      <c r="B451" s="39" t="s">
        <v>7632</v>
      </c>
      <c r="C451" s="39" t="s">
        <v>304</v>
      </c>
      <c r="D451" s="39" t="s">
        <v>301</v>
      </c>
      <c r="E451" s="40">
        <v>158</v>
      </c>
      <c r="F451" s="41">
        <f>$E451*3600/(Input!$H$4*1000)</f>
        <v>18.96</v>
      </c>
      <c r="G451" s="42" t="str">
        <f t="shared" si="7"/>
        <v>450</v>
      </c>
    </row>
    <row r="452" spans="2:7" s="38" customFormat="1" x14ac:dyDescent="0.2">
      <c r="B452" s="39" t="s">
        <v>7633</v>
      </c>
      <c r="C452" s="39" t="s">
        <v>81</v>
      </c>
      <c r="D452" s="39" t="s">
        <v>288</v>
      </c>
      <c r="E452" s="40">
        <v>107</v>
      </c>
      <c r="F452" s="41">
        <f>$E452*3600/(Input!$H$4*1000)</f>
        <v>12.84</v>
      </c>
      <c r="G452" s="42" t="str">
        <f t="shared" si="7"/>
        <v>451</v>
      </c>
    </row>
    <row r="453" spans="2:7" s="38" customFormat="1" x14ac:dyDescent="0.2">
      <c r="B453" s="39" t="s">
        <v>7634</v>
      </c>
      <c r="C453" s="39" t="s">
        <v>297</v>
      </c>
      <c r="D453" s="39" t="s">
        <v>288</v>
      </c>
      <c r="E453" s="40">
        <v>518</v>
      </c>
      <c r="F453" s="41">
        <f>$E453*3600/(Input!$H$4*1000)</f>
        <v>62.16</v>
      </c>
      <c r="G453" s="42" t="str">
        <f t="shared" si="7"/>
        <v>452</v>
      </c>
    </row>
    <row r="454" spans="2:7" s="38" customFormat="1" x14ac:dyDescent="0.2">
      <c r="B454" s="39" t="s">
        <v>7635</v>
      </c>
      <c r="C454" s="39" t="s">
        <v>221</v>
      </c>
      <c r="D454" s="39" t="s">
        <v>825</v>
      </c>
      <c r="E454" s="40">
        <v>298</v>
      </c>
      <c r="F454" s="41">
        <f>$E454*3600/(Input!$H$4*1000)</f>
        <v>35.76</v>
      </c>
      <c r="G454" s="42" t="str">
        <f t="shared" si="7"/>
        <v>453</v>
      </c>
    </row>
    <row r="455" spans="2:7" s="38" customFormat="1" x14ac:dyDescent="0.2">
      <c r="B455" s="39" t="s">
        <v>7636</v>
      </c>
      <c r="C455" s="39" t="s">
        <v>221</v>
      </c>
      <c r="D455" s="39" t="s">
        <v>282</v>
      </c>
      <c r="E455" s="40">
        <v>589</v>
      </c>
      <c r="F455" s="41">
        <f>$E455*3600/(Input!$H$4*1000)</f>
        <v>70.680000000000007</v>
      </c>
      <c r="G455" s="42" t="str">
        <f t="shared" si="7"/>
        <v>454</v>
      </c>
    </row>
    <row r="456" spans="2:7" s="38" customFormat="1" x14ac:dyDescent="0.2">
      <c r="B456" s="39" t="s">
        <v>7637</v>
      </c>
      <c r="C456" s="39" t="s">
        <v>115</v>
      </c>
      <c r="D456" s="39" t="s">
        <v>299</v>
      </c>
      <c r="E456" s="40">
        <v>357</v>
      </c>
      <c r="F456" s="41">
        <f>$E456*3600/(Input!$H$4*1000)</f>
        <v>42.84</v>
      </c>
      <c r="G456" s="42" t="str">
        <f t="shared" si="7"/>
        <v>455</v>
      </c>
    </row>
    <row r="457" spans="2:7" s="38" customFormat="1" x14ac:dyDescent="0.2">
      <c r="B457" s="39" t="s">
        <v>7638</v>
      </c>
      <c r="C457" s="39" t="s">
        <v>115</v>
      </c>
      <c r="D457" s="39" t="s">
        <v>819</v>
      </c>
      <c r="E457" s="40">
        <v>530</v>
      </c>
      <c r="F457" s="41">
        <f>$E457*3600/(Input!$H$4*1000)</f>
        <v>63.6</v>
      </c>
      <c r="G457" s="42" t="str">
        <f t="shared" si="7"/>
        <v>456</v>
      </c>
    </row>
    <row r="458" spans="2:7" s="38" customFormat="1" x14ac:dyDescent="0.2">
      <c r="B458" s="39" t="s">
        <v>7639</v>
      </c>
      <c r="C458" s="39" t="s">
        <v>853</v>
      </c>
      <c r="D458" s="39" t="s">
        <v>301</v>
      </c>
      <c r="E458" s="40">
        <v>330</v>
      </c>
      <c r="F458" s="41">
        <f>$E458*3600/(Input!$H$4*1000)</f>
        <v>39.6</v>
      </c>
      <c r="G458" s="42" t="str">
        <f t="shared" si="7"/>
        <v>457</v>
      </c>
    </row>
    <row r="459" spans="2:7" s="38" customFormat="1" x14ac:dyDescent="0.2">
      <c r="B459" s="39" t="s">
        <v>7640</v>
      </c>
      <c r="C459" s="39" t="s">
        <v>853</v>
      </c>
      <c r="D459" s="39" t="s">
        <v>743</v>
      </c>
      <c r="E459" s="40">
        <v>105</v>
      </c>
      <c r="F459" s="41">
        <f>$E459*3600/(Input!$H$4*1000)</f>
        <v>12.6</v>
      </c>
      <c r="G459" s="42" t="str">
        <f t="shared" si="7"/>
        <v>458</v>
      </c>
    </row>
    <row r="460" spans="2:7" s="38" customFormat="1" x14ac:dyDescent="0.2">
      <c r="B460" s="39" t="s">
        <v>7641</v>
      </c>
      <c r="C460" s="39" t="s">
        <v>1312</v>
      </c>
      <c r="D460" s="39" t="s">
        <v>302</v>
      </c>
      <c r="E460" s="40">
        <v>43</v>
      </c>
      <c r="F460" s="41">
        <f>$E460*3600/(Input!$H$4*1000)</f>
        <v>5.16</v>
      </c>
      <c r="G460" s="42" t="str">
        <f t="shared" si="7"/>
        <v>459</v>
      </c>
    </row>
    <row r="461" spans="2:7" s="38" customFormat="1" x14ac:dyDescent="0.2">
      <c r="B461" s="39" t="s">
        <v>7642</v>
      </c>
      <c r="C461" s="39" t="s">
        <v>302</v>
      </c>
      <c r="D461" s="39" t="s">
        <v>743</v>
      </c>
      <c r="E461" s="40">
        <v>47</v>
      </c>
      <c r="F461" s="41">
        <f>$E461*3600/(Input!$H$4*1000)</f>
        <v>5.64</v>
      </c>
      <c r="G461" s="42" t="str">
        <f t="shared" si="7"/>
        <v>460</v>
      </c>
    </row>
    <row r="462" spans="2:7" s="38" customFormat="1" x14ac:dyDescent="0.2">
      <c r="B462" s="39" t="s">
        <v>7643</v>
      </c>
      <c r="C462" s="39" t="s">
        <v>302</v>
      </c>
      <c r="D462" s="39" t="s">
        <v>853</v>
      </c>
      <c r="E462" s="40">
        <v>133</v>
      </c>
      <c r="F462" s="41">
        <f>$E462*3600/(Input!$H$4*1000)</f>
        <v>15.96</v>
      </c>
      <c r="G462" s="42" t="str">
        <f t="shared" si="7"/>
        <v>461</v>
      </c>
    </row>
    <row r="463" spans="2:7" s="38" customFormat="1" x14ac:dyDescent="0.2">
      <c r="B463" s="39" t="s">
        <v>7644</v>
      </c>
      <c r="C463" s="39" t="s">
        <v>859</v>
      </c>
      <c r="D463" s="39" t="s">
        <v>180</v>
      </c>
      <c r="E463" s="40">
        <v>176</v>
      </c>
      <c r="F463" s="41">
        <f>$E463*3600/(Input!$H$4*1000)</f>
        <v>21.12</v>
      </c>
      <c r="G463" s="42" t="str">
        <f t="shared" si="7"/>
        <v>462</v>
      </c>
    </row>
    <row r="464" spans="2:7" s="38" customFormat="1" x14ac:dyDescent="0.2">
      <c r="B464" s="39" t="s">
        <v>7645</v>
      </c>
      <c r="C464" s="39" t="s">
        <v>180</v>
      </c>
      <c r="D464" s="39" t="s">
        <v>853</v>
      </c>
      <c r="E464" s="40">
        <v>112</v>
      </c>
      <c r="F464" s="41">
        <f>$E464*3600/(Input!$H$4*1000)</f>
        <v>13.44</v>
      </c>
      <c r="G464" s="42" t="str">
        <f t="shared" si="7"/>
        <v>463</v>
      </c>
    </row>
    <row r="465" spans="2:7" s="38" customFormat="1" x14ac:dyDescent="0.2">
      <c r="B465" s="39" t="s">
        <v>7646</v>
      </c>
      <c r="C465" s="39" t="s">
        <v>710</v>
      </c>
      <c r="D465" s="39" t="s">
        <v>307</v>
      </c>
      <c r="E465" s="40">
        <v>133</v>
      </c>
      <c r="F465" s="41">
        <f>$E465*3600/(Input!$H$4*1000)</f>
        <v>15.96</v>
      </c>
      <c r="G465" s="42" t="str">
        <f t="shared" si="7"/>
        <v>464</v>
      </c>
    </row>
    <row r="466" spans="2:7" s="38" customFormat="1" x14ac:dyDescent="0.2">
      <c r="B466" s="39" t="s">
        <v>7647</v>
      </c>
      <c r="C466" s="39" t="s">
        <v>710</v>
      </c>
      <c r="D466" s="39" t="s">
        <v>1303</v>
      </c>
      <c r="E466" s="40">
        <v>134</v>
      </c>
      <c r="F466" s="41">
        <f>$E466*3600/(Input!$H$4*1000)</f>
        <v>16.079999999999998</v>
      </c>
      <c r="G466" s="42" t="str">
        <f t="shared" si="7"/>
        <v>465</v>
      </c>
    </row>
    <row r="467" spans="2:7" s="38" customFormat="1" x14ac:dyDescent="0.2">
      <c r="B467" s="39" t="s">
        <v>7648</v>
      </c>
      <c r="C467" s="39" t="s">
        <v>853</v>
      </c>
      <c r="D467" s="39" t="s">
        <v>115</v>
      </c>
      <c r="E467" s="40">
        <v>247</v>
      </c>
      <c r="F467" s="41">
        <f>$E467*3600/(Input!$H$4*1000)</f>
        <v>29.64</v>
      </c>
      <c r="G467" s="42" t="str">
        <f t="shared" si="7"/>
        <v>466</v>
      </c>
    </row>
    <row r="468" spans="2:7" s="38" customFormat="1" x14ac:dyDescent="0.2">
      <c r="B468" s="39" t="s">
        <v>7649</v>
      </c>
      <c r="C468" s="39" t="s">
        <v>1380</v>
      </c>
      <c r="D468" s="39" t="s">
        <v>115</v>
      </c>
      <c r="E468" s="40">
        <v>504</v>
      </c>
      <c r="F468" s="41">
        <f>$E468*3600/(Input!$H$4*1000)</f>
        <v>60.48</v>
      </c>
      <c r="G468" s="42" t="str">
        <f t="shared" si="7"/>
        <v>467</v>
      </c>
    </row>
    <row r="469" spans="2:7" s="38" customFormat="1" x14ac:dyDescent="0.2">
      <c r="B469" s="39" t="s">
        <v>7650</v>
      </c>
      <c r="C469" s="39" t="s">
        <v>810</v>
      </c>
      <c r="D469" s="39" t="s">
        <v>1281</v>
      </c>
      <c r="E469" s="40">
        <v>118</v>
      </c>
      <c r="F469" s="41">
        <f>$E469*3600/(Input!$H$4*1000)</f>
        <v>14.16</v>
      </c>
      <c r="G469" s="42" t="str">
        <f t="shared" si="7"/>
        <v>468</v>
      </c>
    </row>
    <row r="470" spans="2:7" s="38" customFormat="1" x14ac:dyDescent="0.2">
      <c r="B470" s="39" t="s">
        <v>7651</v>
      </c>
      <c r="C470" s="39" t="s">
        <v>1380</v>
      </c>
      <c r="D470" s="39" t="s">
        <v>810</v>
      </c>
      <c r="E470" s="40">
        <v>285</v>
      </c>
      <c r="F470" s="41">
        <f>$E470*3600/(Input!$H$4*1000)</f>
        <v>34.200000000000003</v>
      </c>
      <c r="G470" s="42" t="str">
        <f t="shared" si="7"/>
        <v>469</v>
      </c>
    </row>
    <row r="471" spans="2:7" s="38" customFormat="1" x14ac:dyDescent="0.2">
      <c r="B471" s="39" t="s">
        <v>7652</v>
      </c>
      <c r="C471" s="39" t="s">
        <v>681</v>
      </c>
      <c r="D471" s="39" t="s">
        <v>1630</v>
      </c>
      <c r="E471" s="40">
        <v>298</v>
      </c>
      <c r="F471" s="41">
        <f>$E471*3600/(Input!$H$4*1000)</f>
        <v>35.76</v>
      </c>
      <c r="G471" s="42" t="str">
        <f t="shared" si="7"/>
        <v>470</v>
      </c>
    </row>
    <row r="472" spans="2:7" s="38" customFormat="1" x14ac:dyDescent="0.2">
      <c r="B472" s="39" t="s">
        <v>7653</v>
      </c>
      <c r="C472" s="39" t="s">
        <v>1303</v>
      </c>
      <c r="D472" s="39" t="s">
        <v>1221</v>
      </c>
      <c r="E472" s="40">
        <v>236</v>
      </c>
      <c r="F472" s="41">
        <f>$E472*3600/(Input!$H$4*1000)</f>
        <v>28.32</v>
      </c>
      <c r="G472" s="42" t="str">
        <f t="shared" si="7"/>
        <v>471</v>
      </c>
    </row>
    <row r="473" spans="2:7" s="38" customFormat="1" x14ac:dyDescent="0.2">
      <c r="B473" s="39" t="s">
        <v>7654</v>
      </c>
      <c r="C473" s="39" t="s">
        <v>78</v>
      </c>
      <c r="D473" s="39" t="s">
        <v>685</v>
      </c>
      <c r="E473" s="40">
        <v>76</v>
      </c>
      <c r="F473" s="41">
        <f>$E473*3600/(Input!$H$4*1000)</f>
        <v>9.1199999999999992</v>
      </c>
      <c r="G473" s="42" t="str">
        <f t="shared" si="7"/>
        <v>472</v>
      </c>
    </row>
    <row r="474" spans="2:7" s="38" customFormat="1" x14ac:dyDescent="0.2">
      <c r="B474" s="39" t="s">
        <v>7655</v>
      </c>
      <c r="C474" s="39" t="s">
        <v>685</v>
      </c>
      <c r="D474" s="39" t="s">
        <v>1163</v>
      </c>
      <c r="E474" s="40">
        <v>175</v>
      </c>
      <c r="F474" s="41">
        <f>$E474*3600/(Input!$H$4*1000)</f>
        <v>21</v>
      </c>
      <c r="G474" s="42" t="str">
        <f t="shared" si="7"/>
        <v>473</v>
      </c>
    </row>
    <row r="475" spans="2:7" s="38" customFormat="1" x14ac:dyDescent="0.2">
      <c r="B475" s="39" t="s">
        <v>7656</v>
      </c>
      <c r="C475" s="39" t="s">
        <v>261</v>
      </c>
      <c r="D475" s="39" t="s">
        <v>1163</v>
      </c>
      <c r="E475" s="40">
        <v>61</v>
      </c>
      <c r="F475" s="41">
        <f>$E475*3600/(Input!$H$4*1000)</f>
        <v>7.32</v>
      </c>
      <c r="G475" s="42" t="str">
        <f t="shared" si="7"/>
        <v>474</v>
      </c>
    </row>
    <row r="476" spans="2:7" s="38" customFormat="1" x14ac:dyDescent="0.2">
      <c r="B476" s="39" t="s">
        <v>7657</v>
      </c>
      <c r="C476" s="39" t="s">
        <v>671</v>
      </c>
      <c r="D476" s="39" t="s">
        <v>1163</v>
      </c>
      <c r="E476" s="40">
        <v>210</v>
      </c>
      <c r="F476" s="41">
        <f>$E476*3600/(Input!$H$4*1000)</f>
        <v>25.2</v>
      </c>
      <c r="G476" s="42" t="str">
        <f t="shared" si="7"/>
        <v>475</v>
      </c>
    </row>
    <row r="477" spans="2:7" s="38" customFormat="1" x14ac:dyDescent="0.2">
      <c r="B477" s="39" t="s">
        <v>7658</v>
      </c>
      <c r="C477" s="39" t="s">
        <v>78</v>
      </c>
      <c r="D477" s="39" t="s">
        <v>656</v>
      </c>
      <c r="E477" s="40">
        <v>327</v>
      </c>
      <c r="F477" s="41">
        <f>$E477*3600/(Input!$H$4*1000)</f>
        <v>39.24</v>
      </c>
      <c r="G477" s="42" t="str">
        <f t="shared" si="7"/>
        <v>476</v>
      </c>
    </row>
    <row r="478" spans="2:7" s="38" customFormat="1" x14ac:dyDescent="0.2">
      <c r="B478" s="39" t="s">
        <v>7659</v>
      </c>
      <c r="C478" s="39" t="s">
        <v>812</v>
      </c>
      <c r="D478" s="39" t="s">
        <v>373</v>
      </c>
      <c r="E478" s="40">
        <v>282</v>
      </c>
      <c r="F478" s="41">
        <f>$E478*3600/(Input!$H$4*1000)</f>
        <v>33.840000000000003</v>
      </c>
      <c r="G478" s="42" t="str">
        <f t="shared" si="7"/>
        <v>477</v>
      </c>
    </row>
    <row r="479" spans="2:7" s="38" customFormat="1" x14ac:dyDescent="0.2">
      <c r="B479" s="39" t="s">
        <v>7660</v>
      </c>
      <c r="C479" s="39" t="s">
        <v>91</v>
      </c>
      <c r="D479" s="39" t="s">
        <v>373</v>
      </c>
      <c r="E479" s="40">
        <v>485</v>
      </c>
      <c r="F479" s="41">
        <f>$E479*3600/(Input!$H$4*1000)</f>
        <v>58.2</v>
      </c>
      <c r="G479" s="42" t="str">
        <f t="shared" si="7"/>
        <v>478</v>
      </c>
    </row>
    <row r="480" spans="2:7" s="38" customFormat="1" x14ac:dyDescent="0.2">
      <c r="B480" s="39" t="s">
        <v>7661</v>
      </c>
      <c r="C480" s="39" t="s">
        <v>374</v>
      </c>
      <c r="D480" s="39" t="s">
        <v>1550</v>
      </c>
      <c r="E480" s="40">
        <v>473</v>
      </c>
      <c r="F480" s="41">
        <f>$E480*3600/(Input!$H$4*1000)</f>
        <v>56.76</v>
      </c>
      <c r="G480" s="42" t="str">
        <f t="shared" si="7"/>
        <v>479</v>
      </c>
    </row>
    <row r="481" spans="2:7" s="38" customFormat="1" x14ac:dyDescent="0.2">
      <c r="B481" s="39" t="s">
        <v>7662</v>
      </c>
      <c r="C481" s="39" t="s">
        <v>374</v>
      </c>
      <c r="D481" s="39" t="s">
        <v>148</v>
      </c>
      <c r="E481" s="40">
        <v>301</v>
      </c>
      <c r="F481" s="41">
        <f>$E481*3600/(Input!$H$4*1000)</f>
        <v>36.119999999999997</v>
      </c>
      <c r="G481" s="42" t="str">
        <f t="shared" si="7"/>
        <v>480</v>
      </c>
    </row>
    <row r="482" spans="2:7" s="38" customFormat="1" x14ac:dyDescent="0.2">
      <c r="B482" s="39" t="s">
        <v>7663</v>
      </c>
      <c r="C482" s="39" t="s">
        <v>148</v>
      </c>
      <c r="D482" s="39" t="s">
        <v>91</v>
      </c>
      <c r="E482" s="40">
        <v>681</v>
      </c>
      <c r="F482" s="41">
        <f>$E482*3600/(Input!$H$4*1000)</f>
        <v>81.72</v>
      </c>
      <c r="G482" s="42" t="str">
        <f t="shared" si="7"/>
        <v>481</v>
      </c>
    </row>
    <row r="483" spans="2:7" s="38" customFormat="1" x14ac:dyDescent="0.2">
      <c r="B483" s="39" t="s">
        <v>7664</v>
      </c>
      <c r="C483" s="39" t="s">
        <v>375</v>
      </c>
      <c r="D483" s="39" t="s">
        <v>145</v>
      </c>
      <c r="E483" s="40">
        <v>497</v>
      </c>
      <c r="F483" s="41">
        <f>$E483*3600/(Input!$H$4*1000)</f>
        <v>59.64</v>
      </c>
      <c r="G483" s="42" t="str">
        <f t="shared" si="7"/>
        <v>482</v>
      </c>
    </row>
    <row r="484" spans="2:7" s="38" customFormat="1" x14ac:dyDescent="0.2">
      <c r="B484" s="39" t="s">
        <v>7665</v>
      </c>
      <c r="C484" s="39" t="s">
        <v>1495</v>
      </c>
      <c r="D484" s="39" t="s">
        <v>375</v>
      </c>
      <c r="E484" s="40">
        <v>163</v>
      </c>
      <c r="F484" s="41">
        <f>$E484*3600/(Input!$H$4*1000)</f>
        <v>19.559999999999999</v>
      </c>
      <c r="G484" s="42" t="str">
        <f t="shared" si="7"/>
        <v>483</v>
      </c>
    </row>
    <row r="485" spans="2:7" s="38" customFormat="1" x14ac:dyDescent="0.2">
      <c r="B485" s="39" t="s">
        <v>7666</v>
      </c>
      <c r="C485" s="39" t="s">
        <v>909</v>
      </c>
      <c r="D485" s="39" t="s">
        <v>145</v>
      </c>
      <c r="E485" s="40">
        <v>243</v>
      </c>
      <c r="F485" s="41">
        <f>$E485*3600/(Input!$H$4*1000)</f>
        <v>29.16</v>
      </c>
      <c r="G485" s="42" t="str">
        <f t="shared" si="7"/>
        <v>484</v>
      </c>
    </row>
    <row r="486" spans="2:7" s="38" customFormat="1" x14ac:dyDescent="0.2">
      <c r="B486" s="39" t="s">
        <v>7667</v>
      </c>
      <c r="C486" s="39" t="s">
        <v>148</v>
      </c>
      <c r="D486" s="39" t="s">
        <v>909</v>
      </c>
      <c r="E486" s="40">
        <v>181</v>
      </c>
      <c r="F486" s="41">
        <f>$E486*3600/(Input!$H$4*1000)</f>
        <v>21.72</v>
      </c>
      <c r="G486" s="42" t="str">
        <f t="shared" si="7"/>
        <v>485</v>
      </c>
    </row>
    <row r="487" spans="2:7" s="38" customFormat="1" x14ac:dyDescent="0.2">
      <c r="B487" s="39" t="s">
        <v>7668</v>
      </c>
      <c r="C487" s="39" t="s">
        <v>1796</v>
      </c>
      <c r="D487" s="39" t="s">
        <v>1494</v>
      </c>
      <c r="E487" s="40">
        <v>429</v>
      </c>
      <c r="F487" s="41">
        <f>$E487*3600/(Input!$H$4*1000)</f>
        <v>51.48</v>
      </c>
      <c r="G487" s="42" t="str">
        <f t="shared" si="7"/>
        <v>486</v>
      </c>
    </row>
    <row r="488" spans="2:7" s="38" customFormat="1" x14ac:dyDescent="0.2">
      <c r="B488" s="39" t="s">
        <v>7669</v>
      </c>
      <c r="C488" s="39" t="s">
        <v>375</v>
      </c>
      <c r="D488" s="39" t="s">
        <v>1494</v>
      </c>
      <c r="E488" s="40">
        <v>520</v>
      </c>
      <c r="F488" s="41">
        <f>$E488*3600/(Input!$H$4*1000)</f>
        <v>62.4</v>
      </c>
      <c r="G488" s="42" t="str">
        <f t="shared" si="7"/>
        <v>487</v>
      </c>
    </row>
    <row r="489" spans="2:7" s="38" customFormat="1" x14ac:dyDescent="0.2">
      <c r="B489" s="39" t="s">
        <v>7670</v>
      </c>
      <c r="C489" s="39" t="s">
        <v>1494</v>
      </c>
      <c r="D489" s="39" t="s">
        <v>973</v>
      </c>
      <c r="E489" s="40">
        <v>293</v>
      </c>
      <c r="F489" s="41">
        <f>$E489*3600/(Input!$H$4*1000)</f>
        <v>35.159999999999997</v>
      </c>
      <c r="G489" s="42" t="str">
        <f t="shared" si="7"/>
        <v>488</v>
      </c>
    </row>
    <row r="490" spans="2:7" s="38" customFormat="1" x14ac:dyDescent="0.2">
      <c r="B490" s="39" t="s">
        <v>7671</v>
      </c>
      <c r="C490" s="39" t="s">
        <v>908</v>
      </c>
      <c r="D490" s="39" t="s">
        <v>584</v>
      </c>
      <c r="E490" s="40">
        <v>108</v>
      </c>
      <c r="F490" s="41">
        <f>$E490*3600/(Input!$H$4*1000)</f>
        <v>12.96</v>
      </c>
      <c r="G490" s="42" t="str">
        <f t="shared" si="7"/>
        <v>489</v>
      </c>
    </row>
    <row r="491" spans="2:7" s="38" customFormat="1" x14ac:dyDescent="0.2">
      <c r="B491" s="39" t="s">
        <v>7672</v>
      </c>
      <c r="C491" s="39" t="s">
        <v>1485</v>
      </c>
      <c r="D491" s="39" t="s">
        <v>584</v>
      </c>
      <c r="E491" s="40">
        <v>219</v>
      </c>
      <c r="F491" s="41">
        <f>$E491*3600/(Input!$H$4*1000)</f>
        <v>26.28</v>
      </c>
      <c r="G491" s="42" t="str">
        <f t="shared" si="7"/>
        <v>490</v>
      </c>
    </row>
    <row r="492" spans="2:7" s="38" customFormat="1" x14ac:dyDescent="0.2">
      <c r="B492" s="39" t="s">
        <v>7673</v>
      </c>
      <c r="C492" s="39" t="s">
        <v>1485</v>
      </c>
      <c r="D492" s="39" t="s">
        <v>1079</v>
      </c>
      <c r="E492" s="40">
        <v>122</v>
      </c>
      <c r="F492" s="41">
        <f>$E492*3600/(Input!$H$4*1000)</f>
        <v>14.64</v>
      </c>
      <c r="G492" s="42" t="str">
        <f t="shared" si="7"/>
        <v>491</v>
      </c>
    </row>
    <row r="493" spans="2:7" s="38" customFormat="1" x14ac:dyDescent="0.2">
      <c r="B493" s="39" t="s">
        <v>7674</v>
      </c>
      <c r="C493" s="39" t="s">
        <v>1485</v>
      </c>
      <c r="D493" s="39" t="s">
        <v>41</v>
      </c>
      <c r="E493" s="40">
        <v>246</v>
      </c>
      <c r="F493" s="41">
        <f>$E493*3600/(Input!$H$4*1000)</f>
        <v>29.52</v>
      </c>
      <c r="G493" s="42" t="str">
        <f t="shared" si="7"/>
        <v>492</v>
      </c>
    </row>
    <row r="494" spans="2:7" s="38" customFormat="1" x14ac:dyDescent="0.2">
      <c r="B494" s="39" t="s">
        <v>7675</v>
      </c>
      <c r="C494" s="39" t="s">
        <v>41</v>
      </c>
      <c r="D494" s="39" t="s">
        <v>1489</v>
      </c>
      <c r="E494" s="40">
        <v>82</v>
      </c>
      <c r="F494" s="41">
        <f>$E494*3600/(Input!$H$4*1000)</f>
        <v>9.84</v>
      </c>
      <c r="G494" s="42" t="str">
        <f t="shared" si="7"/>
        <v>493</v>
      </c>
    </row>
    <row r="495" spans="2:7" s="38" customFormat="1" x14ac:dyDescent="0.2">
      <c r="B495" s="39" t="s">
        <v>7676</v>
      </c>
      <c r="C495" s="39" t="s">
        <v>1485</v>
      </c>
      <c r="D495" s="39" t="s">
        <v>170</v>
      </c>
      <c r="E495" s="40">
        <v>336</v>
      </c>
      <c r="F495" s="41">
        <f>$E495*3600/(Input!$H$4*1000)</f>
        <v>40.32</v>
      </c>
      <c r="G495" s="42" t="str">
        <f t="shared" si="7"/>
        <v>494</v>
      </c>
    </row>
    <row r="496" spans="2:7" s="38" customFormat="1" x14ac:dyDescent="0.2">
      <c r="B496" s="39" t="s">
        <v>7677</v>
      </c>
      <c r="C496" s="39" t="s">
        <v>170</v>
      </c>
      <c r="D496" s="39" t="s">
        <v>49</v>
      </c>
      <c r="E496" s="40">
        <v>203</v>
      </c>
      <c r="F496" s="41">
        <f>$E496*3600/(Input!$H$4*1000)</f>
        <v>24.36</v>
      </c>
      <c r="G496" s="42" t="str">
        <f t="shared" si="7"/>
        <v>495</v>
      </c>
    </row>
    <row r="497" spans="2:7" s="38" customFormat="1" x14ac:dyDescent="0.2">
      <c r="B497" s="39" t="s">
        <v>7678</v>
      </c>
      <c r="C497" s="39" t="s">
        <v>1484</v>
      </c>
      <c r="D497" s="39" t="s">
        <v>897</v>
      </c>
      <c r="E497" s="40">
        <v>245</v>
      </c>
      <c r="F497" s="41">
        <f>$E497*3600/(Input!$H$4*1000)</f>
        <v>29.4</v>
      </c>
      <c r="G497" s="42" t="str">
        <f t="shared" si="7"/>
        <v>496</v>
      </c>
    </row>
    <row r="498" spans="2:7" s="38" customFormat="1" x14ac:dyDescent="0.2">
      <c r="B498" s="39" t="s">
        <v>7679</v>
      </c>
      <c r="C498" s="39" t="s">
        <v>365</v>
      </c>
      <c r="D498" s="39" t="s">
        <v>583</v>
      </c>
      <c r="E498" s="40">
        <v>138</v>
      </c>
      <c r="F498" s="41">
        <f>$E498*3600/(Input!$H$4*1000)</f>
        <v>16.559999999999999</v>
      </c>
      <c r="G498" s="42" t="str">
        <f t="shared" si="7"/>
        <v>497</v>
      </c>
    </row>
    <row r="499" spans="2:7" s="38" customFormat="1" x14ac:dyDescent="0.2">
      <c r="B499" s="39" t="s">
        <v>7680</v>
      </c>
      <c r="C499" s="39" t="s">
        <v>365</v>
      </c>
      <c r="D499" s="39" t="s">
        <v>1486</v>
      </c>
      <c r="E499" s="40">
        <v>288</v>
      </c>
      <c r="F499" s="41">
        <f>$E499*3600/(Input!$H$4*1000)</f>
        <v>34.56</v>
      </c>
      <c r="G499" s="42" t="str">
        <f t="shared" si="7"/>
        <v>498</v>
      </c>
    </row>
    <row r="500" spans="2:7" s="38" customFormat="1" x14ac:dyDescent="0.2">
      <c r="B500" s="39" t="s">
        <v>7681</v>
      </c>
      <c r="C500" s="39" t="s">
        <v>897</v>
      </c>
      <c r="D500" s="39" t="s">
        <v>168</v>
      </c>
      <c r="E500" s="40">
        <v>195</v>
      </c>
      <c r="F500" s="41">
        <f>$E500*3600/(Input!$H$4*1000)</f>
        <v>23.4</v>
      </c>
      <c r="G500" s="42" t="str">
        <f t="shared" si="7"/>
        <v>499</v>
      </c>
    </row>
    <row r="501" spans="2:7" s="38" customFormat="1" x14ac:dyDescent="0.2">
      <c r="B501" s="39" t="s">
        <v>7682</v>
      </c>
      <c r="C501" s="39" t="s">
        <v>1486</v>
      </c>
      <c r="D501" s="39" t="s">
        <v>168</v>
      </c>
      <c r="E501" s="40">
        <v>54</v>
      </c>
      <c r="F501" s="41">
        <f>$E501*3600/(Input!$H$4*1000)</f>
        <v>6.48</v>
      </c>
      <c r="G501" s="42" t="str">
        <f t="shared" si="7"/>
        <v>500</v>
      </c>
    </row>
    <row r="502" spans="2:7" s="38" customFormat="1" x14ac:dyDescent="0.2">
      <c r="B502" s="39" t="s">
        <v>7683</v>
      </c>
      <c r="C502" s="39" t="s">
        <v>1486</v>
      </c>
      <c r="D502" s="39" t="s">
        <v>42</v>
      </c>
      <c r="E502" s="40">
        <v>298</v>
      </c>
      <c r="F502" s="41">
        <f>$E502*3600/(Input!$H$4*1000)</f>
        <v>35.76</v>
      </c>
      <c r="G502" s="42" t="str">
        <f t="shared" si="7"/>
        <v>501</v>
      </c>
    </row>
    <row r="503" spans="2:7" s="38" customFormat="1" x14ac:dyDescent="0.2">
      <c r="B503" s="39" t="s">
        <v>7684</v>
      </c>
      <c r="C503" s="39" t="s">
        <v>1486</v>
      </c>
      <c r="D503" s="39" t="s">
        <v>1515</v>
      </c>
      <c r="E503" s="40">
        <v>286</v>
      </c>
      <c r="F503" s="41">
        <f>$E503*3600/(Input!$H$4*1000)</f>
        <v>34.32</v>
      </c>
      <c r="G503" s="42" t="str">
        <f t="shared" si="7"/>
        <v>502</v>
      </c>
    </row>
    <row r="504" spans="2:7" s="38" customFormat="1" x14ac:dyDescent="0.2">
      <c r="B504" s="39" t="s">
        <v>7685</v>
      </c>
      <c r="C504" s="39" t="s">
        <v>1486</v>
      </c>
      <c r="D504" s="39" t="s">
        <v>131</v>
      </c>
      <c r="E504" s="40">
        <v>276</v>
      </c>
      <c r="F504" s="41">
        <f>$E504*3600/(Input!$H$4*1000)</f>
        <v>33.119999999999997</v>
      </c>
      <c r="G504" s="42" t="str">
        <f t="shared" si="7"/>
        <v>503</v>
      </c>
    </row>
    <row r="505" spans="2:7" s="38" customFormat="1" x14ac:dyDescent="0.2">
      <c r="B505" s="39" t="s">
        <v>7686</v>
      </c>
      <c r="C505" s="39" t="s">
        <v>909</v>
      </c>
      <c r="D505" s="39" t="s">
        <v>56</v>
      </c>
      <c r="E505" s="40">
        <v>94</v>
      </c>
      <c r="F505" s="41">
        <f>$E505*3600/(Input!$H$4*1000)</f>
        <v>11.28</v>
      </c>
      <c r="G505" s="42" t="str">
        <f t="shared" si="7"/>
        <v>504</v>
      </c>
    </row>
    <row r="506" spans="2:7" s="38" customFormat="1" x14ac:dyDescent="0.2">
      <c r="B506" s="39" t="s">
        <v>7687</v>
      </c>
      <c r="C506" s="39" t="s">
        <v>909</v>
      </c>
      <c r="D506" s="39" t="s">
        <v>1497</v>
      </c>
      <c r="E506" s="40">
        <v>234</v>
      </c>
      <c r="F506" s="41">
        <f>$E506*3600/(Input!$H$4*1000)</f>
        <v>28.08</v>
      </c>
      <c r="G506" s="42" t="str">
        <f t="shared" si="7"/>
        <v>505</v>
      </c>
    </row>
    <row r="507" spans="2:7" s="38" customFormat="1" x14ac:dyDescent="0.2">
      <c r="B507" s="39" t="s">
        <v>7688</v>
      </c>
      <c r="C507" s="39" t="s">
        <v>1497</v>
      </c>
      <c r="D507" s="39" t="s">
        <v>912</v>
      </c>
      <c r="E507" s="40">
        <v>361</v>
      </c>
      <c r="F507" s="41">
        <f>$E507*3600/(Input!$H$4*1000)</f>
        <v>43.32</v>
      </c>
      <c r="G507" s="42" t="str">
        <f t="shared" si="7"/>
        <v>506</v>
      </c>
    </row>
    <row r="508" spans="2:7" s="38" customFormat="1" x14ac:dyDescent="0.2">
      <c r="B508" s="39" t="s">
        <v>7689</v>
      </c>
      <c r="C508" s="39" t="s">
        <v>912</v>
      </c>
      <c r="D508" s="39" t="s">
        <v>718</v>
      </c>
      <c r="E508" s="40">
        <v>328</v>
      </c>
      <c r="F508" s="41">
        <f>$E508*3600/(Input!$H$4*1000)</f>
        <v>39.36</v>
      </c>
      <c r="G508" s="42" t="str">
        <f t="shared" si="7"/>
        <v>507</v>
      </c>
    </row>
    <row r="509" spans="2:7" s="38" customFormat="1" x14ac:dyDescent="0.2">
      <c r="B509" s="39" t="s">
        <v>7690</v>
      </c>
      <c r="C509" s="39" t="s">
        <v>159</v>
      </c>
      <c r="D509" s="39" t="s">
        <v>718</v>
      </c>
      <c r="E509" s="40">
        <v>228</v>
      </c>
      <c r="F509" s="41">
        <f>$E509*3600/(Input!$H$4*1000)</f>
        <v>27.36</v>
      </c>
      <c r="G509" s="42" t="str">
        <f t="shared" si="7"/>
        <v>508</v>
      </c>
    </row>
    <row r="510" spans="2:7" s="38" customFormat="1" x14ac:dyDescent="0.2">
      <c r="B510" s="39" t="s">
        <v>7691</v>
      </c>
      <c r="C510" s="39" t="s">
        <v>56</v>
      </c>
      <c r="D510" s="39" t="s">
        <v>1497</v>
      </c>
      <c r="E510" s="40">
        <v>221</v>
      </c>
      <c r="F510" s="41">
        <f>$E510*3600/(Input!$H$4*1000)</f>
        <v>26.52</v>
      </c>
      <c r="G510" s="42" t="str">
        <f t="shared" si="7"/>
        <v>509</v>
      </c>
    </row>
    <row r="511" spans="2:7" s="38" customFormat="1" x14ac:dyDescent="0.2">
      <c r="B511" s="39" t="s">
        <v>7692</v>
      </c>
      <c r="C511" s="39" t="s">
        <v>56</v>
      </c>
      <c r="D511" s="39" t="s">
        <v>1501</v>
      </c>
      <c r="E511" s="40">
        <v>264</v>
      </c>
      <c r="F511" s="41">
        <f>$E511*3600/(Input!$H$4*1000)</f>
        <v>31.68</v>
      </c>
      <c r="G511" s="42" t="str">
        <f t="shared" si="7"/>
        <v>510</v>
      </c>
    </row>
    <row r="512" spans="2:7" s="38" customFormat="1" x14ac:dyDescent="0.2">
      <c r="B512" s="39" t="s">
        <v>7693</v>
      </c>
      <c r="C512" s="39" t="s">
        <v>936</v>
      </c>
      <c r="D512" s="39" t="s">
        <v>120</v>
      </c>
      <c r="E512" s="40">
        <v>116</v>
      </c>
      <c r="F512" s="41">
        <f>$E512*3600/(Input!$H$4*1000)</f>
        <v>13.92</v>
      </c>
      <c r="G512" s="42" t="str">
        <f t="shared" si="7"/>
        <v>511</v>
      </c>
    </row>
    <row r="513" spans="2:7" s="38" customFormat="1" x14ac:dyDescent="0.2">
      <c r="B513" s="39" t="s">
        <v>7694</v>
      </c>
      <c r="C513" s="39" t="s">
        <v>912</v>
      </c>
      <c r="D513" s="39" t="s">
        <v>936</v>
      </c>
      <c r="E513" s="40">
        <v>212</v>
      </c>
      <c r="F513" s="41">
        <f>$E513*3600/(Input!$H$4*1000)</f>
        <v>25.44</v>
      </c>
      <c r="G513" s="42" t="str">
        <f t="shared" si="7"/>
        <v>512</v>
      </c>
    </row>
    <row r="514" spans="2:7" s="38" customFormat="1" x14ac:dyDescent="0.2">
      <c r="B514" s="39" t="s">
        <v>7695</v>
      </c>
      <c r="C514" s="39" t="s">
        <v>912</v>
      </c>
      <c r="D514" s="39" t="s">
        <v>935</v>
      </c>
      <c r="E514" s="40">
        <v>244</v>
      </c>
      <c r="F514" s="41">
        <f>$E514*3600/(Input!$H$4*1000)</f>
        <v>29.28</v>
      </c>
      <c r="G514" s="42" t="str">
        <f t="shared" ref="G514:G577" si="8">MID(B514,7,LEN(B514)-6)</f>
        <v>513</v>
      </c>
    </row>
    <row r="515" spans="2:7" s="38" customFormat="1" x14ac:dyDescent="0.2">
      <c r="B515" s="39" t="s">
        <v>7696</v>
      </c>
      <c r="C515" s="39" t="s">
        <v>912</v>
      </c>
      <c r="D515" s="39" t="s">
        <v>1548</v>
      </c>
      <c r="E515" s="40">
        <v>537</v>
      </c>
      <c r="F515" s="41">
        <f>$E515*3600/(Input!$H$4*1000)</f>
        <v>64.44</v>
      </c>
      <c r="G515" s="42" t="str">
        <f t="shared" si="8"/>
        <v>514</v>
      </c>
    </row>
    <row r="516" spans="2:7" s="38" customFormat="1" x14ac:dyDescent="0.2">
      <c r="B516" s="39" t="s">
        <v>7697</v>
      </c>
      <c r="C516" s="39" t="s">
        <v>935</v>
      </c>
      <c r="D516" s="39" t="s">
        <v>207</v>
      </c>
      <c r="E516" s="40">
        <v>97</v>
      </c>
      <c r="F516" s="41">
        <f>$E516*3600/(Input!$H$4*1000)</f>
        <v>11.64</v>
      </c>
      <c r="G516" s="42" t="str">
        <f t="shared" si="8"/>
        <v>515</v>
      </c>
    </row>
    <row r="517" spans="2:7" s="38" customFormat="1" x14ac:dyDescent="0.2">
      <c r="B517" s="39" t="s">
        <v>7698</v>
      </c>
      <c r="C517" s="39" t="s">
        <v>120</v>
      </c>
      <c r="D517" s="39" t="s">
        <v>1132</v>
      </c>
      <c r="E517" s="40">
        <v>313</v>
      </c>
      <c r="F517" s="41">
        <f>$E517*3600/(Input!$H$4*1000)</f>
        <v>37.56</v>
      </c>
      <c r="G517" s="42" t="str">
        <f t="shared" si="8"/>
        <v>516</v>
      </c>
    </row>
    <row r="518" spans="2:7" s="38" customFormat="1" x14ac:dyDescent="0.2">
      <c r="B518" s="39" t="s">
        <v>7699</v>
      </c>
      <c r="C518" s="39" t="s">
        <v>810</v>
      </c>
      <c r="D518" s="39" t="s">
        <v>1132</v>
      </c>
      <c r="E518" s="40">
        <v>590</v>
      </c>
      <c r="F518" s="41">
        <f>$E518*3600/(Input!$H$4*1000)</f>
        <v>70.8</v>
      </c>
      <c r="G518" s="42" t="str">
        <f t="shared" si="8"/>
        <v>517</v>
      </c>
    </row>
    <row r="519" spans="2:7" s="38" customFormat="1" x14ac:dyDescent="0.2">
      <c r="B519" s="39" t="s">
        <v>7700</v>
      </c>
      <c r="C519" s="39" t="s">
        <v>848</v>
      </c>
      <c r="D519" s="39" t="s">
        <v>620</v>
      </c>
      <c r="E519" s="40">
        <v>617</v>
      </c>
      <c r="F519" s="41">
        <f>$E519*3600/(Input!$H$4*1000)</f>
        <v>74.040000000000006</v>
      </c>
      <c r="G519" s="42" t="str">
        <f t="shared" si="8"/>
        <v>518</v>
      </c>
    </row>
    <row r="520" spans="2:7" s="38" customFormat="1" x14ac:dyDescent="0.2">
      <c r="B520" s="39" t="s">
        <v>7701</v>
      </c>
      <c r="C520" s="39" t="s">
        <v>117</v>
      </c>
      <c r="D520" s="39" t="s">
        <v>82</v>
      </c>
      <c r="E520" s="40">
        <v>145</v>
      </c>
      <c r="F520" s="41">
        <f>$E520*3600/(Input!$H$4*1000)</f>
        <v>17.399999999999999</v>
      </c>
      <c r="G520" s="42" t="str">
        <f t="shared" si="8"/>
        <v>519</v>
      </c>
    </row>
    <row r="521" spans="2:7" s="38" customFormat="1" x14ac:dyDescent="0.2">
      <c r="B521" s="39" t="s">
        <v>7702</v>
      </c>
      <c r="C521" s="39" t="s">
        <v>82</v>
      </c>
      <c r="D521" s="39" t="s">
        <v>752</v>
      </c>
      <c r="E521" s="40">
        <v>74</v>
      </c>
      <c r="F521" s="41">
        <f>$E521*3600/(Input!$H$4*1000)</f>
        <v>8.8800000000000008</v>
      </c>
      <c r="G521" s="42" t="str">
        <f t="shared" si="8"/>
        <v>520</v>
      </c>
    </row>
    <row r="522" spans="2:7" s="38" customFormat="1" x14ac:dyDescent="0.2">
      <c r="B522" s="39" t="s">
        <v>7703</v>
      </c>
      <c r="C522" s="39" t="s">
        <v>82</v>
      </c>
      <c r="D522" s="39" t="s">
        <v>623</v>
      </c>
      <c r="E522" s="40">
        <v>214</v>
      </c>
      <c r="F522" s="41">
        <f>$E522*3600/(Input!$H$4*1000)</f>
        <v>25.68</v>
      </c>
      <c r="G522" s="42" t="str">
        <f t="shared" si="8"/>
        <v>521</v>
      </c>
    </row>
    <row r="523" spans="2:7" s="38" customFormat="1" x14ac:dyDescent="0.2">
      <c r="B523" s="39" t="s">
        <v>7704</v>
      </c>
      <c r="C523" s="39" t="s">
        <v>623</v>
      </c>
      <c r="D523" s="39" t="s">
        <v>1266</v>
      </c>
      <c r="E523" s="40">
        <v>201</v>
      </c>
      <c r="F523" s="41">
        <f>$E523*3600/(Input!$H$4*1000)</f>
        <v>24.12</v>
      </c>
      <c r="G523" s="42" t="str">
        <f t="shared" si="8"/>
        <v>522</v>
      </c>
    </row>
    <row r="524" spans="2:7" s="38" customFormat="1" x14ac:dyDescent="0.2">
      <c r="B524" s="39" t="s">
        <v>7705</v>
      </c>
      <c r="C524" s="39" t="s">
        <v>848</v>
      </c>
      <c r="D524" s="39" t="s">
        <v>623</v>
      </c>
      <c r="E524" s="40">
        <v>297</v>
      </c>
      <c r="F524" s="41">
        <f>$E524*3600/(Input!$H$4*1000)</f>
        <v>35.64</v>
      </c>
      <c r="G524" s="42" t="str">
        <f t="shared" si="8"/>
        <v>523</v>
      </c>
    </row>
    <row r="525" spans="2:7" s="38" customFormat="1" x14ac:dyDescent="0.2">
      <c r="B525" s="39" t="s">
        <v>7706</v>
      </c>
      <c r="C525" s="39" t="s">
        <v>623</v>
      </c>
      <c r="D525" s="39" t="s">
        <v>215</v>
      </c>
      <c r="E525" s="40">
        <v>232</v>
      </c>
      <c r="F525" s="41">
        <f>$E525*3600/(Input!$H$4*1000)</f>
        <v>27.84</v>
      </c>
      <c r="G525" s="42" t="str">
        <f t="shared" si="8"/>
        <v>524</v>
      </c>
    </row>
    <row r="526" spans="2:7" s="38" customFormat="1" x14ac:dyDescent="0.2">
      <c r="B526" s="39" t="s">
        <v>7707</v>
      </c>
      <c r="C526" s="39" t="s">
        <v>221</v>
      </c>
      <c r="D526" s="39" t="s">
        <v>288</v>
      </c>
      <c r="E526" s="40">
        <v>426</v>
      </c>
      <c r="F526" s="41">
        <f>$E526*3600/(Input!$H$4*1000)</f>
        <v>51.12</v>
      </c>
      <c r="G526" s="42" t="str">
        <f t="shared" si="8"/>
        <v>525</v>
      </c>
    </row>
    <row r="527" spans="2:7" s="38" customFormat="1" x14ac:dyDescent="0.2">
      <c r="B527" s="39" t="s">
        <v>7708</v>
      </c>
      <c r="C527" s="39" t="s">
        <v>848</v>
      </c>
      <c r="D527" s="39" t="s">
        <v>288</v>
      </c>
      <c r="E527" s="40">
        <v>704</v>
      </c>
      <c r="F527" s="41">
        <f>$E527*3600/(Input!$H$4*1000)</f>
        <v>84.48</v>
      </c>
      <c r="G527" s="42" t="str">
        <f t="shared" si="8"/>
        <v>526</v>
      </c>
    </row>
    <row r="528" spans="2:7" s="38" customFormat="1" x14ac:dyDescent="0.2">
      <c r="B528" s="39" t="s">
        <v>7709</v>
      </c>
      <c r="C528" s="39" t="s">
        <v>623</v>
      </c>
      <c r="D528" s="39" t="s">
        <v>215</v>
      </c>
      <c r="E528" s="40">
        <v>228</v>
      </c>
      <c r="F528" s="41">
        <f>$E528*3600/(Input!$H$4*1000)</f>
        <v>27.36</v>
      </c>
      <c r="G528" s="42" t="str">
        <f t="shared" si="8"/>
        <v>527</v>
      </c>
    </row>
    <row r="529" spans="2:7" s="38" customFormat="1" x14ac:dyDescent="0.2">
      <c r="B529" s="39" t="s">
        <v>7710</v>
      </c>
      <c r="C529" s="39" t="s">
        <v>1505</v>
      </c>
      <c r="D529" s="39" t="s">
        <v>1264</v>
      </c>
      <c r="E529" s="40">
        <v>382</v>
      </c>
      <c r="F529" s="41">
        <f>$E529*3600/(Input!$H$4*1000)</f>
        <v>45.84</v>
      </c>
      <c r="G529" s="42" t="str">
        <f t="shared" si="8"/>
        <v>528</v>
      </c>
    </row>
    <row r="530" spans="2:7" s="38" customFormat="1" x14ac:dyDescent="0.2">
      <c r="B530" s="39" t="s">
        <v>7711</v>
      </c>
      <c r="C530" s="39" t="s">
        <v>1505</v>
      </c>
      <c r="D530" s="39" t="s">
        <v>215</v>
      </c>
      <c r="E530" s="40">
        <v>736</v>
      </c>
      <c r="F530" s="41">
        <f>$E530*3600/(Input!$H$4*1000)</f>
        <v>88.32</v>
      </c>
      <c r="G530" s="42" t="str">
        <f t="shared" si="8"/>
        <v>529</v>
      </c>
    </row>
    <row r="531" spans="2:7" s="38" customFormat="1" x14ac:dyDescent="0.2">
      <c r="B531" s="39" t="s">
        <v>7712</v>
      </c>
      <c r="C531" s="39" t="s">
        <v>1264</v>
      </c>
      <c r="D531" s="39" t="s">
        <v>491</v>
      </c>
      <c r="E531" s="40">
        <v>437</v>
      </c>
      <c r="F531" s="41">
        <f>$E531*3600/(Input!$H$4*1000)</f>
        <v>52.44</v>
      </c>
      <c r="G531" s="42" t="str">
        <f t="shared" si="8"/>
        <v>530</v>
      </c>
    </row>
    <row r="532" spans="2:7" s="38" customFormat="1" x14ac:dyDescent="0.2">
      <c r="B532" s="39" t="s">
        <v>7713</v>
      </c>
      <c r="C532" s="39" t="s">
        <v>1014</v>
      </c>
      <c r="D532" s="39" t="s">
        <v>641</v>
      </c>
      <c r="E532" s="40">
        <v>708</v>
      </c>
      <c r="F532" s="41">
        <f>$E532*3600/(Input!$H$4*1000)</f>
        <v>84.96</v>
      </c>
      <c r="G532" s="42" t="str">
        <f t="shared" si="8"/>
        <v>531</v>
      </c>
    </row>
    <row r="533" spans="2:7" s="38" customFormat="1" x14ac:dyDescent="0.2">
      <c r="B533" s="39" t="s">
        <v>7714</v>
      </c>
      <c r="C533" s="39" t="s">
        <v>942</v>
      </c>
      <c r="D533" s="39" t="s">
        <v>761</v>
      </c>
      <c r="E533" s="40">
        <v>242</v>
      </c>
      <c r="F533" s="41">
        <f>$E533*3600/(Input!$H$4*1000)</f>
        <v>29.04</v>
      </c>
      <c r="G533" s="42" t="str">
        <f t="shared" si="8"/>
        <v>532</v>
      </c>
    </row>
    <row r="534" spans="2:7" s="38" customFormat="1" x14ac:dyDescent="0.2">
      <c r="B534" s="39" t="s">
        <v>7715</v>
      </c>
      <c r="C534" s="39" t="s">
        <v>1066</v>
      </c>
      <c r="D534" s="39" t="s">
        <v>1528</v>
      </c>
      <c r="E534" s="40">
        <v>510</v>
      </c>
      <c r="F534" s="41">
        <f>$E534*3600/(Input!$H$4*1000)</f>
        <v>61.2</v>
      </c>
      <c r="G534" s="42" t="str">
        <f t="shared" si="8"/>
        <v>533</v>
      </c>
    </row>
    <row r="535" spans="2:7" s="38" customFormat="1" x14ac:dyDescent="0.2">
      <c r="B535" s="39" t="s">
        <v>7716</v>
      </c>
      <c r="C535" s="39" t="s">
        <v>1547</v>
      </c>
      <c r="D535" s="39" t="s">
        <v>1528</v>
      </c>
      <c r="E535" s="40">
        <v>426</v>
      </c>
      <c r="F535" s="41">
        <f>$E535*3600/(Input!$H$4*1000)</f>
        <v>51.12</v>
      </c>
      <c r="G535" s="42" t="str">
        <f t="shared" si="8"/>
        <v>534</v>
      </c>
    </row>
    <row r="536" spans="2:7" s="38" customFormat="1" x14ac:dyDescent="0.2">
      <c r="B536" s="39" t="s">
        <v>7717</v>
      </c>
      <c r="C536" s="39" t="s">
        <v>942</v>
      </c>
      <c r="D536" s="39" t="s">
        <v>770</v>
      </c>
      <c r="E536" s="40">
        <v>323</v>
      </c>
      <c r="F536" s="41">
        <f>$E536*3600/(Input!$H$4*1000)</f>
        <v>38.76</v>
      </c>
      <c r="G536" s="42" t="str">
        <f t="shared" si="8"/>
        <v>535</v>
      </c>
    </row>
    <row r="537" spans="2:7" s="38" customFormat="1" x14ac:dyDescent="0.2">
      <c r="B537" s="39" t="s">
        <v>7718</v>
      </c>
      <c r="C537" s="39" t="s">
        <v>1547</v>
      </c>
      <c r="D537" s="39" t="s">
        <v>942</v>
      </c>
      <c r="E537" s="40">
        <v>338</v>
      </c>
      <c r="F537" s="41">
        <f>$E537*3600/(Input!$H$4*1000)</f>
        <v>40.56</v>
      </c>
      <c r="G537" s="42" t="str">
        <f t="shared" si="8"/>
        <v>536</v>
      </c>
    </row>
    <row r="538" spans="2:7" s="38" customFormat="1" x14ac:dyDescent="0.2">
      <c r="B538" s="39" t="s">
        <v>7719</v>
      </c>
      <c r="C538" s="39" t="s">
        <v>376</v>
      </c>
      <c r="D538" s="39" t="s">
        <v>209</v>
      </c>
      <c r="E538" s="40">
        <v>205</v>
      </c>
      <c r="F538" s="41">
        <f>$E538*3600/(Input!$H$4*1000)</f>
        <v>24.6</v>
      </c>
      <c r="G538" s="42" t="str">
        <f t="shared" si="8"/>
        <v>537</v>
      </c>
    </row>
    <row r="539" spans="2:7" s="38" customFormat="1" x14ac:dyDescent="0.2">
      <c r="B539" s="39" t="s">
        <v>7720</v>
      </c>
      <c r="C539" s="39" t="s">
        <v>376</v>
      </c>
      <c r="D539" s="39" t="s">
        <v>918</v>
      </c>
      <c r="E539" s="40">
        <v>178</v>
      </c>
      <c r="F539" s="41">
        <f>$E539*3600/(Input!$H$4*1000)</f>
        <v>21.36</v>
      </c>
      <c r="G539" s="42" t="str">
        <f t="shared" si="8"/>
        <v>538</v>
      </c>
    </row>
    <row r="540" spans="2:7" s="38" customFormat="1" x14ac:dyDescent="0.2">
      <c r="B540" s="39" t="s">
        <v>7721</v>
      </c>
      <c r="C540" s="39" t="s">
        <v>918</v>
      </c>
      <c r="D540" s="39" t="s">
        <v>770</v>
      </c>
      <c r="E540" s="40">
        <v>529</v>
      </c>
      <c r="F540" s="41">
        <f>$E540*3600/(Input!$H$4*1000)</f>
        <v>63.48</v>
      </c>
      <c r="G540" s="42" t="str">
        <f t="shared" si="8"/>
        <v>539</v>
      </c>
    </row>
    <row r="541" spans="2:7" s="38" customFormat="1" x14ac:dyDescent="0.2">
      <c r="B541" s="39" t="s">
        <v>7722</v>
      </c>
      <c r="C541" s="39" t="s">
        <v>942</v>
      </c>
      <c r="D541" s="39" t="s">
        <v>376</v>
      </c>
      <c r="E541" s="40">
        <v>250</v>
      </c>
      <c r="F541" s="41">
        <f>$E541*3600/(Input!$H$4*1000)</f>
        <v>30</v>
      </c>
      <c r="G541" s="42" t="str">
        <f t="shared" si="8"/>
        <v>540</v>
      </c>
    </row>
    <row r="542" spans="2:7" s="38" customFormat="1" x14ac:dyDescent="0.2">
      <c r="B542" s="39" t="s">
        <v>7723</v>
      </c>
      <c r="C542" s="39" t="s">
        <v>376</v>
      </c>
      <c r="D542" s="39" t="s">
        <v>1560</v>
      </c>
      <c r="E542" s="40">
        <v>191</v>
      </c>
      <c r="F542" s="41">
        <f>$E542*3600/(Input!$H$4*1000)</f>
        <v>22.92</v>
      </c>
      <c r="G542" s="42" t="str">
        <f t="shared" si="8"/>
        <v>541</v>
      </c>
    </row>
    <row r="543" spans="2:7" s="38" customFormat="1" x14ac:dyDescent="0.2">
      <c r="B543" s="39" t="s">
        <v>7724</v>
      </c>
      <c r="C543" s="39" t="s">
        <v>376</v>
      </c>
      <c r="D543" s="39" t="s">
        <v>823</v>
      </c>
      <c r="E543" s="40">
        <v>114</v>
      </c>
      <c r="F543" s="41">
        <f>$E543*3600/(Input!$H$4*1000)</f>
        <v>13.68</v>
      </c>
      <c r="G543" s="42" t="str">
        <f t="shared" si="8"/>
        <v>542</v>
      </c>
    </row>
    <row r="544" spans="2:7" s="38" customFormat="1" x14ac:dyDescent="0.2">
      <c r="B544" s="39" t="s">
        <v>7725</v>
      </c>
      <c r="C544" s="39" t="s">
        <v>1560</v>
      </c>
      <c r="D544" s="39" t="s">
        <v>1523</v>
      </c>
      <c r="E544" s="40">
        <v>535</v>
      </c>
      <c r="F544" s="41">
        <f>$E544*3600/(Input!$H$4*1000)</f>
        <v>64.2</v>
      </c>
      <c r="G544" s="42" t="str">
        <f t="shared" si="8"/>
        <v>543</v>
      </c>
    </row>
    <row r="545" spans="2:7" s="38" customFormat="1" x14ac:dyDescent="0.2">
      <c r="B545" s="39" t="s">
        <v>7726</v>
      </c>
      <c r="C545" s="39" t="s">
        <v>1560</v>
      </c>
      <c r="D545" s="39" t="s">
        <v>941</v>
      </c>
      <c r="E545" s="40">
        <v>282</v>
      </c>
      <c r="F545" s="41">
        <f>$E545*3600/(Input!$H$4*1000)</f>
        <v>33.840000000000003</v>
      </c>
      <c r="G545" s="42" t="str">
        <f t="shared" si="8"/>
        <v>544</v>
      </c>
    </row>
    <row r="546" spans="2:7" s="38" customFormat="1" x14ac:dyDescent="0.2">
      <c r="B546" s="39" t="s">
        <v>7727</v>
      </c>
      <c r="C546" s="39" t="s">
        <v>918</v>
      </c>
      <c r="D546" s="39" t="s">
        <v>1527</v>
      </c>
      <c r="E546" s="40">
        <v>302</v>
      </c>
      <c r="F546" s="41">
        <f>$E546*3600/(Input!$H$4*1000)</f>
        <v>36.24</v>
      </c>
      <c r="G546" s="42" t="str">
        <f t="shared" si="8"/>
        <v>545</v>
      </c>
    </row>
    <row r="547" spans="2:7" s="38" customFormat="1" x14ac:dyDescent="0.2">
      <c r="B547" s="39" t="s">
        <v>7728</v>
      </c>
      <c r="C547" s="39" t="s">
        <v>1014</v>
      </c>
      <c r="D547" s="39" t="s">
        <v>1506</v>
      </c>
      <c r="E547" s="40">
        <v>797</v>
      </c>
      <c r="F547" s="41">
        <f>$E547*3600/(Input!$H$4*1000)</f>
        <v>95.64</v>
      </c>
      <c r="G547" s="42" t="str">
        <f t="shared" si="8"/>
        <v>546</v>
      </c>
    </row>
    <row r="548" spans="2:7" s="38" customFormat="1" x14ac:dyDescent="0.2">
      <c r="B548" s="39" t="s">
        <v>7729</v>
      </c>
      <c r="C548" s="39" t="s">
        <v>1506</v>
      </c>
      <c r="D548" s="39" t="s">
        <v>1658</v>
      </c>
      <c r="E548" s="40">
        <v>478</v>
      </c>
      <c r="F548" s="41">
        <f>$E548*3600/(Input!$H$4*1000)</f>
        <v>57.36</v>
      </c>
      <c r="G548" s="42" t="str">
        <f t="shared" si="8"/>
        <v>547</v>
      </c>
    </row>
    <row r="549" spans="2:7" s="38" customFormat="1" x14ac:dyDescent="0.2">
      <c r="B549" s="39" t="s">
        <v>7730</v>
      </c>
      <c r="C549" s="39" t="s">
        <v>1658</v>
      </c>
      <c r="D549" s="39" t="s">
        <v>1018</v>
      </c>
      <c r="E549" s="40">
        <v>247</v>
      </c>
      <c r="F549" s="41">
        <f>$E549*3600/(Input!$H$4*1000)</f>
        <v>29.64</v>
      </c>
      <c r="G549" s="42" t="str">
        <f t="shared" si="8"/>
        <v>548</v>
      </c>
    </row>
    <row r="550" spans="2:7" s="38" customFormat="1" x14ac:dyDescent="0.2">
      <c r="B550" s="39" t="s">
        <v>7731</v>
      </c>
      <c r="C550" s="39" t="s">
        <v>1506</v>
      </c>
      <c r="D550" s="39" t="s">
        <v>1558</v>
      </c>
      <c r="E550" s="40">
        <v>436</v>
      </c>
      <c r="F550" s="41">
        <f>$E550*3600/(Input!$H$4*1000)</f>
        <v>52.32</v>
      </c>
      <c r="G550" s="42" t="str">
        <f t="shared" si="8"/>
        <v>549</v>
      </c>
    </row>
    <row r="551" spans="2:7" s="38" customFormat="1" x14ac:dyDescent="0.2">
      <c r="B551" s="39" t="s">
        <v>7732</v>
      </c>
      <c r="C551" s="39" t="s">
        <v>1558</v>
      </c>
      <c r="D551" s="39" t="s">
        <v>923</v>
      </c>
      <c r="E551" s="40">
        <v>230</v>
      </c>
      <c r="F551" s="41">
        <f>$E551*3600/(Input!$H$4*1000)</f>
        <v>27.6</v>
      </c>
      <c r="G551" s="42" t="str">
        <f t="shared" si="8"/>
        <v>550</v>
      </c>
    </row>
    <row r="552" spans="2:7" s="38" customFormat="1" x14ac:dyDescent="0.2">
      <c r="B552" s="39" t="s">
        <v>7733</v>
      </c>
      <c r="C552" s="39" t="s">
        <v>1558</v>
      </c>
      <c r="D552" s="39" t="s">
        <v>940</v>
      </c>
      <c r="E552" s="40">
        <v>176</v>
      </c>
      <c r="F552" s="41">
        <f>$E552*3600/(Input!$H$4*1000)</f>
        <v>21.12</v>
      </c>
      <c r="G552" s="42" t="str">
        <f t="shared" si="8"/>
        <v>551</v>
      </c>
    </row>
    <row r="553" spans="2:7" s="38" customFormat="1" x14ac:dyDescent="0.2">
      <c r="B553" s="39" t="s">
        <v>7734</v>
      </c>
      <c r="C553" s="39" t="s">
        <v>940</v>
      </c>
      <c r="D553" s="39" t="s">
        <v>707</v>
      </c>
      <c r="E553" s="40">
        <v>113</v>
      </c>
      <c r="F553" s="41">
        <f>$E553*3600/(Input!$H$4*1000)</f>
        <v>13.56</v>
      </c>
      <c r="G553" s="42" t="str">
        <f t="shared" si="8"/>
        <v>552</v>
      </c>
    </row>
    <row r="554" spans="2:7" s="38" customFormat="1" x14ac:dyDescent="0.2">
      <c r="B554" s="39" t="s">
        <v>7735</v>
      </c>
      <c r="C554" s="39" t="s">
        <v>1558</v>
      </c>
      <c r="D554" s="39" t="s">
        <v>1555</v>
      </c>
      <c r="E554" s="40">
        <v>462</v>
      </c>
      <c r="F554" s="41">
        <f>$E554*3600/(Input!$H$4*1000)</f>
        <v>55.44</v>
      </c>
      <c r="G554" s="42" t="str">
        <f t="shared" si="8"/>
        <v>553</v>
      </c>
    </row>
    <row r="555" spans="2:7" s="38" customFormat="1" x14ac:dyDescent="0.2">
      <c r="B555" s="39" t="s">
        <v>7736</v>
      </c>
      <c r="C555" s="39" t="s">
        <v>1555</v>
      </c>
      <c r="D555" s="39" t="s">
        <v>257</v>
      </c>
      <c r="E555" s="40">
        <v>126</v>
      </c>
      <c r="F555" s="41">
        <f>$E555*3600/(Input!$H$4*1000)</f>
        <v>15.12</v>
      </c>
      <c r="G555" s="42" t="str">
        <f t="shared" si="8"/>
        <v>554</v>
      </c>
    </row>
    <row r="556" spans="2:7" s="38" customFormat="1" x14ac:dyDescent="0.2">
      <c r="B556" s="39" t="s">
        <v>7737</v>
      </c>
      <c r="C556" s="39" t="s">
        <v>257</v>
      </c>
      <c r="D556" s="39" t="s">
        <v>1557</v>
      </c>
      <c r="E556" s="40">
        <v>112</v>
      </c>
      <c r="F556" s="41">
        <f>$E556*3600/(Input!$H$4*1000)</f>
        <v>13.44</v>
      </c>
      <c r="G556" s="42" t="str">
        <f t="shared" si="8"/>
        <v>555</v>
      </c>
    </row>
    <row r="557" spans="2:7" s="38" customFormat="1" x14ac:dyDescent="0.2">
      <c r="B557" s="39" t="s">
        <v>7738</v>
      </c>
      <c r="C557" s="39" t="s">
        <v>1557</v>
      </c>
      <c r="D557" s="39" t="s">
        <v>99</v>
      </c>
      <c r="E557" s="40">
        <v>601</v>
      </c>
      <c r="F557" s="41">
        <f>$E557*3600/(Input!$H$4*1000)</f>
        <v>72.12</v>
      </c>
      <c r="G557" s="42" t="str">
        <f t="shared" si="8"/>
        <v>556</v>
      </c>
    </row>
    <row r="558" spans="2:7" s="38" customFormat="1" x14ac:dyDescent="0.2">
      <c r="B558" s="39" t="s">
        <v>7739</v>
      </c>
      <c r="C558" s="39" t="s">
        <v>923</v>
      </c>
      <c r="D558" s="39" t="s">
        <v>1018</v>
      </c>
      <c r="E558" s="40">
        <v>393</v>
      </c>
      <c r="F558" s="41">
        <f>$E558*3600/(Input!$H$4*1000)</f>
        <v>47.16</v>
      </c>
      <c r="G558" s="42" t="str">
        <f t="shared" si="8"/>
        <v>557</v>
      </c>
    </row>
    <row r="559" spans="2:7" s="38" customFormat="1" x14ac:dyDescent="0.2">
      <c r="B559" s="39" t="s">
        <v>7740</v>
      </c>
      <c r="C559" s="39" t="s">
        <v>1645</v>
      </c>
      <c r="D559" s="39" t="s">
        <v>410</v>
      </c>
      <c r="E559" s="40">
        <v>589</v>
      </c>
      <c r="F559" s="41">
        <f>$E559*3600/(Input!$H$4*1000)</f>
        <v>70.680000000000007</v>
      </c>
      <c r="G559" s="42" t="str">
        <f t="shared" si="8"/>
        <v>558</v>
      </c>
    </row>
    <row r="560" spans="2:7" s="38" customFormat="1" x14ac:dyDescent="0.2">
      <c r="B560" s="39" t="s">
        <v>7741</v>
      </c>
      <c r="C560" s="39" t="s">
        <v>1524</v>
      </c>
      <c r="D560" s="39" t="s">
        <v>99</v>
      </c>
      <c r="E560" s="40">
        <v>229</v>
      </c>
      <c r="F560" s="41">
        <f>$E560*3600/(Input!$H$4*1000)</f>
        <v>27.48</v>
      </c>
      <c r="G560" s="42" t="str">
        <f t="shared" si="8"/>
        <v>559</v>
      </c>
    </row>
    <row r="561" spans="2:7" s="38" customFormat="1" x14ac:dyDescent="0.2">
      <c r="B561" s="39" t="s">
        <v>7742</v>
      </c>
      <c r="C561" s="39" t="s">
        <v>413</v>
      </c>
      <c r="D561" s="39" t="s">
        <v>1556</v>
      </c>
      <c r="E561" s="40">
        <v>885</v>
      </c>
      <c r="F561" s="41">
        <f>$E561*3600/(Input!$H$4*1000)</f>
        <v>106.2</v>
      </c>
      <c r="G561" s="42" t="str">
        <f t="shared" si="8"/>
        <v>560</v>
      </c>
    </row>
    <row r="562" spans="2:7" s="38" customFormat="1" x14ac:dyDescent="0.2">
      <c r="B562" s="39" t="s">
        <v>7743</v>
      </c>
      <c r="C562" s="39" t="s">
        <v>1556</v>
      </c>
      <c r="D562" s="39" t="s">
        <v>1048</v>
      </c>
      <c r="E562" s="40">
        <v>148</v>
      </c>
      <c r="F562" s="41">
        <f>$E562*3600/(Input!$H$4*1000)</f>
        <v>17.760000000000002</v>
      </c>
      <c r="G562" s="42" t="str">
        <f t="shared" si="8"/>
        <v>561</v>
      </c>
    </row>
    <row r="563" spans="2:7" s="38" customFormat="1" x14ac:dyDescent="0.2">
      <c r="B563" s="39" t="s">
        <v>7744</v>
      </c>
      <c r="C563" s="39" t="s">
        <v>1595</v>
      </c>
      <c r="D563" s="39" t="s">
        <v>721</v>
      </c>
      <c r="E563" s="40">
        <v>778</v>
      </c>
      <c r="F563" s="41">
        <f>$E563*3600/(Input!$H$4*1000)</f>
        <v>93.36</v>
      </c>
      <c r="G563" s="42" t="str">
        <f t="shared" si="8"/>
        <v>562</v>
      </c>
    </row>
    <row r="564" spans="2:7" s="38" customFormat="1" x14ac:dyDescent="0.2">
      <c r="B564" s="39" t="s">
        <v>7745</v>
      </c>
      <c r="C564" s="39" t="s">
        <v>1556</v>
      </c>
      <c r="D564" s="39" t="s">
        <v>1695</v>
      </c>
      <c r="E564" s="40">
        <v>399</v>
      </c>
      <c r="F564" s="41">
        <f>$E564*3600/(Input!$H$4*1000)</f>
        <v>47.88</v>
      </c>
      <c r="G564" s="42" t="str">
        <f t="shared" si="8"/>
        <v>563</v>
      </c>
    </row>
    <row r="565" spans="2:7" s="38" customFormat="1" x14ac:dyDescent="0.2">
      <c r="B565" s="39" t="s">
        <v>7746</v>
      </c>
      <c r="C565" s="39" t="s">
        <v>257</v>
      </c>
      <c r="D565" s="39" t="s">
        <v>1044</v>
      </c>
      <c r="E565" s="40">
        <v>292</v>
      </c>
      <c r="F565" s="41">
        <f>$E565*3600/(Input!$H$4*1000)</f>
        <v>35.04</v>
      </c>
      <c r="G565" s="42" t="str">
        <f t="shared" si="8"/>
        <v>564</v>
      </c>
    </row>
    <row r="566" spans="2:7" s="38" customFormat="1" x14ac:dyDescent="0.2">
      <c r="B566" s="39" t="s">
        <v>7747</v>
      </c>
      <c r="C566" s="39" t="s">
        <v>1553</v>
      </c>
      <c r="D566" s="39" t="s">
        <v>707</v>
      </c>
      <c r="E566" s="40">
        <v>514</v>
      </c>
      <c r="F566" s="41">
        <f>$E566*3600/(Input!$H$4*1000)</f>
        <v>61.68</v>
      </c>
      <c r="G566" s="42" t="str">
        <f t="shared" si="8"/>
        <v>565</v>
      </c>
    </row>
    <row r="567" spans="2:7" s="38" customFormat="1" x14ac:dyDescent="0.2">
      <c r="B567" s="39" t="s">
        <v>7748</v>
      </c>
      <c r="C567" s="39" t="s">
        <v>707</v>
      </c>
      <c r="D567" s="39" t="s">
        <v>938</v>
      </c>
      <c r="E567" s="40">
        <v>335</v>
      </c>
      <c r="F567" s="41">
        <f>$E567*3600/(Input!$H$4*1000)</f>
        <v>40.200000000000003</v>
      </c>
      <c r="G567" s="42" t="str">
        <f t="shared" si="8"/>
        <v>566</v>
      </c>
    </row>
    <row r="568" spans="2:7" s="38" customFormat="1" x14ac:dyDescent="0.2">
      <c r="B568" s="39" t="s">
        <v>7749</v>
      </c>
      <c r="C568" s="39" t="s">
        <v>1699</v>
      </c>
      <c r="D568" s="39" t="s">
        <v>938</v>
      </c>
      <c r="E568" s="40">
        <v>846</v>
      </c>
      <c r="F568" s="41">
        <f>$E568*3600/(Input!$H$4*1000)</f>
        <v>101.52</v>
      </c>
      <c r="G568" s="42" t="str">
        <f t="shared" si="8"/>
        <v>567</v>
      </c>
    </row>
    <row r="569" spans="2:7" s="38" customFormat="1" x14ac:dyDescent="0.2">
      <c r="B569" s="39" t="s">
        <v>7750</v>
      </c>
      <c r="C569" s="39" t="s">
        <v>715</v>
      </c>
      <c r="D569" s="39" t="s">
        <v>1699</v>
      </c>
      <c r="E569" s="40">
        <v>128</v>
      </c>
      <c r="F569" s="41">
        <f>$E569*3600/(Input!$H$4*1000)</f>
        <v>15.36</v>
      </c>
      <c r="G569" s="42" t="str">
        <f t="shared" si="8"/>
        <v>568</v>
      </c>
    </row>
    <row r="570" spans="2:7" s="38" customFormat="1" x14ac:dyDescent="0.2">
      <c r="B570" s="39" t="s">
        <v>7751</v>
      </c>
      <c r="C570" s="39" t="s">
        <v>1695</v>
      </c>
      <c r="D570" s="39" t="s">
        <v>233</v>
      </c>
      <c r="E570" s="40">
        <v>153</v>
      </c>
      <c r="F570" s="41">
        <f>$E570*3600/(Input!$H$4*1000)</f>
        <v>18.36</v>
      </c>
      <c r="G570" s="42" t="str">
        <f t="shared" si="8"/>
        <v>569</v>
      </c>
    </row>
    <row r="571" spans="2:7" s="38" customFormat="1" x14ac:dyDescent="0.2">
      <c r="B571" s="39" t="s">
        <v>7752</v>
      </c>
      <c r="C571" s="39" t="s">
        <v>233</v>
      </c>
      <c r="D571" s="39" t="s">
        <v>1044</v>
      </c>
      <c r="E571" s="40">
        <v>532</v>
      </c>
      <c r="F571" s="41">
        <f>$E571*3600/(Input!$H$4*1000)</f>
        <v>63.84</v>
      </c>
      <c r="G571" s="42" t="str">
        <f t="shared" si="8"/>
        <v>570</v>
      </c>
    </row>
    <row r="572" spans="2:7" s="38" customFormat="1" x14ac:dyDescent="0.2">
      <c r="B572" s="39" t="s">
        <v>7753</v>
      </c>
      <c r="C572" s="39" t="s">
        <v>233</v>
      </c>
      <c r="D572" s="39" t="s">
        <v>1043</v>
      </c>
      <c r="E572" s="40">
        <v>166</v>
      </c>
      <c r="F572" s="41">
        <f>$E572*3600/(Input!$H$4*1000)</f>
        <v>19.920000000000002</v>
      </c>
      <c r="G572" s="42" t="str">
        <f t="shared" si="8"/>
        <v>571</v>
      </c>
    </row>
    <row r="573" spans="2:7" s="38" customFormat="1" x14ac:dyDescent="0.2">
      <c r="B573" s="39" t="s">
        <v>7754</v>
      </c>
      <c r="C573" s="39" t="s">
        <v>143</v>
      </c>
      <c r="D573" s="39" t="s">
        <v>1043</v>
      </c>
      <c r="E573" s="40">
        <v>187</v>
      </c>
      <c r="F573" s="41">
        <f>$E573*3600/(Input!$H$4*1000)</f>
        <v>22.44</v>
      </c>
      <c r="G573" s="42" t="str">
        <f t="shared" si="8"/>
        <v>572</v>
      </c>
    </row>
    <row r="574" spans="2:7" s="38" customFormat="1" x14ac:dyDescent="0.2">
      <c r="B574" s="39" t="s">
        <v>7755</v>
      </c>
      <c r="C574" s="39" t="s">
        <v>1043</v>
      </c>
      <c r="D574" s="39" t="s">
        <v>244</v>
      </c>
      <c r="E574" s="40">
        <v>225</v>
      </c>
      <c r="F574" s="41">
        <f>$E574*3600/(Input!$H$4*1000)</f>
        <v>27</v>
      </c>
      <c r="G574" s="42" t="str">
        <f t="shared" si="8"/>
        <v>573</v>
      </c>
    </row>
    <row r="575" spans="2:7" s="38" customFormat="1" x14ac:dyDescent="0.2">
      <c r="B575" s="39" t="s">
        <v>7756</v>
      </c>
      <c r="C575" s="39" t="s">
        <v>244</v>
      </c>
      <c r="D575" s="39" t="s">
        <v>449</v>
      </c>
      <c r="E575" s="40">
        <v>387</v>
      </c>
      <c r="F575" s="41">
        <f>$E575*3600/(Input!$H$4*1000)</f>
        <v>46.44</v>
      </c>
      <c r="G575" s="42" t="str">
        <f t="shared" si="8"/>
        <v>574</v>
      </c>
    </row>
    <row r="576" spans="2:7" s="38" customFormat="1" x14ac:dyDescent="0.2">
      <c r="B576" s="39" t="s">
        <v>7757</v>
      </c>
      <c r="C576" s="39" t="s">
        <v>449</v>
      </c>
      <c r="D576" s="39" t="s">
        <v>547</v>
      </c>
      <c r="E576" s="40">
        <v>524</v>
      </c>
      <c r="F576" s="41">
        <f>$E576*3600/(Input!$H$4*1000)</f>
        <v>62.88</v>
      </c>
      <c r="G576" s="42" t="str">
        <f t="shared" si="8"/>
        <v>575</v>
      </c>
    </row>
    <row r="577" spans="2:7" s="38" customFormat="1" x14ac:dyDescent="0.2">
      <c r="B577" s="39" t="s">
        <v>7758</v>
      </c>
      <c r="C577" s="39" t="s">
        <v>449</v>
      </c>
      <c r="D577" s="39" t="s">
        <v>1634</v>
      </c>
      <c r="E577" s="40">
        <v>1590</v>
      </c>
      <c r="F577" s="41">
        <f>$E577*3600/(Input!$H$4*1000)</f>
        <v>190.8</v>
      </c>
      <c r="G577" s="42" t="str">
        <f t="shared" si="8"/>
        <v>576</v>
      </c>
    </row>
    <row r="578" spans="2:7" s="38" customFormat="1" x14ac:dyDescent="0.2">
      <c r="B578" s="39" t="s">
        <v>7759</v>
      </c>
      <c r="C578" s="39" t="s">
        <v>955</v>
      </c>
      <c r="D578" s="39" t="s">
        <v>775</v>
      </c>
      <c r="E578" s="40">
        <v>372</v>
      </c>
      <c r="F578" s="41">
        <f>$E578*3600/(Input!$H$4*1000)</f>
        <v>44.64</v>
      </c>
      <c r="G578" s="42" t="str">
        <f t="shared" ref="G578:G641" si="9">MID(B578,7,LEN(B578)-6)</f>
        <v>577</v>
      </c>
    </row>
    <row r="579" spans="2:7" s="38" customFormat="1" x14ac:dyDescent="0.2">
      <c r="B579" s="39" t="s">
        <v>7760</v>
      </c>
      <c r="C579" s="39" t="s">
        <v>631</v>
      </c>
      <c r="D579" s="39" t="s">
        <v>775</v>
      </c>
      <c r="E579" s="40">
        <v>473</v>
      </c>
      <c r="F579" s="41">
        <f>$E579*3600/(Input!$H$4*1000)</f>
        <v>56.76</v>
      </c>
      <c r="G579" s="42" t="str">
        <f t="shared" si="9"/>
        <v>578</v>
      </c>
    </row>
    <row r="580" spans="2:7" s="38" customFormat="1" x14ac:dyDescent="0.2">
      <c r="B580" s="39" t="s">
        <v>7761</v>
      </c>
      <c r="C580" s="39" t="s">
        <v>631</v>
      </c>
      <c r="D580" s="39" t="s">
        <v>484</v>
      </c>
      <c r="E580" s="40">
        <v>259</v>
      </c>
      <c r="F580" s="41">
        <f>$E580*3600/(Input!$H$4*1000)</f>
        <v>31.08</v>
      </c>
      <c r="G580" s="42" t="str">
        <f t="shared" si="9"/>
        <v>579</v>
      </c>
    </row>
    <row r="581" spans="2:7" s="38" customFormat="1" x14ac:dyDescent="0.2">
      <c r="B581" s="39" t="s">
        <v>7762</v>
      </c>
      <c r="C581" s="39" t="s">
        <v>1269</v>
      </c>
      <c r="D581" s="39" t="s">
        <v>631</v>
      </c>
      <c r="E581" s="40">
        <v>259</v>
      </c>
      <c r="F581" s="41">
        <f>$E581*3600/(Input!$H$4*1000)</f>
        <v>31.08</v>
      </c>
      <c r="G581" s="42" t="str">
        <f t="shared" si="9"/>
        <v>580</v>
      </c>
    </row>
    <row r="582" spans="2:7" s="38" customFormat="1" x14ac:dyDescent="0.2">
      <c r="B582" s="39" t="s">
        <v>7763</v>
      </c>
      <c r="C582" s="39" t="s">
        <v>477</v>
      </c>
      <c r="D582" s="39" t="s">
        <v>775</v>
      </c>
      <c r="E582" s="40">
        <v>455</v>
      </c>
      <c r="F582" s="41">
        <f>$E582*3600/(Input!$H$4*1000)</f>
        <v>54.6</v>
      </c>
      <c r="G582" s="42" t="str">
        <f t="shared" si="9"/>
        <v>581</v>
      </c>
    </row>
    <row r="583" spans="2:7" s="38" customFormat="1" x14ac:dyDescent="0.2">
      <c r="B583" s="39" t="s">
        <v>7764</v>
      </c>
      <c r="C583" s="39" t="s">
        <v>436</v>
      </c>
      <c r="D583" s="39" t="s">
        <v>477</v>
      </c>
      <c r="E583" s="40">
        <v>194</v>
      </c>
      <c r="F583" s="41">
        <f>$E583*3600/(Input!$H$4*1000)</f>
        <v>23.28</v>
      </c>
      <c r="G583" s="42" t="str">
        <f t="shared" si="9"/>
        <v>582</v>
      </c>
    </row>
    <row r="584" spans="2:7" s="38" customFormat="1" x14ac:dyDescent="0.2">
      <c r="B584" s="39" t="s">
        <v>7765</v>
      </c>
      <c r="C584" s="39" t="s">
        <v>436</v>
      </c>
      <c r="D584" s="39" t="s">
        <v>1064</v>
      </c>
      <c r="E584" s="40">
        <v>345</v>
      </c>
      <c r="F584" s="41">
        <f>$E584*3600/(Input!$H$4*1000)</f>
        <v>41.4</v>
      </c>
      <c r="G584" s="42" t="str">
        <f t="shared" si="9"/>
        <v>583</v>
      </c>
    </row>
    <row r="585" spans="2:7" s="38" customFormat="1" x14ac:dyDescent="0.2">
      <c r="B585" s="39" t="s">
        <v>7766</v>
      </c>
      <c r="C585" s="39" t="s">
        <v>436</v>
      </c>
      <c r="D585" s="39" t="s">
        <v>94</v>
      </c>
      <c r="E585" s="40">
        <v>368</v>
      </c>
      <c r="F585" s="41">
        <f>$E585*3600/(Input!$H$4*1000)</f>
        <v>44.16</v>
      </c>
      <c r="G585" s="42" t="str">
        <f t="shared" si="9"/>
        <v>584</v>
      </c>
    </row>
    <row r="586" spans="2:7" s="38" customFormat="1" x14ac:dyDescent="0.2">
      <c r="B586" s="39" t="s">
        <v>7767</v>
      </c>
      <c r="C586" s="39" t="s">
        <v>318</v>
      </c>
      <c r="D586" s="39" t="s">
        <v>483</v>
      </c>
      <c r="E586" s="40">
        <v>167</v>
      </c>
      <c r="F586" s="41">
        <f>$E586*3600/(Input!$H$4*1000)</f>
        <v>20.04</v>
      </c>
      <c r="G586" s="42" t="str">
        <f t="shared" si="9"/>
        <v>585</v>
      </c>
    </row>
    <row r="587" spans="2:7" s="38" customFormat="1" x14ac:dyDescent="0.2">
      <c r="B587" s="39" t="s">
        <v>7768</v>
      </c>
      <c r="C587" s="39" t="s">
        <v>483</v>
      </c>
      <c r="D587" s="39" t="s">
        <v>249</v>
      </c>
      <c r="E587" s="40">
        <v>300</v>
      </c>
      <c r="F587" s="41">
        <f>$E587*3600/(Input!$H$4*1000)</f>
        <v>36</v>
      </c>
      <c r="G587" s="42" t="str">
        <f t="shared" si="9"/>
        <v>586</v>
      </c>
    </row>
    <row r="588" spans="2:7" s="38" customFormat="1" x14ac:dyDescent="0.2">
      <c r="B588" s="39" t="s">
        <v>7769</v>
      </c>
      <c r="C588" s="39" t="s">
        <v>249</v>
      </c>
      <c r="D588" s="39" t="s">
        <v>477</v>
      </c>
      <c r="E588" s="40">
        <v>387</v>
      </c>
      <c r="F588" s="41">
        <f>$E588*3600/(Input!$H$4*1000)</f>
        <v>46.44</v>
      </c>
      <c r="G588" s="42" t="str">
        <f t="shared" si="9"/>
        <v>587</v>
      </c>
    </row>
    <row r="589" spans="2:7" s="38" customFormat="1" x14ac:dyDescent="0.2">
      <c r="B589" s="39" t="s">
        <v>7770</v>
      </c>
      <c r="C589" s="39" t="s">
        <v>1060</v>
      </c>
      <c r="D589" s="39" t="s">
        <v>249</v>
      </c>
      <c r="E589" s="40">
        <v>486</v>
      </c>
      <c r="F589" s="41">
        <f>$E589*3600/(Input!$H$4*1000)</f>
        <v>58.32</v>
      </c>
      <c r="G589" s="42" t="str">
        <f t="shared" si="9"/>
        <v>588</v>
      </c>
    </row>
    <row r="590" spans="2:7" s="38" customFormat="1" x14ac:dyDescent="0.2">
      <c r="B590" s="39" t="s">
        <v>7771</v>
      </c>
      <c r="C590" s="39" t="s">
        <v>1060</v>
      </c>
      <c r="D590" s="39" t="s">
        <v>956</v>
      </c>
      <c r="E590" s="40">
        <v>544</v>
      </c>
      <c r="F590" s="41">
        <f>$E590*3600/(Input!$H$4*1000)</f>
        <v>65.28</v>
      </c>
      <c r="G590" s="42" t="str">
        <f t="shared" si="9"/>
        <v>589</v>
      </c>
    </row>
    <row r="591" spans="2:7" s="38" customFormat="1" x14ac:dyDescent="0.2">
      <c r="B591" s="39" t="s">
        <v>7772</v>
      </c>
      <c r="C591" s="39" t="s">
        <v>1269</v>
      </c>
      <c r="D591" s="39" t="s">
        <v>484</v>
      </c>
      <c r="E591" s="40">
        <v>513</v>
      </c>
      <c r="F591" s="41">
        <f>$E591*3600/(Input!$H$4*1000)</f>
        <v>61.56</v>
      </c>
      <c r="G591" s="42" t="str">
        <f t="shared" si="9"/>
        <v>590</v>
      </c>
    </row>
    <row r="592" spans="2:7" s="38" customFormat="1" x14ac:dyDescent="0.2">
      <c r="B592" s="39" t="s">
        <v>7773</v>
      </c>
      <c r="C592" s="39" t="s">
        <v>484</v>
      </c>
      <c r="D592" s="39" t="s">
        <v>1267</v>
      </c>
      <c r="E592" s="40">
        <v>894</v>
      </c>
      <c r="F592" s="41">
        <f>$E592*3600/(Input!$H$4*1000)</f>
        <v>107.28</v>
      </c>
      <c r="G592" s="42" t="str">
        <f t="shared" si="9"/>
        <v>591</v>
      </c>
    </row>
    <row r="593" spans="2:7" s="38" customFormat="1" x14ac:dyDescent="0.2">
      <c r="B593" s="39" t="s">
        <v>7774</v>
      </c>
      <c r="C593" s="39" t="s">
        <v>1267</v>
      </c>
      <c r="D593" s="39" t="s">
        <v>695</v>
      </c>
      <c r="E593" s="40">
        <v>295</v>
      </c>
      <c r="F593" s="41">
        <f>$E593*3600/(Input!$H$4*1000)</f>
        <v>35.4</v>
      </c>
      <c r="G593" s="42" t="str">
        <f t="shared" si="9"/>
        <v>592</v>
      </c>
    </row>
    <row r="594" spans="2:7" s="38" customFormat="1" x14ac:dyDescent="0.2">
      <c r="B594" s="39" t="s">
        <v>7775</v>
      </c>
      <c r="C594" s="39" t="s">
        <v>1542</v>
      </c>
      <c r="D594" s="39" t="s">
        <v>695</v>
      </c>
      <c r="E594" s="40">
        <v>289</v>
      </c>
      <c r="F594" s="41">
        <f>$E594*3600/(Input!$H$4*1000)</f>
        <v>34.68</v>
      </c>
      <c r="G594" s="42" t="str">
        <f t="shared" si="9"/>
        <v>593</v>
      </c>
    </row>
    <row r="595" spans="2:7" s="38" customFormat="1" x14ac:dyDescent="0.2">
      <c r="B595" s="39" t="s">
        <v>7776</v>
      </c>
      <c r="C595" s="39" t="s">
        <v>695</v>
      </c>
      <c r="D595" s="39" t="s">
        <v>567</v>
      </c>
      <c r="E595" s="40">
        <v>127</v>
      </c>
      <c r="F595" s="41">
        <f>$E595*3600/(Input!$H$4*1000)</f>
        <v>15.24</v>
      </c>
      <c r="G595" s="42" t="str">
        <f t="shared" si="9"/>
        <v>594</v>
      </c>
    </row>
    <row r="596" spans="2:7" s="38" customFormat="1" x14ac:dyDescent="0.2">
      <c r="B596" s="39" t="s">
        <v>7777</v>
      </c>
      <c r="C596" s="39" t="s">
        <v>1542</v>
      </c>
      <c r="D596" s="39" t="s">
        <v>1058</v>
      </c>
      <c r="E596" s="40">
        <v>438</v>
      </c>
      <c r="F596" s="41">
        <f>$E596*3600/(Input!$H$4*1000)</f>
        <v>52.56</v>
      </c>
      <c r="G596" s="42" t="str">
        <f t="shared" si="9"/>
        <v>595</v>
      </c>
    </row>
    <row r="597" spans="2:7" s="38" customFormat="1" x14ac:dyDescent="0.2">
      <c r="B597" s="39" t="s">
        <v>7778</v>
      </c>
      <c r="C597" s="39" t="s">
        <v>714</v>
      </c>
      <c r="D597" s="39" t="s">
        <v>567</v>
      </c>
      <c r="E597" s="40">
        <v>72</v>
      </c>
      <c r="F597" s="41">
        <f>$E597*3600/(Input!$H$4*1000)</f>
        <v>8.64</v>
      </c>
      <c r="G597" s="42" t="str">
        <f t="shared" si="9"/>
        <v>596</v>
      </c>
    </row>
    <row r="598" spans="2:7" s="38" customFormat="1" x14ac:dyDescent="0.2">
      <c r="B598" s="39" t="s">
        <v>7779</v>
      </c>
      <c r="C598" s="39" t="s">
        <v>714</v>
      </c>
      <c r="D598" s="39" t="s">
        <v>1488</v>
      </c>
      <c r="E598" s="40">
        <v>135</v>
      </c>
      <c r="F598" s="41">
        <f>$E598*3600/(Input!$H$4*1000)</f>
        <v>16.2</v>
      </c>
      <c r="G598" s="42" t="str">
        <f t="shared" si="9"/>
        <v>597</v>
      </c>
    </row>
    <row r="599" spans="2:7" s="38" customFormat="1" x14ac:dyDescent="0.2">
      <c r="B599" s="39" t="s">
        <v>7780</v>
      </c>
      <c r="C599" s="39" t="s">
        <v>726</v>
      </c>
      <c r="D599" s="39" t="s">
        <v>1488</v>
      </c>
      <c r="E599" s="40">
        <v>416</v>
      </c>
      <c r="F599" s="41">
        <f>$E599*3600/(Input!$H$4*1000)</f>
        <v>49.92</v>
      </c>
      <c r="G599" s="42" t="str">
        <f t="shared" si="9"/>
        <v>598</v>
      </c>
    </row>
    <row r="600" spans="2:7" s="38" customFormat="1" x14ac:dyDescent="0.2">
      <c r="B600" s="39" t="s">
        <v>7781</v>
      </c>
      <c r="C600" s="39" t="s">
        <v>339</v>
      </c>
      <c r="D600" s="39" t="s">
        <v>106</v>
      </c>
      <c r="E600" s="40">
        <v>217</v>
      </c>
      <c r="F600" s="41">
        <f>$E600*3600/(Input!$H$4*1000)</f>
        <v>26.04</v>
      </c>
      <c r="G600" s="42" t="str">
        <f t="shared" si="9"/>
        <v>599</v>
      </c>
    </row>
    <row r="601" spans="2:7" s="38" customFormat="1" x14ac:dyDescent="0.2">
      <c r="B601" s="39" t="s">
        <v>7782</v>
      </c>
      <c r="C601" s="39" t="s">
        <v>106</v>
      </c>
      <c r="D601" s="39" t="s">
        <v>726</v>
      </c>
      <c r="E601" s="40">
        <v>582</v>
      </c>
      <c r="F601" s="41">
        <f>$E601*3600/(Input!$H$4*1000)</f>
        <v>69.84</v>
      </c>
      <c r="G601" s="42" t="str">
        <f t="shared" si="9"/>
        <v>600</v>
      </c>
    </row>
    <row r="602" spans="2:7" s="38" customFormat="1" x14ac:dyDescent="0.2">
      <c r="B602" s="39" t="s">
        <v>7783</v>
      </c>
      <c r="C602" s="39" t="s">
        <v>865</v>
      </c>
      <c r="D602" s="39" t="s">
        <v>339</v>
      </c>
      <c r="E602" s="40">
        <v>435</v>
      </c>
      <c r="F602" s="41">
        <f>$E602*3600/(Input!$H$4*1000)</f>
        <v>52.2</v>
      </c>
      <c r="G602" s="42" t="str">
        <f t="shared" si="9"/>
        <v>601</v>
      </c>
    </row>
    <row r="603" spans="2:7" s="38" customFormat="1" x14ac:dyDescent="0.2">
      <c r="B603" s="39" t="s">
        <v>7784</v>
      </c>
      <c r="C603" s="39" t="s">
        <v>106</v>
      </c>
      <c r="D603" s="39" t="s">
        <v>329</v>
      </c>
      <c r="E603" s="40">
        <v>130</v>
      </c>
      <c r="F603" s="41">
        <f>$E603*3600/(Input!$H$4*1000)</f>
        <v>15.6</v>
      </c>
      <c r="G603" s="42" t="str">
        <f t="shared" si="9"/>
        <v>602</v>
      </c>
    </row>
    <row r="604" spans="2:7" s="38" customFormat="1" x14ac:dyDescent="0.2">
      <c r="B604" s="39" t="s">
        <v>7785</v>
      </c>
      <c r="C604" s="39" t="s">
        <v>319</v>
      </c>
      <c r="D604" s="39" t="s">
        <v>865</v>
      </c>
      <c r="E604" s="40">
        <v>173</v>
      </c>
      <c r="F604" s="41">
        <f>$E604*3600/(Input!$H$4*1000)</f>
        <v>20.76</v>
      </c>
      <c r="G604" s="42" t="str">
        <f t="shared" si="9"/>
        <v>603</v>
      </c>
    </row>
    <row r="605" spans="2:7" s="38" customFormat="1" x14ac:dyDescent="0.2">
      <c r="B605" s="39" t="s">
        <v>7786</v>
      </c>
      <c r="C605" s="39" t="s">
        <v>1385</v>
      </c>
      <c r="D605" s="39" t="s">
        <v>327</v>
      </c>
      <c r="E605" s="40">
        <v>241</v>
      </c>
      <c r="F605" s="41">
        <f>$E605*3600/(Input!$H$4*1000)</f>
        <v>28.92</v>
      </c>
      <c r="G605" s="42" t="str">
        <f t="shared" si="9"/>
        <v>604</v>
      </c>
    </row>
    <row r="606" spans="2:7" s="38" customFormat="1" x14ac:dyDescent="0.2">
      <c r="B606" s="39" t="s">
        <v>7787</v>
      </c>
      <c r="C606" s="39" t="s">
        <v>377</v>
      </c>
      <c r="D606" s="39" t="s">
        <v>339</v>
      </c>
      <c r="E606" s="40">
        <v>643</v>
      </c>
      <c r="F606" s="41">
        <f>$E606*3600/(Input!$H$4*1000)</f>
        <v>77.16</v>
      </c>
      <c r="G606" s="42" t="str">
        <f t="shared" si="9"/>
        <v>605</v>
      </c>
    </row>
    <row r="607" spans="2:7" s="38" customFormat="1" x14ac:dyDescent="0.2">
      <c r="B607" s="39" t="s">
        <v>7788</v>
      </c>
      <c r="C607" s="39" t="s">
        <v>1385</v>
      </c>
      <c r="D607" s="39" t="s">
        <v>865</v>
      </c>
      <c r="E607" s="40">
        <v>411</v>
      </c>
      <c r="F607" s="41">
        <f>$E607*3600/(Input!$H$4*1000)</f>
        <v>49.32</v>
      </c>
      <c r="G607" s="42" t="str">
        <f t="shared" si="9"/>
        <v>606</v>
      </c>
    </row>
    <row r="608" spans="2:7" s="38" customFormat="1" x14ac:dyDescent="0.2">
      <c r="B608" s="39" t="s">
        <v>7789</v>
      </c>
      <c r="C608" s="39" t="s">
        <v>326</v>
      </c>
      <c r="D608" s="39" t="s">
        <v>319</v>
      </c>
      <c r="E608" s="40">
        <v>332</v>
      </c>
      <c r="F608" s="41">
        <f>$E608*3600/(Input!$H$4*1000)</f>
        <v>39.840000000000003</v>
      </c>
      <c r="G608" s="42" t="str">
        <f t="shared" si="9"/>
        <v>607</v>
      </c>
    </row>
    <row r="609" spans="2:7" s="38" customFormat="1" x14ac:dyDescent="0.2">
      <c r="B609" s="39" t="s">
        <v>7790</v>
      </c>
      <c r="C609" s="39" t="s">
        <v>343</v>
      </c>
      <c r="D609" s="39" t="s">
        <v>1385</v>
      </c>
      <c r="E609" s="40">
        <v>181</v>
      </c>
      <c r="F609" s="41">
        <f>$E609*3600/(Input!$H$4*1000)</f>
        <v>21.72</v>
      </c>
      <c r="G609" s="42" t="str">
        <f t="shared" si="9"/>
        <v>608</v>
      </c>
    </row>
    <row r="610" spans="2:7" s="38" customFormat="1" x14ac:dyDescent="0.2">
      <c r="B610" s="39" t="s">
        <v>7791</v>
      </c>
      <c r="C610" s="39" t="s">
        <v>377</v>
      </c>
      <c r="D610" s="39" t="s">
        <v>1400</v>
      </c>
      <c r="E610" s="40">
        <v>298</v>
      </c>
      <c r="F610" s="41">
        <f>$E610*3600/(Input!$H$4*1000)</f>
        <v>35.76</v>
      </c>
      <c r="G610" s="42" t="str">
        <f t="shared" si="9"/>
        <v>609</v>
      </c>
    </row>
    <row r="611" spans="2:7" s="38" customFormat="1" x14ac:dyDescent="0.2">
      <c r="B611" s="39" t="s">
        <v>7792</v>
      </c>
      <c r="C611" s="39" t="s">
        <v>377</v>
      </c>
      <c r="D611" s="39" t="s">
        <v>338</v>
      </c>
      <c r="E611" s="40">
        <v>377</v>
      </c>
      <c r="F611" s="41">
        <f>$E611*3600/(Input!$H$4*1000)</f>
        <v>45.24</v>
      </c>
      <c r="G611" s="42" t="str">
        <f t="shared" si="9"/>
        <v>610</v>
      </c>
    </row>
    <row r="612" spans="2:7" s="38" customFormat="1" x14ac:dyDescent="0.2">
      <c r="B612" s="39" t="s">
        <v>7793</v>
      </c>
      <c r="C612" s="39" t="s">
        <v>338</v>
      </c>
      <c r="D612" s="39" t="s">
        <v>335</v>
      </c>
      <c r="E612" s="40">
        <v>186</v>
      </c>
      <c r="F612" s="41">
        <f>$E612*3600/(Input!$H$4*1000)</f>
        <v>22.32</v>
      </c>
      <c r="G612" s="42" t="str">
        <f t="shared" si="9"/>
        <v>611</v>
      </c>
    </row>
    <row r="613" spans="2:7" s="38" customFormat="1" x14ac:dyDescent="0.2">
      <c r="B613" s="39" t="s">
        <v>7794</v>
      </c>
      <c r="C613" s="39" t="s">
        <v>335</v>
      </c>
      <c r="D613" s="39" t="s">
        <v>348</v>
      </c>
      <c r="E613" s="40">
        <v>696</v>
      </c>
      <c r="F613" s="41">
        <f>$E613*3600/(Input!$H$4*1000)</f>
        <v>83.52</v>
      </c>
      <c r="G613" s="42" t="str">
        <f t="shared" si="9"/>
        <v>612</v>
      </c>
    </row>
    <row r="614" spans="2:7" s="38" customFormat="1" x14ac:dyDescent="0.2">
      <c r="B614" s="39" t="s">
        <v>7795</v>
      </c>
      <c r="C614" s="39" t="s">
        <v>877</v>
      </c>
      <c r="D614" s="39" t="s">
        <v>1130</v>
      </c>
      <c r="E614" s="40">
        <v>752</v>
      </c>
      <c r="F614" s="41">
        <f>$E614*3600/(Input!$H$4*1000)</f>
        <v>90.24</v>
      </c>
      <c r="G614" s="42" t="str">
        <f t="shared" si="9"/>
        <v>613</v>
      </c>
    </row>
    <row r="615" spans="2:7" s="38" customFormat="1" x14ac:dyDescent="0.2">
      <c r="B615" s="39" t="s">
        <v>7796</v>
      </c>
      <c r="C615" s="39" t="s">
        <v>1527</v>
      </c>
      <c r="D615" s="39" t="s">
        <v>857</v>
      </c>
      <c r="E615" s="40">
        <v>331</v>
      </c>
      <c r="F615" s="41">
        <f>$E615*3600/(Input!$H$4*1000)</f>
        <v>39.72</v>
      </c>
      <c r="G615" s="42" t="str">
        <f t="shared" si="9"/>
        <v>614</v>
      </c>
    </row>
    <row r="616" spans="2:7" s="38" customFormat="1" x14ac:dyDescent="0.2">
      <c r="B616" s="39" t="s">
        <v>7797</v>
      </c>
      <c r="C616" s="39" t="s">
        <v>857</v>
      </c>
      <c r="D616" s="39" t="s">
        <v>707</v>
      </c>
      <c r="E616" s="40">
        <v>219</v>
      </c>
      <c r="F616" s="41">
        <f>$E616*3600/(Input!$H$4*1000)</f>
        <v>26.28</v>
      </c>
      <c r="G616" s="42" t="str">
        <f t="shared" si="9"/>
        <v>615</v>
      </c>
    </row>
    <row r="617" spans="2:7" s="38" customFormat="1" x14ac:dyDescent="0.2">
      <c r="B617" s="39" t="s">
        <v>7798</v>
      </c>
      <c r="C617" s="39" t="s">
        <v>1527</v>
      </c>
      <c r="D617" s="39" t="s">
        <v>1522</v>
      </c>
      <c r="E617" s="40">
        <v>410</v>
      </c>
      <c r="F617" s="41">
        <f>$E617*3600/(Input!$H$4*1000)</f>
        <v>49.2</v>
      </c>
      <c r="G617" s="42" t="str">
        <f t="shared" si="9"/>
        <v>616</v>
      </c>
    </row>
    <row r="618" spans="2:7" s="38" customFormat="1" x14ac:dyDescent="0.2">
      <c r="B618" s="39" t="s">
        <v>7799</v>
      </c>
      <c r="C618" s="39" t="s">
        <v>1522</v>
      </c>
      <c r="D618" s="39" t="s">
        <v>736</v>
      </c>
      <c r="E618" s="40">
        <v>379</v>
      </c>
      <c r="F618" s="41">
        <f>$E618*3600/(Input!$H$4*1000)</f>
        <v>45.48</v>
      </c>
      <c r="G618" s="42" t="str">
        <f t="shared" si="9"/>
        <v>617</v>
      </c>
    </row>
    <row r="619" spans="2:7" s="38" customFormat="1" x14ac:dyDescent="0.2">
      <c r="B619" s="39" t="s">
        <v>7800</v>
      </c>
      <c r="C619" s="39" t="s">
        <v>1535</v>
      </c>
      <c r="D619" s="39" t="s">
        <v>1725</v>
      </c>
      <c r="E619" s="40">
        <v>416</v>
      </c>
      <c r="F619" s="41">
        <f>$E619*3600/(Input!$H$4*1000)</f>
        <v>49.92</v>
      </c>
      <c r="G619" s="42" t="str">
        <f t="shared" si="9"/>
        <v>618</v>
      </c>
    </row>
    <row r="620" spans="2:7" s="38" customFormat="1" x14ac:dyDescent="0.2">
      <c r="B620" s="39" t="s">
        <v>7801</v>
      </c>
      <c r="C620" s="39" t="s">
        <v>1703</v>
      </c>
      <c r="D620" s="39" t="s">
        <v>756</v>
      </c>
      <c r="E620" s="40">
        <v>123</v>
      </c>
      <c r="F620" s="41">
        <f>$E620*3600/(Input!$H$4*1000)</f>
        <v>14.76</v>
      </c>
      <c r="G620" s="42" t="str">
        <f t="shared" si="9"/>
        <v>619</v>
      </c>
    </row>
    <row r="621" spans="2:7" s="38" customFormat="1" x14ac:dyDescent="0.2">
      <c r="B621" s="39" t="s">
        <v>7802</v>
      </c>
      <c r="C621" s="39" t="s">
        <v>756</v>
      </c>
      <c r="D621" s="39" t="s">
        <v>1797</v>
      </c>
      <c r="E621" s="40">
        <v>324</v>
      </c>
      <c r="F621" s="41">
        <f>$E621*3600/(Input!$H$4*1000)</f>
        <v>38.880000000000003</v>
      </c>
      <c r="G621" s="42" t="str">
        <f t="shared" si="9"/>
        <v>620</v>
      </c>
    </row>
    <row r="622" spans="2:7" s="38" customFormat="1" x14ac:dyDescent="0.2">
      <c r="B622" s="39" t="s">
        <v>7803</v>
      </c>
      <c r="C622" s="39" t="s">
        <v>939</v>
      </c>
      <c r="D622" s="39" t="s">
        <v>1797</v>
      </c>
      <c r="E622" s="40">
        <v>503</v>
      </c>
      <c r="F622" s="41">
        <f>$E622*3600/(Input!$H$4*1000)</f>
        <v>60.36</v>
      </c>
      <c r="G622" s="42" t="str">
        <f t="shared" si="9"/>
        <v>621</v>
      </c>
    </row>
    <row r="623" spans="2:7" s="38" customFormat="1" x14ac:dyDescent="0.2">
      <c r="B623" s="39" t="s">
        <v>7804</v>
      </c>
      <c r="C623" s="39" t="s">
        <v>1699</v>
      </c>
      <c r="D623" s="39" t="s">
        <v>939</v>
      </c>
      <c r="E623" s="40">
        <v>406</v>
      </c>
      <c r="F623" s="41">
        <f>$E623*3600/(Input!$H$4*1000)</f>
        <v>48.72</v>
      </c>
      <c r="G623" s="42" t="str">
        <f t="shared" si="9"/>
        <v>622</v>
      </c>
    </row>
    <row r="624" spans="2:7" s="38" customFormat="1" x14ac:dyDescent="0.2">
      <c r="B624" s="39" t="s">
        <v>1798</v>
      </c>
      <c r="C624" s="39" t="s">
        <v>1019</v>
      </c>
      <c r="D624" s="39" t="s">
        <v>1331</v>
      </c>
      <c r="E624" s="40">
        <v>486</v>
      </c>
      <c r="F624" s="41">
        <f>$E624*3600/(Input!$H$4*1000)</f>
        <v>58.32</v>
      </c>
      <c r="G624" s="42" t="str">
        <f t="shared" si="9"/>
        <v>623</v>
      </c>
    </row>
    <row r="625" spans="2:7" s="38" customFormat="1" x14ac:dyDescent="0.2">
      <c r="B625" s="39" t="s">
        <v>7805</v>
      </c>
      <c r="C625" s="39" t="s">
        <v>1799</v>
      </c>
      <c r="D625" s="39" t="s">
        <v>379</v>
      </c>
      <c r="E625" s="40">
        <v>322</v>
      </c>
      <c r="F625" s="41">
        <f>$E625*3600/(Input!$H$4*1000)</f>
        <v>38.64</v>
      </c>
      <c r="G625" s="42" t="str">
        <f t="shared" si="9"/>
        <v>624</v>
      </c>
    </row>
    <row r="626" spans="2:7" s="38" customFormat="1" x14ac:dyDescent="0.2">
      <c r="B626" s="39" t="s">
        <v>7806</v>
      </c>
      <c r="C626" s="39" t="s">
        <v>864</v>
      </c>
      <c r="D626" s="39" t="s">
        <v>863</v>
      </c>
      <c r="E626" s="40">
        <v>1540</v>
      </c>
      <c r="F626" s="41">
        <f>$E626*3600/(Input!$H$4*1000)</f>
        <v>184.8</v>
      </c>
      <c r="G626" s="42" t="str">
        <f t="shared" si="9"/>
        <v>625</v>
      </c>
    </row>
    <row r="627" spans="2:7" s="38" customFormat="1" x14ac:dyDescent="0.2">
      <c r="B627" s="39" t="s">
        <v>7807</v>
      </c>
      <c r="C627" s="39" t="s">
        <v>269</v>
      </c>
      <c r="D627" s="39" t="s">
        <v>1725</v>
      </c>
      <c r="E627" s="40">
        <v>137</v>
      </c>
      <c r="F627" s="41">
        <f>$E627*3600/(Input!$H$4*1000)</f>
        <v>16.440000000000001</v>
      </c>
      <c r="G627" s="42" t="str">
        <f t="shared" si="9"/>
        <v>626</v>
      </c>
    </row>
    <row r="628" spans="2:7" s="38" customFormat="1" x14ac:dyDescent="0.2">
      <c r="B628" s="39" t="s">
        <v>7808</v>
      </c>
      <c r="C628" s="39" t="s">
        <v>126</v>
      </c>
      <c r="D628" s="39" t="s">
        <v>269</v>
      </c>
      <c r="E628" s="40">
        <v>144</v>
      </c>
      <c r="F628" s="41">
        <f>$E628*3600/(Input!$H$4*1000)</f>
        <v>17.28</v>
      </c>
      <c r="G628" s="42" t="str">
        <f t="shared" si="9"/>
        <v>627</v>
      </c>
    </row>
    <row r="629" spans="2:7" s="38" customFormat="1" x14ac:dyDescent="0.2">
      <c r="B629" s="39" t="s">
        <v>7809</v>
      </c>
      <c r="C629" s="39" t="s">
        <v>126</v>
      </c>
      <c r="D629" s="39" t="s">
        <v>212</v>
      </c>
      <c r="E629" s="40">
        <v>279</v>
      </c>
      <c r="F629" s="41">
        <f>$E629*3600/(Input!$H$4*1000)</f>
        <v>33.479999999999997</v>
      </c>
      <c r="G629" s="42" t="str">
        <f t="shared" si="9"/>
        <v>628</v>
      </c>
    </row>
    <row r="630" spans="2:7" s="38" customFormat="1" x14ac:dyDescent="0.2">
      <c r="B630" s="39" t="s">
        <v>7810</v>
      </c>
      <c r="C630" s="39" t="s">
        <v>926</v>
      </c>
      <c r="D630" s="39" t="s">
        <v>601</v>
      </c>
      <c r="E630" s="40">
        <v>398</v>
      </c>
      <c r="F630" s="41">
        <f>$E630*3600/(Input!$H$4*1000)</f>
        <v>47.76</v>
      </c>
      <c r="G630" s="42" t="str">
        <f t="shared" si="9"/>
        <v>629</v>
      </c>
    </row>
    <row r="631" spans="2:7" s="38" customFormat="1" x14ac:dyDescent="0.2">
      <c r="B631" s="39" t="s">
        <v>7811</v>
      </c>
      <c r="C631" s="39" t="s">
        <v>783</v>
      </c>
      <c r="D631" s="39" t="s">
        <v>601</v>
      </c>
      <c r="E631" s="40">
        <v>248</v>
      </c>
      <c r="F631" s="41">
        <f>$E631*3600/(Input!$H$4*1000)</f>
        <v>29.76</v>
      </c>
      <c r="G631" s="42" t="str">
        <f t="shared" si="9"/>
        <v>630</v>
      </c>
    </row>
    <row r="632" spans="2:7" s="38" customFormat="1" x14ac:dyDescent="0.2">
      <c r="B632" s="39" t="s">
        <v>7812</v>
      </c>
      <c r="C632" s="39" t="s">
        <v>1603</v>
      </c>
      <c r="D632" s="39" t="s">
        <v>601</v>
      </c>
      <c r="E632" s="40">
        <v>323</v>
      </c>
      <c r="F632" s="41">
        <f>$E632*3600/(Input!$H$4*1000)</f>
        <v>38.76</v>
      </c>
      <c r="G632" s="42" t="str">
        <f t="shared" si="9"/>
        <v>631</v>
      </c>
    </row>
    <row r="633" spans="2:7" s="38" customFormat="1" x14ac:dyDescent="0.2">
      <c r="B633" s="39" t="s">
        <v>7813</v>
      </c>
      <c r="C633" s="39" t="s">
        <v>1522</v>
      </c>
      <c r="D633" s="39" t="s">
        <v>1800</v>
      </c>
      <c r="E633" s="40">
        <v>473</v>
      </c>
      <c r="F633" s="41">
        <f>$E633*3600/(Input!$H$4*1000)</f>
        <v>56.76</v>
      </c>
      <c r="G633" s="42" t="str">
        <f t="shared" si="9"/>
        <v>632</v>
      </c>
    </row>
    <row r="634" spans="2:7" s="38" customFormat="1" x14ac:dyDescent="0.2">
      <c r="B634" s="39" t="s">
        <v>7814</v>
      </c>
      <c r="C634" s="39" t="s">
        <v>1533</v>
      </c>
      <c r="D634" s="39" t="s">
        <v>1800</v>
      </c>
      <c r="E634" s="40">
        <v>160</v>
      </c>
      <c r="F634" s="41">
        <f>$E634*3600/(Input!$H$4*1000)</f>
        <v>19.2</v>
      </c>
      <c r="G634" s="42" t="str">
        <f t="shared" si="9"/>
        <v>633</v>
      </c>
    </row>
    <row r="635" spans="2:7" s="38" customFormat="1" x14ac:dyDescent="0.2">
      <c r="B635" s="39" t="s">
        <v>7815</v>
      </c>
      <c r="C635" s="39" t="s">
        <v>1518</v>
      </c>
      <c r="D635" s="39" t="s">
        <v>1800</v>
      </c>
      <c r="E635" s="40">
        <v>471</v>
      </c>
      <c r="F635" s="41">
        <f>$E635*3600/(Input!$H$4*1000)</f>
        <v>56.52</v>
      </c>
      <c r="G635" s="42" t="str">
        <f t="shared" si="9"/>
        <v>634</v>
      </c>
    </row>
    <row r="636" spans="2:7" s="38" customFormat="1" x14ac:dyDescent="0.2">
      <c r="B636" s="39" t="s">
        <v>7816</v>
      </c>
      <c r="C636" s="39" t="s">
        <v>980</v>
      </c>
      <c r="D636" s="39" t="s">
        <v>696</v>
      </c>
      <c r="E636" s="40">
        <v>309</v>
      </c>
      <c r="F636" s="41">
        <f>$E636*3600/(Input!$H$4*1000)</f>
        <v>37.08</v>
      </c>
      <c r="G636" s="42" t="str">
        <f t="shared" si="9"/>
        <v>635</v>
      </c>
    </row>
    <row r="637" spans="2:7" s="38" customFormat="1" x14ac:dyDescent="0.2">
      <c r="B637" s="39" t="s">
        <v>7817</v>
      </c>
      <c r="C637" s="39" t="s">
        <v>980</v>
      </c>
      <c r="D637" s="39" t="s">
        <v>742</v>
      </c>
      <c r="E637" s="40">
        <v>393</v>
      </c>
      <c r="F637" s="41">
        <f>$E637*3600/(Input!$H$4*1000)</f>
        <v>47.16</v>
      </c>
      <c r="G637" s="42" t="str">
        <f t="shared" si="9"/>
        <v>636</v>
      </c>
    </row>
    <row r="638" spans="2:7" s="38" customFormat="1" x14ac:dyDescent="0.2">
      <c r="B638" s="39" t="s">
        <v>7818</v>
      </c>
      <c r="C638" s="39" t="s">
        <v>980</v>
      </c>
      <c r="D638" s="39" t="s">
        <v>1518</v>
      </c>
      <c r="E638" s="40">
        <v>158</v>
      </c>
      <c r="F638" s="41">
        <f>$E638*3600/(Input!$H$4*1000)</f>
        <v>18.96</v>
      </c>
      <c r="G638" s="42" t="str">
        <f t="shared" si="9"/>
        <v>637</v>
      </c>
    </row>
    <row r="639" spans="2:7" s="38" customFormat="1" x14ac:dyDescent="0.2">
      <c r="B639" s="39" t="s">
        <v>7819</v>
      </c>
      <c r="C639" s="39" t="s">
        <v>1518</v>
      </c>
      <c r="D639" s="39" t="s">
        <v>165</v>
      </c>
      <c r="E639" s="40">
        <v>147</v>
      </c>
      <c r="F639" s="41">
        <f>$E639*3600/(Input!$H$4*1000)</f>
        <v>17.64</v>
      </c>
      <c r="G639" s="42" t="str">
        <f t="shared" si="9"/>
        <v>638</v>
      </c>
    </row>
    <row r="640" spans="2:7" s="38" customFormat="1" x14ac:dyDescent="0.2">
      <c r="B640" s="39" t="s">
        <v>7820</v>
      </c>
      <c r="C640" s="39" t="s">
        <v>917</v>
      </c>
      <c r="D640" s="39" t="s">
        <v>144</v>
      </c>
      <c r="E640" s="40">
        <v>132</v>
      </c>
      <c r="F640" s="41">
        <f>$E640*3600/(Input!$H$4*1000)</f>
        <v>15.84</v>
      </c>
      <c r="G640" s="42" t="str">
        <f t="shared" si="9"/>
        <v>639</v>
      </c>
    </row>
    <row r="641" spans="2:7" s="38" customFormat="1" x14ac:dyDescent="0.2">
      <c r="B641" s="39" t="s">
        <v>7821</v>
      </c>
      <c r="C641" s="39" t="s">
        <v>144</v>
      </c>
      <c r="D641" s="39" t="s">
        <v>911</v>
      </c>
      <c r="E641" s="40">
        <v>393</v>
      </c>
      <c r="F641" s="41">
        <f>$E641*3600/(Input!$H$4*1000)</f>
        <v>47.16</v>
      </c>
      <c r="G641" s="42" t="str">
        <f t="shared" si="9"/>
        <v>640</v>
      </c>
    </row>
    <row r="642" spans="2:7" s="38" customFormat="1" x14ac:dyDescent="0.2">
      <c r="B642" s="39" t="s">
        <v>7822</v>
      </c>
      <c r="C642" s="39" t="s">
        <v>1517</v>
      </c>
      <c r="D642" s="39" t="s">
        <v>918</v>
      </c>
      <c r="E642" s="40">
        <v>612</v>
      </c>
      <c r="F642" s="41">
        <f>$E642*3600/(Input!$H$4*1000)</f>
        <v>73.44</v>
      </c>
      <c r="G642" s="42" t="str">
        <f t="shared" ref="G642:G705" si="10">MID(B642,7,LEN(B642)-6)</f>
        <v>641</v>
      </c>
    </row>
    <row r="643" spans="2:7" s="38" customFormat="1" x14ac:dyDescent="0.2">
      <c r="B643" s="39" t="s">
        <v>7823</v>
      </c>
      <c r="C643" s="39" t="s">
        <v>144</v>
      </c>
      <c r="D643" s="39" t="s">
        <v>1528</v>
      </c>
      <c r="E643" s="40">
        <v>361</v>
      </c>
      <c r="F643" s="41">
        <f>$E643*3600/(Input!$H$4*1000)</f>
        <v>43.32</v>
      </c>
      <c r="G643" s="42" t="str">
        <f t="shared" si="10"/>
        <v>642</v>
      </c>
    </row>
    <row r="644" spans="2:7" s="38" customFormat="1" x14ac:dyDescent="0.2">
      <c r="B644" s="39" t="s">
        <v>7824</v>
      </c>
      <c r="C644" s="39" t="s">
        <v>1517</v>
      </c>
      <c r="D644" s="39" t="s">
        <v>719</v>
      </c>
      <c r="E644" s="40">
        <v>235</v>
      </c>
      <c r="F644" s="41">
        <f>$E644*3600/(Input!$H$4*1000)</f>
        <v>28.2</v>
      </c>
      <c r="G644" s="42" t="str">
        <f t="shared" si="10"/>
        <v>643</v>
      </c>
    </row>
    <row r="645" spans="2:7" s="38" customFormat="1" x14ac:dyDescent="0.2">
      <c r="B645" s="39" t="s">
        <v>7825</v>
      </c>
      <c r="C645" s="39" t="s">
        <v>152</v>
      </c>
      <c r="D645" s="39" t="s">
        <v>1517</v>
      </c>
      <c r="E645" s="40">
        <v>131</v>
      </c>
      <c r="F645" s="41">
        <f>$E645*3600/(Input!$H$4*1000)</f>
        <v>15.72</v>
      </c>
      <c r="G645" s="42" t="str">
        <f t="shared" si="10"/>
        <v>644</v>
      </c>
    </row>
    <row r="646" spans="2:7" s="38" customFormat="1" x14ac:dyDescent="0.2">
      <c r="B646" s="39" t="s">
        <v>7826</v>
      </c>
      <c r="C646" s="39" t="s">
        <v>1500</v>
      </c>
      <c r="D646" s="39" t="s">
        <v>1528</v>
      </c>
      <c r="E646" s="40">
        <v>507</v>
      </c>
      <c r="F646" s="41">
        <f>$E646*3600/(Input!$H$4*1000)</f>
        <v>60.84</v>
      </c>
      <c r="G646" s="42" t="str">
        <f t="shared" si="10"/>
        <v>645</v>
      </c>
    </row>
    <row r="647" spans="2:7" s="38" customFormat="1" x14ac:dyDescent="0.2">
      <c r="B647" s="39" t="s">
        <v>7827</v>
      </c>
      <c r="C647" s="39" t="s">
        <v>916</v>
      </c>
      <c r="D647" s="39" t="s">
        <v>1516</v>
      </c>
      <c r="E647" s="40">
        <v>256</v>
      </c>
      <c r="F647" s="41">
        <f>$E647*3600/(Input!$H$4*1000)</f>
        <v>30.72</v>
      </c>
      <c r="G647" s="42" t="str">
        <f t="shared" si="10"/>
        <v>646</v>
      </c>
    </row>
    <row r="648" spans="2:7" s="38" customFormat="1" x14ac:dyDescent="0.2">
      <c r="B648" s="39" t="s">
        <v>7828</v>
      </c>
      <c r="C648" s="39" t="s">
        <v>1516</v>
      </c>
      <c r="D648" s="39" t="s">
        <v>130</v>
      </c>
      <c r="E648" s="40">
        <v>410</v>
      </c>
      <c r="F648" s="41">
        <f>$E648*3600/(Input!$H$4*1000)</f>
        <v>49.2</v>
      </c>
      <c r="G648" s="42" t="str">
        <f t="shared" si="10"/>
        <v>647</v>
      </c>
    </row>
    <row r="649" spans="2:7" s="38" customFormat="1" x14ac:dyDescent="0.2">
      <c r="B649" s="39" t="s">
        <v>7829</v>
      </c>
      <c r="C649" s="39" t="s">
        <v>739</v>
      </c>
      <c r="D649" s="39" t="s">
        <v>130</v>
      </c>
      <c r="E649" s="40">
        <v>235</v>
      </c>
      <c r="F649" s="41">
        <f>$E649*3600/(Input!$H$4*1000)</f>
        <v>28.2</v>
      </c>
      <c r="G649" s="42" t="str">
        <f t="shared" si="10"/>
        <v>648</v>
      </c>
    </row>
    <row r="650" spans="2:7" s="38" customFormat="1" x14ac:dyDescent="0.2">
      <c r="B650" s="39" t="s">
        <v>7830</v>
      </c>
      <c r="C650" s="39" t="s">
        <v>1500</v>
      </c>
      <c r="D650" s="39" t="s">
        <v>718</v>
      </c>
      <c r="E650" s="40">
        <v>772</v>
      </c>
      <c r="F650" s="41">
        <f>$E650*3600/(Input!$H$4*1000)</f>
        <v>92.64</v>
      </c>
      <c r="G650" s="42" t="str">
        <f t="shared" si="10"/>
        <v>649</v>
      </c>
    </row>
    <row r="651" spans="2:7" s="38" customFormat="1" x14ac:dyDescent="0.2">
      <c r="B651" s="39" t="s">
        <v>7831</v>
      </c>
      <c r="C651" s="39" t="s">
        <v>718</v>
      </c>
      <c r="D651" s="39" t="s">
        <v>1515</v>
      </c>
      <c r="E651" s="40">
        <v>268</v>
      </c>
      <c r="F651" s="41">
        <f>$E651*3600/(Input!$H$4*1000)</f>
        <v>32.159999999999997</v>
      </c>
      <c r="G651" s="42" t="str">
        <f t="shared" si="10"/>
        <v>650</v>
      </c>
    </row>
    <row r="652" spans="2:7" s="38" customFormat="1" x14ac:dyDescent="0.2">
      <c r="B652" s="39" t="s">
        <v>7832</v>
      </c>
      <c r="C652" s="39" t="s">
        <v>735</v>
      </c>
      <c r="D652" s="39" t="s">
        <v>46</v>
      </c>
      <c r="E652" s="40">
        <v>188</v>
      </c>
      <c r="F652" s="41">
        <f>$E652*3600/(Input!$H$4*1000)</f>
        <v>22.56</v>
      </c>
      <c r="G652" s="42" t="str">
        <f t="shared" si="10"/>
        <v>651</v>
      </c>
    </row>
    <row r="653" spans="2:7" s="38" customFormat="1" x14ac:dyDescent="0.2">
      <c r="B653" s="39" t="s">
        <v>7833</v>
      </c>
      <c r="C653" s="39" t="s">
        <v>1487</v>
      </c>
      <c r="D653" s="39" t="s">
        <v>46</v>
      </c>
      <c r="E653" s="40">
        <v>272</v>
      </c>
      <c r="F653" s="41">
        <f>$E653*3600/(Input!$H$4*1000)</f>
        <v>32.64</v>
      </c>
      <c r="G653" s="42" t="str">
        <f t="shared" si="10"/>
        <v>652</v>
      </c>
    </row>
    <row r="654" spans="2:7" s="38" customFormat="1" x14ac:dyDescent="0.2">
      <c r="B654" s="39" t="s">
        <v>7834</v>
      </c>
      <c r="C654" s="39" t="s">
        <v>43</v>
      </c>
      <c r="D654" s="39" t="s">
        <v>1499</v>
      </c>
      <c r="E654" s="40">
        <v>242</v>
      </c>
      <c r="F654" s="41">
        <f>$E654*3600/(Input!$H$4*1000)</f>
        <v>29.04</v>
      </c>
      <c r="G654" s="42" t="str">
        <f t="shared" si="10"/>
        <v>653</v>
      </c>
    </row>
    <row r="655" spans="2:7" s="38" customFormat="1" x14ac:dyDescent="0.2">
      <c r="B655" s="39" t="s">
        <v>7835</v>
      </c>
      <c r="C655" s="39" t="s">
        <v>43</v>
      </c>
      <c r="D655" s="39" t="s">
        <v>163</v>
      </c>
      <c r="E655" s="40">
        <v>219</v>
      </c>
      <c r="F655" s="41">
        <f>$E655*3600/(Input!$H$4*1000)</f>
        <v>26.28</v>
      </c>
      <c r="G655" s="42" t="str">
        <f t="shared" si="10"/>
        <v>654</v>
      </c>
    </row>
    <row r="656" spans="2:7" s="38" customFormat="1" x14ac:dyDescent="0.2">
      <c r="B656" s="39" t="s">
        <v>7836</v>
      </c>
      <c r="C656" s="39" t="s">
        <v>1514</v>
      </c>
      <c r="D656" s="39" t="s">
        <v>1499</v>
      </c>
      <c r="E656" s="40">
        <v>277</v>
      </c>
      <c r="F656" s="41">
        <f>$E656*3600/(Input!$H$4*1000)</f>
        <v>33.24</v>
      </c>
      <c r="G656" s="42" t="str">
        <f t="shared" si="10"/>
        <v>655</v>
      </c>
    </row>
    <row r="657" spans="2:7" s="38" customFormat="1" x14ac:dyDescent="0.2">
      <c r="B657" s="39" t="s">
        <v>7837</v>
      </c>
      <c r="C657" s="39" t="s">
        <v>43</v>
      </c>
      <c r="D657" s="39" t="s">
        <v>1504</v>
      </c>
      <c r="E657" s="40">
        <v>394</v>
      </c>
      <c r="F657" s="41">
        <f>$E657*3600/(Input!$H$4*1000)</f>
        <v>47.28</v>
      </c>
      <c r="G657" s="42" t="str">
        <f t="shared" si="10"/>
        <v>656</v>
      </c>
    </row>
    <row r="658" spans="2:7" s="38" customFormat="1" x14ac:dyDescent="0.2">
      <c r="B658" s="39" t="s">
        <v>7838</v>
      </c>
      <c r="C658" s="39" t="s">
        <v>163</v>
      </c>
      <c r="D658" s="39" t="s">
        <v>708</v>
      </c>
      <c r="E658" s="40">
        <v>251</v>
      </c>
      <c r="F658" s="41">
        <f>$E658*3600/(Input!$H$4*1000)</f>
        <v>30.12</v>
      </c>
      <c r="G658" s="42" t="str">
        <f t="shared" si="10"/>
        <v>657</v>
      </c>
    </row>
    <row r="659" spans="2:7" s="38" customFormat="1" x14ac:dyDescent="0.2">
      <c r="B659" s="39" t="s">
        <v>7839</v>
      </c>
      <c r="C659" s="39" t="s">
        <v>717</v>
      </c>
      <c r="D659" s="39" t="s">
        <v>739</v>
      </c>
      <c r="E659" s="40">
        <v>146</v>
      </c>
      <c r="F659" s="41">
        <f>$E659*3600/(Input!$H$4*1000)</f>
        <v>17.52</v>
      </c>
      <c r="G659" s="42" t="str">
        <f t="shared" si="10"/>
        <v>658</v>
      </c>
    </row>
    <row r="660" spans="2:7" s="38" customFormat="1" x14ac:dyDescent="0.2">
      <c r="B660" s="39" t="s">
        <v>7840</v>
      </c>
      <c r="C660" s="39" t="s">
        <v>700</v>
      </c>
      <c r="D660" s="39" t="s">
        <v>980</v>
      </c>
      <c r="E660" s="40">
        <v>216</v>
      </c>
      <c r="F660" s="41">
        <f>$E660*3600/(Input!$H$4*1000)</f>
        <v>25.92</v>
      </c>
      <c r="G660" s="42" t="str">
        <f t="shared" si="10"/>
        <v>659</v>
      </c>
    </row>
    <row r="661" spans="2:7" s="38" customFormat="1" x14ac:dyDescent="0.2">
      <c r="B661" s="39" t="s">
        <v>7841</v>
      </c>
      <c r="C661" s="39" t="s">
        <v>1518</v>
      </c>
      <c r="D661" s="39" t="s">
        <v>980</v>
      </c>
      <c r="E661" s="40">
        <v>293</v>
      </c>
      <c r="F661" s="41">
        <f>$E661*3600/(Input!$H$4*1000)</f>
        <v>35.159999999999997</v>
      </c>
      <c r="G661" s="42" t="str">
        <f t="shared" si="10"/>
        <v>660</v>
      </c>
    </row>
    <row r="662" spans="2:7" s="38" customFormat="1" x14ac:dyDescent="0.2">
      <c r="B662" s="39" t="s">
        <v>7842</v>
      </c>
      <c r="C662" s="39" t="s">
        <v>980</v>
      </c>
      <c r="D662" s="39" t="s">
        <v>1531</v>
      </c>
      <c r="E662" s="40">
        <v>235</v>
      </c>
      <c r="F662" s="41">
        <f>$E662*3600/(Input!$H$4*1000)</f>
        <v>28.2</v>
      </c>
      <c r="G662" s="42" t="str">
        <f t="shared" si="10"/>
        <v>661</v>
      </c>
    </row>
    <row r="663" spans="2:7" s="38" customFormat="1" x14ac:dyDescent="0.2">
      <c r="B663" s="39" t="s">
        <v>7843</v>
      </c>
      <c r="C663" s="39" t="s">
        <v>1800</v>
      </c>
      <c r="D663" s="39" t="s">
        <v>212</v>
      </c>
      <c r="E663" s="40">
        <v>699</v>
      </c>
      <c r="F663" s="41">
        <f>$E663*3600/(Input!$H$4*1000)</f>
        <v>83.88</v>
      </c>
      <c r="G663" s="42" t="str">
        <f t="shared" si="10"/>
        <v>662</v>
      </c>
    </row>
    <row r="664" spans="2:7" s="38" customFormat="1" x14ac:dyDescent="0.2">
      <c r="B664" s="39" t="s">
        <v>7844</v>
      </c>
      <c r="C664" s="39" t="s">
        <v>1518</v>
      </c>
      <c r="D664" s="39" t="s">
        <v>776</v>
      </c>
      <c r="E664" s="40">
        <v>596</v>
      </c>
      <c r="F664" s="41">
        <f>$E664*3600/(Input!$H$4*1000)</f>
        <v>71.52</v>
      </c>
      <c r="G664" s="42" t="str">
        <f t="shared" si="10"/>
        <v>663</v>
      </c>
    </row>
    <row r="665" spans="2:7" s="38" customFormat="1" x14ac:dyDescent="0.2">
      <c r="B665" s="39" t="s">
        <v>7845</v>
      </c>
      <c r="C665" s="39" t="s">
        <v>776</v>
      </c>
      <c r="D665" s="39" t="s">
        <v>700</v>
      </c>
      <c r="E665" s="40">
        <v>217</v>
      </c>
      <c r="F665" s="41">
        <f>$E665*3600/(Input!$H$4*1000)</f>
        <v>26.04</v>
      </c>
      <c r="G665" s="42" t="str">
        <f t="shared" si="10"/>
        <v>664</v>
      </c>
    </row>
    <row r="666" spans="2:7" s="38" customFormat="1" x14ac:dyDescent="0.2">
      <c r="B666" s="39" t="s">
        <v>7846</v>
      </c>
      <c r="C666" s="39" t="s">
        <v>700</v>
      </c>
      <c r="D666" s="39" t="s">
        <v>926</v>
      </c>
      <c r="E666" s="40">
        <v>424</v>
      </c>
      <c r="F666" s="41">
        <f>$E666*3600/(Input!$H$4*1000)</f>
        <v>50.88</v>
      </c>
      <c r="G666" s="42" t="str">
        <f t="shared" si="10"/>
        <v>665</v>
      </c>
    </row>
    <row r="667" spans="2:7" s="38" customFormat="1" x14ac:dyDescent="0.2">
      <c r="B667" s="39" t="s">
        <v>7847</v>
      </c>
      <c r="C667" s="39" t="s">
        <v>776</v>
      </c>
      <c r="D667" s="39" t="s">
        <v>1666</v>
      </c>
      <c r="E667" s="40">
        <v>301</v>
      </c>
      <c r="F667" s="41">
        <f>$E667*3600/(Input!$H$4*1000)</f>
        <v>36.119999999999997</v>
      </c>
      <c r="G667" s="42" t="str">
        <f t="shared" si="10"/>
        <v>666</v>
      </c>
    </row>
    <row r="668" spans="2:7" s="38" customFormat="1" x14ac:dyDescent="0.2">
      <c r="B668" s="39" t="s">
        <v>7848</v>
      </c>
      <c r="C668" s="39" t="s">
        <v>141</v>
      </c>
      <c r="D668" s="39" t="s">
        <v>776</v>
      </c>
      <c r="E668" s="40">
        <v>237</v>
      </c>
      <c r="F668" s="41">
        <f>$E668*3600/(Input!$H$4*1000)</f>
        <v>28.44</v>
      </c>
      <c r="G668" s="42" t="str">
        <f t="shared" si="10"/>
        <v>667</v>
      </c>
    </row>
    <row r="669" spans="2:7" s="38" customFormat="1" x14ac:dyDescent="0.2">
      <c r="B669" s="39" t="s">
        <v>7849</v>
      </c>
      <c r="C669" s="39" t="s">
        <v>1525</v>
      </c>
      <c r="D669" s="39" t="s">
        <v>776</v>
      </c>
      <c r="E669" s="40">
        <v>163</v>
      </c>
      <c r="F669" s="41">
        <f>$E669*3600/(Input!$H$4*1000)</f>
        <v>19.559999999999999</v>
      </c>
      <c r="G669" s="42" t="str">
        <f t="shared" si="10"/>
        <v>668</v>
      </c>
    </row>
    <row r="670" spans="2:7" s="38" customFormat="1" x14ac:dyDescent="0.2">
      <c r="B670" s="39" t="s">
        <v>7850</v>
      </c>
      <c r="C670" s="39" t="s">
        <v>1525</v>
      </c>
      <c r="D670" s="39" t="s">
        <v>141</v>
      </c>
      <c r="E670" s="40">
        <v>108</v>
      </c>
      <c r="F670" s="41">
        <f>$E670*3600/(Input!$H$4*1000)</f>
        <v>12.96</v>
      </c>
      <c r="G670" s="42" t="str">
        <f t="shared" si="10"/>
        <v>669</v>
      </c>
    </row>
    <row r="671" spans="2:7" s="38" customFormat="1" x14ac:dyDescent="0.2">
      <c r="B671" s="39" t="s">
        <v>7851</v>
      </c>
      <c r="C671" s="39" t="s">
        <v>141</v>
      </c>
      <c r="D671" s="39" t="s">
        <v>1538</v>
      </c>
      <c r="E671" s="40">
        <v>297</v>
      </c>
      <c r="F671" s="41">
        <f>$E671*3600/(Input!$H$4*1000)</f>
        <v>35.64</v>
      </c>
      <c r="G671" s="42" t="str">
        <f t="shared" si="10"/>
        <v>670</v>
      </c>
    </row>
    <row r="672" spans="2:7" s="38" customFormat="1" x14ac:dyDescent="0.2">
      <c r="B672" s="39" t="s">
        <v>7852</v>
      </c>
      <c r="C672" s="39" t="s">
        <v>921</v>
      </c>
      <c r="D672" s="39" t="s">
        <v>979</v>
      </c>
      <c r="E672" s="40">
        <v>42</v>
      </c>
      <c r="F672" s="41">
        <f>$E672*3600/(Input!$H$4*1000)</f>
        <v>5.04</v>
      </c>
      <c r="G672" s="42" t="str">
        <f t="shared" si="10"/>
        <v>671</v>
      </c>
    </row>
    <row r="673" spans="2:7" s="38" customFormat="1" x14ac:dyDescent="0.2">
      <c r="B673" s="39" t="s">
        <v>7853</v>
      </c>
      <c r="C673" s="39" t="s">
        <v>921</v>
      </c>
      <c r="D673" s="39" t="s">
        <v>703</v>
      </c>
      <c r="E673" s="40">
        <v>115</v>
      </c>
      <c r="F673" s="41">
        <f>$E673*3600/(Input!$H$4*1000)</f>
        <v>13.8</v>
      </c>
      <c r="G673" s="42" t="str">
        <f t="shared" si="10"/>
        <v>672</v>
      </c>
    </row>
    <row r="674" spans="2:7" s="38" customFormat="1" x14ac:dyDescent="0.2">
      <c r="B674" s="39" t="s">
        <v>7854</v>
      </c>
      <c r="C674" s="39" t="s">
        <v>717</v>
      </c>
      <c r="D674" s="39" t="s">
        <v>703</v>
      </c>
      <c r="E674" s="40">
        <v>384</v>
      </c>
      <c r="F674" s="41">
        <f>$E674*3600/(Input!$H$4*1000)</f>
        <v>46.08</v>
      </c>
      <c r="G674" s="42" t="str">
        <f t="shared" si="10"/>
        <v>673</v>
      </c>
    </row>
    <row r="675" spans="2:7" s="38" customFormat="1" x14ac:dyDescent="0.2">
      <c r="B675" s="39" t="s">
        <v>7855</v>
      </c>
      <c r="C675" s="39" t="s">
        <v>1801</v>
      </c>
      <c r="D675" s="39" t="s">
        <v>1504</v>
      </c>
      <c r="E675" s="40">
        <v>142</v>
      </c>
      <c r="F675" s="41">
        <f>$E675*3600/(Input!$H$4*1000)</f>
        <v>17.04</v>
      </c>
      <c r="G675" s="42" t="str">
        <f t="shared" si="10"/>
        <v>674</v>
      </c>
    </row>
    <row r="676" spans="2:7" s="38" customFormat="1" x14ac:dyDescent="0.2">
      <c r="B676" s="39" t="s">
        <v>7856</v>
      </c>
      <c r="C676" s="39" t="s">
        <v>1801</v>
      </c>
      <c r="D676" s="39" t="s">
        <v>703</v>
      </c>
      <c r="E676" s="40">
        <v>119</v>
      </c>
      <c r="F676" s="41">
        <f>$E676*3600/(Input!$H$4*1000)</f>
        <v>14.28</v>
      </c>
      <c r="G676" s="42" t="str">
        <f t="shared" si="10"/>
        <v>675</v>
      </c>
    </row>
    <row r="677" spans="2:7" s="38" customFormat="1" x14ac:dyDescent="0.2">
      <c r="B677" s="39" t="s">
        <v>7857</v>
      </c>
      <c r="C677" s="39" t="s">
        <v>381</v>
      </c>
      <c r="D677" s="39" t="s">
        <v>1503</v>
      </c>
      <c r="E677" s="40">
        <v>808</v>
      </c>
      <c r="F677" s="41">
        <f>$E677*3600/(Input!$H$4*1000)</f>
        <v>96.96</v>
      </c>
      <c r="G677" s="42" t="str">
        <f t="shared" si="10"/>
        <v>676</v>
      </c>
    </row>
    <row r="678" spans="2:7" s="38" customFormat="1" x14ac:dyDescent="0.2">
      <c r="B678" s="39" t="s">
        <v>7858</v>
      </c>
      <c r="C678" s="39" t="s">
        <v>905</v>
      </c>
      <c r="D678" s="39" t="s">
        <v>910</v>
      </c>
      <c r="E678" s="40">
        <v>242</v>
      </c>
      <c r="F678" s="41">
        <f>$E678*3600/(Input!$H$4*1000)</f>
        <v>29.04</v>
      </c>
      <c r="G678" s="42" t="str">
        <f t="shared" si="10"/>
        <v>677</v>
      </c>
    </row>
    <row r="679" spans="2:7" s="38" customFormat="1" x14ac:dyDescent="0.2">
      <c r="B679" s="39" t="s">
        <v>7859</v>
      </c>
      <c r="C679" s="39" t="s">
        <v>910</v>
      </c>
      <c r="D679" s="39" t="s">
        <v>1230</v>
      </c>
      <c r="E679" s="40">
        <v>365</v>
      </c>
      <c r="F679" s="41">
        <f>$E679*3600/(Input!$H$4*1000)</f>
        <v>43.8</v>
      </c>
      <c r="G679" s="42" t="str">
        <f t="shared" si="10"/>
        <v>678</v>
      </c>
    </row>
    <row r="680" spans="2:7" s="38" customFormat="1" x14ac:dyDescent="0.2">
      <c r="B680" s="39" t="s">
        <v>7860</v>
      </c>
      <c r="C680" s="39" t="s">
        <v>49</v>
      </c>
      <c r="D680" s="39" t="s">
        <v>1610</v>
      </c>
      <c r="E680" s="40">
        <v>200</v>
      </c>
      <c r="F680" s="41">
        <f>$E680*3600/(Input!$H$4*1000)</f>
        <v>24</v>
      </c>
      <c r="G680" s="42" t="str">
        <f t="shared" si="10"/>
        <v>679</v>
      </c>
    </row>
    <row r="681" spans="2:7" s="38" customFormat="1" x14ac:dyDescent="0.2">
      <c r="B681" s="39" t="s">
        <v>7861</v>
      </c>
      <c r="C681" s="39" t="s">
        <v>1795</v>
      </c>
      <c r="D681" s="39" t="s">
        <v>1610</v>
      </c>
      <c r="E681" s="40">
        <v>144</v>
      </c>
      <c r="F681" s="41">
        <f>$E681*3600/(Input!$H$4*1000)</f>
        <v>17.28</v>
      </c>
      <c r="G681" s="42" t="str">
        <f t="shared" si="10"/>
        <v>680</v>
      </c>
    </row>
    <row r="682" spans="2:7" s="38" customFormat="1" x14ac:dyDescent="0.2">
      <c r="B682" s="39" t="s">
        <v>7862</v>
      </c>
      <c r="C682" s="39" t="s">
        <v>1489</v>
      </c>
      <c r="D682" s="39" t="s">
        <v>986</v>
      </c>
      <c r="E682" s="40">
        <v>543</v>
      </c>
      <c r="F682" s="41">
        <f>$E682*3600/(Input!$H$4*1000)</f>
        <v>65.16</v>
      </c>
      <c r="G682" s="42" t="str">
        <f t="shared" si="10"/>
        <v>681</v>
      </c>
    </row>
    <row r="683" spans="2:7" s="38" customFormat="1" x14ac:dyDescent="0.2">
      <c r="B683" s="39" t="s">
        <v>7863</v>
      </c>
      <c r="C683" s="39" t="s">
        <v>1509</v>
      </c>
      <c r="D683" s="39" t="s">
        <v>258</v>
      </c>
      <c r="E683" s="40">
        <v>318</v>
      </c>
      <c r="F683" s="41">
        <f>$E683*3600/(Input!$H$4*1000)</f>
        <v>38.159999999999997</v>
      </c>
      <c r="G683" s="42" t="str">
        <f t="shared" si="10"/>
        <v>682</v>
      </c>
    </row>
    <row r="684" spans="2:7" s="38" customFormat="1" x14ac:dyDescent="0.2">
      <c r="B684" s="39" t="s">
        <v>7864</v>
      </c>
      <c r="C684" s="39" t="s">
        <v>735</v>
      </c>
      <c r="D684" s="39" t="s">
        <v>905</v>
      </c>
      <c r="E684" s="40">
        <v>395</v>
      </c>
      <c r="F684" s="41">
        <f>$E684*3600/(Input!$H$4*1000)</f>
        <v>47.4</v>
      </c>
      <c r="G684" s="42" t="str">
        <f t="shared" si="10"/>
        <v>683</v>
      </c>
    </row>
    <row r="685" spans="2:7" s="38" customFormat="1" x14ac:dyDescent="0.2">
      <c r="B685" s="39" t="s">
        <v>7865</v>
      </c>
      <c r="C685" s="39" t="s">
        <v>176</v>
      </c>
      <c r="D685" s="39" t="s">
        <v>133</v>
      </c>
      <c r="E685" s="40">
        <v>198</v>
      </c>
      <c r="F685" s="41">
        <f>$E685*3600/(Input!$H$4*1000)</f>
        <v>23.76</v>
      </c>
      <c r="G685" s="42" t="str">
        <f t="shared" si="10"/>
        <v>684</v>
      </c>
    </row>
    <row r="686" spans="2:7" s="38" customFormat="1" x14ac:dyDescent="0.2">
      <c r="B686" s="39" t="s">
        <v>7866</v>
      </c>
      <c r="C686" s="39" t="s">
        <v>161</v>
      </c>
      <c r="D686" s="39" t="s">
        <v>1485</v>
      </c>
      <c r="E686" s="40">
        <v>180</v>
      </c>
      <c r="F686" s="41">
        <f>$E686*3600/(Input!$H$4*1000)</f>
        <v>21.6</v>
      </c>
      <c r="G686" s="42" t="str">
        <f t="shared" si="10"/>
        <v>685</v>
      </c>
    </row>
    <row r="687" spans="2:7" s="38" customFormat="1" x14ac:dyDescent="0.2">
      <c r="B687" s="39" t="s">
        <v>7867</v>
      </c>
      <c r="C687" s="39" t="s">
        <v>578</v>
      </c>
      <c r="D687" s="39" t="s">
        <v>133</v>
      </c>
      <c r="E687" s="40">
        <v>179</v>
      </c>
      <c r="F687" s="41">
        <f>$E687*3600/(Input!$H$4*1000)</f>
        <v>21.48</v>
      </c>
      <c r="G687" s="42" t="str">
        <f t="shared" si="10"/>
        <v>686</v>
      </c>
    </row>
    <row r="688" spans="2:7" s="38" customFormat="1" x14ac:dyDescent="0.2">
      <c r="B688" s="39" t="s">
        <v>7868</v>
      </c>
      <c r="C688" s="39" t="s">
        <v>1507</v>
      </c>
      <c r="D688" s="39" t="s">
        <v>744</v>
      </c>
      <c r="E688" s="40">
        <v>302</v>
      </c>
      <c r="F688" s="41">
        <f>$E688*3600/(Input!$H$4*1000)</f>
        <v>36.24</v>
      </c>
      <c r="G688" s="42" t="str">
        <f t="shared" si="10"/>
        <v>687</v>
      </c>
    </row>
    <row r="689" spans="2:7" s="38" customFormat="1" x14ac:dyDescent="0.2">
      <c r="B689" s="39" t="s">
        <v>7869</v>
      </c>
      <c r="C689" s="39" t="s">
        <v>55</v>
      </c>
      <c r="D689" s="39" t="s">
        <v>133</v>
      </c>
      <c r="E689" s="40">
        <v>231</v>
      </c>
      <c r="F689" s="41">
        <f>$E689*3600/(Input!$H$4*1000)</f>
        <v>27.72</v>
      </c>
      <c r="G689" s="42" t="str">
        <f t="shared" si="10"/>
        <v>688</v>
      </c>
    </row>
    <row r="690" spans="2:7" s="38" customFormat="1" x14ac:dyDescent="0.2">
      <c r="B690" s="39" t="s">
        <v>7870</v>
      </c>
      <c r="C690" s="39" t="s">
        <v>55</v>
      </c>
      <c r="D690" s="39" t="s">
        <v>1507</v>
      </c>
      <c r="E690" s="40">
        <v>334</v>
      </c>
      <c r="F690" s="41">
        <f>$E690*3600/(Input!$H$4*1000)</f>
        <v>40.08</v>
      </c>
      <c r="G690" s="42" t="str">
        <f t="shared" si="10"/>
        <v>689</v>
      </c>
    </row>
    <row r="691" spans="2:7" s="38" customFormat="1" x14ac:dyDescent="0.2">
      <c r="B691" s="39" t="s">
        <v>7871</v>
      </c>
      <c r="C691" s="39" t="s">
        <v>47</v>
      </c>
      <c r="D691" s="39" t="s">
        <v>1485</v>
      </c>
      <c r="E691" s="40">
        <v>269</v>
      </c>
      <c r="F691" s="41">
        <f>$E691*3600/(Input!$H$4*1000)</f>
        <v>32.28</v>
      </c>
      <c r="G691" s="42" t="str">
        <f t="shared" si="10"/>
        <v>690</v>
      </c>
    </row>
    <row r="692" spans="2:7" s="38" customFormat="1" x14ac:dyDescent="0.2">
      <c r="B692" s="39" t="s">
        <v>7872</v>
      </c>
      <c r="C692" s="39" t="s">
        <v>47</v>
      </c>
      <c r="D692" s="39" t="s">
        <v>161</v>
      </c>
      <c r="E692" s="40">
        <v>190</v>
      </c>
      <c r="F692" s="41">
        <f>$E692*3600/(Input!$H$4*1000)</f>
        <v>22.8</v>
      </c>
      <c r="G692" s="42" t="str">
        <f t="shared" si="10"/>
        <v>691</v>
      </c>
    </row>
    <row r="693" spans="2:7" s="38" customFormat="1" x14ac:dyDescent="0.2">
      <c r="B693" s="39" t="s">
        <v>7873</v>
      </c>
      <c r="C693" s="39" t="s">
        <v>1585</v>
      </c>
      <c r="D693" s="39" t="s">
        <v>44</v>
      </c>
      <c r="E693" s="40">
        <v>554</v>
      </c>
      <c r="F693" s="41">
        <f>$E693*3600/(Input!$H$4*1000)</f>
        <v>66.48</v>
      </c>
      <c r="G693" s="42" t="str">
        <f t="shared" si="10"/>
        <v>692</v>
      </c>
    </row>
    <row r="694" spans="2:7" s="38" customFormat="1" x14ac:dyDescent="0.2">
      <c r="B694" s="39" t="s">
        <v>7874</v>
      </c>
      <c r="C694" s="39" t="s">
        <v>1508</v>
      </c>
      <c r="D694" s="39" t="s">
        <v>133</v>
      </c>
      <c r="E694" s="40">
        <v>469</v>
      </c>
      <c r="F694" s="41">
        <f>$E694*3600/(Input!$H$4*1000)</f>
        <v>56.28</v>
      </c>
      <c r="G694" s="42" t="str">
        <f t="shared" si="10"/>
        <v>693</v>
      </c>
    </row>
    <row r="695" spans="2:7" s="38" customFormat="1" x14ac:dyDescent="0.2">
      <c r="B695" s="39" t="s">
        <v>7875</v>
      </c>
      <c r="C695" s="39" t="s">
        <v>1508</v>
      </c>
      <c r="D695" s="39" t="s">
        <v>582</v>
      </c>
      <c r="E695" s="40">
        <v>423</v>
      </c>
      <c r="F695" s="41">
        <f>$E695*3600/(Input!$H$4*1000)</f>
        <v>50.76</v>
      </c>
      <c r="G695" s="42" t="str">
        <f t="shared" si="10"/>
        <v>694</v>
      </c>
    </row>
    <row r="696" spans="2:7" s="38" customFormat="1" x14ac:dyDescent="0.2">
      <c r="B696" s="39" t="s">
        <v>7876</v>
      </c>
      <c r="C696" s="39" t="s">
        <v>1585</v>
      </c>
      <c r="D696" s="39" t="s">
        <v>496</v>
      </c>
      <c r="E696" s="40">
        <v>324</v>
      </c>
      <c r="F696" s="41">
        <f>$E696*3600/(Input!$H$4*1000)</f>
        <v>38.880000000000003</v>
      </c>
      <c r="G696" s="42" t="str">
        <f t="shared" si="10"/>
        <v>695</v>
      </c>
    </row>
    <row r="697" spans="2:7" s="38" customFormat="1" x14ac:dyDescent="0.2">
      <c r="B697" s="39" t="s">
        <v>7877</v>
      </c>
      <c r="C697" s="39" t="s">
        <v>1585</v>
      </c>
      <c r="D697" s="39" t="s">
        <v>1074</v>
      </c>
      <c r="E697" s="40">
        <v>420</v>
      </c>
      <c r="F697" s="41">
        <f>$E697*3600/(Input!$H$4*1000)</f>
        <v>50.4</v>
      </c>
      <c r="G697" s="42" t="str">
        <f t="shared" si="10"/>
        <v>696</v>
      </c>
    </row>
    <row r="698" spans="2:7" s="38" customFormat="1" x14ac:dyDescent="0.2">
      <c r="B698" s="39" t="s">
        <v>7878</v>
      </c>
      <c r="C698" s="39" t="s">
        <v>1074</v>
      </c>
      <c r="D698" s="39" t="s">
        <v>728</v>
      </c>
      <c r="E698" s="40">
        <v>136</v>
      </c>
      <c r="F698" s="41">
        <f>$E698*3600/(Input!$H$4*1000)</f>
        <v>16.32</v>
      </c>
      <c r="G698" s="42" t="str">
        <f t="shared" si="10"/>
        <v>697</v>
      </c>
    </row>
    <row r="699" spans="2:7" s="38" customFormat="1" x14ac:dyDescent="0.2">
      <c r="B699" s="39" t="s">
        <v>7879</v>
      </c>
      <c r="C699" s="39" t="s">
        <v>177</v>
      </c>
      <c r="D699" s="39" t="s">
        <v>728</v>
      </c>
      <c r="E699" s="40">
        <v>148</v>
      </c>
      <c r="F699" s="41">
        <f>$E699*3600/(Input!$H$4*1000)</f>
        <v>17.760000000000002</v>
      </c>
      <c r="G699" s="42" t="str">
        <f t="shared" si="10"/>
        <v>698</v>
      </c>
    </row>
    <row r="700" spans="2:7" s="38" customFormat="1" x14ac:dyDescent="0.2">
      <c r="B700" s="39" t="s">
        <v>7880</v>
      </c>
      <c r="C700" s="39" t="s">
        <v>496</v>
      </c>
      <c r="D700" s="39" t="s">
        <v>769</v>
      </c>
      <c r="E700" s="40">
        <v>213</v>
      </c>
      <c r="F700" s="41">
        <f>$E700*3600/(Input!$H$4*1000)</f>
        <v>25.56</v>
      </c>
      <c r="G700" s="42" t="str">
        <f t="shared" si="10"/>
        <v>699</v>
      </c>
    </row>
    <row r="701" spans="2:7" s="38" customFormat="1" x14ac:dyDescent="0.2">
      <c r="B701" s="39" t="s">
        <v>7881</v>
      </c>
      <c r="C701" s="39" t="s">
        <v>1579</v>
      </c>
      <c r="D701" s="39" t="s">
        <v>388</v>
      </c>
      <c r="E701" s="40">
        <v>462</v>
      </c>
      <c r="F701" s="41">
        <f>$E701*3600/(Input!$H$4*1000)</f>
        <v>55.44</v>
      </c>
      <c r="G701" s="42" t="str">
        <f t="shared" si="10"/>
        <v>700</v>
      </c>
    </row>
    <row r="702" spans="2:7" s="38" customFormat="1" x14ac:dyDescent="0.2">
      <c r="B702" s="39" t="s">
        <v>7882</v>
      </c>
      <c r="C702" s="39" t="s">
        <v>1615</v>
      </c>
      <c r="D702" s="39" t="s">
        <v>386</v>
      </c>
      <c r="E702" s="40">
        <v>541</v>
      </c>
      <c r="F702" s="41">
        <f>$E702*3600/(Input!$H$4*1000)</f>
        <v>64.92</v>
      </c>
      <c r="G702" s="42" t="str">
        <f t="shared" si="10"/>
        <v>701</v>
      </c>
    </row>
    <row r="703" spans="2:7" s="38" customFormat="1" x14ac:dyDescent="0.2">
      <c r="B703" s="39" t="s">
        <v>7883</v>
      </c>
      <c r="C703" s="39" t="s">
        <v>951</v>
      </c>
      <c r="D703" s="39" t="s">
        <v>1802</v>
      </c>
      <c r="E703" s="40">
        <v>117</v>
      </c>
      <c r="F703" s="41">
        <f>$E703*3600/(Input!$H$4*1000)</f>
        <v>14.04</v>
      </c>
      <c r="G703" s="42" t="str">
        <f t="shared" si="10"/>
        <v>702</v>
      </c>
    </row>
    <row r="704" spans="2:7" s="38" customFormat="1" x14ac:dyDescent="0.2">
      <c r="B704" s="39" t="s">
        <v>7884</v>
      </c>
      <c r="C704" s="39" t="s">
        <v>1802</v>
      </c>
      <c r="D704" s="39" t="s">
        <v>1615</v>
      </c>
      <c r="E704" s="40">
        <v>431</v>
      </c>
      <c r="F704" s="41">
        <f>$E704*3600/(Input!$H$4*1000)</f>
        <v>51.72</v>
      </c>
      <c r="G704" s="42" t="str">
        <f t="shared" si="10"/>
        <v>703</v>
      </c>
    </row>
    <row r="705" spans="2:7" s="38" customFormat="1" x14ac:dyDescent="0.2">
      <c r="B705" s="39" t="s">
        <v>7885</v>
      </c>
      <c r="C705" s="39" t="s">
        <v>1318</v>
      </c>
      <c r="D705" s="39" t="s">
        <v>976</v>
      </c>
      <c r="E705" s="40">
        <v>265</v>
      </c>
      <c r="F705" s="41">
        <f>$E705*3600/(Input!$H$4*1000)</f>
        <v>31.8</v>
      </c>
      <c r="G705" s="42" t="str">
        <f t="shared" si="10"/>
        <v>704</v>
      </c>
    </row>
    <row r="706" spans="2:7" s="38" customFormat="1" x14ac:dyDescent="0.2">
      <c r="B706" s="39" t="s">
        <v>7886</v>
      </c>
      <c r="C706" s="39" t="s">
        <v>951</v>
      </c>
      <c r="D706" s="39" t="s">
        <v>749</v>
      </c>
      <c r="E706" s="40">
        <v>206</v>
      </c>
      <c r="F706" s="41">
        <f>$E706*3600/(Input!$H$4*1000)</f>
        <v>24.72</v>
      </c>
      <c r="G706" s="42" t="str">
        <f t="shared" ref="G706:G769" si="11">MID(B706,7,LEN(B706)-6)</f>
        <v>705</v>
      </c>
    </row>
    <row r="707" spans="2:7" s="38" customFormat="1" x14ac:dyDescent="0.2">
      <c r="B707" s="39" t="s">
        <v>7887</v>
      </c>
      <c r="C707" s="39" t="s">
        <v>1585</v>
      </c>
      <c r="D707" s="39" t="s">
        <v>578</v>
      </c>
      <c r="E707" s="40">
        <v>459</v>
      </c>
      <c r="F707" s="41">
        <f>$E707*3600/(Input!$H$4*1000)</f>
        <v>55.08</v>
      </c>
      <c r="G707" s="42" t="str">
        <f t="shared" si="11"/>
        <v>706</v>
      </c>
    </row>
    <row r="708" spans="2:7" s="38" customFormat="1" x14ac:dyDescent="0.2">
      <c r="B708" s="39" t="s">
        <v>7888</v>
      </c>
      <c r="C708" s="39" t="s">
        <v>51</v>
      </c>
      <c r="D708" s="39" t="s">
        <v>488</v>
      </c>
      <c r="E708" s="40">
        <v>317</v>
      </c>
      <c r="F708" s="41">
        <f>$E708*3600/(Input!$H$4*1000)</f>
        <v>38.04</v>
      </c>
      <c r="G708" s="42" t="str">
        <f t="shared" si="11"/>
        <v>707</v>
      </c>
    </row>
    <row r="709" spans="2:7" s="38" customFormat="1" x14ac:dyDescent="0.2">
      <c r="B709" s="39" t="s">
        <v>7889</v>
      </c>
      <c r="C709" s="39" t="s">
        <v>488</v>
      </c>
      <c r="D709" s="39" t="s">
        <v>118</v>
      </c>
      <c r="E709" s="40">
        <v>642</v>
      </c>
      <c r="F709" s="41">
        <f>$E709*3600/(Input!$H$4*1000)</f>
        <v>77.040000000000006</v>
      </c>
      <c r="G709" s="42" t="str">
        <f t="shared" si="11"/>
        <v>708</v>
      </c>
    </row>
    <row r="710" spans="2:7" s="38" customFormat="1" x14ac:dyDescent="0.2">
      <c r="B710" s="39" t="s">
        <v>7890</v>
      </c>
      <c r="C710" s="39" t="s">
        <v>51</v>
      </c>
      <c r="D710" s="39" t="s">
        <v>1237</v>
      </c>
      <c r="E710" s="40">
        <v>172</v>
      </c>
      <c r="F710" s="41">
        <f>$E710*3600/(Input!$H$4*1000)</f>
        <v>20.64</v>
      </c>
      <c r="G710" s="42" t="str">
        <f t="shared" si="11"/>
        <v>709</v>
      </c>
    </row>
    <row r="711" spans="2:7" s="38" customFormat="1" x14ac:dyDescent="0.2">
      <c r="B711" s="39" t="s">
        <v>7891</v>
      </c>
      <c r="C711" s="39" t="s">
        <v>1237</v>
      </c>
      <c r="D711" s="39" t="s">
        <v>1076</v>
      </c>
      <c r="E711" s="40">
        <v>367</v>
      </c>
      <c r="F711" s="41">
        <f>$E711*3600/(Input!$H$4*1000)</f>
        <v>44.04</v>
      </c>
      <c r="G711" s="42" t="str">
        <f t="shared" si="11"/>
        <v>710</v>
      </c>
    </row>
    <row r="712" spans="2:7" s="38" customFormat="1" x14ac:dyDescent="0.2">
      <c r="B712" s="39" t="s">
        <v>7892</v>
      </c>
      <c r="C712" s="39" t="s">
        <v>1299</v>
      </c>
      <c r="D712" s="39" t="s">
        <v>1579</v>
      </c>
      <c r="E712" s="40">
        <v>156</v>
      </c>
      <c r="F712" s="41">
        <f>$E712*3600/(Input!$H$4*1000)</f>
        <v>18.72</v>
      </c>
      <c r="G712" s="42" t="str">
        <f t="shared" si="11"/>
        <v>711</v>
      </c>
    </row>
    <row r="713" spans="2:7" s="38" customFormat="1" x14ac:dyDescent="0.2">
      <c r="B713" s="39" t="s">
        <v>7893</v>
      </c>
      <c r="C713" s="39" t="s">
        <v>1579</v>
      </c>
      <c r="D713" s="39" t="s">
        <v>1076</v>
      </c>
      <c r="E713" s="40">
        <v>293</v>
      </c>
      <c r="F713" s="41">
        <f>$E713*3600/(Input!$H$4*1000)</f>
        <v>35.159999999999997</v>
      </c>
      <c r="G713" s="42" t="str">
        <f t="shared" si="11"/>
        <v>712</v>
      </c>
    </row>
    <row r="714" spans="2:7" s="38" customFormat="1" x14ac:dyDescent="0.2">
      <c r="B714" s="39" t="s">
        <v>7894</v>
      </c>
      <c r="C714" s="39" t="s">
        <v>1322</v>
      </c>
      <c r="D714" s="39" t="s">
        <v>1660</v>
      </c>
      <c r="E714" s="40">
        <v>197</v>
      </c>
      <c r="F714" s="41">
        <f>$E714*3600/(Input!$H$4*1000)</f>
        <v>23.64</v>
      </c>
      <c r="G714" s="42" t="str">
        <f t="shared" si="11"/>
        <v>713</v>
      </c>
    </row>
    <row r="715" spans="2:7" s="38" customFormat="1" x14ac:dyDescent="0.2">
      <c r="B715" s="39" t="s">
        <v>7895</v>
      </c>
      <c r="C715" s="39" t="s">
        <v>1362</v>
      </c>
      <c r="D715" s="39" t="s">
        <v>132</v>
      </c>
      <c r="E715" s="40">
        <v>87</v>
      </c>
      <c r="F715" s="41">
        <f>$E715*3600/(Input!$H$4*1000)</f>
        <v>10.44</v>
      </c>
      <c r="G715" s="42" t="str">
        <f t="shared" si="11"/>
        <v>714</v>
      </c>
    </row>
    <row r="716" spans="2:7" s="38" customFormat="1" x14ac:dyDescent="0.2">
      <c r="B716" s="39" t="s">
        <v>7896</v>
      </c>
      <c r="C716" s="39" t="s">
        <v>745</v>
      </c>
      <c r="D716" s="39" t="s">
        <v>132</v>
      </c>
      <c r="E716" s="40">
        <v>142</v>
      </c>
      <c r="F716" s="41">
        <f>$E716*3600/(Input!$H$4*1000)</f>
        <v>17.04</v>
      </c>
      <c r="G716" s="42" t="str">
        <f t="shared" si="11"/>
        <v>715</v>
      </c>
    </row>
    <row r="717" spans="2:7" s="38" customFormat="1" x14ac:dyDescent="0.2">
      <c r="B717" s="39" t="s">
        <v>7897</v>
      </c>
      <c r="C717" s="39" t="s">
        <v>132</v>
      </c>
      <c r="D717" s="39" t="s">
        <v>799</v>
      </c>
      <c r="E717" s="40">
        <v>85</v>
      </c>
      <c r="F717" s="41">
        <f>$E717*3600/(Input!$H$4*1000)</f>
        <v>10.199999999999999</v>
      </c>
      <c r="G717" s="42" t="str">
        <f t="shared" si="11"/>
        <v>716</v>
      </c>
    </row>
    <row r="718" spans="2:7" s="38" customFormat="1" x14ac:dyDescent="0.2">
      <c r="B718" s="39" t="s">
        <v>7898</v>
      </c>
      <c r="C718" s="39" t="s">
        <v>799</v>
      </c>
      <c r="D718" s="39" t="s">
        <v>1317</v>
      </c>
      <c r="E718" s="40">
        <v>254</v>
      </c>
      <c r="F718" s="41">
        <f>$E718*3600/(Input!$H$4*1000)</f>
        <v>30.48</v>
      </c>
      <c r="G718" s="42" t="str">
        <f t="shared" si="11"/>
        <v>717</v>
      </c>
    </row>
    <row r="719" spans="2:7" s="38" customFormat="1" x14ac:dyDescent="0.2">
      <c r="B719" s="39" t="s">
        <v>7899</v>
      </c>
      <c r="C719" s="39" t="s">
        <v>799</v>
      </c>
      <c r="D719" s="39" t="s">
        <v>118</v>
      </c>
      <c r="E719" s="40">
        <v>248</v>
      </c>
      <c r="F719" s="41">
        <f>$E719*3600/(Input!$H$4*1000)</f>
        <v>29.76</v>
      </c>
      <c r="G719" s="42" t="str">
        <f t="shared" si="11"/>
        <v>718</v>
      </c>
    </row>
    <row r="720" spans="2:7" s="38" customFormat="1" x14ac:dyDescent="0.2">
      <c r="B720" s="39" t="s">
        <v>7900</v>
      </c>
      <c r="C720" s="39" t="s">
        <v>799</v>
      </c>
      <c r="D720" s="39" t="s">
        <v>737</v>
      </c>
      <c r="E720" s="40">
        <v>269</v>
      </c>
      <c r="F720" s="41">
        <f>$E720*3600/(Input!$H$4*1000)</f>
        <v>32.28</v>
      </c>
      <c r="G720" s="42" t="str">
        <f t="shared" si="11"/>
        <v>719</v>
      </c>
    </row>
    <row r="721" spans="2:7" s="38" customFormat="1" x14ac:dyDescent="0.2">
      <c r="B721" s="39" t="s">
        <v>7901</v>
      </c>
      <c r="C721" s="39" t="s">
        <v>737</v>
      </c>
      <c r="D721" s="39" t="s">
        <v>1728</v>
      </c>
      <c r="E721" s="40">
        <v>710</v>
      </c>
      <c r="F721" s="41">
        <f>$E721*3600/(Input!$H$4*1000)</f>
        <v>85.2</v>
      </c>
      <c r="G721" s="42" t="str">
        <f t="shared" si="11"/>
        <v>720</v>
      </c>
    </row>
    <row r="722" spans="2:7" s="38" customFormat="1" x14ac:dyDescent="0.2">
      <c r="B722" s="39" t="s">
        <v>7902</v>
      </c>
      <c r="C722" s="39" t="s">
        <v>151</v>
      </c>
      <c r="D722" s="39" t="s">
        <v>767</v>
      </c>
      <c r="E722" s="40">
        <v>208</v>
      </c>
      <c r="F722" s="41">
        <f>$E722*3600/(Input!$H$4*1000)</f>
        <v>24.96</v>
      </c>
      <c r="G722" s="42" t="str">
        <f t="shared" si="11"/>
        <v>721</v>
      </c>
    </row>
    <row r="723" spans="2:7" s="38" customFormat="1" x14ac:dyDescent="0.2">
      <c r="B723" s="39" t="s">
        <v>7903</v>
      </c>
      <c r="C723" s="39" t="s">
        <v>1728</v>
      </c>
      <c r="D723" s="39" t="s">
        <v>779</v>
      </c>
      <c r="E723" s="40">
        <v>146</v>
      </c>
      <c r="F723" s="41">
        <f>$E723*3600/(Input!$H$4*1000)</f>
        <v>17.52</v>
      </c>
      <c r="G723" s="42" t="str">
        <f t="shared" si="11"/>
        <v>722</v>
      </c>
    </row>
    <row r="724" spans="2:7" s="38" customFormat="1" x14ac:dyDescent="0.2">
      <c r="B724" s="39" t="s">
        <v>7904</v>
      </c>
      <c r="C724" s="39" t="s">
        <v>151</v>
      </c>
      <c r="D724" s="39" t="s">
        <v>779</v>
      </c>
      <c r="E724" s="40">
        <v>100</v>
      </c>
      <c r="F724" s="41">
        <f>$E724*3600/(Input!$H$4*1000)</f>
        <v>12</v>
      </c>
      <c r="G724" s="42" t="str">
        <f t="shared" si="11"/>
        <v>723</v>
      </c>
    </row>
    <row r="725" spans="2:7" s="38" customFormat="1" x14ac:dyDescent="0.2">
      <c r="B725" s="39" t="s">
        <v>7905</v>
      </c>
      <c r="C725" s="39" t="s">
        <v>151</v>
      </c>
      <c r="D725" s="39" t="s">
        <v>1072</v>
      </c>
      <c r="E725" s="40">
        <v>404</v>
      </c>
      <c r="F725" s="41">
        <f>$E725*3600/(Input!$H$4*1000)</f>
        <v>48.48</v>
      </c>
      <c r="G725" s="42" t="str">
        <f t="shared" si="11"/>
        <v>724</v>
      </c>
    </row>
    <row r="726" spans="2:7" s="38" customFormat="1" x14ac:dyDescent="0.2">
      <c r="B726" s="39" t="s">
        <v>7906</v>
      </c>
      <c r="C726" s="39" t="s">
        <v>151</v>
      </c>
      <c r="D726" s="39" t="s">
        <v>1723</v>
      </c>
      <c r="E726" s="40">
        <v>215</v>
      </c>
      <c r="F726" s="41">
        <f>$E726*3600/(Input!$H$4*1000)</f>
        <v>25.8</v>
      </c>
      <c r="G726" s="42" t="str">
        <f t="shared" si="11"/>
        <v>725</v>
      </c>
    </row>
    <row r="727" spans="2:7" s="38" customFormat="1" x14ac:dyDescent="0.2">
      <c r="B727" s="39" t="s">
        <v>7907</v>
      </c>
      <c r="C727" s="39" t="s">
        <v>1723</v>
      </c>
      <c r="D727" s="39" t="s">
        <v>1722</v>
      </c>
      <c r="E727" s="40">
        <v>388</v>
      </c>
      <c r="F727" s="41">
        <f>$E727*3600/(Input!$H$4*1000)</f>
        <v>46.56</v>
      </c>
      <c r="G727" s="42" t="str">
        <f t="shared" si="11"/>
        <v>726</v>
      </c>
    </row>
    <row r="728" spans="2:7" s="38" customFormat="1" x14ac:dyDescent="0.2">
      <c r="B728" s="39" t="s">
        <v>7908</v>
      </c>
      <c r="C728" s="39" t="s">
        <v>1475</v>
      </c>
      <c r="D728" s="39" t="s">
        <v>1583</v>
      </c>
      <c r="E728" s="40">
        <v>278</v>
      </c>
      <c r="F728" s="41">
        <f>$E728*3600/(Input!$H$4*1000)</f>
        <v>33.36</v>
      </c>
      <c r="G728" s="42" t="str">
        <f t="shared" si="11"/>
        <v>727</v>
      </c>
    </row>
    <row r="729" spans="2:7" s="38" customFormat="1" x14ac:dyDescent="0.2">
      <c r="B729" s="39" t="s">
        <v>7909</v>
      </c>
      <c r="C729" s="39" t="s">
        <v>1475</v>
      </c>
      <c r="D729" s="39" t="s">
        <v>1726</v>
      </c>
      <c r="E729" s="40">
        <v>179</v>
      </c>
      <c r="F729" s="41">
        <f>$E729*3600/(Input!$H$4*1000)</f>
        <v>21.48</v>
      </c>
      <c r="G729" s="42" t="str">
        <f t="shared" si="11"/>
        <v>728</v>
      </c>
    </row>
    <row r="730" spans="2:7" s="38" customFormat="1" x14ac:dyDescent="0.2">
      <c r="B730" s="39" t="s">
        <v>7910</v>
      </c>
      <c r="C730" s="39" t="s">
        <v>1475</v>
      </c>
      <c r="D730" s="39" t="s">
        <v>485</v>
      </c>
      <c r="E730" s="40">
        <v>146</v>
      </c>
      <c r="F730" s="41">
        <f>$E730*3600/(Input!$H$4*1000)</f>
        <v>17.52</v>
      </c>
      <c r="G730" s="42" t="str">
        <f t="shared" si="11"/>
        <v>729</v>
      </c>
    </row>
    <row r="731" spans="2:7" s="38" customFormat="1" x14ac:dyDescent="0.2">
      <c r="B731" s="39" t="s">
        <v>7911</v>
      </c>
      <c r="C731" s="39" t="s">
        <v>1475</v>
      </c>
      <c r="D731" s="39" t="s">
        <v>1318</v>
      </c>
      <c r="E731" s="40">
        <v>328</v>
      </c>
      <c r="F731" s="41">
        <f>$E731*3600/(Input!$H$4*1000)</f>
        <v>39.36</v>
      </c>
      <c r="G731" s="42" t="str">
        <f t="shared" si="11"/>
        <v>730</v>
      </c>
    </row>
    <row r="732" spans="2:7" s="38" customFormat="1" x14ac:dyDescent="0.2">
      <c r="B732" s="39" t="s">
        <v>7912</v>
      </c>
      <c r="C732" s="39" t="s">
        <v>1579</v>
      </c>
      <c r="D732" s="39" t="s">
        <v>386</v>
      </c>
      <c r="E732" s="40">
        <v>507</v>
      </c>
      <c r="F732" s="41">
        <f>$E732*3600/(Input!$H$4*1000)</f>
        <v>60.84</v>
      </c>
      <c r="G732" s="42" t="str">
        <f t="shared" si="11"/>
        <v>731</v>
      </c>
    </row>
    <row r="733" spans="2:7" s="38" customFormat="1" x14ac:dyDescent="0.2">
      <c r="B733" s="39" t="s">
        <v>7913</v>
      </c>
      <c r="C733" s="39" t="s">
        <v>1072</v>
      </c>
      <c r="D733" s="39" t="s">
        <v>51</v>
      </c>
      <c r="E733" s="40">
        <v>310</v>
      </c>
      <c r="F733" s="41">
        <f>$E733*3600/(Input!$H$4*1000)</f>
        <v>37.200000000000003</v>
      </c>
      <c r="G733" s="42" t="str">
        <f t="shared" si="11"/>
        <v>732</v>
      </c>
    </row>
    <row r="734" spans="2:7" s="38" customFormat="1" x14ac:dyDescent="0.2">
      <c r="B734" s="39" t="s">
        <v>7914</v>
      </c>
      <c r="C734" s="39" t="s">
        <v>1071</v>
      </c>
      <c r="D734" s="39" t="s">
        <v>775</v>
      </c>
      <c r="E734" s="40">
        <v>872</v>
      </c>
      <c r="F734" s="41">
        <f>$E734*3600/(Input!$H$4*1000)</f>
        <v>104.64</v>
      </c>
      <c r="G734" s="42" t="str">
        <f t="shared" si="11"/>
        <v>733</v>
      </c>
    </row>
    <row r="735" spans="2:7" s="38" customFormat="1" x14ac:dyDescent="0.2">
      <c r="B735" s="39" t="s">
        <v>7915</v>
      </c>
      <c r="C735" s="39" t="s">
        <v>1420</v>
      </c>
      <c r="D735" s="39" t="s">
        <v>877</v>
      </c>
      <c r="E735" s="40">
        <v>762</v>
      </c>
      <c r="F735" s="41">
        <f>$E735*3600/(Input!$H$4*1000)</f>
        <v>91.44</v>
      </c>
      <c r="G735" s="42" t="str">
        <f t="shared" si="11"/>
        <v>734</v>
      </c>
    </row>
    <row r="736" spans="2:7" s="38" customFormat="1" x14ac:dyDescent="0.2">
      <c r="B736" s="39" t="s">
        <v>7916</v>
      </c>
      <c r="C736" s="39" t="s">
        <v>567</v>
      </c>
      <c r="D736" s="39" t="s">
        <v>1420</v>
      </c>
      <c r="E736" s="40">
        <v>402</v>
      </c>
      <c r="F736" s="41">
        <f>$E736*3600/(Input!$H$4*1000)</f>
        <v>48.24</v>
      </c>
      <c r="G736" s="42" t="str">
        <f t="shared" si="11"/>
        <v>735</v>
      </c>
    </row>
    <row r="737" spans="2:7" s="38" customFormat="1" x14ac:dyDescent="0.2">
      <c r="B737" s="39" t="s">
        <v>7917</v>
      </c>
      <c r="C737" s="39" t="s">
        <v>1258</v>
      </c>
      <c r="D737" s="39" t="s">
        <v>648</v>
      </c>
      <c r="E737" s="40">
        <v>233</v>
      </c>
      <c r="F737" s="41">
        <f>$E737*3600/(Input!$H$4*1000)</f>
        <v>27.96</v>
      </c>
      <c r="G737" s="42" t="str">
        <f t="shared" si="11"/>
        <v>736</v>
      </c>
    </row>
    <row r="738" spans="2:7" s="38" customFormat="1" x14ac:dyDescent="0.2">
      <c r="B738" s="39" t="s">
        <v>7918</v>
      </c>
      <c r="C738" s="39" t="s">
        <v>1006</v>
      </c>
      <c r="D738" s="39" t="s">
        <v>1064</v>
      </c>
      <c r="E738" s="40">
        <v>283</v>
      </c>
      <c r="F738" s="41">
        <f>$E738*3600/(Input!$H$4*1000)</f>
        <v>33.96</v>
      </c>
      <c r="G738" s="42" t="str">
        <f t="shared" si="11"/>
        <v>737</v>
      </c>
    </row>
    <row r="739" spans="2:7" s="38" customFormat="1" x14ac:dyDescent="0.2">
      <c r="B739" s="39" t="s">
        <v>7919</v>
      </c>
      <c r="C739" s="39" t="s">
        <v>1064</v>
      </c>
      <c r="D739" s="39" t="s">
        <v>1258</v>
      </c>
      <c r="E739" s="40">
        <v>309</v>
      </c>
      <c r="F739" s="41">
        <f>$E739*3600/(Input!$H$4*1000)</f>
        <v>37.08</v>
      </c>
      <c r="G739" s="42" t="str">
        <f t="shared" si="11"/>
        <v>738</v>
      </c>
    </row>
    <row r="740" spans="2:7" s="38" customFormat="1" x14ac:dyDescent="0.2">
      <c r="B740" s="39" t="s">
        <v>7920</v>
      </c>
      <c r="C740" s="39" t="s">
        <v>476</v>
      </c>
      <c r="D740" s="39" t="s">
        <v>1061</v>
      </c>
      <c r="E740" s="40">
        <v>1169</v>
      </c>
      <c r="F740" s="41">
        <f>$E740*3600/(Input!$H$4*1000)</f>
        <v>140.28</v>
      </c>
      <c r="G740" s="42" t="str">
        <f t="shared" si="11"/>
        <v>739</v>
      </c>
    </row>
    <row r="741" spans="2:7" s="38" customFormat="1" x14ac:dyDescent="0.2">
      <c r="B741" s="39" t="s">
        <v>7921</v>
      </c>
      <c r="C741" s="39" t="s">
        <v>1473</v>
      </c>
      <c r="D741" s="39" t="s">
        <v>1075</v>
      </c>
      <c r="E741" s="40">
        <v>155</v>
      </c>
      <c r="F741" s="41">
        <f>$E741*3600/(Input!$H$4*1000)</f>
        <v>18.600000000000001</v>
      </c>
      <c r="G741" s="42" t="str">
        <f t="shared" si="11"/>
        <v>740</v>
      </c>
    </row>
    <row r="742" spans="2:7" s="38" customFormat="1" x14ac:dyDescent="0.2">
      <c r="B742" s="39" t="s">
        <v>7922</v>
      </c>
      <c r="C742" s="39" t="s">
        <v>1075</v>
      </c>
      <c r="D742" s="39" t="s">
        <v>1344</v>
      </c>
      <c r="E742" s="40">
        <v>311</v>
      </c>
      <c r="F742" s="41">
        <f>$E742*3600/(Input!$H$4*1000)</f>
        <v>37.32</v>
      </c>
      <c r="G742" s="42" t="str">
        <f t="shared" si="11"/>
        <v>741</v>
      </c>
    </row>
    <row r="743" spans="2:7" s="38" customFormat="1" x14ac:dyDescent="0.2">
      <c r="B743" s="39" t="s">
        <v>7923</v>
      </c>
      <c r="C743" s="39" t="s">
        <v>490</v>
      </c>
      <c r="D743" s="39" t="s">
        <v>503</v>
      </c>
      <c r="E743" s="40">
        <v>198</v>
      </c>
      <c r="F743" s="41">
        <f>$E743*3600/(Input!$H$4*1000)</f>
        <v>23.76</v>
      </c>
      <c r="G743" s="42" t="str">
        <f t="shared" si="11"/>
        <v>742</v>
      </c>
    </row>
    <row r="744" spans="2:7" s="38" customFormat="1" x14ac:dyDescent="0.2">
      <c r="B744" s="39" t="s">
        <v>7924</v>
      </c>
      <c r="C744" s="39" t="s">
        <v>896</v>
      </c>
      <c r="D744" s="39" t="s">
        <v>503</v>
      </c>
      <c r="E744" s="40">
        <v>367</v>
      </c>
      <c r="F744" s="41">
        <f>$E744*3600/(Input!$H$4*1000)</f>
        <v>44.04</v>
      </c>
      <c r="G744" s="42" t="str">
        <f t="shared" si="11"/>
        <v>743</v>
      </c>
    </row>
    <row r="745" spans="2:7" s="38" customFormat="1" x14ac:dyDescent="0.2">
      <c r="B745" s="39" t="s">
        <v>7925</v>
      </c>
      <c r="C745" s="39" t="s">
        <v>503</v>
      </c>
      <c r="D745" s="39" t="s">
        <v>260</v>
      </c>
      <c r="E745" s="40">
        <v>210</v>
      </c>
      <c r="F745" s="41">
        <f>$E745*3600/(Input!$H$4*1000)</f>
        <v>25.2</v>
      </c>
      <c r="G745" s="42" t="str">
        <f t="shared" si="11"/>
        <v>744</v>
      </c>
    </row>
    <row r="746" spans="2:7" s="38" customFormat="1" x14ac:dyDescent="0.2">
      <c r="B746" s="39" t="s">
        <v>7926</v>
      </c>
      <c r="C746" s="39" t="s">
        <v>503</v>
      </c>
      <c r="D746" s="39" t="s">
        <v>274</v>
      </c>
      <c r="E746" s="40">
        <v>205</v>
      </c>
      <c r="F746" s="41">
        <f>$E746*3600/(Input!$H$4*1000)</f>
        <v>24.6</v>
      </c>
      <c r="G746" s="42" t="str">
        <f t="shared" si="11"/>
        <v>745</v>
      </c>
    </row>
    <row r="747" spans="2:7" s="38" customFormat="1" x14ac:dyDescent="0.2">
      <c r="B747" s="39" t="s">
        <v>7927</v>
      </c>
      <c r="C747" s="39" t="s">
        <v>361</v>
      </c>
      <c r="D747" s="39" t="s">
        <v>274</v>
      </c>
      <c r="E747" s="40">
        <v>289</v>
      </c>
      <c r="F747" s="41">
        <f>$E747*3600/(Input!$H$4*1000)</f>
        <v>34.68</v>
      </c>
      <c r="G747" s="42" t="str">
        <f t="shared" si="11"/>
        <v>746</v>
      </c>
    </row>
    <row r="748" spans="2:7" s="38" customFormat="1" x14ac:dyDescent="0.2">
      <c r="B748" s="39" t="s">
        <v>7928</v>
      </c>
      <c r="C748" s="39" t="s">
        <v>274</v>
      </c>
      <c r="D748" s="39" t="s">
        <v>1476</v>
      </c>
      <c r="E748" s="40">
        <v>293</v>
      </c>
      <c r="F748" s="41">
        <f>$E748*3600/(Input!$H$4*1000)</f>
        <v>35.159999999999997</v>
      </c>
      <c r="G748" s="42" t="str">
        <f t="shared" si="11"/>
        <v>747</v>
      </c>
    </row>
    <row r="749" spans="2:7" s="38" customFormat="1" x14ac:dyDescent="0.2">
      <c r="B749" s="39" t="s">
        <v>7929</v>
      </c>
      <c r="C749" s="39" t="s">
        <v>1476</v>
      </c>
      <c r="D749" s="39" t="s">
        <v>1473</v>
      </c>
      <c r="E749" s="40">
        <v>171</v>
      </c>
      <c r="F749" s="41">
        <f>$E749*3600/(Input!$H$4*1000)</f>
        <v>20.52</v>
      </c>
      <c r="G749" s="42" t="str">
        <f t="shared" si="11"/>
        <v>748</v>
      </c>
    </row>
    <row r="750" spans="2:7" s="38" customFormat="1" x14ac:dyDescent="0.2">
      <c r="B750" s="39" t="s">
        <v>7930</v>
      </c>
      <c r="C750" s="39" t="s">
        <v>1476</v>
      </c>
      <c r="D750" s="39" t="s">
        <v>494</v>
      </c>
      <c r="E750" s="40">
        <v>565</v>
      </c>
      <c r="F750" s="41">
        <f>$E750*3600/(Input!$H$4*1000)</f>
        <v>67.8</v>
      </c>
      <c r="G750" s="42" t="str">
        <f t="shared" si="11"/>
        <v>749</v>
      </c>
    </row>
    <row r="751" spans="2:7" s="38" customFormat="1" x14ac:dyDescent="0.2">
      <c r="B751" s="39" t="s">
        <v>7931</v>
      </c>
      <c r="C751" s="39" t="s">
        <v>494</v>
      </c>
      <c r="D751" s="39" t="s">
        <v>1466</v>
      </c>
      <c r="E751" s="40">
        <v>237</v>
      </c>
      <c r="F751" s="41">
        <f>$E751*3600/(Input!$H$4*1000)</f>
        <v>28.44</v>
      </c>
      <c r="G751" s="42" t="str">
        <f t="shared" si="11"/>
        <v>750</v>
      </c>
    </row>
    <row r="752" spans="2:7" s="38" customFormat="1" x14ac:dyDescent="0.2">
      <c r="B752" s="39" t="s">
        <v>7932</v>
      </c>
      <c r="C752" s="39" t="s">
        <v>534</v>
      </c>
      <c r="D752" s="39" t="s">
        <v>1349</v>
      </c>
      <c r="E752" s="40">
        <v>276</v>
      </c>
      <c r="F752" s="41">
        <f>$E752*3600/(Input!$H$4*1000)</f>
        <v>33.119999999999997</v>
      </c>
      <c r="G752" s="42" t="str">
        <f t="shared" si="11"/>
        <v>751</v>
      </c>
    </row>
    <row r="753" spans="2:7" s="38" customFormat="1" x14ac:dyDescent="0.2">
      <c r="B753" s="39" t="s">
        <v>7933</v>
      </c>
      <c r="C753" s="39" t="s">
        <v>893</v>
      </c>
      <c r="D753" s="39" t="s">
        <v>762</v>
      </c>
      <c r="E753" s="40">
        <v>288</v>
      </c>
      <c r="F753" s="41">
        <f>$E753*3600/(Input!$H$4*1000)</f>
        <v>34.56</v>
      </c>
      <c r="G753" s="42" t="str">
        <f t="shared" si="11"/>
        <v>752</v>
      </c>
    </row>
    <row r="754" spans="2:7" s="38" customFormat="1" x14ac:dyDescent="0.2">
      <c r="B754" s="39" t="s">
        <v>7934</v>
      </c>
      <c r="C754" s="39" t="s">
        <v>1337</v>
      </c>
      <c r="D754" s="39" t="s">
        <v>762</v>
      </c>
      <c r="E754" s="40">
        <v>240</v>
      </c>
      <c r="F754" s="41">
        <f>$E754*3600/(Input!$H$4*1000)</f>
        <v>28.8</v>
      </c>
      <c r="G754" s="42" t="str">
        <f t="shared" si="11"/>
        <v>753</v>
      </c>
    </row>
    <row r="755" spans="2:7" s="38" customFormat="1" x14ac:dyDescent="0.2">
      <c r="B755" s="39" t="s">
        <v>7935</v>
      </c>
      <c r="C755" s="39" t="s">
        <v>762</v>
      </c>
      <c r="D755" s="39" t="s">
        <v>1213</v>
      </c>
      <c r="E755" s="40">
        <v>332</v>
      </c>
      <c r="F755" s="41">
        <f>$E755*3600/(Input!$H$4*1000)</f>
        <v>39.840000000000003</v>
      </c>
      <c r="G755" s="42" t="str">
        <f t="shared" si="11"/>
        <v>754</v>
      </c>
    </row>
    <row r="756" spans="2:7" s="38" customFormat="1" x14ac:dyDescent="0.2">
      <c r="B756" s="39" t="s">
        <v>7936</v>
      </c>
      <c r="C756" s="39" t="s">
        <v>747</v>
      </c>
      <c r="D756" s="39" t="s">
        <v>903</v>
      </c>
      <c r="E756" s="40">
        <v>110</v>
      </c>
      <c r="F756" s="41">
        <f>$E756*3600/(Input!$H$4*1000)</f>
        <v>13.2</v>
      </c>
      <c r="G756" s="42" t="str">
        <f t="shared" si="11"/>
        <v>755</v>
      </c>
    </row>
    <row r="757" spans="2:7" s="38" customFormat="1" x14ac:dyDescent="0.2">
      <c r="B757" s="39" t="s">
        <v>7937</v>
      </c>
      <c r="C757" s="39" t="s">
        <v>903</v>
      </c>
      <c r="D757" s="39" t="s">
        <v>1213</v>
      </c>
      <c r="E757" s="40">
        <v>385</v>
      </c>
      <c r="F757" s="41">
        <f>$E757*3600/(Input!$H$4*1000)</f>
        <v>46.2</v>
      </c>
      <c r="G757" s="42" t="str">
        <f t="shared" si="11"/>
        <v>756</v>
      </c>
    </row>
    <row r="758" spans="2:7" s="38" customFormat="1" x14ac:dyDescent="0.2">
      <c r="B758" s="39" t="s">
        <v>7938</v>
      </c>
      <c r="C758" s="39" t="s">
        <v>902</v>
      </c>
      <c r="D758" s="39" t="s">
        <v>722</v>
      </c>
      <c r="E758" s="40">
        <v>195</v>
      </c>
      <c r="F758" s="41">
        <f>$E758*3600/(Input!$H$4*1000)</f>
        <v>23.4</v>
      </c>
      <c r="G758" s="42" t="str">
        <f t="shared" si="11"/>
        <v>757</v>
      </c>
    </row>
    <row r="759" spans="2:7" s="38" customFormat="1" x14ac:dyDescent="0.2">
      <c r="B759" s="39" t="s">
        <v>7939</v>
      </c>
      <c r="C759" s="39" t="s">
        <v>902</v>
      </c>
      <c r="D759" s="39" t="s">
        <v>896</v>
      </c>
      <c r="E759" s="40">
        <v>289</v>
      </c>
      <c r="F759" s="41">
        <f>$E759*3600/(Input!$H$4*1000)</f>
        <v>34.68</v>
      </c>
      <c r="G759" s="42" t="str">
        <f t="shared" si="11"/>
        <v>758</v>
      </c>
    </row>
    <row r="760" spans="2:7" s="38" customFormat="1" x14ac:dyDescent="0.2">
      <c r="B760" s="39" t="s">
        <v>7940</v>
      </c>
      <c r="C760" s="39" t="s">
        <v>1490</v>
      </c>
      <c r="D760" s="39" t="s">
        <v>196</v>
      </c>
      <c r="E760" s="40">
        <v>244</v>
      </c>
      <c r="F760" s="41">
        <f>$E760*3600/(Input!$H$4*1000)</f>
        <v>29.28</v>
      </c>
      <c r="G760" s="42" t="str">
        <f t="shared" si="11"/>
        <v>759</v>
      </c>
    </row>
    <row r="761" spans="2:7" s="38" customFormat="1" x14ac:dyDescent="0.2">
      <c r="B761" s="39" t="s">
        <v>7941</v>
      </c>
      <c r="C761" s="39" t="s">
        <v>1490</v>
      </c>
      <c r="D761" s="39" t="s">
        <v>782</v>
      </c>
      <c r="E761" s="40">
        <v>103</v>
      </c>
      <c r="F761" s="41">
        <f>$E761*3600/(Input!$H$4*1000)</f>
        <v>12.36</v>
      </c>
      <c r="G761" s="42" t="str">
        <f t="shared" si="11"/>
        <v>760</v>
      </c>
    </row>
    <row r="762" spans="2:7" s="38" customFormat="1" x14ac:dyDescent="0.2">
      <c r="B762" s="39" t="s">
        <v>7942</v>
      </c>
      <c r="C762" s="39" t="s">
        <v>782</v>
      </c>
      <c r="D762" s="39" t="s">
        <v>678</v>
      </c>
      <c r="E762" s="40">
        <v>351</v>
      </c>
      <c r="F762" s="41">
        <f>$E762*3600/(Input!$H$4*1000)</f>
        <v>42.12</v>
      </c>
      <c r="G762" s="42" t="str">
        <f t="shared" si="11"/>
        <v>761</v>
      </c>
    </row>
    <row r="763" spans="2:7" s="38" customFormat="1" x14ac:dyDescent="0.2">
      <c r="B763" s="39" t="s">
        <v>7943</v>
      </c>
      <c r="C763" s="39" t="s">
        <v>198</v>
      </c>
      <c r="D763" s="39" t="s">
        <v>1491</v>
      </c>
      <c r="E763" s="40">
        <v>158</v>
      </c>
      <c r="F763" s="41">
        <f>$E763*3600/(Input!$H$4*1000)</f>
        <v>18.96</v>
      </c>
      <c r="G763" s="42" t="str">
        <f t="shared" si="11"/>
        <v>762</v>
      </c>
    </row>
    <row r="764" spans="2:7" s="38" customFormat="1" x14ac:dyDescent="0.2">
      <c r="B764" s="39" t="s">
        <v>7944</v>
      </c>
      <c r="C764" s="39" t="s">
        <v>782</v>
      </c>
      <c r="D764" s="39" t="s">
        <v>1483</v>
      </c>
      <c r="E764" s="40">
        <v>461</v>
      </c>
      <c r="F764" s="41">
        <f>$E764*3600/(Input!$H$4*1000)</f>
        <v>55.32</v>
      </c>
      <c r="G764" s="42" t="str">
        <f t="shared" si="11"/>
        <v>763</v>
      </c>
    </row>
    <row r="765" spans="2:7" s="38" customFormat="1" x14ac:dyDescent="0.2">
      <c r="B765" s="39" t="s">
        <v>7945</v>
      </c>
      <c r="C765" s="39" t="s">
        <v>1483</v>
      </c>
      <c r="D765" s="39" t="s">
        <v>1448</v>
      </c>
      <c r="E765" s="40">
        <v>302</v>
      </c>
      <c r="F765" s="41">
        <f>$E765*3600/(Input!$H$4*1000)</f>
        <v>36.24</v>
      </c>
      <c r="G765" s="42" t="str">
        <f t="shared" si="11"/>
        <v>764</v>
      </c>
    </row>
    <row r="766" spans="2:7" s="38" customFormat="1" x14ac:dyDescent="0.2">
      <c r="B766" s="39" t="s">
        <v>7946</v>
      </c>
      <c r="C766" s="39" t="s">
        <v>198</v>
      </c>
      <c r="D766" s="39" t="s">
        <v>493</v>
      </c>
      <c r="E766" s="40">
        <v>149</v>
      </c>
      <c r="F766" s="41">
        <f>$E766*3600/(Input!$H$4*1000)</f>
        <v>17.88</v>
      </c>
      <c r="G766" s="42" t="str">
        <f t="shared" si="11"/>
        <v>765</v>
      </c>
    </row>
    <row r="767" spans="2:7" s="38" customFormat="1" x14ac:dyDescent="0.2">
      <c r="B767" s="39" t="s">
        <v>7947</v>
      </c>
      <c r="C767" s="39" t="s">
        <v>493</v>
      </c>
      <c r="D767" s="39" t="s">
        <v>701</v>
      </c>
      <c r="E767" s="40">
        <v>393</v>
      </c>
      <c r="F767" s="41">
        <f>$E767*3600/(Input!$H$4*1000)</f>
        <v>47.16</v>
      </c>
      <c r="G767" s="42" t="str">
        <f t="shared" si="11"/>
        <v>766</v>
      </c>
    </row>
    <row r="768" spans="2:7" s="38" customFormat="1" x14ac:dyDescent="0.2">
      <c r="B768" s="39" t="s">
        <v>7948</v>
      </c>
      <c r="C768" s="39" t="s">
        <v>746</v>
      </c>
      <c r="D768" s="39" t="s">
        <v>196</v>
      </c>
      <c r="E768" s="40">
        <v>393</v>
      </c>
      <c r="F768" s="41">
        <f>$E768*3600/(Input!$H$4*1000)</f>
        <v>47.16</v>
      </c>
      <c r="G768" s="42" t="str">
        <f t="shared" si="11"/>
        <v>767</v>
      </c>
    </row>
    <row r="769" spans="2:7" s="38" customFormat="1" x14ac:dyDescent="0.2">
      <c r="B769" s="39" t="s">
        <v>7949</v>
      </c>
      <c r="C769" s="39" t="s">
        <v>196</v>
      </c>
      <c r="D769" s="39" t="s">
        <v>1193</v>
      </c>
      <c r="E769" s="40">
        <v>404</v>
      </c>
      <c r="F769" s="41">
        <f>$E769*3600/(Input!$H$4*1000)</f>
        <v>48.48</v>
      </c>
      <c r="G769" s="42" t="str">
        <f t="shared" si="11"/>
        <v>768</v>
      </c>
    </row>
    <row r="770" spans="2:7" s="38" customFormat="1" x14ac:dyDescent="0.2">
      <c r="B770" s="39" t="s">
        <v>7950</v>
      </c>
      <c r="C770" s="39" t="s">
        <v>746</v>
      </c>
      <c r="D770" s="39" t="s">
        <v>805</v>
      </c>
      <c r="E770" s="40">
        <v>120</v>
      </c>
      <c r="F770" s="41">
        <f>$E770*3600/(Input!$H$4*1000)</f>
        <v>14.4</v>
      </c>
      <c r="G770" s="42" t="str">
        <f t="shared" ref="G770:G833" si="12">MID(B770,7,LEN(B770)-6)</f>
        <v>769</v>
      </c>
    </row>
    <row r="771" spans="2:7" s="38" customFormat="1" x14ac:dyDescent="0.2">
      <c r="B771" s="39" t="s">
        <v>7951</v>
      </c>
      <c r="C771" s="39" t="s">
        <v>1477</v>
      </c>
      <c r="D771" s="39" t="s">
        <v>701</v>
      </c>
      <c r="E771" s="40">
        <v>125</v>
      </c>
      <c r="F771" s="41">
        <f>$E771*3600/(Input!$H$4*1000)</f>
        <v>15</v>
      </c>
      <c r="G771" s="42" t="str">
        <f t="shared" si="12"/>
        <v>770</v>
      </c>
    </row>
    <row r="772" spans="2:7" s="38" customFormat="1" x14ac:dyDescent="0.2">
      <c r="B772" s="39" t="s">
        <v>7952</v>
      </c>
      <c r="C772" s="39" t="s">
        <v>1477</v>
      </c>
      <c r="D772" s="39" t="s">
        <v>889</v>
      </c>
      <c r="E772" s="40">
        <v>436</v>
      </c>
      <c r="F772" s="41">
        <f>$E772*3600/(Input!$H$4*1000)</f>
        <v>52.32</v>
      </c>
      <c r="G772" s="42" t="str">
        <f t="shared" si="12"/>
        <v>771</v>
      </c>
    </row>
    <row r="773" spans="2:7" s="38" customFormat="1" x14ac:dyDescent="0.2">
      <c r="B773" s="39" t="s">
        <v>7953</v>
      </c>
      <c r="C773" s="39" t="s">
        <v>1471</v>
      </c>
      <c r="D773" s="39" t="s">
        <v>1477</v>
      </c>
      <c r="E773" s="40">
        <v>384</v>
      </c>
      <c r="F773" s="41">
        <f>$E773*3600/(Input!$H$4*1000)</f>
        <v>46.08</v>
      </c>
      <c r="G773" s="42" t="str">
        <f t="shared" si="12"/>
        <v>772</v>
      </c>
    </row>
    <row r="774" spans="2:7" s="38" customFormat="1" x14ac:dyDescent="0.2">
      <c r="B774" s="39" t="s">
        <v>7954</v>
      </c>
      <c r="C774" s="39" t="s">
        <v>190</v>
      </c>
      <c r="D774" s="39" t="s">
        <v>1448</v>
      </c>
      <c r="E774" s="40">
        <v>138</v>
      </c>
      <c r="F774" s="41">
        <f>$E774*3600/(Input!$H$4*1000)</f>
        <v>16.559999999999999</v>
      </c>
      <c r="G774" s="42" t="str">
        <f t="shared" si="12"/>
        <v>773</v>
      </c>
    </row>
    <row r="775" spans="2:7" s="38" customFormat="1" x14ac:dyDescent="0.2">
      <c r="B775" s="39" t="s">
        <v>7955</v>
      </c>
      <c r="C775" s="39" t="s">
        <v>156</v>
      </c>
      <c r="D775" s="39" t="s">
        <v>190</v>
      </c>
      <c r="E775" s="40">
        <v>147</v>
      </c>
      <c r="F775" s="41">
        <f>$E775*3600/(Input!$H$4*1000)</f>
        <v>17.64</v>
      </c>
      <c r="G775" s="42" t="str">
        <f t="shared" si="12"/>
        <v>774</v>
      </c>
    </row>
    <row r="776" spans="2:7" s="38" customFormat="1" x14ac:dyDescent="0.2">
      <c r="B776" s="39" t="s">
        <v>7956</v>
      </c>
      <c r="C776" s="39" t="s">
        <v>1381</v>
      </c>
      <c r="D776" s="39" t="s">
        <v>262</v>
      </c>
      <c r="E776" s="40">
        <v>215</v>
      </c>
      <c r="F776" s="41">
        <f>$E776*3600/(Input!$H$4*1000)</f>
        <v>25.8</v>
      </c>
      <c r="G776" s="42" t="str">
        <f t="shared" si="12"/>
        <v>775</v>
      </c>
    </row>
    <row r="777" spans="2:7" s="38" customFormat="1" x14ac:dyDescent="0.2">
      <c r="B777" s="39" t="s">
        <v>7957</v>
      </c>
      <c r="C777" s="39" t="s">
        <v>1314</v>
      </c>
      <c r="D777" s="39" t="s">
        <v>627</v>
      </c>
      <c r="E777" s="40">
        <v>250</v>
      </c>
      <c r="F777" s="41">
        <f>$E777*3600/(Input!$H$4*1000)</f>
        <v>30</v>
      </c>
      <c r="G777" s="42" t="str">
        <f t="shared" si="12"/>
        <v>776</v>
      </c>
    </row>
    <row r="778" spans="2:7" s="38" customFormat="1" x14ac:dyDescent="0.2">
      <c r="B778" s="39" t="s">
        <v>7958</v>
      </c>
      <c r="C778" s="39" t="s">
        <v>836</v>
      </c>
      <c r="D778" s="39" t="s">
        <v>239</v>
      </c>
      <c r="E778" s="40">
        <v>90</v>
      </c>
      <c r="F778" s="41">
        <f>$E778*3600/(Input!$H$4*1000)</f>
        <v>10.8</v>
      </c>
      <c r="G778" s="42" t="str">
        <f t="shared" si="12"/>
        <v>777</v>
      </c>
    </row>
    <row r="779" spans="2:7" s="38" customFormat="1" x14ac:dyDescent="0.2">
      <c r="B779" s="39" t="s">
        <v>7959</v>
      </c>
      <c r="C779" s="39" t="s">
        <v>239</v>
      </c>
      <c r="D779" s="39" t="s">
        <v>213</v>
      </c>
      <c r="E779" s="40">
        <v>75</v>
      </c>
      <c r="F779" s="41">
        <f>$E779*3600/(Input!$H$4*1000)</f>
        <v>9</v>
      </c>
      <c r="G779" s="42" t="str">
        <f t="shared" si="12"/>
        <v>778</v>
      </c>
    </row>
    <row r="780" spans="2:7" s="38" customFormat="1" x14ac:dyDescent="0.2">
      <c r="B780" s="39" t="s">
        <v>7960</v>
      </c>
      <c r="C780" s="39" t="s">
        <v>1383</v>
      </c>
      <c r="D780" s="39" t="s">
        <v>702</v>
      </c>
      <c r="E780" s="40">
        <v>123</v>
      </c>
      <c r="F780" s="41">
        <f>$E780*3600/(Input!$H$4*1000)</f>
        <v>14.76</v>
      </c>
      <c r="G780" s="42" t="str">
        <f t="shared" si="12"/>
        <v>779</v>
      </c>
    </row>
    <row r="781" spans="2:7" s="38" customFormat="1" x14ac:dyDescent="0.2">
      <c r="B781" s="39" t="s">
        <v>7961</v>
      </c>
      <c r="C781" s="39" t="s">
        <v>1314</v>
      </c>
      <c r="D781" s="39" t="s">
        <v>702</v>
      </c>
      <c r="E781" s="40">
        <v>124</v>
      </c>
      <c r="F781" s="41">
        <f>$E781*3600/(Input!$H$4*1000)</f>
        <v>14.88</v>
      </c>
      <c r="G781" s="42" t="str">
        <f t="shared" si="12"/>
        <v>780</v>
      </c>
    </row>
    <row r="782" spans="2:7" s="38" customFormat="1" x14ac:dyDescent="0.2">
      <c r="B782" s="39" t="s">
        <v>7962</v>
      </c>
      <c r="C782" s="39" t="s">
        <v>702</v>
      </c>
      <c r="D782" s="39" t="s">
        <v>803</v>
      </c>
      <c r="E782" s="40">
        <v>366</v>
      </c>
      <c r="F782" s="41">
        <f>$E782*3600/(Input!$H$4*1000)</f>
        <v>43.92</v>
      </c>
      <c r="G782" s="42" t="str">
        <f t="shared" si="12"/>
        <v>781</v>
      </c>
    </row>
    <row r="783" spans="2:7" s="38" customFormat="1" x14ac:dyDescent="0.2">
      <c r="B783" s="39" t="s">
        <v>7963</v>
      </c>
      <c r="C783" s="39" t="s">
        <v>820</v>
      </c>
      <c r="D783" s="39" t="s">
        <v>803</v>
      </c>
      <c r="E783" s="40">
        <v>87</v>
      </c>
      <c r="F783" s="41">
        <f>$E783*3600/(Input!$H$4*1000)</f>
        <v>10.44</v>
      </c>
      <c r="G783" s="42" t="str">
        <f t="shared" si="12"/>
        <v>782</v>
      </c>
    </row>
    <row r="784" spans="2:7" s="38" customFormat="1" x14ac:dyDescent="0.2">
      <c r="B784" s="39" t="s">
        <v>7964</v>
      </c>
      <c r="C784" s="39" t="s">
        <v>702</v>
      </c>
      <c r="D784" s="39" t="s">
        <v>1452</v>
      </c>
      <c r="E784" s="40">
        <v>62</v>
      </c>
      <c r="F784" s="41">
        <f>$E784*3600/(Input!$H$4*1000)</f>
        <v>7.44</v>
      </c>
      <c r="G784" s="42" t="str">
        <f t="shared" si="12"/>
        <v>783</v>
      </c>
    </row>
    <row r="785" spans="2:7" s="38" customFormat="1" x14ac:dyDescent="0.2">
      <c r="B785" s="39" t="s">
        <v>7965</v>
      </c>
      <c r="C785" s="39" t="s">
        <v>220</v>
      </c>
      <c r="D785" s="39" t="s">
        <v>1452</v>
      </c>
      <c r="E785" s="40">
        <v>47</v>
      </c>
      <c r="F785" s="41">
        <f>$E785*3600/(Input!$H$4*1000)</f>
        <v>5.64</v>
      </c>
      <c r="G785" s="42" t="str">
        <f t="shared" si="12"/>
        <v>784</v>
      </c>
    </row>
    <row r="786" spans="2:7" s="38" customFormat="1" x14ac:dyDescent="0.2">
      <c r="B786" s="39" t="s">
        <v>7966</v>
      </c>
      <c r="C786" s="39" t="s">
        <v>820</v>
      </c>
      <c r="D786" s="39" t="s">
        <v>220</v>
      </c>
      <c r="E786" s="40">
        <v>104</v>
      </c>
      <c r="F786" s="41">
        <f>$E786*3600/(Input!$H$4*1000)</f>
        <v>12.48</v>
      </c>
      <c r="G786" s="42" t="str">
        <f t="shared" si="12"/>
        <v>785</v>
      </c>
    </row>
    <row r="787" spans="2:7" s="38" customFormat="1" x14ac:dyDescent="0.2">
      <c r="B787" s="39" t="s">
        <v>7967</v>
      </c>
      <c r="C787" s="39" t="s">
        <v>1632</v>
      </c>
      <c r="D787" s="39" t="s">
        <v>820</v>
      </c>
      <c r="E787" s="40">
        <v>119</v>
      </c>
      <c r="F787" s="41">
        <f>$E787*3600/(Input!$H$4*1000)</f>
        <v>14.28</v>
      </c>
      <c r="G787" s="42" t="str">
        <f t="shared" si="12"/>
        <v>786</v>
      </c>
    </row>
    <row r="788" spans="2:7" s="38" customFormat="1" x14ac:dyDescent="0.2">
      <c r="B788" s="39" t="s">
        <v>7968</v>
      </c>
      <c r="C788" s="39" t="s">
        <v>1632</v>
      </c>
      <c r="D788" s="39" t="s">
        <v>1803</v>
      </c>
      <c r="E788" s="40">
        <v>482</v>
      </c>
      <c r="F788" s="41">
        <f>$E788*3600/(Input!$H$4*1000)</f>
        <v>57.84</v>
      </c>
      <c r="G788" s="42" t="str">
        <f t="shared" si="12"/>
        <v>787</v>
      </c>
    </row>
    <row r="789" spans="2:7" s="38" customFormat="1" x14ac:dyDescent="0.2">
      <c r="B789" s="39" t="s">
        <v>7969</v>
      </c>
      <c r="C789" s="39" t="s">
        <v>361</v>
      </c>
      <c r="D789" s="39" t="s">
        <v>883</v>
      </c>
      <c r="E789" s="40">
        <v>550</v>
      </c>
      <c r="F789" s="41">
        <f>$E789*3600/(Input!$H$4*1000)</f>
        <v>66</v>
      </c>
      <c r="G789" s="42" t="str">
        <f t="shared" si="12"/>
        <v>788</v>
      </c>
    </row>
    <row r="790" spans="2:7" s="38" customFormat="1" x14ac:dyDescent="0.2">
      <c r="B790" s="39" t="s">
        <v>7970</v>
      </c>
      <c r="C790" s="39" t="s">
        <v>704</v>
      </c>
      <c r="D790" s="39" t="s">
        <v>361</v>
      </c>
      <c r="E790" s="40">
        <v>268</v>
      </c>
      <c r="F790" s="41">
        <f>$E790*3600/(Input!$H$4*1000)</f>
        <v>32.159999999999997</v>
      </c>
      <c r="G790" s="42" t="str">
        <f t="shared" si="12"/>
        <v>789</v>
      </c>
    </row>
    <row r="791" spans="2:7" s="38" customFormat="1" x14ac:dyDescent="0.2">
      <c r="B791" s="39" t="s">
        <v>7971</v>
      </c>
      <c r="C791" s="39" t="s">
        <v>361</v>
      </c>
      <c r="D791" s="39" t="s">
        <v>1370</v>
      </c>
      <c r="E791" s="40">
        <v>352</v>
      </c>
      <c r="F791" s="41">
        <f>$E791*3600/(Input!$H$4*1000)</f>
        <v>42.24</v>
      </c>
      <c r="G791" s="42" t="str">
        <f t="shared" si="12"/>
        <v>790</v>
      </c>
    </row>
    <row r="792" spans="2:7" s="38" customFormat="1" x14ac:dyDescent="0.2">
      <c r="B792" s="39" t="s">
        <v>7972</v>
      </c>
      <c r="C792" s="39" t="s">
        <v>260</v>
      </c>
      <c r="D792" s="39" t="s">
        <v>295</v>
      </c>
      <c r="E792" s="40">
        <v>87</v>
      </c>
      <c r="F792" s="41">
        <f>$E792*3600/(Input!$H$4*1000)</f>
        <v>10.44</v>
      </c>
      <c r="G792" s="42" t="str">
        <f t="shared" si="12"/>
        <v>791</v>
      </c>
    </row>
    <row r="793" spans="2:7" s="38" customFormat="1" x14ac:dyDescent="0.2">
      <c r="B793" s="39" t="s">
        <v>7973</v>
      </c>
      <c r="C793" s="39" t="s">
        <v>1370</v>
      </c>
      <c r="D793" s="39" t="s">
        <v>803</v>
      </c>
      <c r="E793" s="40">
        <v>312</v>
      </c>
      <c r="F793" s="41">
        <f>$E793*3600/(Input!$H$4*1000)</f>
        <v>37.44</v>
      </c>
      <c r="G793" s="42" t="str">
        <f t="shared" si="12"/>
        <v>792</v>
      </c>
    </row>
    <row r="794" spans="2:7" s="38" customFormat="1" x14ac:dyDescent="0.2">
      <c r="B794" s="39" t="s">
        <v>7974</v>
      </c>
      <c r="C794" s="39" t="s">
        <v>253</v>
      </c>
      <c r="D794" s="39" t="s">
        <v>213</v>
      </c>
      <c r="E794" s="40">
        <v>725</v>
      </c>
      <c r="F794" s="41">
        <f>$E794*3600/(Input!$H$4*1000)</f>
        <v>87</v>
      </c>
      <c r="G794" s="42" t="str">
        <f t="shared" si="12"/>
        <v>793</v>
      </c>
    </row>
    <row r="795" spans="2:7" s="38" customFormat="1" x14ac:dyDescent="0.2">
      <c r="B795" s="39" t="s">
        <v>7975</v>
      </c>
      <c r="C795" s="39" t="s">
        <v>253</v>
      </c>
      <c r="D795" s="39" t="s">
        <v>1381</v>
      </c>
      <c r="E795" s="40">
        <v>946</v>
      </c>
      <c r="F795" s="41">
        <f>$E795*3600/(Input!$H$4*1000)</f>
        <v>113.52</v>
      </c>
      <c r="G795" s="42" t="str">
        <f t="shared" si="12"/>
        <v>794</v>
      </c>
    </row>
    <row r="796" spans="2:7" s="38" customFormat="1" x14ac:dyDescent="0.2">
      <c r="B796" s="39" t="s">
        <v>7976</v>
      </c>
      <c r="C796" s="39" t="s">
        <v>1208</v>
      </c>
      <c r="D796" s="39" t="s">
        <v>790</v>
      </c>
      <c r="E796" s="40">
        <v>135</v>
      </c>
      <c r="F796" s="41">
        <f>$E796*3600/(Input!$H$4*1000)</f>
        <v>16.2</v>
      </c>
      <c r="G796" s="42" t="str">
        <f t="shared" si="12"/>
        <v>795</v>
      </c>
    </row>
    <row r="797" spans="2:7" s="38" customFormat="1" x14ac:dyDescent="0.2">
      <c r="B797" s="39" t="s">
        <v>7977</v>
      </c>
      <c r="C797" s="39" t="s">
        <v>1208</v>
      </c>
      <c r="D797" s="39" t="s">
        <v>1255</v>
      </c>
      <c r="E797" s="40">
        <v>29</v>
      </c>
      <c r="F797" s="41">
        <f>$E797*3600/(Input!$H$4*1000)</f>
        <v>3.48</v>
      </c>
      <c r="G797" s="42" t="str">
        <f t="shared" si="12"/>
        <v>796</v>
      </c>
    </row>
    <row r="798" spans="2:7" s="38" customFormat="1" x14ac:dyDescent="0.2">
      <c r="B798" s="39" t="s">
        <v>7978</v>
      </c>
      <c r="C798" s="39" t="s">
        <v>73</v>
      </c>
      <c r="D798" s="39" t="s">
        <v>1286</v>
      </c>
      <c r="E798" s="40">
        <v>260</v>
      </c>
      <c r="F798" s="41">
        <f>$E798*3600/(Input!$H$4*1000)</f>
        <v>31.2</v>
      </c>
      <c r="G798" s="42" t="str">
        <f t="shared" si="12"/>
        <v>797</v>
      </c>
    </row>
    <row r="799" spans="2:7" s="38" customFormat="1" x14ac:dyDescent="0.2">
      <c r="B799" s="39" t="s">
        <v>7979</v>
      </c>
      <c r="C799" s="39" t="s">
        <v>1224</v>
      </c>
      <c r="D799" s="39" t="s">
        <v>1286</v>
      </c>
      <c r="E799" s="40">
        <v>191</v>
      </c>
      <c r="F799" s="41">
        <f>$E799*3600/(Input!$H$4*1000)</f>
        <v>22.92</v>
      </c>
      <c r="G799" s="42" t="str">
        <f t="shared" si="12"/>
        <v>798</v>
      </c>
    </row>
    <row r="800" spans="2:7" s="38" customFormat="1" x14ac:dyDescent="0.2">
      <c r="B800" s="39" t="s">
        <v>7980</v>
      </c>
      <c r="C800" s="39" t="s">
        <v>1286</v>
      </c>
      <c r="D800" s="39" t="s">
        <v>638</v>
      </c>
      <c r="E800" s="40">
        <v>269</v>
      </c>
      <c r="F800" s="41">
        <f>$E800*3600/(Input!$H$4*1000)</f>
        <v>32.28</v>
      </c>
      <c r="G800" s="42" t="str">
        <f t="shared" si="12"/>
        <v>799</v>
      </c>
    </row>
    <row r="801" spans="2:7" s="38" customFormat="1" x14ac:dyDescent="0.2">
      <c r="B801" s="39" t="s">
        <v>7981</v>
      </c>
      <c r="C801" s="39" t="s">
        <v>1432</v>
      </c>
      <c r="D801" s="39" t="s">
        <v>229</v>
      </c>
      <c r="E801" s="40">
        <v>156</v>
      </c>
      <c r="F801" s="41">
        <f>$E801*3600/(Input!$H$4*1000)</f>
        <v>18.72</v>
      </c>
      <c r="G801" s="42" t="str">
        <f t="shared" si="12"/>
        <v>800</v>
      </c>
    </row>
    <row r="802" spans="2:7" s="38" customFormat="1" x14ac:dyDescent="0.2">
      <c r="B802" s="39" t="s">
        <v>7982</v>
      </c>
      <c r="C802" s="39" t="s">
        <v>1432</v>
      </c>
      <c r="D802" s="39" t="s">
        <v>798</v>
      </c>
      <c r="E802" s="40">
        <v>401</v>
      </c>
      <c r="F802" s="41">
        <f>$E802*3600/(Input!$H$4*1000)</f>
        <v>48.12</v>
      </c>
      <c r="G802" s="42" t="str">
        <f t="shared" si="12"/>
        <v>801</v>
      </c>
    </row>
    <row r="803" spans="2:7" s="38" customFormat="1" x14ac:dyDescent="0.2">
      <c r="B803" s="39" t="s">
        <v>7983</v>
      </c>
      <c r="C803" s="39" t="s">
        <v>1432</v>
      </c>
      <c r="D803" s="39" t="s">
        <v>654</v>
      </c>
      <c r="E803" s="40">
        <v>401</v>
      </c>
      <c r="F803" s="41">
        <f>$E803*3600/(Input!$H$4*1000)</f>
        <v>48.12</v>
      </c>
      <c r="G803" s="42" t="str">
        <f t="shared" si="12"/>
        <v>802</v>
      </c>
    </row>
    <row r="804" spans="2:7" s="38" customFormat="1" x14ac:dyDescent="0.2">
      <c r="B804" s="39" t="s">
        <v>7984</v>
      </c>
      <c r="C804" s="39" t="s">
        <v>654</v>
      </c>
      <c r="D804" s="39" t="s">
        <v>1708</v>
      </c>
      <c r="E804" s="40">
        <v>269</v>
      </c>
      <c r="F804" s="41">
        <f>$E804*3600/(Input!$H$4*1000)</f>
        <v>32.28</v>
      </c>
      <c r="G804" s="42" t="str">
        <f t="shared" si="12"/>
        <v>803</v>
      </c>
    </row>
    <row r="805" spans="2:7" s="38" customFormat="1" x14ac:dyDescent="0.2">
      <c r="B805" s="39" t="s">
        <v>7985</v>
      </c>
      <c r="C805" s="39" t="s">
        <v>1724</v>
      </c>
      <c r="D805" s="39" t="s">
        <v>1708</v>
      </c>
      <c r="E805" s="40">
        <v>181</v>
      </c>
      <c r="F805" s="41">
        <f>$E805*3600/(Input!$H$4*1000)</f>
        <v>21.72</v>
      </c>
      <c r="G805" s="42" t="str">
        <f t="shared" si="12"/>
        <v>804</v>
      </c>
    </row>
    <row r="806" spans="2:7" s="38" customFormat="1" x14ac:dyDescent="0.2">
      <c r="B806" s="39" t="s">
        <v>7986</v>
      </c>
      <c r="C806" s="39" t="s">
        <v>359</v>
      </c>
      <c r="D806" s="39" t="s">
        <v>1219</v>
      </c>
      <c r="E806" s="40">
        <v>528</v>
      </c>
      <c r="F806" s="41">
        <f>$E806*3600/(Input!$H$4*1000)</f>
        <v>63.36</v>
      </c>
      <c r="G806" s="42" t="str">
        <f t="shared" si="12"/>
        <v>805</v>
      </c>
    </row>
    <row r="807" spans="2:7" s="38" customFormat="1" x14ac:dyDescent="0.2">
      <c r="B807" s="39" t="s">
        <v>7987</v>
      </c>
      <c r="C807" s="39" t="s">
        <v>359</v>
      </c>
      <c r="D807" s="39" t="s">
        <v>86</v>
      </c>
      <c r="E807" s="40">
        <v>383</v>
      </c>
      <c r="F807" s="41">
        <f>$E807*3600/(Input!$H$4*1000)</f>
        <v>45.96</v>
      </c>
      <c r="G807" s="42" t="str">
        <f t="shared" si="12"/>
        <v>806</v>
      </c>
    </row>
    <row r="808" spans="2:7" s="38" customFormat="1" x14ac:dyDescent="0.2">
      <c r="B808" s="39" t="s">
        <v>7988</v>
      </c>
      <c r="C808" s="39" t="s">
        <v>593</v>
      </c>
      <c r="D808" s="39" t="s">
        <v>683</v>
      </c>
      <c r="E808" s="40">
        <v>145</v>
      </c>
      <c r="F808" s="41">
        <f>$E808*3600/(Input!$H$4*1000)</f>
        <v>17.399999999999999</v>
      </c>
      <c r="G808" s="42" t="str">
        <f t="shared" si="12"/>
        <v>807</v>
      </c>
    </row>
    <row r="809" spans="2:7" s="38" customFormat="1" x14ac:dyDescent="0.2">
      <c r="B809" s="39" t="s">
        <v>7989</v>
      </c>
      <c r="C809" s="39" t="s">
        <v>683</v>
      </c>
      <c r="D809" s="39" t="s">
        <v>85</v>
      </c>
      <c r="E809" s="40">
        <v>444</v>
      </c>
      <c r="F809" s="41">
        <f>$E809*3600/(Input!$H$4*1000)</f>
        <v>53.28</v>
      </c>
      <c r="G809" s="42" t="str">
        <f t="shared" si="12"/>
        <v>808</v>
      </c>
    </row>
    <row r="810" spans="2:7" s="38" customFormat="1" x14ac:dyDescent="0.2">
      <c r="B810" s="39" t="s">
        <v>7990</v>
      </c>
      <c r="C810" s="39" t="s">
        <v>1235</v>
      </c>
      <c r="D810" s="39" t="s">
        <v>786</v>
      </c>
      <c r="E810" s="40">
        <v>331</v>
      </c>
      <c r="F810" s="41">
        <f>$E810*3600/(Input!$H$4*1000)</f>
        <v>39.72</v>
      </c>
      <c r="G810" s="42" t="str">
        <f t="shared" si="12"/>
        <v>809</v>
      </c>
    </row>
    <row r="811" spans="2:7" s="38" customFormat="1" x14ac:dyDescent="0.2">
      <c r="B811" s="39" t="s">
        <v>7991</v>
      </c>
      <c r="C811" s="39" t="s">
        <v>787</v>
      </c>
      <c r="D811" s="39" t="s">
        <v>106</v>
      </c>
      <c r="E811" s="40">
        <v>149</v>
      </c>
      <c r="F811" s="41">
        <f>$E811*3600/(Input!$H$4*1000)</f>
        <v>17.88</v>
      </c>
      <c r="G811" s="42" t="str">
        <f t="shared" si="12"/>
        <v>810</v>
      </c>
    </row>
    <row r="812" spans="2:7" s="38" customFormat="1" x14ac:dyDescent="0.2">
      <c r="B812" s="39" t="s">
        <v>7992</v>
      </c>
      <c r="C812" s="39" t="s">
        <v>780</v>
      </c>
      <c r="D812" s="39" t="s">
        <v>199</v>
      </c>
      <c r="E812" s="40">
        <v>205</v>
      </c>
      <c r="F812" s="41">
        <f>$E812*3600/(Input!$H$4*1000)</f>
        <v>24.6</v>
      </c>
      <c r="G812" s="42" t="str">
        <f t="shared" si="12"/>
        <v>811</v>
      </c>
    </row>
    <row r="813" spans="2:7" s="38" customFormat="1" x14ac:dyDescent="0.2">
      <c r="B813" s="39" t="s">
        <v>7993</v>
      </c>
      <c r="C813" s="39" t="s">
        <v>199</v>
      </c>
      <c r="D813" s="39" t="s">
        <v>1692</v>
      </c>
      <c r="E813" s="40">
        <v>173</v>
      </c>
      <c r="F813" s="41">
        <f>$E813*3600/(Input!$H$4*1000)</f>
        <v>20.76</v>
      </c>
      <c r="G813" s="42" t="str">
        <f t="shared" si="12"/>
        <v>812</v>
      </c>
    </row>
    <row r="814" spans="2:7" s="38" customFormat="1" x14ac:dyDescent="0.2">
      <c r="B814" s="39" t="s">
        <v>7994</v>
      </c>
      <c r="C814" s="39" t="s">
        <v>1235</v>
      </c>
      <c r="D814" s="39" t="s">
        <v>646</v>
      </c>
      <c r="E814" s="40">
        <v>241</v>
      </c>
      <c r="F814" s="41">
        <f>$E814*3600/(Input!$H$4*1000)</f>
        <v>28.92</v>
      </c>
      <c r="G814" s="42" t="str">
        <f t="shared" si="12"/>
        <v>813</v>
      </c>
    </row>
    <row r="815" spans="2:7" s="38" customFormat="1" x14ac:dyDescent="0.2">
      <c r="B815" s="39" t="s">
        <v>7995</v>
      </c>
      <c r="C815" s="39" t="s">
        <v>222</v>
      </c>
      <c r="D815" s="39" t="s">
        <v>1179</v>
      </c>
      <c r="E815" s="40">
        <v>173</v>
      </c>
      <c r="F815" s="41">
        <f>$E815*3600/(Input!$H$4*1000)</f>
        <v>20.76</v>
      </c>
      <c r="G815" s="42" t="str">
        <f t="shared" si="12"/>
        <v>814</v>
      </c>
    </row>
    <row r="816" spans="2:7" s="38" customFormat="1" x14ac:dyDescent="0.2">
      <c r="B816" s="39" t="s">
        <v>7996</v>
      </c>
      <c r="C816" s="39" t="s">
        <v>655</v>
      </c>
      <c r="D816" s="39" t="s">
        <v>682</v>
      </c>
      <c r="E816" s="40">
        <v>275</v>
      </c>
      <c r="F816" s="41">
        <f>$E816*3600/(Input!$H$4*1000)</f>
        <v>33</v>
      </c>
      <c r="G816" s="42" t="str">
        <f t="shared" si="12"/>
        <v>815</v>
      </c>
    </row>
    <row r="817" spans="2:7" s="38" customFormat="1" x14ac:dyDescent="0.2">
      <c r="B817" s="39" t="s">
        <v>7997</v>
      </c>
      <c r="C817" s="39" t="s">
        <v>635</v>
      </c>
      <c r="D817" s="39" t="s">
        <v>1216</v>
      </c>
      <c r="E817" s="40">
        <v>315</v>
      </c>
      <c r="F817" s="41">
        <f>$E817*3600/(Input!$H$4*1000)</f>
        <v>37.799999999999997</v>
      </c>
      <c r="G817" s="42" t="str">
        <f t="shared" si="12"/>
        <v>816</v>
      </c>
    </row>
    <row r="818" spans="2:7" s="38" customFormat="1" x14ac:dyDescent="0.2">
      <c r="B818" s="39" t="s">
        <v>7998</v>
      </c>
      <c r="C818" s="39" t="s">
        <v>635</v>
      </c>
      <c r="D818" s="39" t="s">
        <v>843</v>
      </c>
      <c r="E818" s="40">
        <v>192</v>
      </c>
      <c r="F818" s="41">
        <f>$E818*3600/(Input!$H$4*1000)</f>
        <v>23.04</v>
      </c>
      <c r="G818" s="42" t="str">
        <f t="shared" si="12"/>
        <v>817</v>
      </c>
    </row>
    <row r="819" spans="2:7" s="38" customFormat="1" x14ac:dyDescent="0.2">
      <c r="B819" s="39" t="s">
        <v>7999</v>
      </c>
      <c r="C819" s="39" t="s">
        <v>211</v>
      </c>
      <c r="D819" s="39" t="s">
        <v>1216</v>
      </c>
      <c r="E819" s="40">
        <v>255</v>
      </c>
      <c r="F819" s="41">
        <f>$E819*3600/(Input!$H$4*1000)</f>
        <v>30.6</v>
      </c>
      <c r="G819" s="42" t="str">
        <f t="shared" si="12"/>
        <v>818</v>
      </c>
    </row>
    <row r="820" spans="2:7" s="38" customFormat="1" x14ac:dyDescent="0.2">
      <c r="B820" s="39" t="s">
        <v>8000</v>
      </c>
      <c r="C820" s="39" t="s">
        <v>1271</v>
      </c>
      <c r="D820" s="39" t="s">
        <v>75</v>
      </c>
      <c r="E820" s="40">
        <v>432</v>
      </c>
      <c r="F820" s="41">
        <f>$E820*3600/(Input!$H$4*1000)</f>
        <v>51.84</v>
      </c>
      <c r="G820" s="42" t="str">
        <f t="shared" si="12"/>
        <v>819</v>
      </c>
    </row>
    <row r="821" spans="2:7" s="38" customFormat="1" x14ac:dyDescent="0.2">
      <c r="B821" s="39" t="s">
        <v>8001</v>
      </c>
      <c r="C821" s="39" t="s">
        <v>655</v>
      </c>
      <c r="D821" s="39" t="s">
        <v>1215</v>
      </c>
      <c r="E821" s="40">
        <v>359</v>
      </c>
      <c r="F821" s="41">
        <f>$E821*3600/(Input!$H$4*1000)</f>
        <v>43.08</v>
      </c>
      <c r="G821" s="42" t="str">
        <f t="shared" si="12"/>
        <v>820</v>
      </c>
    </row>
    <row r="822" spans="2:7" s="38" customFormat="1" x14ac:dyDescent="0.2">
      <c r="B822" s="39" t="s">
        <v>8002</v>
      </c>
      <c r="C822" s="39" t="s">
        <v>682</v>
      </c>
      <c r="D822" s="39" t="s">
        <v>210</v>
      </c>
      <c r="E822" s="40">
        <v>134</v>
      </c>
      <c r="F822" s="41">
        <f>$E822*3600/(Input!$H$4*1000)</f>
        <v>16.079999999999998</v>
      </c>
      <c r="G822" s="42" t="str">
        <f t="shared" si="12"/>
        <v>821</v>
      </c>
    </row>
    <row r="823" spans="2:7" s="38" customFormat="1" x14ac:dyDescent="0.2">
      <c r="B823" s="39" t="s">
        <v>8003</v>
      </c>
      <c r="C823" s="39" t="s">
        <v>791</v>
      </c>
      <c r="D823" s="39" t="s">
        <v>1179</v>
      </c>
      <c r="E823" s="40">
        <v>424</v>
      </c>
      <c r="F823" s="41">
        <f>$E823*3600/(Input!$H$4*1000)</f>
        <v>50.88</v>
      </c>
      <c r="G823" s="42" t="str">
        <f t="shared" si="12"/>
        <v>822</v>
      </c>
    </row>
    <row r="824" spans="2:7" s="38" customFormat="1" x14ac:dyDescent="0.2">
      <c r="B824" s="39" t="s">
        <v>8004</v>
      </c>
      <c r="C824" s="39" t="s">
        <v>210</v>
      </c>
      <c r="D824" s="39" t="s">
        <v>189</v>
      </c>
      <c r="E824" s="40">
        <v>174</v>
      </c>
      <c r="F824" s="41">
        <f>$E824*3600/(Input!$H$4*1000)</f>
        <v>20.88</v>
      </c>
      <c r="G824" s="42" t="str">
        <f t="shared" si="12"/>
        <v>823</v>
      </c>
    </row>
    <row r="825" spans="2:7" s="38" customFormat="1" x14ac:dyDescent="0.2">
      <c r="B825" s="39" t="s">
        <v>8005</v>
      </c>
      <c r="C825" s="39" t="s">
        <v>189</v>
      </c>
      <c r="D825" s="39" t="s">
        <v>1365</v>
      </c>
      <c r="E825" s="40">
        <v>275</v>
      </c>
      <c r="F825" s="41">
        <f>$E825*3600/(Input!$H$4*1000)</f>
        <v>33</v>
      </c>
      <c r="G825" s="42" t="str">
        <f t="shared" si="12"/>
        <v>824</v>
      </c>
    </row>
    <row r="826" spans="2:7" s="38" customFormat="1" x14ac:dyDescent="0.2">
      <c r="B826" s="39" t="s">
        <v>8006</v>
      </c>
      <c r="C826" s="39" t="s">
        <v>189</v>
      </c>
      <c r="D826" s="39" t="s">
        <v>655</v>
      </c>
      <c r="E826" s="40">
        <v>622</v>
      </c>
      <c r="F826" s="41">
        <f>$E826*3600/(Input!$H$4*1000)</f>
        <v>74.64</v>
      </c>
      <c r="G826" s="42" t="str">
        <f t="shared" si="12"/>
        <v>825</v>
      </c>
    </row>
    <row r="827" spans="2:7" s="38" customFormat="1" x14ac:dyDescent="0.2">
      <c r="B827" s="39" t="s">
        <v>8007</v>
      </c>
      <c r="C827" s="39" t="s">
        <v>1242</v>
      </c>
      <c r="D827" s="39" t="s">
        <v>394</v>
      </c>
      <c r="E827" s="40">
        <v>182</v>
      </c>
      <c r="F827" s="41">
        <f>$E827*3600/(Input!$H$4*1000)</f>
        <v>21.84</v>
      </c>
      <c r="G827" s="42" t="str">
        <f t="shared" si="12"/>
        <v>826</v>
      </c>
    </row>
    <row r="828" spans="2:7" s="38" customFormat="1" x14ac:dyDescent="0.2">
      <c r="B828" s="39" t="s">
        <v>8008</v>
      </c>
      <c r="C828" s="39" t="s">
        <v>172</v>
      </c>
      <c r="D828" s="39" t="s">
        <v>394</v>
      </c>
      <c r="E828" s="40">
        <v>168</v>
      </c>
      <c r="F828" s="41">
        <f>$E828*3600/(Input!$H$4*1000)</f>
        <v>20.16</v>
      </c>
      <c r="G828" s="42" t="str">
        <f t="shared" si="12"/>
        <v>827</v>
      </c>
    </row>
    <row r="829" spans="2:7" s="38" customFormat="1" x14ac:dyDescent="0.2">
      <c r="B829" s="39" t="s">
        <v>8009</v>
      </c>
      <c r="C829" s="39" t="s">
        <v>872</v>
      </c>
      <c r="D829" s="39" t="s">
        <v>150</v>
      </c>
      <c r="E829" s="40">
        <v>224</v>
      </c>
      <c r="F829" s="41">
        <f>$E829*3600/(Input!$H$4*1000)</f>
        <v>26.88</v>
      </c>
      <c r="G829" s="42" t="str">
        <f t="shared" si="12"/>
        <v>828</v>
      </c>
    </row>
    <row r="830" spans="2:7" s="38" customFormat="1" x14ac:dyDescent="0.2">
      <c r="B830" s="39" t="s">
        <v>8010</v>
      </c>
      <c r="C830" s="39" t="s">
        <v>872</v>
      </c>
      <c r="D830" s="39" t="s">
        <v>673</v>
      </c>
      <c r="E830" s="40">
        <v>234</v>
      </c>
      <c r="F830" s="41">
        <f>$E830*3600/(Input!$H$4*1000)</f>
        <v>28.08</v>
      </c>
      <c r="G830" s="42" t="str">
        <f t="shared" si="12"/>
        <v>829</v>
      </c>
    </row>
    <row r="831" spans="2:7" s="38" customFormat="1" x14ac:dyDescent="0.2">
      <c r="B831" s="39" t="s">
        <v>8011</v>
      </c>
      <c r="C831" s="39" t="s">
        <v>872</v>
      </c>
      <c r="D831" s="39" t="s">
        <v>795</v>
      </c>
      <c r="E831" s="40">
        <v>315</v>
      </c>
      <c r="F831" s="41">
        <f>$E831*3600/(Input!$H$4*1000)</f>
        <v>37.799999999999997</v>
      </c>
      <c r="G831" s="42" t="str">
        <f t="shared" si="12"/>
        <v>830</v>
      </c>
    </row>
    <row r="832" spans="2:7" s="38" customFormat="1" x14ac:dyDescent="0.2">
      <c r="B832" s="39" t="s">
        <v>8012</v>
      </c>
      <c r="C832" s="39" t="s">
        <v>1449</v>
      </c>
      <c r="D832" s="39" t="s">
        <v>748</v>
      </c>
      <c r="E832" s="40">
        <v>258</v>
      </c>
      <c r="F832" s="41">
        <f>$E832*3600/(Input!$H$4*1000)</f>
        <v>30.96</v>
      </c>
      <c r="G832" s="42" t="str">
        <f t="shared" si="12"/>
        <v>831</v>
      </c>
    </row>
    <row r="833" spans="2:7" s="38" customFormat="1" x14ac:dyDescent="0.2">
      <c r="B833" s="39" t="s">
        <v>8013</v>
      </c>
      <c r="C833" s="39" t="s">
        <v>814</v>
      </c>
      <c r="D833" s="39" t="s">
        <v>194</v>
      </c>
      <c r="E833" s="40">
        <v>24</v>
      </c>
      <c r="F833" s="41">
        <f>$E833*3600/(Input!$H$4*1000)</f>
        <v>2.88</v>
      </c>
      <c r="G833" s="42" t="str">
        <f t="shared" si="12"/>
        <v>832</v>
      </c>
    </row>
    <row r="834" spans="2:7" s="38" customFormat="1" x14ac:dyDescent="0.2">
      <c r="B834" s="39" t="s">
        <v>8014</v>
      </c>
      <c r="C834" s="39" t="s">
        <v>194</v>
      </c>
      <c r="D834" s="39" t="s">
        <v>795</v>
      </c>
      <c r="E834" s="40">
        <v>27</v>
      </c>
      <c r="F834" s="41">
        <f>$E834*3600/(Input!$H$4*1000)</f>
        <v>3.24</v>
      </c>
      <c r="G834" s="42" t="str">
        <f t="shared" ref="G834:G897" si="13">MID(B834,7,LEN(B834)-6)</f>
        <v>833</v>
      </c>
    </row>
    <row r="835" spans="2:7" s="38" customFormat="1" x14ac:dyDescent="0.2">
      <c r="B835" s="39" t="s">
        <v>8015</v>
      </c>
      <c r="C835" s="39" t="s">
        <v>957</v>
      </c>
      <c r="D835" s="39" t="s">
        <v>795</v>
      </c>
      <c r="E835" s="40">
        <v>702</v>
      </c>
      <c r="F835" s="41">
        <f>$E835*3600/(Input!$H$4*1000)</f>
        <v>84.24</v>
      </c>
      <c r="G835" s="42" t="str">
        <f t="shared" si="13"/>
        <v>834</v>
      </c>
    </row>
    <row r="836" spans="2:7" s="38" customFormat="1" x14ac:dyDescent="0.2">
      <c r="B836" s="39" t="s">
        <v>8016</v>
      </c>
      <c r="C836" s="39" t="s">
        <v>635</v>
      </c>
      <c r="D836" s="39" t="s">
        <v>1379</v>
      </c>
      <c r="E836" s="40">
        <v>113</v>
      </c>
      <c r="F836" s="41">
        <f>$E836*3600/(Input!$H$4*1000)</f>
        <v>13.56</v>
      </c>
      <c r="G836" s="42" t="str">
        <f t="shared" si="13"/>
        <v>835</v>
      </c>
    </row>
    <row r="837" spans="2:7" s="38" customFormat="1" x14ac:dyDescent="0.2">
      <c r="B837" s="39" t="s">
        <v>8017</v>
      </c>
      <c r="C837" s="39" t="s">
        <v>1298</v>
      </c>
      <c r="D837" s="39" t="s">
        <v>1379</v>
      </c>
      <c r="E837" s="40">
        <v>132</v>
      </c>
      <c r="F837" s="41">
        <f>$E837*3600/(Input!$H$4*1000)</f>
        <v>15.84</v>
      </c>
      <c r="G837" s="42" t="str">
        <f t="shared" si="13"/>
        <v>836</v>
      </c>
    </row>
    <row r="838" spans="2:7" s="38" customFormat="1" x14ac:dyDescent="0.2">
      <c r="B838" s="39" t="s">
        <v>8018</v>
      </c>
      <c r="C838" s="39" t="s">
        <v>1298</v>
      </c>
      <c r="D838" s="39" t="s">
        <v>844</v>
      </c>
      <c r="E838" s="40">
        <v>400</v>
      </c>
      <c r="F838" s="41">
        <f>$E838*3600/(Input!$H$4*1000)</f>
        <v>48</v>
      </c>
      <c r="G838" s="42" t="str">
        <f t="shared" si="13"/>
        <v>837</v>
      </c>
    </row>
    <row r="839" spans="2:7" s="38" customFormat="1" x14ac:dyDescent="0.2">
      <c r="B839" s="39" t="s">
        <v>8019</v>
      </c>
      <c r="C839" s="39" t="s">
        <v>843</v>
      </c>
      <c r="D839" s="39" t="s">
        <v>1415</v>
      </c>
      <c r="E839" s="40">
        <v>102</v>
      </c>
      <c r="F839" s="41">
        <f>$E839*3600/(Input!$H$4*1000)</f>
        <v>12.24</v>
      </c>
      <c r="G839" s="42" t="str">
        <f t="shared" si="13"/>
        <v>838</v>
      </c>
    </row>
    <row r="840" spans="2:7" s="38" customFormat="1" x14ac:dyDescent="0.2">
      <c r="B840" s="39" t="s">
        <v>8020</v>
      </c>
      <c r="C840" s="39" t="s">
        <v>359</v>
      </c>
      <c r="D840" s="39" t="s">
        <v>882</v>
      </c>
      <c r="E840" s="40">
        <v>421</v>
      </c>
      <c r="F840" s="41">
        <f>$E840*3600/(Input!$H$4*1000)</f>
        <v>50.52</v>
      </c>
      <c r="G840" s="42" t="str">
        <f t="shared" si="13"/>
        <v>839</v>
      </c>
    </row>
    <row r="841" spans="2:7" s="38" customFormat="1" x14ac:dyDescent="0.2">
      <c r="B841" s="39" t="s">
        <v>8021</v>
      </c>
      <c r="C841" s="39" t="s">
        <v>359</v>
      </c>
      <c r="D841" s="39" t="s">
        <v>1724</v>
      </c>
      <c r="E841" s="40">
        <v>440</v>
      </c>
      <c r="F841" s="41">
        <f>$E841*3600/(Input!$H$4*1000)</f>
        <v>52.8</v>
      </c>
      <c r="G841" s="42" t="str">
        <f t="shared" si="13"/>
        <v>840</v>
      </c>
    </row>
    <row r="842" spans="2:7" s="38" customFormat="1" x14ac:dyDescent="0.2">
      <c r="B842" s="39" t="s">
        <v>8022</v>
      </c>
      <c r="C842" s="39" t="s">
        <v>1724</v>
      </c>
      <c r="D842" s="39" t="s">
        <v>1073</v>
      </c>
      <c r="E842" s="40">
        <v>225</v>
      </c>
      <c r="F842" s="41">
        <f>$E842*3600/(Input!$H$4*1000)</f>
        <v>27</v>
      </c>
      <c r="G842" s="42" t="str">
        <f t="shared" si="13"/>
        <v>841</v>
      </c>
    </row>
    <row r="843" spans="2:7" s="38" customFormat="1" x14ac:dyDescent="0.2">
      <c r="B843" s="39" t="s">
        <v>8023</v>
      </c>
      <c r="C843" s="39" t="s">
        <v>1073</v>
      </c>
      <c r="D843" s="39" t="s">
        <v>1160</v>
      </c>
      <c r="E843" s="40">
        <v>194</v>
      </c>
      <c r="F843" s="41">
        <f>$E843*3600/(Input!$H$4*1000)</f>
        <v>23.28</v>
      </c>
      <c r="G843" s="42" t="str">
        <f t="shared" si="13"/>
        <v>842</v>
      </c>
    </row>
    <row r="844" spans="2:7" s="38" customFormat="1" x14ac:dyDescent="0.2">
      <c r="B844" s="39" t="s">
        <v>8024</v>
      </c>
      <c r="C844" s="39" t="s">
        <v>1462</v>
      </c>
      <c r="D844" s="39" t="s">
        <v>1160</v>
      </c>
      <c r="E844" s="40">
        <v>319</v>
      </c>
      <c r="F844" s="41">
        <f>$E844*3600/(Input!$H$4*1000)</f>
        <v>38.28</v>
      </c>
      <c r="G844" s="42" t="str">
        <f t="shared" si="13"/>
        <v>843</v>
      </c>
    </row>
    <row r="845" spans="2:7" s="38" customFormat="1" x14ac:dyDescent="0.2">
      <c r="B845" s="39" t="s">
        <v>8025</v>
      </c>
      <c r="C845" s="39" t="s">
        <v>136</v>
      </c>
      <c r="D845" s="39" t="s">
        <v>1081</v>
      </c>
      <c r="E845" s="40">
        <v>135</v>
      </c>
      <c r="F845" s="41">
        <f>$E845*3600/(Input!$H$4*1000)</f>
        <v>16.2</v>
      </c>
      <c r="G845" s="42" t="str">
        <f t="shared" si="13"/>
        <v>844</v>
      </c>
    </row>
    <row r="846" spans="2:7" s="38" customFormat="1" x14ac:dyDescent="0.2">
      <c r="B846" s="39" t="s">
        <v>8026</v>
      </c>
      <c r="C846" s="39" t="s">
        <v>1160</v>
      </c>
      <c r="D846" s="39" t="s">
        <v>502</v>
      </c>
      <c r="E846" s="40">
        <v>365</v>
      </c>
      <c r="F846" s="41">
        <f>$E846*3600/(Input!$H$4*1000)</f>
        <v>43.8</v>
      </c>
      <c r="G846" s="42" t="str">
        <f t="shared" si="13"/>
        <v>845</v>
      </c>
    </row>
    <row r="847" spans="2:7" s="38" customFormat="1" x14ac:dyDescent="0.2">
      <c r="B847" s="39" t="s">
        <v>8027</v>
      </c>
      <c r="C847" s="39" t="s">
        <v>502</v>
      </c>
      <c r="D847" s="39" t="s">
        <v>136</v>
      </c>
      <c r="E847" s="40">
        <v>131</v>
      </c>
      <c r="F847" s="41">
        <f>$E847*3600/(Input!$H$4*1000)</f>
        <v>15.72</v>
      </c>
      <c r="G847" s="42" t="str">
        <f t="shared" si="13"/>
        <v>846</v>
      </c>
    </row>
    <row r="848" spans="2:7" s="38" customFormat="1" x14ac:dyDescent="0.2">
      <c r="B848" s="39" t="s">
        <v>8028</v>
      </c>
      <c r="C848" s="39" t="s">
        <v>1463</v>
      </c>
      <c r="D848" s="39" t="s">
        <v>1068</v>
      </c>
      <c r="E848" s="40">
        <v>315</v>
      </c>
      <c r="F848" s="41">
        <f>$E848*3600/(Input!$H$4*1000)</f>
        <v>37.799999999999997</v>
      </c>
      <c r="G848" s="42" t="str">
        <f t="shared" si="13"/>
        <v>847</v>
      </c>
    </row>
    <row r="849" spans="2:7" s="38" customFormat="1" x14ac:dyDescent="0.2">
      <c r="B849" s="39" t="s">
        <v>8029</v>
      </c>
      <c r="C849" s="39" t="s">
        <v>1463</v>
      </c>
      <c r="D849" s="39" t="s">
        <v>502</v>
      </c>
      <c r="E849" s="40">
        <v>131</v>
      </c>
      <c r="F849" s="41">
        <f>$E849*3600/(Input!$H$4*1000)</f>
        <v>15.72</v>
      </c>
      <c r="G849" s="42" t="str">
        <f t="shared" si="13"/>
        <v>848</v>
      </c>
    </row>
    <row r="850" spans="2:7" s="38" customFormat="1" x14ac:dyDescent="0.2">
      <c r="B850" s="39" t="s">
        <v>8030</v>
      </c>
      <c r="C850" s="39" t="s">
        <v>59</v>
      </c>
      <c r="D850" s="39" t="s">
        <v>1804</v>
      </c>
      <c r="E850" s="40">
        <v>541</v>
      </c>
      <c r="F850" s="41">
        <f>$E850*3600/(Input!$H$4*1000)</f>
        <v>64.92</v>
      </c>
      <c r="G850" s="42" t="str">
        <f t="shared" si="13"/>
        <v>849</v>
      </c>
    </row>
    <row r="851" spans="2:7" s="38" customFormat="1" x14ac:dyDescent="0.2">
      <c r="B851" s="39" t="s">
        <v>8031</v>
      </c>
      <c r="C851" s="39" t="s">
        <v>59</v>
      </c>
      <c r="D851" s="39" t="s">
        <v>190</v>
      </c>
      <c r="E851" s="40">
        <v>602</v>
      </c>
      <c r="F851" s="41">
        <f>$E851*3600/(Input!$H$4*1000)</f>
        <v>72.239999999999995</v>
      </c>
      <c r="G851" s="42" t="str">
        <f t="shared" si="13"/>
        <v>850</v>
      </c>
    </row>
    <row r="852" spans="2:7" s="38" customFormat="1" x14ac:dyDescent="0.2">
      <c r="B852" s="39" t="s">
        <v>8032</v>
      </c>
      <c r="C852" s="39" t="s">
        <v>889</v>
      </c>
      <c r="D852" s="39" t="s">
        <v>1472</v>
      </c>
      <c r="E852" s="40">
        <v>317</v>
      </c>
      <c r="F852" s="41">
        <f>$E852*3600/(Input!$H$4*1000)</f>
        <v>38.04</v>
      </c>
      <c r="G852" s="42" t="str">
        <f t="shared" si="13"/>
        <v>851</v>
      </c>
    </row>
    <row r="853" spans="2:7" s="38" customFormat="1" x14ac:dyDescent="0.2">
      <c r="B853" s="39" t="s">
        <v>8033</v>
      </c>
      <c r="C853" s="39" t="s">
        <v>1804</v>
      </c>
      <c r="D853" s="39" t="s">
        <v>52</v>
      </c>
      <c r="E853" s="40">
        <v>329</v>
      </c>
      <c r="F853" s="41">
        <f>$E853*3600/(Input!$H$4*1000)</f>
        <v>39.479999999999997</v>
      </c>
      <c r="G853" s="42" t="str">
        <f t="shared" si="13"/>
        <v>852</v>
      </c>
    </row>
    <row r="854" spans="2:7" s="38" customFormat="1" x14ac:dyDescent="0.2">
      <c r="B854" s="39" t="s">
        <v>8034</v>
      </c>
      <c r="C854" s="39" t="s">
        <v>1804</v>
      </c>
      <c r="D854" s="39" t="s">
        <v>1357</v>
      </c>
      <c r="E854" s="40">
        <v>139</v>
      </c>
      <c r="F854" s="41">
        <f>$E854*3600/(Input!$H$4*1000)</f>
        <v>16.68</v>
      </c>
      <c r="G854" s="42" t="str">
        <f t="shared" si="13"/>
        <v>853</v>
      </c>
    </row>
    <row r="855" spans="2:7" s="38" customFormat="1" x14ac:dyDescent="0.2">
      <c r="B855" s="39" t="s">
        <v>8035</v>
      </c>
      <c r="C855" s="39" t="s">
        <v>1357</v>
      </c>
      <c r="D855" s="39" t="s">
        <v>1082</v>
      </c>
      <c r="E855" s="40">
        <v>182</v>
      </c>
      <c r="F855" s="41">
        <f>$E855*3600/(Input!$H$4*1000)</f>
        <v>21.84</v>
      </c>
      <c r="G855" s="42" t="str">
        <f t="shared" si="13"/>
        <v>854</v>
      </c>
    </row>
    <row r="856" spans="2:7" s="38" customFormat="1" x14ac:dyDescent="0.2">
      <c r="B856" s="39" t="s">
        <v>8036</v>
      </c>
      <c r="C856" s="39" t="s">
        <v>52</v>
      </c>
      <c r="D856" s="39" t="s">
        <v>191</v>
      </c>
      <c r="E856" s="40">
        <v>195</v>
      </c>
      <c r="F856" s="41">
        <f>$E856*3600/(Input!$H$4*1000)</f>
        <v>23.4</v>
      </c>
      <c r="G856" s="42" t="str">
        <f t="shared" si="13"/>
        <v>855</v>
      </c>
    </row>
    <row r="857" spans="2:7" s="38" customFormat="1" x14ac:dyDescent="0.2">
      <c r="B857" s="39" t="s">
        <v>8037</v>
      </c>
      <c r="C857" s="39" t="s">
        <v>892</v>
      </c>
      <c r="D857" s="39" t="s">
        <v>738</v>
      </c>
      <c r="E857" s="40">
        <v>403</v>
      </c>
      <c r="F857" s="41">
        <f>$E857*3600/(Input!$H$4*1000)</f>
        <v>48.36</v>
      </c>
      <c r="G857" s="42" t="str">
        <f t="shared" si="13"/>
        <v>856</v>
      </c>
    </row>
    <row r="858" spans="2:7" s="38" customFormat="1" x14ac:dyDescent="0.2">
      <c r="B858" s="39" t="s">
        <v>8038</v>
      </c>
      <c r="C858" s="39" t="s">
        <v>738</v>
      </c>
      <c r="D858" s="39" t="s">
        <v>1248</v>
      </c>
      <c r="E858" s="40">
        <v>450</v>
      </c>
      <c r="F858" s="41">
        <f>$E858*3600/(Input!$H$4*1000)</f>
        <v>54</v>
      </c>
      <c r="G858" s="42" t="str">
        <f t="shared" si="13"/>
        <v>857</v>
      </c>
    </row>
    <row r="859" spans="2:7" s="38" customFormat="1" x14ac:dyDescent="0.2">
      <c r="B859" s="39" t="s">
        <v>8039</v>
      </c>
      <c r="C859" s="39" t="s">
        <v>206</v>
      </c>
      <c r="D859" s="39" t="s">
        <v>670</v>
      </c>
      <c r="E859" s="40">
        <v>659</v>
      </c>
      <c r="F859" s="41">
        <f>$E859*3600/(Input!$H$4*1000)</f>
        <v>79.08</v>
      </c>
      <c r="G859" s="42" t="str">
        <f t="shared" si="13"/>
        <v>858</v>
      </c>
    </row>
    <row r="860" spans="2:7" s="38" customFormat="1" x14ac:dyDescent="0.2">
      <c r="B860" s="39" t="s">
        <v>8040</v>
      </c>
      <c r="C860" s="39" t="s">
        <v>1445</v>
      </c>
      <c r="D860" s="39" t="s">
        <v>1082</v>
      </c>
      <c r="E860" s="40">
        <v>374</v>
      </c>
      <c r="F860" s="41">
        <f>$E860*3600/(Input!$H$4*1000)</f>
        <v>44.88</v>
      </c>
      <c r="G860" s="42" t="str">
        <f t="shared" si="13"/>
        <v>859</v>
      </c>
    </row>
    <row r="861" spans="2:7" s="38" customFormat="1" x14ac:dyDescent="0.2">
      <c r="B861" s="39" t="s">
        <v>8041</v>
      </c>
      <c r="C861" s="39" t="s">
        <v>670</v>
      </c>
      <c r="D861" s="39" t="s">
        <v>50</v>
      </c>
      <c r="E861" s="40">
        <v>119</v>
      </c>
      <c r="F861" s="41">
        <f>$E861*3600/(Input!$H$4*1000)</f>
        <v>14.28</v>
      </c>
      <c r="G861" s="42" t="str">
        <f t="shared" si="13"/>
        <v>860</v>
      </c>
    </row>
    <row r="862" spans="2:7" s="38" customFormat="1" x14ac:dyDescent="0.2">
      <c r="B862" s="39" t="s">
        <v>8042</v>
      </c>
      <c r="C862" s="39" t="s">
        <v>738</v>
      </c>
      <c r="D862" s="39" t="s">
        <v>1293</v>
      </c>
      <c r="E862" s="40">
        <v>776</v>
      </c>
      <c r="F862" s="41">
        <f>$E862*3600/(Input!$H$4*1000)</f>
        <v>93.12</v>
      </c>
      <c r="G862" s="42" t="str">
        <f t="shared" si="13"/>
        <v>861</v>
      </c>
    </row>
    <row r="863" spans="2:7" s="38" customFormat="1" x14ac:dyDescent="0.2">
      <c r="B863" s="39" t="s">
        <v>8043</v>
      </c>
      <c r="C863" s="39" t="s">
        <v>572</v>
      </c>
      <c r="D863" s="39" t="s">
        <v>1445</v>
      </c>
      <c r="E863" s="40">
        <v>188</v>
      </c>
      <c r="F863" s="41">
        <f>$E863*3600/(Input!$H$4*1000)</f>
        <v>22.56</v>
      </c>
      <c r="G863" s="42" t="str">
        <f t="shared" si="13"/>
        <v>862</v>
      </c>
    </row>
    <row r="864" spans="2:7" s="38" customFormat="1" x14ac:dyDescent="0.2">
      <c r="B864" s="39" t="s">
        <v>8044</v>
      </c>
      <c r="C864" s="39" t="s">
        <v>1447</v>
      </c>
      <c r="D864" s="39" t="s">
        <v>492</v>
      </c>
      <c r="E864" s="40">
        <v>546</v>
      </c>
      <c r="F864" s="41">
        <f>$E864*3600/(Input!$H$4*1000)</f>
        <v>65.52</v>
      </c>
      <c r="G864" s="42" t="str">
        <f t="shared" si="13"/>
        <v>863</v>
      </c>
    </row>
    <row r="865" spans="2:7" s="38" customFormat="1" x14ac:dyDescent="0.2">
      <c r="B865" s="39" t="s">
        <v>8045</v>
      </c>
      <c r="C865" s="39" t="s">
        <v>360</v>
      </c>
      <c r="D865" s="39" t="s">
        <v>54</v>
      </c>
      <c r="E865" s="40">
        <v>129</v>
      </c>
      <c r="F865" s="41">
        <f>$E865*3600/(Input!$H$4*1000)</f>
        <v>15.48</v>
      </c>
      <c r="G865" s="42" t="str">
        <f t="shared" si="13"/>
        <v>864</v>
      </c>
    </row>
    <row r="866" spans="2:7" s="38" customFormat="1" x14ac:dyDescent="0.2">
      <c r="B866" s="39" t="s">
        <v>8046</v>
      </c>
      <c r="C866" s="39" t="s">
        <v>73</v>
      </c>
      <c r="D866" s="39" t="s">
        <v>560</v>
      </c>
      <c r="E866" s="40">
        <v>347</v>
      </c>
      <c r="F866" s="41">
        <f>$E866*3600/(Input!$H$4*1000)</f>
        <v>41.64</v>
      </c>
      <c r="G866" s="42" t="str">
        <f t="shared" si="13"/>
        <v>865</v>
      </c>
    </row>
    <row r="867" spans="2:7" s="38" customFormat="1" x14ac:dyDescent="0.2">
      <c r="B867" s="39" t="s">
        <v>8047</v>
      </c>
      <c r="C867" s="39" t="s">
        <v>834</v>
      </c>
      <c r="D867" s="39" t="s">
        <v>609</v>
      </c>
      <c r="E867" s="40">
        <v>307</v>
      </c>
      <c r="F867" s="41">
        <f>$E867*3600/(Input!$H$4*1000)</f>
        <v>36.840000000000003</v>
      </c>
      <c r="G867" s="42" t="str">
        <f t="shared" si="13"/>
        <v>866</v>
      </c>
    </row>
    <row r="868" spans="2:7" s="38" customFormat="1" x14ac:dyDescent="0.2">
      <c r="B868" s="39" t="s">
        <v>8048</v>
      </c>
      <c r="C868" s="39" t="s">
        <v>54</v>
      </c>
      <c r="D868" s="39" t="s">
        <v>102</v>
      </c>
      <c r="E868" s="40">
        <v>148</v>
      </c>
      <c r="F868" s="41">
        <f>$E868*3600/(Input!$H$4*1000)</f>
        <v>17.760000000000002</v>
      </c>
      <c r="G868" s="42" t="str">
        <f t="shared" si="13"/>
        <v>867</v>
      </c>
    </row>
    <row r="869" spans="2:7" s="38" customFormat="1" x14ac:dyDescent="0.2">
      <c r="B869" s="39" t="s">
        <v>8049</v>
      </c>
      <c r="C869" s="39" t="s">
        <v>70</v>
      </c>
      <c r="D869" s="39" t="s">
        <v>1447</v>
      </c>
      <c r="E869" s="40">
        <v>485</v>
      </c>
      <c r="F869" s="41">
        <f>$E869*3600/(Input!$H$4*1000)</f>
        <v>58.2</v>
      </c>
      <c r="G869" s="42" t="str">
        <f t="shared" si="13"/>
        <v>868</v>
      </c>
    </row>
    <row r="870" spans="2:7" s="38" customFormat="1" x14ac:dyDescent="0.2">
      <c r="B870" s="39" t="s">
        <v>8050</v>
      </c>
      <c r="C870" s="39" t="s">
        <v>1177</v>
      </c>
      <c r="D870" s="39" t="s">
        <v>834</v>
      </c>
      <c r="E870" s="40">
        <v>169</v>
      </c>
      <c r="F870" s="41">
        <f>$E870*3600/(Input!$H$4*1000)</f>
        <v>20.28</v>
      </c>
      <c r="G870" s="42" t="str">
        <f t="shared" si="13"/>
        <v>869</v>
      </c>
    </row>
    <row r="871" spans="2:7" s="38" customFormat="1" x14ac:dyDescent="0.2">
      <c r="B871" s="39" t="s">
        <v>8051</v>
      </c>
      <c r="C871" s="39" t="s">
        <v>1177</v>
      </c>
      <c r="D871" s="39" t="s">
        <v>1447</v>
      </c>
      <c r="E871" s="40">
        <v>203</v>
      </c>
      <c r="F871" s="41">
        <f>$E871*3600/(Input!$H$4*1000)</f>
        <v>24.36</v>
      </c>
      <c r="G871" s="42" t="str">
        <f t="shared" si="13"/>
        <v>870</v>
      </c>
    </row>
    <row r="872" spans="2:7" s="38" customFormat="1" x14ac:dyDescent="0.2">
      <c r="B872" s="39" t="s">
        <v>8052</v>
      </c>
      <c r="C872" s="39" t="s">
        <v>834</v>
      </c>
      <c r="D872" s="39" t="s">
        <v>1282</v>
      </c>
      <c r="E872" s="40">
        <v>167</v>
      </c>
      <c r="F872" s="41">
        <f>$E872*3600/(Input!$H$4*1000)</f>
        <v>20.04</v>
      </c>
      <c r="G872" s="42" t="str">
        <f t="shared" si="13"/>
        <v>871</v>
      </c>
    </row>
    <row r="873" spans="2:7" s="38" customFormat="1" x14ac:dyDescent="0.2">
      <c r="B873" s="39" t="s">
        <v>8053</v>
      </c>
      <c r="C873" s="39" t="s">
        <v>1805</v>
      </c>
      <c r="D873" s="39" t="s">
        <v>1729</v>
      </c>
      <c r="E873" s="40">
        <v>364</v>
      </c>
      <c r="F873" s="41">
        <f>$E873*3600/(Input!$H$4*1000)</f>
        <v>43.68</v>
      </c>
      <c r="G873" s="42" t="str">
        <f t="shared" si="13"/>
        <v>872</v>
      </c>
    </row>
    <row r="874" spans="2:7" s="38" customFormat="1" x14ac:dyDescent="0.2">
      <c r="B874" s="39" t="s">
        <v>8054</v>
      </c>
      <c r="C874" s="39" t="s">
        <v>1729</v>
      </c>
      <c r="D874" s="39" t="s">
        <v>1806</v>
      </c>
      <c r="E874" s="40">
        <v>289</v>
      </c>
      <c r="F874" s="41">
        <f>$E874*3600/(Input!$H$4*1000)</f>
        <v>34.68</v>
      </c>
      <c r="G874" s="42" t="str">
        <f t="shared" si="13"/>
        <v>873</v>
      </c>
    </row>
    <row r="875" spans="2:7" s="38" customFormat="1" x14ac:dyDescent="0.2">
      <c r="B875" s="39" t="s">
        <v>8055</v>
      </c>
      <c r="C875" s="39" t="s">
        <v>1729</v>
      </c>
      <c r="D875" s="39" t="s">
        <v>1807</v>
      </c>
      <c r="E875" s="40">
        <v>296</v>
      </c>
      <c r="F875" s="41">
        <f>$E875*3600/(Input!$H$4*1000)</f>
        <v>35.520000000000003</v>
      </c>
      <c r="G875" s="42" t="str">
        <f t="shared" si="13"/>
        <v>874</v>
      </c>
    </row>
    <row r="876" spans="2:7" s="38" customFormat="1" x14ac:dyDescent="0.2">
      <c r="B876" s="39" t="s">
        <v>8056</v>
      </c>
      <c r="C876" s="39" t="s">
        <v>1729</v>
      </c>
      <c r="D876" s="39" t="s">
        <v>1194</v>
      </c>
      <c r="E876" s="40">
        <v>195</v>
      </c>
      <c r="F876" s="41">
        <f>$E876*3600/(Input!$H$4*1000)</f>
        <v>23.4</v>
      </c>
      <c r="G876" s="42" t="str">
        <f t="shared" si="13"/>
        <v>875</v>
      </c>
    </row>
    <row r="877" spans="2:7" s="38" customFormat="1" x14ac:dyDescent="0.2">
      <c r="B877" s="39" t="s">
        <v>8057</v>
      </c>
      <c r="C877" s="39" t="s">
        <v>1293</v>
      </c>
      <c r="D877" s="39" t="s">
        <v>271</v>
      </c>
      <c r="E877" s="40">
        <v>110</v>
      </c>
      <c r="F877" s="41">
        <f>$E877*3600/(Input!$H$4*1000)</f>
        <v>13.2</v>
      </c>
      <c r="G877" s="42" t="str">
        <f t="shared" si="13"/>
        <v>876</v>
      </c>
    </row>
    <row r="878" spans="2:7" s="38" customFormat="1" x14ac:dyDescent="0.2">
      <c r="B878" s="39" t="s">
        <v>8058</v>
      </c>
      <c r="C878" s="39" t="s">
        <v>102</v>
      </c>
      <c r="D878" s="39" t="s">
        <v>1243</v>
      </c>
      <c r="E878" s="40">
        <v>168</v>
      </c>
      <c r="F878" s="41">
        <f>$E878*3600/(Input!$H$4*1000)</f>
        <v>20.16</v>
      </c>
      <c r="G878" s="42" t="str">
        <f t="shared" si="13"/>
        <v>877</v>
      </c>
    </row>
    <row r="879" spans="2:7" s="38" customFormat="1" x14ac:dyDescent="0.2">
      <c r="B879" s="39" t="s">
        <v>8059</v>
      </c>
      <c r="C879" s="39" t="s">
        <v>1806</v>
      </c>
      <c r="D879" s="39" t="s">
        <v>1070</v>
      </c>
      <c r="E879" s="40">
        <v>267</v>
      </c>
      <c r="F879" s="41">
        <f>$E879*3600/(Input!$H$4*1000)</f>
        <v>32.04</v>
      </c>
      <c r="G879" s="42" t="str">
        <f t="shared" si="13"/>
        <v>878</v>
      </c>
    </row>
    <row r="880" spans="2:7" s="38" customFormat="1" x14ac:dyDescent="0.2">
      <c r="B880" s="39" t="s">
        <v>8060</v>
      </c>
      <c r="C880" s="39" t="s">
        <v>1070</v>
      </c>
      <c r="D880" s="39" t="s">
        <v>116</v>
      </c>
      <c r="E880" s="40">
        <v>102</v>
      </c>
      <c r="F880" s="41">
        <f>$E880*3600/(Input!$H$4*1000)</f>
        <v>12.24</v>
      </c>
      <c r="G880" s="42" t="str">
        <f t="shared" si="13"/>
        <v>879</v>
      </c>
    </row>
    <row r="881" spans="2:7" s="38" customFormat="1" x14ac:dyDescent="0.2">
      <c r="B881" s="39" t="s">
        <v>8061</v>
      </c>
      <c r="C881" s="39" t="s">
        <v>70</v>
      </c>
      <c r="D881" s="39" t="s">
        <v>1189</v>
      </c>
      <c r="E881" s="40">
        <v>348</v>
      </c>
      <c r="F881" s="41">
        <f>$E881*3600/(Input!$H$4*1000)</f>
        <v>41.76</v>
      </c>
      <c r="G881" s="42" t="str">
        <f t="shared" si="13"/>
        <v>880</v>
      </c>
    </row>
    <row r="882" spans="2:7" s="38" customFormat="1" x14ac:dyDescent="0.2">
      <c r="B882" s="39" t="s">
        <v>8062</v>
      </c>
      <c r="C882" s="39" t="s">
        <v>70</v>
      </c>
      <c r="D882" s="39" t="s">
        <v>1245</v>
      </c>
      <c r="E882" s="40">
        <v>528</v>
      </c>
      <c r="F882" s="41">
        <f>$E882*3600/(Input!$H$4*1000)</f>
        <v>63.36</v>
      </c>
      <c r="G882" s="42" t="str">
        <f t="shared" si="13"/>
        <v>881</v>
      </c>
    </row>
    <row r="883" spans="2:7" s="38" customFormat="1" x14ac:dyDescent="0.2">
      <c r="B883" s="39" t="s">
        <v>8063</v>
      </c>
      <c r="C883" s="39" t="s">
        <v>858</v>
      </c>
      <c r="D883" s="39" t="s">
        <v>501</v>
      </c>
      <c r="E883" s="40">
        <v>310</v>
      </c>
      <c r="F883" s="41">
        <f>$E883*3600/(Input!$H$4*1000)</f>
        <v>37.200000000000003</v>
      </c>
      <c r="G883" s="42" t="str">
        <f t="shared" si="13"/>
        <v>882</v>
      </c>
    </row>
    <row r="884" spans="2:7" s="38" customFormat="1" x14ac:dyDescent="0.2">
      <c r="B884" s="39" t="s">
        <v>8064</v>
      </c>
      <c r="C884" s="39" t="s">
        <v>1729</v>
      </c>
      <c r="D884" s="39" t="s">
        <v>501</v>
      </c>
      <c r="E884" s="40">
        <v>221</v>
      </c>
      <c r="F884" s="41">
        <f>$E884*3600/(Input!$H$4*1000)</f>
        <v>26.52</v>
      </c>
      <c r="G884" s="42" t="str">
        <f t="shared" si="13"/>
        <v>883</v>
      </c>
    </row>
    <row r="885" spans="2:7" s="38" customFormat="1" x14ac:dyDescent="0.2">
      <c r="B885" s="39" t="s">
        <v>8065</v>
      </c>
      <c r="C885" s="39" t="s">
        <v>876</v>
      </c>
      <c r="D885" s="39" t="s">
        <v>1148</v>
      </c>
      <c r="E885" s="40">
        <v>247</v>
      </c>
      <c r="F885" s="41">
        <f>$E885*3600/(Input!$H$4*1000)</f>
        <v>29.64</v>
      </c>
      <c r="G885" s="42" t="str">
        <f t="shared" si="13"/>
        <v>884</v>
      </c>
    </row>
    <row r="886" spans="2:7" s="38" customFormat="1" x14ac:dyDescent="0.2">
      <c r="B886" s="39" t="s">
        <v>8066</v>
      </c>
      <c r="C886" s="39" t="s">
        <v>876</v>
      </c>
      <c r="D886" s="39" t="s">
        <v>53</v>
      </c>
      <c r="E886" s="40">
        <v>419</v>
      </c>
      <c r="F886" s="41">
        <f>$E886*3600/(Input!$H$4*1000)</f>
        <v>50.28</v>
      </c>
      <c r="G886" s="42" t="str">
        <f t="shared" si="13"/>
        <v>885</v>
      </c>
    </row>
    <row r="887" spans="2:7" s="38" customFormat="1" x14ac:dyDescent="0.2">
      <c r="B887" s="39" t="s">
        <v>8067</v>
      </c>
      <c r="C887" s="39" t="s">
        <v>876</v>
      </c>
      <c r="D887" s="39" t="s">
        <v>666</v>
      </c>
      <c r="E887" s="40">
        <v>323</v>
      </c>
      <c r="F887" s="41">
        <f>$E887*3600/(Input!$H$4*1000)</f>
        <v>38.76</v>
      </c>
      <c r="G887" s="42" t="str">
        <f t="shared" si="13"/>
        <v>886</v>
      </c>
    </row>
    <row r="888" spans="2:7" s="38" customFormat="1" x14ac:dyDescent="0.2">
      <c r="B888" s="39" t="s">
        <v>8068</v>
      </c>
      <c r="C888" s="39" t="s">
        <v>1611</v>
      </c>
      <c r="D888" s="39" t="s">
        <v>879</v>
      </c>
      <c r="E888" s="40">
        <v>216</v>
      </c>
      <c r="F888" s="41">
        <f>$E888*3600/(Input!$H$4*1000)</f>
        <v>25.92</v>
      </c>
      <c r="G888" s="42" t="str">
        <f t="shared" si="13"/>
        <v>887</v>
      </c>
    </row>
    <row r="889" spans="2:7" s="38" customFormat="1" x14ac:dyDescent="0.2">
      <c r="B889" s="39" t="s">
        <v>8069</v>
      </c>
      <c r="C889" s="39" t="s">
        <v>1611</v>
      </c>
      <c r="D889" s="39" t="s">
        <v>876</v>
      </c>
      <c r="E889" s="40">
        <v>257</v>
      </c>
      <c r="F889" s="41">
        <f>$E889*3600/(Input!$H$4*1000)</f>
        <v>30.84</v>
      </c>
      <c r="G889" s="42" t="str">
        <f t="shared" si="13"/>
        <v>888</v>
      </c>
    </row>
    <row r="890" spans="2:7" s="38" customFormat="1" x14ac:dyDescent="0.2">
      <c r="B890" s="39" t="s">
        <v>8070</v>
      </c>
      <c r="C890" s="39" t="s">
        <v>876</v>
      </c>
      <c r="D890" s="39" t="s">
        <v>571</v>
      </c>
      <c r="E890" s="40">
        <v>312</v>
      </c>
      <c r="F890" s="41">
        <f>$E890*3600/(Input!$H$4*1000)</f>
        <v>37.44</v>
      </c>
      <c r="G890" s="42" t="str">
        <f t="shared" si="13"/>
        <v>889</v>
      </c>
    </row>
    <row r="891" spans="2:7" s="38" customFormat="1" x14ac:dyDescent="0.2">
      <c r="B891" s="39" t="s">
        <v>8071</v>
      </c>
      <c r="C891" s="39" t="s">
        <v>271</v>
      </c>
      <c r="D891" s="39" t="s">
        <v>1310</v>
      </c>
      <c r="E891" s="40">
        <v>131</v>
      </c>
      <c r="F891" s="41">
        <f>$E891*3600/(Input!$H$4*1000)</f>
        <v>15.72</v>
      </c>
      <c r="G891" s="42" t="str">
        <f t="shared" si="13"/>
        <v>890</v>
      </c>
    </row>
    <row r="892" spans="2:7" s="38" customFormat="1" x14ac:dyDescent="0.2">
      <c r="B892" s="39" t="s">
        <v>8072</v>
      </c>
      <c r="C892" s="39" t="s">
        <v>1243</v>
      </c>
      <c r="D892" s="39" t="s">
        <v>1417</v>
      </c>
      <c r="E892" s="40">
        <v>165</v>
      </c>
      <c r="F892" s="41">
        <f>$E892*3600/(Input!$H$4*1000)</f>
        <v>19.8</v>
      </c>
      <c r="G892" s="42" t="str">
        <f t="shared" si="13"/>
        <v>891</v>
      </c>
    </row>
    <row r="893" spans="2:7" s="38" customFormat="1" x14ac:dyDescent="0.2">
      <c r="B893" s="39" t="s">
        <v>8073</v>
      </c>
      <c r="C893" s="39" t="s">
        <v>1417</v>
      </c>
      <c r="D893" s="39" t="s">
        <v>1611</v>
      </c>
      <c r="E893" s="40">
        <v>304</v>
      </c>
      <c r="F893" s="41">
        <f>$E893*3600/(Input!$H$4*1000)</f>
        <v>36.479999999999997</v>
      </c>
      <c r="G893" s="42" t="str">
        <f t="shared" si="13"/>
        <v>892</v>
      </c>
    </row>
    <row r="894" spans="2:7" s="38" customFormat="1" x14ac:dyDescent="0.2">
      <c r="B894" s="39" t="s">
        <v>8074</v>
      </c>
      <c r="C894" s="39" t="s">
        <v>876</v>
      </c>
      <c r="D894" s="39" t="s">
        <v>1265</v>
      </c>
      <c r="E894" s="40">
        <v>164</v>
      </c>
      <c r="F894" s="41">
        <f>$E894*3600/(Input!$H$4*1000)</f>
        <v>19.68</v>
      </c>
      <c r="G894" s="42" t="str">
        <f t="shared" si="13"/>
        <v>893</v>
      </c>
    </row>
    <row r="895" spans="2:7" s="38" customFormat="1" x14ac:dyDescent="0.2">
      <c r="B895" s="39" t="s">
        <v>8075</v>
      </c>
      <c r="C895" s="39" t="s">
        <v>876</v>
      </c>
      <c r="D895" s="39" t="s">
        <v>794</v>
      </c>
      <c r="E895" s="40">
        <v>172</v>
      </c>
      <c r="F895" s="41">
        <f>$E895*3600/(Input!$H$4*1000)</f>
        <v>20.64</v>
      </c>
      <c r="G895" s="42" t="str">
        <f t="shared" si="13"/>
        <v>894</v>
      </c>
    </row>
    <row r="896" spans="2:7" s="38" customFormat="1" x14ac:dyDescent="0.2">
      <c r="B896" s="39" t="s">
        <v>8076</v>
      </c>
      <c r="C896" s="39" t="s">
        <v>794</v>
      </c>
      <c r="D896" s="39" t="s">
        <v>1378</v>
      </c>
      <c r="E896" s="40">
        <v>278</v>
      </c>
      <c r="F896" s="41">
        <f>$E896*3600/(Input!$H$4*1000)</f>
        <v>33.36</v>
      </c>
      <c r="G896" s="42" t="str">
        <f t="shared" si="13"/>
        <v>895</v>
      </c>
    </row>
    <row r="897" spans="2:7" s="38" customFormat="1" x14ac:dyDescent="0.2">
      <c r="B897" s="39" t="s">
        <v>8077</v>
      </c>
      <c r="C897" s="39" t="s">
        <v>751</v>
      </c>
      <c r="D897" s="39" t="s">
        <v>1493</v>
      </c>
      <c r="E897" s="40">
        <v>288</v>
      </c>
      <c r="F897" s="41">
        <f>$E897*3600/(Input!$H$4*1000)</f>
        <v>34.56</v>
      </c>
      <c r="G897" s="42" t="str">
        <f t="shared" si="13"/>
        <v>896</v>
      </c>
    </row>
    <row r="898" spans="2:7" s="38" customFormat="1" x14ac:dyDescent="0.2">
      <c r="B898" s="39" t="s">
        <v>8078</v>
      </c>
      <c r="C898" s="39" t="s">
        <v>92</v>
      </c>
      <c r="D898" s="39" t="s">
        <v>1070</v>
      </c>
      <c r="E898" s="40">
        <v>324</v>
      </c>
      <c r="F898" s="41">
        <f>$E898*3600/(Input!$H$4*1000)</f>
        <v>38.880000000000003</v>
      </c>
      <c r="G898" s="42" t="str">
        <f t="shared" ref="G898:G961" si="14">MID(B898,7,LEN(B898)-6)</f>
        <v>897</v>
      </c>
    </row>
    <row r="899" spans="2:7" s="38" customFormat="1" x14ac:dyDescent="0.2">
      <c r="B899" s="39" t="s">
        <v>8079</v>
      </c>
      <c r="C899" s="39" t="s">
        <v>92</v>
      </c>
      <c r="D899" s="39" t="s">
        <v>275</v>
      </c>
      <c r="E899" s="40">
        <v>120</v>
      </c>
      <c r="F899" s="41">
        <f>$E899*3600/(Input!$H$4*1000)</f>
        <v>14.4</v>
      </c>
      <c r="G899" s="42" t="str">
        <f t="shared" si="14"/>
        <v>898</v>
      </c>
    </row>
    <row r="900" spans="2:7" s="38" customFormat="1" x14ac:dyDescent="0.2">
      <c r="B900" s="39" t="s">
        <v>8080</v>
      </c>
      <c r="C900" s="39" t="s">
        <v>600</v>
      </c>
      <c r="D900" s="39" t="s">
        <v>275</v>
      </c>
      <c r="E900" s="40">
        <v>54</v>
      </c>
      <c r="F900" s="41">
        <f>$E900*3600/(Input!$H$4*1000)</f>
        <v>6.48</v>
      </c>
      <c r="G900" s="42" t="str">
        <f t="shared" si="14"/>
        <v>899</v>
      </c>
    </row>
    <row r="901" spans="2:7" s="38" customFormat="1" x14ac:dyDescent="0.2">
      <c r="B901" s="39" t="s">
        <v>8081</v>
      </c>
      <c r="C901" s="39" t="s">
        <v>1348</v>
      </c>
      <c r="D901" s="39" t="s">
        <v>1192</v>
      </c>
      <c r="E901" s="40">
        <v>317</v>
      </c>
      <c r="F901" s="41">
        <f>$E901*3600/(Input!$H$4*1000)</f>
        <v>38.04</v>
      </c>
      <c r="G901" s="42" t="str">
        <f t="shared" si="14"/>
        <v>900</v>
      </c>
    </row>
    <row r="902" spans="2:7" s="38" customFormat="1" x14ac:dyDescent="0.2">
      <c r="B902" s="39" t="s">
        <v>8082</v>
      </c>
      <c r="C902" s="39" t="s">
        <v>1205</v>
      </c>
      <c r="D902" s="39" t="s">
        <v>1562</v>
      </c>
      <c r="E902" s="40">
        <v>357</v>
      </c>
      <c r="F902" s="41">
        <f>$E902*3600/(Input!$H$4*1000)</f>
        <v>42.84</v>
      </c>
      <c r="G902" s="42" t="str">
        <f t="shared" si="14"/>
        <v>901</v>
      </c>
    </row>
    <row r="903" spans="2:7" s="38" customFormat="1" x14ac:dyDescent="0.2">
      <c r="B903" s="39" t="s">
        <v>8083</v>
      </c>
      <c r="C903" s="39" t="s">
        <v>576</v>
      </c>
      <c r="D903" s="39" t="s">
        <v>31</v>
      </c>
      <c r="E903" s="40">
        <v>1240</v>
      </c>
      <c r="F903" s="41">
        <f>$E903*3600/(Input!$H$4*1000)</f>
        <v>148.80000000000001</v>
      </c>
      <c r="G903" s="42" t="str">
        <f t="shared" si="14"/>
        <v>902</v>
      </c>
    </row>
    <row r="904" spans="2:7" s="38" customFormat="1" x14ac:dyDescent="0.2">
      <c r="B904" s="39" t="s">
        <v>8084</v>
      </c>
      <c r="C904" s="39" t="s">
        <v>409</v>
      </c>
      <c r="D904" s="39" t="s">
        <v>254</v>
      </c>
      <c r="E904" s="40">
        <v>175</v>
      </c>
      <c r="F904" s="41">
        <f>$E904*3600/(Input!$H$4*1000)</f>
        <v>21</v>
      </c>
      <c r="G904" s="42" t="str">
        <f t="shared" si="14"/>
        <v>903</v>
      </c>
    </row>
    <row r="905" spans="2:7" s="38" customFormat="1" x14ac:dyDescent="0.2">
      <c r="B905" s="39" t="s">
        <v>8085</v>
      </c>
      <c r="C905" s="39" t="s">
        <v>31</v>
      </c>
      <c r="D905" s="39" t="s">
        <v>1249</v>
      </c>
      <c r="E905" s="40">
        <v>620</v>
      </c>
      <c r="F905" s="41">
        <f>$E905*3600/(Input!$H$4*1000)</f>
        <v>74.400000000000006</v>
      </c>
      <c r="G905" s="42" t="str">
        <f t="shared" si="14"/>
        <v>904</v>
      </c>
    </row>
    <row r="906" spans="2:7" s="38" customFormat="1" x14ac:dyDescent="0.2">
      <c r="B906" s="39" t="s">
        <v>8086</v>
      </c>
      <c r="C906" s="39" t="s">
        <v>409</v>
      </c>
      <c r="D906" s="39" t="s">
        <v>1603</v>
      </c>
      <c r="E906" s="40">
        <v>129</v>
      </c>
      <c r="F906" s="41">
        <f>$E906*3600/(Input!$H$4*1000)</f>
        <v>15.48</v>
      </c>
      <c r="G906" s="42" t="str">
        <f t="shared" si="14"/>
        <v>905</v>
      </c>
    </row>
    <row r="907" spans="2:7" s="38" customFormat="1" x14ac:dyDescent="0.2">
      <c r="B907" s="39" t="s">
        <v>8087</v>
      </c>
      <c r="C907" s="39" t="s">
        <v>1666</v>
      </c>
      <c r="D907" s="39" t="s">
        <v>95</v>
      </c>
      <c r="E907" s="40">
        <v>381</v>
      </c>
      <c r="F907" s="41">
        <f>$E907*3600/(Input!$H$4*1000)</f>
        <v>45.72</v>
      </c>
      <c r="G907" s="42" t="str">
        <f t="shared" si="14"/>
        <v>906</v>
      </c>
    </row>
    <row r="908" spans="2:7" s="38" customFormat="1" x14ac:dyDescent="0.2">
      <c r="B908" s="39" t="s">
        <v>8088</v>
      </c>
      <c r="C908" s="39" t="s">
        <v>372</v>
      </c>
      <c r="D908" s="39" t="s">
        <v>968</v>
      </c>
      <c r="E908" s="40">
        <v>106</v>
      </c>
      <c r="F908" s="41">
        <f>$E908*3600/(Input!$H$4*1000)</f>
        <v>12.72</v>
      </c>
      <c r="G908" s="42" t="str">
        <f t="shared" si="14"/>
        <v>907</v>
      </c>
    </row>
    <row r="909" spans="2:7" s="38" customFormat="1" x14ac:dyDescent="0.2">
      <c r="B909" s="39" t="s">
        <v>8089</v>
      </c>
      <c r="C909" s="39" t="s">
        <v>928</v>
      </c>
      <c r="D909" s="39" t="s">
        <v>968</v>
      </c>
      <c r="E909" s="40">
        <v>189</v>
      </c>
      <c r="F909" s="41">
        <f>$E909*3600/(Input!$H$4*1000)</f>
        <v>22.68</v>
      </c>
      <c r="G909" s="42" t="str">
        <f t="shared" si="14"/>
        <v>908</v>
      </c>
    </row>
    <row r="910" spans="2:7" s="38" customFormat="1" x14ac:dyDescent="0.2">
      <c r="B910" s="39" t="s">
        <v>8090</v>
      </c>
      <c r="C910" s="39" t="s">
        <v>579</v>
      </c>
      <c r="D910" s="39" t="s">
        <v>928</v>
      </c>
      <c r="E910" s="40">
        <v>397</v>
      </c>
      <c r="F910" s="41">
        <f>$E910*3600/(Input!$H$4*1000)</f>
        <v>47.64</v>
      </c>
      <c r="G910" s="42" t="str">
        <f t="shared" si="14"/>
        <v>909</v>
      </c>
    </row>
    <row r="911" spans="2:7" s="38" customFormat="1" x14ac:dyDescent="0.2">
      <c r="B911" s="39" t="s">
        <v>8091</v>
      </c>
      <c r="C911" s="39" t="s">
        <v>1502</v>
      </c>
      <c r="D911" s="39" t="s">
        <v>579</v>
      </c>
      <c r="E911" s="40">
        <v>677</v>
      </c>
      <c r="F911" s="41">
        <f>$E911*3600/(Input!$H$4*1000)</f>
        <v>81.239999999999995</v>
      </c>
      <c r="G911" s="42" t="str">
        <f t="shared" si="14"/>
        <v>910</v>
      </c>
    </row>
    <row r="912" spans="2:7" s="38" customFormat="1" x14ac:dyDescent="0.2">
      <c r="B912" s="39" t="s">
        <v>8092</v>
      </c>
      <c r="C912" s="39" t="s">
        <v>579</v>
      </c>
      <c r="D912" s="39" t="s">
        <v>1503</v>
      </c>
      <c r="E912" s="40">
        <v>517</v>
      </c>
      <c r="F912" s="41">
        <f>$E912*3600/(Input!$H$4*1000)</f>
        <v>62.04</v>
      </c>
      <c r="G912" s="42" t="str">
        <f t="shared" si="14"/>
        <v>911</v>
      </c>
    </row>
    <row r="913" spans="2:7" s="38" customFormat="1" x14ac:dyDescent="0.2">
      <c r="B913" s="39" t="s">
        <v>8093</v>
      </c>
      <c r="C913" s="39" t="s">
        <v>966</v>
      </c>
      <c r="D913" s="39" t="s">
        <v>185</v>
      </c>
      <c r="E913" s="40">
        <v>208</v>
      </c>
      <c r="F913" s="41">
        <f>$E913*3600/(Input!$H$4*1000)</f>
        <v>24.96</v>
      </c>
      <c r="G913" s="42" t="str">
        <f t="shared" si="14"/>
        <v>912</v>
      </c>
    </row>
    <row r="914" spans="2:7" s="38" customFormat="1" x14ac:dyDescent="0.2">
      <c r="B914" s="39" t="s">
        <v>8094</v>
      </c>
      <c r="C914" s="39" t="s">
        <v>1288</v>
      </c>
      <c r="D914" s="39" t="s">
        <v>581</v>
      </c>
      <c r="E914" s="40">
        <v>155</v>
      </c>
      <c r="F914" s="41">
        <f>$E914*3600/(Input!$H$4*1000)</f>
        <v>18.600000000000001</v>
      </c>
      <c r="G914" s="42" t="str">
        <f t="shared" si="14"/>
        <v>913</v>
      </c>
    </row>
    <row r="915" spans="2:7" s="38" customFormat="1" x14ac:dyDescent="0.2">
      <c r="B915" s="39" t="s">
        <v>8095</v>
      </c>
      <c r="C915" s="39" t="s">
        <v>966</v>
      </c>
      <c r="D915" s="39" t="s">
        <v>1288</v>
      </c>
      <c r="E915" s="40">
        <v>337</v>
      </c>
      <c r="F915" s="41">
        <f>$E915*3600/(Input!$H$4*1000)</f>
        <v>40.44</v>
      </c>
      <c r="G915" s="42" t="str">
        <f t="shared" si="14"/>
        <v>914</v>
      </c>
    </row>
    <row r="916" spans="2:7" s="38" customFormat="1" x14ac:dyDescent="0.2">
      <c r="B916" s="39" t="s">
        <v>8096</v>
      </c>
      <c r="C916" s="39" t="s">
        <v>1288</v>
      </c>
      <c r="D916" s="39" t="s">
        <v>659</v>
      </c>
      <c r="E916" s="40">
        <v>247</v>
      </c>
      <c r="F916" s="41">
        <f>$E916*3600/(Input!$H$4*1000)</f>
        <v>29.64</v>
      </c>
      <c r="G916" s="42" t="str">
        <f t="shared" si="14"/>
        <v>915</v>
      </c>
    </row>
    <row r="917" spans="2:7" s="38" customFormat="1" x14ac:dyDescent="0.2">
      <c r="B917" s="39" t="s">
        <v>8097</v>
      </c>
      <c r="C917" s="39" t="s">
        <v>934</v>
      </c>
      <c r="D917" s="39" t="s">
        <v>659</v>
      </c>
      <c r="E917" s="40">
        <v>165</v>
      </c>
      <c r="F917" s="41">
        <f>$E917*3600/(Input!$H$4*1000)</f>
        <v>19.8</v>
      </c>
      <c r="G917" s="42" t="str">
        <f t="shared" si="14"/>
        <v>916</v>
      </c>
    </row>
    <row r="918" spans="2:7" s="38" customFormat="1" x14ac:dyDescent="0.2">
      <c r="B918" s="39" t="s">
        <v>8098</v>
      </c>
      <c r="C918" s="39" t="s">
        <v>1808</v>
      </c>
      <c r="D918" s="39" t="s">
        <v>968</v>
      </c>
      <c r="E918" s="40">
        <v>137</v>
      </c>
      <c r="F918" s="41">
        <f>$E918*3600/(Input!$H$4*1000)</f>
        <v>16.440000000000001</v>
      </c>
      <c r="G918" s="42" t="str">
        <f t="shared" si="14"/>
        <v>917</v>
      </c>
    </row>
    <row r="919" spans="2:7" s="38" customFormat="1" x14ac:dyDescent="0.2">
      <c r="B919" s="39" t="s">
        <v>8099</v>
      </c>
      <c r="C919" s="39" t="s">
        <v>372</v>
      </c>
      <c r="D919" s="39" t="s">
        <v>1659</v>
      </c>
      <c r="E919" s="40">
        <v>149</v>
      </c>
      <c r="F919" s="41">
        <f>$E919*3600/(Input!$H$4*1000)</f>
        <v>17.88</v>
      </c>
      <c r="G919" s="42" t="str">
        <f t="shared" si="14"/>
        <v>918</v>
      </c>
    </row>
    <row r="920" spans="2:7" s="38" customFormat="1" x14ac:dyDescent="0.2">
      <c r="B920" s="39" t="s">
        <v>8100</v>
      </c>
      <c r="C920" s="39" t="s">
        <v>268</v>
      </c>
      <c r="D920" s="39" t="s">
        <v>122</v>
      </c>
      <c r="E920" s="40">
        <v>61</v>
      </c>
      <c r="F920" s="41">
        <f>$E920*3600/(Input!$H$4*1000)</f>
        <v>7.32</v>
      </c>
      <c r="G920" s="42" t="str">
        <f t="shared" si="14"/>
        <v>919</v>
      </c>
    </row>
    <row r="921" spans="2:7" s="38" customFormat="1" x14ac:dyDescent="0.2">
      <c r="B921" s="39" t="s">
        <v>8101</v>
      </c>
      <c r="C921" s="39" t="s">
        <v>849</v>
      </c>
      <c r="D921" s="39" t="s">
        <v>1008</v>
      </c>
      <c r="E921" s="40">
        <v>119</v>
      </c>
      <c r="F921" s="41">
        <f>$E921*3600/(Input!$H$4*1000)</f>
        <v>14.28</v>
      </c>
      <c r="G921" s="42" t="str">
        <f t="shared" si="14"/>
        <v>920</v>
      </c>
    </row>
    <row r="922" spans="2:7" s="38" customFormat="1" x14ac:dyDescent="0.2">
      <c r="B922" s="39" t="s">
        <v>8102</v>
      </c>
      <c r="C922" s="39" t="s">
        <v>1008</v>
      </c>
      <c r="D922" s="39" t="s">
        <v>934</v>
      </c>
      <c r="E922" s="40">
        <v>271</v>
      </c>
      <c r="F922" s="41">
        <f>$E922*3600/(Input!$H$4*1000)</f>
        <v>32.520000000000003</v>
      </c>
      <c r="G922" s="42" t="str">
        <f t="shared" si="14"/>
        <v>921</v>
      </c>
    </row>
    <row r="923" spans="2:7" s="38" customFormat="1" x14ac:dyDescent="0.2">
      <c r="B923" s="39" t="s">
        <v>8103</v>
      </c>
      <c r="C923" s="39" t="s">
        <v>934</v>
      </c>
      <c r="D923" s="39" t="s">
        <v>1668</v>
      </c>
      <c r="E923" s="40">
        <v>637</v>
      </c>
      <c r="F923" s="41">
        <f>$E923*3600/(Input!$H$4*1000)</f>
        <v>76.44</v>
      </c>
      <c r="G923" s="42" t="str">
        <f t="shared" si="14"/>
        <v>922</v>
      </c>
    </row>
    <row r="924" spans="2:7" s="38" customFormat="1" x14ac:dyDescent="0.2">
      <c r="B924" s="39" t="s">
        <v>8104</v>
      </c>
      <c r="C924" s="39" t="s">
        <v>1668</v>
      </c>
      <c r="D924" s="39" t="s">
        <v>1809</v>
      </c>
      <c r="E924" s="40">
        <v>41</v>
      </c>
      <c r="F924" s="41">
        <f>$E924*3600/(Input!$H$4*1000)</f>
        <v>4.92</v>
      </c>
      <c r="G924" s="42" t="str">
        <f t="shared" si="14"/>
        <v>923</v>
      </c>
    </row>
    <row r="925" spans="2:7" s="38" customFormat="1" x14ac:dyDescent="0.2">
      <c r="B925" s="39" t="s">
        <v>8105</v>
      </c>
      <c r="C925" s="39" t="s">
        <v>1545</v>
      </c>
      <c r="D925" s="39" t="s">
        <v>1809</v>
      </c>
      <c r="E925" s="40">
        <v>177</v>
      </c>
      <c r="F925" s="41">
        <f>$E925*3600/(Input!$H$4*1000)</f>
        <v>21.24</v>
      </c>
      <c r="G925" s="42" t="str">
        <f t="shared" si="14"/>
        <v>924</v>
      </c>
    </row>
    <row r="926" spans="2:7" s="38" customFormat="1" x14ac:dyDescent="0.2">
      <c r="B926" s="39" t="s">
        <v>8106</v>
      </c>
      <c r="C926" s="39" t="s">
        <v>1668</v>
      </c>
      <c r="D926" s="39" t="s">
        <v>1543</v>
      </c>
      <c r="E926" s="40">
        <v>743</v>
      </c>
      <c r="F926" s="41">
        <f>$E926*3600/(Input!$H$4*1000)</f>
        <v>89.16</v>
      </c>
      <c r="G926" s="42" t="str">
        <f t="shared" si="14"/>
        <v>925</v>
      </c>
    </row>
    <row r="927" spans="2:7" s="38" customFormat="1" x14ac:dyDescent="0.2">
      <c r="B927" s="39" t="s">
        <v>8107</v>
      </c>
      <c r="C927" s="39" t="s">
        <v>824</v>
      </c>
      <c r="D927" s="39" t="s">
        <v>984</v>
      </c>
      <c r="E927" s="40">
        <v>108</v>
      </c>
      <c r="F927" s="41">
        <f>$E927*3600/(Input!$H$4*1000)</f>
        <v>12.96</v>
      </c>
      <c r="G927" s="42" t="str">
        <f t="shared" si="14"/>
        <v>926</v>
      </c>
    </row>
    <row r="928" spans="2:7" s="38" customFormat="1" x14ac:dyDescent="0.2">
      <c r="B928" s="39" t="s">
        <v>8108</v>
      </c>
      <c r="C928" s="39" t="s">
        <v>133</v>
      </c>
      <c r="D928" s="39" t="s">
        <v>118</v>
      </c>
      <c r="E928" s="40">
        <v>980</v>
      </c>
      <c r="F928" s="41">
        <f>$E928*3600/(Input!$H$4*1000)</f>
        <v>117.6</v>
      </c>
      <c r="G928" s="42" t="str">
        <f t="shared" si="14"/>
        <v>927</v>
      </c>
    </row>
    <row r="929" spans="2:7" s="38" customFormat="1" x14ac:dyDescent="0.2">
      <c r="B929" s="39" t="s">
        <v>8109</v>
      </c>
      <c r="C929" s="39" t="s">
        <v>1358</v>
      </c>
      <c r="D929" s="39" t="s">
        <v>118</v>
      </c>
      <c r="E929" s="40">
        <v>409</v>
      </c>
      <c r="F929" s="41">
        <f>$E929*3600/(Input!$H$4*1000)</f>
        <v>49.08</v>
      </c>
      <c r="G929" s="42" t="str">
        <f t="shared" si="14"/>
        <v>928</v>
      </c>
    </row>
    <row r="930" spans="2:7" s="38" customFormat="1" x14ac:dyDescent="0.2">
      <c r="B930" s="39" t="s">
        <v>8110</v>
      </c>
      <c r="C930" s="39" t="s">
        <v>1358</v>
      </c>
      <c r="D930" s="39" t="s">
        <v>1397</v>
      </c>
      <c r="E930" s="40">
        <v>344</v>
      </c>
      <c r="F930" s="41">
        <f>$E930*3600/(Input!$H$4*1000)</f>
        <v>41.28</v>
      </c>
      <c r="G930" s="42" t="str">
        <f t="shared" si="14"/>
        <v>929</v>
      </c>
    </row>
    <row r="931" spans="2:7" s="38" customFormat="1" x14ac:dyDescent="0.2">
      <c r="B931" s="39" t="s">
        <v>8111</v>
      </c>
      <c r="C931" s="39" t="s">
        <v>624</v>
      </c>
      <c r="D931" s="39" t="s">
        <v>1258</v>
      </c>
      <c r="E931" s="40">
        <v>365</v>
      </c>
      <c r="F931" s="41">
        <f>$E931*3600/(Input!$H$4*1000)</f>
        <v>43.8</v>
      </c>
      <c r="G931" s="42" t="str">
        <f t="shared" si="14"/>
        <v>930</v>
      </c>
    </row>
    <row r="932" spans="2:7" s="38" customFormat="1" x14ac:dyDescent="0.2">
      <c r="B932" s="39" t="s">
        <v>8112</v>
      </c>
      <c r="C932" s="39" t="s">
        <v>972</v>
      </c>
      <c r="D932" s="39" t="s">
        <v>624</v>
      </c>
      <c r="E932" s="40">
        <v>222</v>
      </c>
      <c r="F932" s="41">
        <f>$E932*3600/(Input!$H$4*1000)</f>
        <v>26.64</v>
      </c>
      <c r="G932" s="42" t="str">
        <f t="shared" si="14"/>
        <v>931</v>
      </c>
    </row>
    <row r="933" spans="2:7" s="38" customFormat="1" x14ac:dyDescent="0.2">
      <c r="B933" s="39" t="s">
        <v>8113</v>
      </c>
      <c r="C933" s="39" t="s">
        <v>972</v>
      </c>
      <c r="D933" s="39" t="s">
        <v>1664</v>
      </c>
      <c r="E933" s="40">
        <v>308</v>
      </c>
      <c r="F933" s="41">
        <f>$E933*3600/(Input!$H$4*1000)</f>
        <v>36.96</v>
      </c>
      <c r="G933" s="42" t="str">
        <f t="shared" si="14"/>
        <v>932</v>
      </c>
    </row>
    <row r="934" spans="2:7" s="38" customFormat="1" x14ac:dyDescent="0.2">
      <c r="B934" s="39" t="s">
        <v>8114</v>
      </c>
      <c r="C934" s="39" t="s">
        <v>624</v>
      </c>
      <c r="D934" s="39" t="s">
        <v>615</v>
      </c>
      <c r="E934" s="40">
        <v>210</v>
      </c>
      <c r="F934" s="41">
        <f>$E934*3600/(Input!$H$4*1000)</f>
        <v>25.2</v>
      </c>
      <c r="G934" s="42" t="str">
        <f t="shared" si="14"/>
        <v>933</v>
      </c>
    </row>
    <row r="935" spans="2:7" s="38" customFormat="1" x14ac:dyDescent="0.2">
      <c r="B935" s="39" t="s">
        <v>8115</v>
      </c>
      <c r="C935" s="39" t="s">
        <v>624</v>
      </c>
      <c r="D935" s="39" t="s">
        <v>1317</v>
      </c>
      <c r="E935" s="40">
        <v>500</v>
      </c>
      <c r="F935" s="41">
        <f>$E935*3600/(Input!$H$4*1000)</f>
        <v>60</v>
      </c>
      <c r="G935" s="42" t="str">
        <f t="shared" si="14"/>
        <v>934</v>
      </c>
    </row>
    <row r="936" spans="2:7" s="38" customFormat="1" x14ac:dyDescent="0.2">
      <c r="B936" s="39" t="s">
        <v>8116</v>
      </c>
      <c r="C936" s="39" t="s">
        <v>361</v>
      </c>
      <c r="D936" s="39" t="s">
        <v>253</v>
      </c>
      <c r="E936" s="40">
        <v>604</v>
      </c>
      <c r="F936" s="41">
        <f>$E936*3600/(Input!$H$4*1000)</f>
        <v>72.48</v>
      </c>
      <c r="G936" s="42" t="str">
        <f t="shared" si="14"/>
        <v>935</v>
      </c>
    </row>
    <row r="937" spans="2:7" s="38" customFormat="1" x14ac:dyDescent="0.2">
      <c r="B937" s="39" t="s">
        <v>8117</v>
      </c>
      <c r="C937" s="39" t="s">
        <v>1324</v>
      </c>
      <c r="D937" s="39" t="s">
        <v>118</v>
      </c>
      <c r="E937" s="40">
        <v>712</v>
      </c>
      <c r="F937" s="41">
        <f>$E937*3600/(Input!$H$4*1000)</f>
        <v>85.44</v>
      </c>
      <c r="G937" s="42" t="str">
        <f t="shared" si="14"/>
        <v>936</v>
      </c>
    </row>
    <row r="938" spans="2:7" s="38" customFormat="1" x14ac:dyDescent="0.2">
      <c r="B938" s="39" t="s">
        <v>8118</v>
      </c>
      <c r="C938" s="39" t="s">
        <v>745</v>
      </c>
      <c r="D938" s="39" t="s">
        <v>1406</v>
      </c>
      <c r="E938" s="40">
        <v>328</v>
      </c>
      <c r="F938" s="41">
        <f>$E938*3600/(Input!$H$4*1000)</f>
        <v>39.36</v>
      </c>
      <c r="G938" s="42" t="str">
        <f t="shared" si="14"/>
        <v>937</v>
      </c>
    </row>
    <row r="939" spans="2:7" s="38" customFormat="1" x14ac:dyDescent="0.2">
      <c r="B939" s="39" t="s">
        <v>8119</v>
      </c>
      <c r="C939" s="39" t="s">
        <v>745</v>
      </c>
      <c r="D939" s="39" t="s">
        <v>181</v>
      </c>
      <c r="E939" s="40">
        <v>342</v>
      </c>
      <c r="F939" s="41">
        <f>$E939*3600/(Input!$H$4*1000)</f>
        <v>41.04</v>
      </c>
      <c r="G939" s="42" t="str">
        <f t="shared" si="14"/>
        <v>938</v>
      </c>
    </row>
    <row r="940" spans="2:7" s="38" customFormat="1" x14ac:dyDescent="0.2">
      <c r="B940" s="39" t="s">
        <v>8120</v>
      </c>
      <c r="C940" s="39" t="s">
        <v>499</v>
      </c>
      <c r="D940" s="39" t="s">
        <v>1577</v>
      </c>
      <c r="E940" s="40">
        <v>392</v>
      </c>
      <c r="F940" s="41">
        <f>$E940*3600/(Input!$H$4*1000)</f>
        <v>47.04</v>
      </c>
      <c r="G940" s="42" t="str">
        <f t="shared" si="14"/>
        <v>939</v>
      </c>
    </row>
    <row r="941" spans="2:7" s="38" customFormat="1" x14ac:dyDescent="0.2">
      <c r="B941" s="39" t="s">
        <v>8121</v>
      </c>
      <c r="C941" s="39" t="s">
        <v>1664</v>
      </c>
      <c r="D941" s="39" t="s">
        <v>1577</v>
      </c>
      <c r="E941" s="40">
        <v>446</v>
      </c>
      <c r="F941" s="41">
        <f>$E941*3600/(Input!$H$4*1000)</f>
        <v>53.52</v>
      </c>
      <c r="G941" s="42" t="str">
        <f t="shared" si="14"/>
        <v>940</v>
      </c>
    </row>
    <row r="942" spans="2:7" s="38" customFormat="1" x14ac:dyDescent="0.2">
      <c r="B942" s="39" t="s">
        <v>8122</v>
      </c>
      <c r="C942" s="39" t="s">
        <v>1521</v>
      </c>
      <c r="D942" s="39" t="s">
        <v>952</v>
      </c>
      <c r="E942" s="40">
        <v>412</v>
      </c>
      <c r="F942" s="41">
        <f>$E942*3600/(Input!$H$4*1000)</f>
        <v>49.44</v>
      </c>
      <c r="G942" s="42" t="str">
        <f t="shared" si="14"/>
        <v>941</v>
      </c>
    </row>
    <row r="943" spans="2:7" s="38" customFormat="1" x14ac:dyDescent="0.2">
      <c r="B943" s="39" t="s">
        <v>8123</v>
      </c>
      <c r="C943" s="39" t="s">
        <v>952</v>
      </c>
      <c r="D943" s="39" t="s">
        <v>1577</v>
      </c>
      <c r="E943" s="40">
        <v>398</v>
      </c>
      <c r="F943" s="41">
        <f>$E943*3600/(Input!$H$4*1000)</f>
        <v>47.76</v>
      </c>
      <c r="G943" s="42" t="str">
        <f t="shared" si="14"/>
        <v>942</v>
      </c>
    </row>
    <row r="944" spans="2:7" s="38" customFormat="1" x14ac:dyDescent="0.2">
      <c r="B944" s="39" t="s">
        <v>8124</v>
      </c>
      <c r="C944" s="39" t="s">
        <v>566</v>
      </c>
      <c r="D944" s="39" t="s">
        <v>712</v>
      </c>
      <c r="E944" s="40">
        <v>256</v>
      </c>
      <c r="F944" s="41">
        <f>$E944*3600/(Input!$H$4*1000)</f>
        <v>30.72</v>
      </c>
      <c r="G944" s="42" t="str">
        <f t="shared" si="14"/>
        <v>943</v>
      </c>
    </row>
    <row r="945" spans="2:7" s="38" customFormat="1" x14ac:dyDescent="0.2">
      <c r="B945" s="39" t="s">
        <v>8125</v>
      </c>
      <c r="C945" s="39" t="s">
        <v>712</v>
      </c>
      <c r="D945" s="39" t="s">
        <v>1577</v>
      </c>
      <c r="E945" s="40">
        <v>575</v>
      </c>
      <c r="F945" s="41">
        <f>$E945*3600/(Input!$H$4*1000)</f>
        <v>69</v>
      </c>
      <c r="G945" s="42" t="str">
        <f t="shared" si="14"/>
        <v>944</v>
      </c>
    </row>
    <row r="946" spans="2:7" s="38" customFormat="1" x14ac:dyDescent="0.2">
      <c r="B946" s="39" t="s">
        <v>8126</v>
      </c>
      <c r="C946" s="39" t="s">
        <v>712</v>
      </c>
      <c r="D946" s="39" t="s">
        <v>1408</v>
      </c>
      <c r="E946" s="40">
        <v>354</v>
      </c>
      <c r="F946" s="41">
        <f>$E946*3600/(Input!$H$4*1000)</f>
        <v>42.48</v>
      </c>
      <c r="G946" s="42" t="str">
        <f t="shared" si="14"/>
        <v>945</v>
      </c>
    </row>
    <row r="947" spans="2:7" s="38" customFormat="1" x14ac:dyDescent="0.2">
      <c r="B947" s="39" t="s">
        <v>8127</v>
      </c>
      <c r="C947" s="39" t="s">
        <v>566</v>
      </c>
      <c r="D947" s="39" t="s">
        <v>1272</v>
      </c>
      <c r="E947" s="40">
        <v>450</v>
      </c>
      <c r="F947" s="41">
        <f>$E947*3600/(Input!$H$4*1000)</f>
        <v>54</v>
      </c>
      <c r="G947" s="42" t="str">
        <f t="shared" si="14"/>
        <v>946</v>
      </c>
    </row>
    <row r="948" spans="2:7" s="38" customFormat="1" x14ac:dyDescent="0.2">
      <c r="B948" s="39" t="s">
        <v>8128</v>
      </c>
      <c r="C948" s="39" t="s">
        <v>1810</v>
      </c>
      <c r="D948" s="39" t="s">
        <v>88</v>
      </c>
      <c r="E948" s="40">
        <v>186</v>
      </c>
      <c r="F948" s="41">
        <f>$E948*3600/(Input!$H$4*1000)</f>
        <v>22.32</v>
      </c>
      <c r="G948" s="42" t="str">
        <f t="shared" si="14"/>
        <v>947</v>
      </c>
    </row>
    <row r="949" spans="2:7" s="38" customFormat="1" x14ac:dyDescent="0.2">
      <c r="B949" s="39" t="s">
        <v>8129</v>
      </c>
      <c r="C949" s="39" t="s">
        <v>1549</v>
      </c>
      <c r="D949" s="39" t="s">
        <v>88</v>
      </c>
      <c r="E949" s="40">
        <v>185</v>
      </c>
      <c r="F949" s="41">
        <f>$E949*3600/(Input!$H$4*1000)</f>
        <v>22.2</v>
      </c>
      <c r="G949" s="42" t="str">
        <f t="shared" si="14"/>
        <v>948</v>
      </c>
    </row>
    <row r="950" spans="2:7" s="38" customFormat="1" x14ac:dyDescent="0.2">
      <c r="B950" s="39" t="s">
        <v>8130</v>
      </c>
      <c r="C950" s="39" t="s">
        <v>1430</v>
      </c>
      <c r="D950" s="39" t="s">
        <v>88</v>
      </c>
      <c r="E950" s="40">
        <v>286</v>
      </c>
      <c r="F950" s="41">
        <f>$E950*3600/(Input!$H$4*1000)</f>
        <v>34.32</v>
      </c>
      <c r="G950" s="42" t="str">
        <f t="shared" si="14"/>
        <v>949</v>
      </c>
    </row>
    <row r="951" spans="2:7" s="38" customFormat="1" x14ac:dyDescent="0.2">
      <c r="B951" s="39" t="s">
        <v>8131</v>
      </c>
      <c r="C951" s="39" t="s">
        <v>1430</v>
      </c>
      <c r="D951" s="39" t="s">
        <v>613</v>
      </c>
      <c r="E951" s="40">
        <v>273</v>
      </c>
      <c r="F951" s="41">
        <f>$E951*3600/(Input!$H$4*1000)</f>
        <v>32.76</v>
      </c>
      <c r="G951" s="42" t="str">
        <f t="shared" si="14"/>
        <v>950</v>
      </c>
    </row>
    <row r="952" spans="2:7" s="38" customFormat="1" x14ac:dyDescent="0.2">
      <c r="B952" s="39" t="s">
        <v>8132</v>
      </c>
      <c r="C952" s="39" t="s">
        <v>88</v>
      </c>
      <c r="D952" s="39" t="s">
        <v>613</v>
      </c>
      <c r="E952" s="40">
        <v>704</v>
      </c>
      <c r="F952" s="41">
        <f>$E952*3600/(Input!$H$4*1000)</f>
        <v>84.48</v>
      </c>
      <c r="G952" s="42" t="str">
        <f t="shared" si="14"/>
        <v>951</v>
      </c>
    </row>
    <row r="953" spans="2:7" s="38" customFormat="1" x14ac:dyDescent="0.2">
      <c r="B953" s="39" t="s">
        <v>8133</v>
      </c>
      <c r="C953" s="39" t="s">
        <v>1167</v>
      </c>
      <c r="D953" s="39" t="s">
        <v>353</v>
      </c>
      <c r="E953" s="40">
        <v>136</v>
      </c>
      <c r="F953" s="41">
        <f>$E953*3600/(Input!$H$4*1000)</f>
        <v>16.32</v>
      </c>
      <c r="G953" s="42" t="str">
        <f t="shared" si="14"/>
        <v>952</v>
      </c>
    </row>
    <row r="954" spans="2:7" s="38" customFormat="1" x14ac:dyDescent="0.2">
      <c r="B954" s="39" t="s">
        <v>8134</v>
      </c>
      <c r="C954" s="39" t="s">
        <v>895</v>
      </c>
      <c r="D954" s="39" t="s">
        <v>1167</v>
      </c>
      <c r="E954" s="40">
        <v>356</v>
      </c>
      <c r="F954" s="41">
        <f>$E954*3600/(Input!$H$4*1000)</f>
        <v>42.72</v>
      </c>
      <c r="G954" s="42" t="str">
        <f t="shared" si="14"/>
        <v>953</v>
      </c>
    </row>
    <row r="955" spans="2:7" s="38" customFormat="1" x14ac:dyDescent="0.2">
      <c r="B955" s="39" t="s">
        <v>8135</v>
      </c>
      <c r="C955" s="39" t="s">
        <v>895</v>
      </c>
      <c r="D955" s="39" t="s">
        <v>333</v>
      </c>
      <c r="E955" s="40">
        <v>430</v>
      </c>
      <c r="F955" s="41">
        <f>$E955*3600/(Input!$H$4*1000)</f>
        <v>51.6</v>
      </c>
      <c r="G955" s="42" t="str">
        <f t="shared" si="14"/>
        <v>954</v>
      </c>
    </row>
    <row r="956" spans="2:7" s="38" customFormat="1" x14ac:dyDescent="0.2">
      <c r="B956" s="39" t="s">
        <v>8136</v>
      </c>
      <c r="C956" s="39" t="s">
        <v>320</v>
      </c>
      <c r="D956" s="39" t="s">
        <v>313</v>
      </c>
      <c r="E956" s="40">
        <v>283</v>
      </c>
      <c r="F956" s="41">
        <f>$E956*3600/(Input!$H$4*1000)</f>
        <v>33.96</v>
      </c>
      <c r="G956" s="42" t="str">
        <f t="shared" si="14"/>
        <v>955</v>
      </c>
    </row>
    <row r="957" spans="2:7" s="38" customFormat="1" x14ac:dyDescent="0.2">
      <c r="B957" s="39" t="s">
        <v>8137</v>
      </c>
      <c r="C957" s="39" t="s">
        <v>320</v>
      </c>
      <c r="D957" s="39" t="s">
        <v>332</v>
      </c>
      <c r="E957" s="40">
        <v>187</v>
      </c>
      <c r="F957" s="41">
        <f>$E957*3600/(Input!$H$4*1000)</f>
        <v>22.44</v>
      </c>
      <c r="G957" s="42" t="str">
        <f t="shared" si="14"/>
        <v>956</v>
      </c>
    </row>
    <row r="958" spans="2:7" s="38" customFormat="1" x14ac:dyDescent="0.2">
      <c r="B958" s="39" t="s">
        <v>8138</v>
      </c>
      <c r="C958" s="39" t="s">
        <v>891</v>
      </c>
      <c r="D958" s="39" t="s">
        <v>901</v>
      </c>
      <c r="E958" s="40">
        <v>229</v>
      </c>
      <c r="F958" s="41">
        <f>$E958*3600/(Input!$H$4*1000)</f>
        <v>27.48</v>
      </c>
      <c r="G958" s="42" t="str">
        <f t="shared" si="14"/>
        <v>957</v>
      </c>
    </row>
    <row r="959" spans="2:7" s="38" customFormat="1" x14ac:dyDescent="0.2">
      <c r="B959" s="39" t="s">
        <v>8139</v>
      </c>
      <c r="C959" s="39" t="s">
        <v>1467</v>
      </c>
      <c r="D959" s="39" t="s">
        <v>1811</v>
      </c>
      <c r="E959" s="40">
        <v>188</v>
      </c>
      <c r="F959" s="41">
        <f>$E959*3600/(Input!$H$4*1000)</f>
        <v>22.56</v>
      </c>
      <c r="G959" s="42" t="str">
        <f t="shared" si="14"/>
        <v>958</v>
      </c>
    </row>
    <row r="960" spans="2:7" s="38" customFormat="1" x14ac:dyDescent="0.2">
      <c r="B960" s="39" t="s">
        <v>8140</v>
      </c>
      <c r="C960" s="39" t="s">
        <v>1467</v>
      </c>
      <c r="D960" s="39" t="s">
        <v>332</v>
      </c>
      <c r="E960" s="40">
        <v>222</v>
      </c>
      <c r="F960" s="41">
        <f>$E960*3600/(Input!$H$4*1000)</f>
        <v>26.64</v>
      </c>
      <c r="G960" s="42" t="str">
        <f t="shared" si="14"/>
        <v>959</v>
      </c>
    </row>
    <row r="961" spans="2:7" s="38" customFormat="1" x14ac:dyDescent="0.2">
      <c r="B961" s="39" t="s">
        <v>8141</v>
      </c>
      <c r="C961" s="39" t="s">
        <v>1812</v>
      </c>
      <c r="D961" s="39" t="s">
        <v>367</v>
      </c>
      <c r="E961" s="40">
        <v>368</v>
      </c>
      <c r="F961" s="41">
        <f>$E961*3600/(Input!$H$4*1000)</f>
        <v>44.16</v>
      </c>
      <c r="G961" s="42" t="str">
        <f t="shared" si="14"/>
        <v>960</v>
      </c>
    </row>
    <row r="962" spans="2:7" s="38" customFormat="1" x14ac:dyDescent="0.2">
      <c r="B962" s="39" t="s">
        <v>8142</v>
      </c>
      <c r="C962" s="39" t="s">
        <v>333</v>
      </c>
      <c r="D962" s="39" t="s">
        <v>1812</v>
      </c>
      <c r="E962" s="40">
        <v>471</v>
      </c>
      <c r="F962" s="41">
        <f>$E962*3600/(Input!$H$4*1000)</f>
        <v>56.52</v>
      </c>
      <c r="G962" s="42" t="str">
        <f t="shared" ref="G962:G1025" si="15">MID(B962,7,LEN(B962)-6)</f>
        <v>961</v>
      </c>
    </row>
    <row r="963" spans="2:7" s="38" customFormat="1" x14ac:dyDescent="0.2">
      <c r="B963" s="39" t="s">
        <v>8143</v>
      </c>
      <c r="C963" s="39" t="s">
        <v>1467</v>
      </c>
      <c r="D963" s="39" t="s">
        <v>1423</v>
      </c>
      <c r="E963" s="40">
        <v>362</v>
      </c>
      <c r="F963" s="41">
        <f>$E963*3600/(Input!$H$4*1000)</f>
        <v>43.44</v>
      </c>
      <c r="G963" s="42" t="str">
        <f t="shared" si="15"/>
        <v>962</v>
      </c>
    </row>
    <row r="964" spans="2:7" s="38" customFormat="1" x14ac:dyDescent="0.2">
      <c r="B964" s="39" t="s">
        <v>8144</v>
      </c>
      <c r="C964" s="39" t="s">
        <v>895</v>
      </c>
      <c r="D964" s="39" t="s">
        <v>1810</v>
      </c>
      <c r="E964" s="40">
        <v>198</v>
      </c>
      <c r="F964" s="41">
        <f>$E964*3600/(Input!$H$4*1000)</f>
        <v>23.76</v>
      </c>
      <c r="G964" s="42" t="str">
        <f t="shared" si="15"/>
        <v>963</v>
      </c>
    </row>
    <row r="965" spans="2:7" s="38" customFormat="1" x14ac:dyDescent="0.2">
      <c r="B965" s="39" t="s">
        <v>8145</v>
      </c>
      <c r="C965" s="39" t="s">
        <v>88</v>
      </c>
      <c r="D965" s="39" t="s">
        <v>1272</v>
      </c>
      <c r="E965" s="40">
        <v>677</v>
      </c>
      <c r="F965" s="41">
        <f>$E965*3600/(Input!$H$4*1000)</f>
        <v>81.239999999999995</v>
      </c>
      <c r="G965" s="42" t="str">
        <f t="shared" si="15"/>
        <v>964</v>
      </c>
    </row>
    <row r="966" spans="2:7" s="38" customFormat="1" x14ac:dyDescent="0.2">
      <c r="B966" s="39" t="s">
        <v>8146</v>
      </c>
      <c r="C966" s="39" t="s">
        <v>1435</v>
      </c>
      <c r="D966" s="39" t="s">
        <v>1272</v>
      </c>
      <c r="E966" s="40">
        <v>328</v>
      </c>
      <c r="F966" s="41">
        <f>$E966*3600/(Input!$H$4*1000)</f>
        <v>39.36</v>
      </c>
      <c r="G966" s="42" t="str">
        <f t="shared" si="15"/>
        <v>965</v>
      </c>
    </row>
    <row r="967" spans="2:7" s="38" customFormat="1" x14ac:dyDescent="0.2">
      <c r="B967" s="39" t="s">
        <v>8147</v>
      </c>
      <c r="C967" s="39" t="s">
        <v>1272</v>
      </c>
      <c r="D967" s="39" t="s">
        <v>224</v>
      </c>
      <c r="E967" s="40">
        <v>310</v>
      </c>
      <c r="F967" s="41">
        <f>$E967*3600/(Input!$H$4*1000)</f>
        <v>37.200000000000003</v>
      </c>
      <c r="G967" s="42" t="str">
        <f t="shared" si="15"/>
        <v>966</v>
      </c>
    </row>
    <row r="968" spans="2:7" s="38" customFormat="1" x14ac:dyDescent="0.2">
      <c r="B968" s="39" t="s">
        <v>8148</v>
      </c>
      <c r="C968" s="39" t="s">
        <v>1813</v>
      </c>
      <c r="D968" s="39" t="s">
        <v>224</v>
      </c>
      <c r="E968" s="40">
        <v>635</v>
      </c>
      <c r="F968" s="41">
        <f>$E968*3600/(Input!$H$4*1000)</f>
        <v>76.2</v>
      </c>
      <c r="G968" s="42" t="str">
        <f t="shared" si="15"/>
        <v>967</v>
      </c>
    </row>
    <row r="969" spans="2:7" s="38" customFormat="1" x14ac:dyDescent="0.2">
      <c r="B969" s="39" t="s">
        <v>8149</v>
      </c>
      <c r="C969" s="39" t="s">
        <v>1479</v>
      </c>
      <c r="D969" s="39" t="s">
        <v>224</v>
      </c>
      <c r="E969" s="40">
        <v>344</v>
      </c>
      <c r="F969" s="41">
        <f>$E969*3600/(Input!$H$4*1000)</f>
        <v>41.28</v>
      </c>
      <c r="G969" s="42" t="str">
        <f t="shared" si="15"/>
        <v>968</v>
      </c>
    </row>
    <row r="970" spans="2:7" s="38" customFormat="1" x14ac:dyDescent="0.2">
      <c r="B970" s="39" t="s">
        <v>8150</v>
      </c>
      <c r="C970" s="39" t="s">
        <v>901</v>
      </c>
      <c r="D970" s="39" t="s">
        <v>1433</v>
      </c>
      <c r="E970" s="40">
        <v>264</v>
      </c>
      <c r="F970" s="41">
        <f>$E970*3600/(Input!$H$4*1000)</f>
        <v>31.68</v>
      </c>
      <c r="G970" s="42" t="str">
        <f t="shared" si="15"/>
        <v>969</v>
      </c>
    </row>
    <row r="971" spans="2:7" s="38" customFormat="1" x14ac:dyDescent="0.2">
      <c r="B971" s="39" t="s">
        <v>8151</v>
      </c>
      <c r="C971" s="39" t="s">
        <v>1433</v>
      </c>
      <c r="D971" s="39" t="s">
        <v>1479</v>
      </c>
      <c r="E971" s="40">
        <v>234</v>
      </c>
      <c r="F971" s="41">
        <f>$E971*3600/(Input!$H$4*1000)</f>
        <v>28.08</v>
      </c>
      <c r="G971" s="42" t="str">
        <f t="shared" si="15"/>
        <v>970</v>
      </c>
    </row>
    <row r="972" spans="2:7" s="38" customFormat="1" x14ac:dyDescent="0.2">
      <c r="B972" s="39" t="s">
        <v>8152</v>
      </c>
      <c r="C972" s="39" t="s">
        <v>591</v>
      </c>
      <c r="D972" s="39" t="s">
        <v>773</v>
      </c>
      <c r="E972" s="40">
        <v>233</v>
      </c>
      <c r="F972" s="41">
        <f>$E972*3600/(Input!$H$4*1000)</f>
        <v>27.96</v>
      </c>
      <c r="G972" s="42" t="str">
        <f t="shared" si="15"/>
        <v>971</v>
      </c>
    </row>
    <row r="973" spans="2:7" s="38" customFormat="1" x14ac:dyDescent="0.2">
      <c r="B973" s="39" t="s">
        <v>8153</v>
      </c>
      <c r="C973" s="39" t="s">
        <v>1213</v>
      </c>
      <c r="D973" s="39" t="s">
        <v>773</v>
      </c>
      <c r="E973" s="40">
        <v>223</v>
      </c>
      <c r="F973" s="41">
        <f>$E973*3600/(Input!$H$4*1000)</f>
        <v>26.76</v>
      </c>
      <c r="G973" s="42" t="str">
        <f t="shared" si="15"/>
        <v>972</v>
      </c>
    </row>
    <row r="974" spans="2:7" s="38" customFormat="1" x14ac:dyDescent="0.2">
      <c r="B974" s="39" t="s">
        <v>8154</v>
      </c>
      <c r="C974" s="39" t="s">
        <v>1213</v>
      </c>
      <c r="D974" s="39" t="s">
        <v>688</v>
      </c>
      <c r="E974" s="40">
        <v>330</v>
      </c>
      <c r="F974" s="41">
        <f>$E974*3600/(Input!$H$4*1000)</f>
        <v>39.6</v>
      </c>
      <c r="G974" s="42" t="str">
        <f t="shared" si="15"/>
        <v>973</v>
      </c>
    </row>
    <row r="975" spans="2:7" s="38" customFormat="1" x14ac:dyDescent="0.2">
      <c r="B975" s="39" t="s">
        <v>8155</v>
      </c>
      <c r="C975" s="39" t="s">
        <v>1772</v>
      </c>
      <c r="D975" s="39" t="s">
        <v>595</v>
      </c>
      <c r="E975" s="40">
        <v>140</v>
      </c>
      <c r="F975" s="41">
        <f>$E975*3600/(Input!$H$4*1000)</f>
        <v>16.8</v>
      </c>
      <c r="G975" s="42" t="str">
        <f t="shared" si="15"/>
        <v>974</v>
      </c>
    </row>
    <row r="976" spans="2:7" s="38" customFormat="1" x14ac:dyDescent="0.2">
      <c r="B976" s="39" t="s">
        <v>8156</v>
      </c>
      <c r="C976" s="39" t="s">
        <v>1200</v>
      </c>
      <c r="D976" s="39" t="s">
        <v>595</v>
      </c>
      <c r="E976" s="40">
        <v>184</v>
      </c>
      <c r="F976" s="41">
        <f>$E976*3600/(Input!$H$4*1000)</f>
        <v>22.08</v>
      </c>
      <c r="G976" s="42" t="str">
        <f t="shared" si="15"/>
        <v>975</v>
      </c>
    </row>
    <row r="977" spans="2:7" s="38" customFormat="1" x14ac:dyDescent="0.2">
      <c r="B977" s="39" t="s">
        <v>8157</v>
      </c>
      <c r="C977" s="39" t="s">
        <v>1772</v>
      </c>
      <c r="D977" s="39" t="s">
        <v>676</v>
      </c>
      <c r="E977" s="40">
        <v>332</v>
      </c>
      <c r="F977" s="41">
        <f>$E977*3600/(Input!$H$4*1000)</f>
        <v>39.840000000000003</v>
      </c>
      <c r="G977" s="42" t="str">
        <f t="shared" si="15"/>
        <v>976</v>
      </c>
    </row>
    <row r="978" spans="2:7" s="38" customFormat="1" x14ac:dyDescent="0.2">
      <c r="B978" s="39" t="s">
        <v>8158</v>
      </c>
      <c r="C978" s="39" t="s">
        <v>676</v>
      </c>
      <c r="D978" s="39" t="s">
        <v>1460</v>
      </c>
      <c r="E978" s="40">
        <v>308</v>
      </c>
      <c r="F978" s="41">
        <f>$E978*3600/(Input!$H$4*1000)</f>
        <v>36.96</v>
      </c>
      <c r="G978" s="42" t="str">
        <f t="shared" si="15"/>
        <v>977</v>
      </c>
    </row>
    <row r="979" spans="2:7" s="38" customFormat="1" x14ac:dyDescent="0.2">
      <c r="B979" s="39" t="s">
        <v>8159</v>
      </c>
      <c r="C979" s="39" t="s">
        <v>1460</v>
      </c>
      <c r="D979" s="39" t="s">
        <v>687</v>
      </c>
      <c r="E979" s="40">
        <v>87</v>
      </c>
      <c r="F979" s="41">
        <f>$E979*3600/(Input!$H$4*1000)</f>
        <v>10.44</v>
      </c>
      <c r="G979" s="42" t="str">
        <f t="shared" si="15"/>
        <v>978</v>
      </c>
    </row>
    <row r="980" spans="2:7" s="38" customFormat="1" x14ac:dyDescent="0.2">
      <c r="B980" s="39" t="s">
        <v>8160</v>
      </c>
      <c r="C980" s="39" t="s">
        <v>687</v>
      </c>
      <c r="D980" s="39" t="s">
        <v>1339</v>
      </c>
      <c r="E980" s="40">
        <v>92</v>
      </c>
      <c r="F980" s="41">
        <f>$E980*3600/(Input!$H$4*1000)</f>
        <v>11.04</v>
      </c>
      <c r="G980" s="42" t="str">
        <f t="shared" si="15"/>
        <v>979</v>
      </c>
    </row>
    <row r="981" spans="2:7" s="38" customFormat="1" x14ac:dyDescent="0.2">
      <c r="B981" s="39" t="s">
        <v>8161</v>
      </c>
      <c r="C981" s="39" t="s">
        <v>1465</v>
      </c>
      <c r="D981" s="39" t="s">
        <v>558</v>
      </c>
      <c r="E981" s="40">
        <v>126</v>
      </c>
      <c r="F981" s="41">
        <f>$E981*3600/(Input!$H$4*1000)</f>
        <v>15.12</v>
      </c>
      <c r="G981" s="42" t="str">
        <f t="shared" si="15"/>
        <v>980</v>
      </c>
    </row>
    <row r="982" spans="2:7" s="38" customFormat="1" x14ac:dyDescent="0.2">
      <c r="B982" s="39" t="s">
        <v>8162</v>
      </c>
      <c r="C982" s="39" t="s">
        <v>1349</v>
      </c>
      <c r="D982" s="39" t="s">
        <v>558</v>
      </c>
      <c r="E982" s="40">
        <v>266</v>
      </c>
      <c r="F982" s="41">
        <f>$E982*3600/(Input!$H$4*1000)</f>
        <v>31.92</v>
      </c>
      <c r="G982" s="42" t="str">
        <f t="shared" si="15"/>
        <v>981</v>
      </c>
    </row>
    <row r="983" spans="2:7" s="38" customFormat="1" x14ac:dyDescent="0.2">
      <c r="B983" s="39" t="s">
        <v>8163</v>
      </c>
      <c r="C983" s="39" t="s">
        <v>558</v>
      </c>
      <c r="D983" s="39" t="s">
        <v>1460</v>
      </c>
      <c r="E983" s="40">
        <v>258</v>
      </c>
      <c r="F983" s="41">
        <f>$E983*3600/(Input!$H$4*1000)</f>
        <v>30.96</v>
      </c>
      <c r="G983" s="42" t="str">
        <f t="shared" si="15"/>
        <v>982</v>
      </c>
    </row>
    <row r="984" spans="2:7" s="38" customFormat="1" x14ac:dyDescent="0.2">
      <c r="B984" s="39" t="s">
        <v>8164</v>
      </c>
      <c r="C984" s="39" t="s">
        <v>677</v>
      </c>
      <c r="D984" s="39" t="s">
        <v>1460</v>
      </c>
      <c r="E984" s="40">
        <v>261</v>
      </c>
      <c r="F984" s="41">
        <f>$E984*3600/(Input!$H$4*1000)</f>
        <v>31.32</v>
      </c>
      <c r="G984" s="42" t="str">
        <f t="shared" si="15"/>
        <v>983</v>
      </c>
    </row>
    <row r="985" spans="2:7" s="38" customFormat="1" x14ac:dyDescent="0.2">
      <c r="B985" s="39" t="s">
        <v>8165</v>
      </c>
      <c r="C985" s="39" t="s">
        <v>1772</v>
      </c>
      <c r="D985" s="39" t="s">
        <v>101</v>
      </c>
      <c r="E985" s="40">
        <v>305</v>
      </c>
      <c r="F985" s="41">
        <f>$E985*3600/(Input!$H$4*1000)</f>
        <v>36.6</v>
      </c>
      <c r="G985" s="42" t="str">
        <f t="shared" si="15"/>
        <v>984</v>
      </c>
    </row>
    <row r="986" spans="2:7" s="38" customFormat="1" x14ac:dyDescent="0.2">
      <c r="B986" s="39" t="s">
        <v>8166</v>
      </c>
      <c r="C986" s="39" t="s">
        <v>1431</v>
      </c>
      <c r="D986" s="39" t="s">
        <v>101</v>
      </c>
      <c r="E986" s="40">
        <v>216</v>
      </c>
      <c r="F986" s="41">
        <f>$E986*3600/(Input!$H$4*1000)</f>
        <v>25.92</v>
      </c>
      <c r="G986" s="42" t="str">
        <f t="shared" si="15"/>
        <v>985</v>
      </c>
    </row>
    <row r="987" spans="2:7" s="38" customFormat="1" x14ac:dyDescent="0.2">
      <c r="B987" s="39" t="s">
        <v>8167</v>
      </c>
      <c r="C987" s="39" t="s">
        <v>1431</v>
      </c>
      <c r="D987" s="39" t="s">
        <v>1065</v>
      </c>
      <c r="E987" s="40">
        <v>546</v>
      </c>
      <c r="F987" s="41">
        <f>$E987*3600/(Input!$H$4*1000)</f>
        <v>65.52</v>
      </c>
      <c r="G987" s="42" t="str">
        <f t="shared" si="15"/>
        <v>986</v>
      </c>
    </row>
    <row r="988" spans="2:7" s="38" customFormat="1" x14ac:dyDescent="0.2">
      <c r="B988" s="39" t="s">
        <v>8168</v>
      </c>
      <c r="C988" s="39" t="s">
        <v>867</v>
      </c>
      <c r="D988" s="39" t="s">
        <v>731</v>
      </c>
      <c r="E988" s="40">
        <v>158</v>
      </c>
      <c r="F988" s="41">
        <f>$E988*3600/(Input!$H$4*1000)</f>
        <v>18.96</v>
      </c>
      <c r="G988" s="42" t="str">
        <f t="shared" si="15"/>
        <v>987</v>
      </c>
    </row>
    <row r="989" spans="2:7" s="38" customFormat="1" x14ac:dyDescent="0.2">
      <c r="B989" s="39" t="s">
        <v>8169</v>
      </c>
      <c r="C989" s="39" t="s">
        <v>950</v>
      </c>
      <c r="D989" s="39" t="s">
        <v>731</v>
      </c>
      <c r="E989" s="40">
        <v>90</v>
      </c>
      <c r="F989" s="41">
        <f>$E989*3600/(Input!$H$4*1000)</f>
        <v>10.8</v>
      </c>
      <c r="G989" s="42" t="str">
        <f t="shared" si="15"/>
        <v>988</v>
      </c>
    </row>
    <row r="990" spans="2:7" s="38" customFormat="1" x14ac:dyDescent="0.2">
      <c r="B990" s="39" t="s">
        <v>8170</v>
      </c>
      <c r="C990" s="39" t="s">
        <v>867</v>
      </c>
      <c r="D990" s="39" t="s">
        <v>485</v>
      </c>
      <c r="E990" s="40">
        <v>237</v>
      </c>
      <c r="F990" s="41">
        <f>$E990*3600/(Input!$H$4*1000)</f>
        <v>28.44</v>
      </c>
      <c r="G990" s="42" t="str">
        <f t="shared" si="15"/>
        <v>989</v>
      </c>
    </row>
    <row r="991" spans="2:7" s="38" customFormat="1" x14ac:dyDescent="0.2">
      <c r="B991" s="39" t="s">
        <v>8171</v>
      </c>
      <c r="C991" s="39" t="s">
        <v>778</v>
      </c>
      <c r="D991" s="39" t="s">
        <v>485</v>
      </c>
      <c r="E991" s="40">
        <v>109</v>
      </c>
      <c r="F991" s="41">
        <f>$E991*3600/(Input!$H$4*1000)</f>
        <v>13.08</v>
      </c>
      <c r="G991" s="42" t="str">
        <f t="shared" si="15"/>
        <v>990</v>
      </c>
    </row>
    <row r="992" spans="2:7" s="38" customFormat="1" x14ac:dyDescent="0.2">
      <c r="B992" s="39" t="s">
        <v>8172</v>
      </c>
      <c r="C992" s="39" t="s">
        <v>881</v>
      </c>
      <c r="D992" s="39" t="s">
        <v>485</v>
      </c>
      <c r="E992" s="40">
        <v>144</v>
      </c>
      <c r="F992" s="41">
        <f>$E992*3600/(Input!$H$4*1000)</f>
        <v>17.28</v>
      </c>
      <c r="G992" s="42" t="str">
        <f t="shared" si="15"/>
        <v>991</v>
      </c>
    </row>
    <row r="993" spans="2:7" s="38" customFormat="1" x14ac:dyDescent="0.2">
      <c r="B993" s="39" t="s">
        <v>8173</v>
      </c>
      <c r="C993" s="39" t="s">
        <v>768</v>
      </c>
      <c r="D993" s="39" t="s">
        <v>1405</v>
      </c>
      <c r="E993" s="40">
        <v>232</v>
      </c>
      <c r="F993" s="41">
        <f>$E993*3600/(Input!$H$4*1000)</f>
        <v>27.84</v>
      </c>
      <c r="G993" s="42" t="str">
        <f t="shared" si="15"/>
        <v>992</v>
      </c>
    </row>
    <row r="994" spans="2:7" s="38" customFormat="1" x14ac:dyDescent="0.2">
      <c r="B994" s="39" t="s">
        <v>8174</v>
      </c>
      <c r="C994" s="39" t="s">
        <v>837</v>
      </c>
      <c r="D994" s="39" t="s">
        <v>731</v>
      </c>
      <c r="E994" s="40">
        <v>383</v>
      </c>
      <c r="F994" s="41">
        <f>$E994*3600/(Input!$H$4*1000)</f>
        <v>45.96</v>
      </c>
      <c r="G994" s="42" t="str">
        <f t="shared" si="15"/>
        <v>993</v>
      </c>
    </row>
    <row r="995" spans="2:7" s="38" customFormat="1" x14ac:dyDescent="0.2">
      <c r="B995" s="39" t="s">
        <v>8175</v>
      </c>
      <c r="C995" s="39" t="s">
        <v>778</v>
      </c>
      <c r="D995" s="39" t="s">
        <v>950</v>
      </c>
      <c r="E995" s="40">
        <v>216</v>
      </c>
      <c r="F995" s="41">
        <f>$E995*3600/(Input!$H$4*1000)</f>
        <v>25.92</v>
      </c>
      <c r="G995" s="42" t="str">
        <f t="shared" si="15"/>
        <v>994</v>
      </c>
    </row>
    <row r="996" spans="2:7" s="38" customFormat="1" x14ac:dyDescent="0.2">
      <c r="B996" s="39" t="s">
        <v>8176</v>
      </c>
      <c r="C996" s="39" t="s">
        <v>768</v>
      </c>
      <c r="D996" s="39" t="s">
        <v>750</v>
      </c>
      <c r="E996" s="40">
        <v>416</v>
      </c>
      <c r="F996" s="41">
        <f>$E996*3600/(Input!$H$4*1000)</f>
        <v>49.92</v>
      </c>
      <c r="G996" s="42" t="str">
        <f t="shared" si="15"/>
        <v>995</v>
      </c>
    </row>
    <row r="997" spans="2:7" s="38" customFormat="1" x14ac:dyDescent="0.2">
      <c r="B997" s="39" t="s">
        <v>8177</v>
      </c>
      <c r="C997" s="39" t="s">
        <v>1065</v>
      </c>
      <c r="D997" s="39" t="s">
        <v>1371</v>
      </c>
      <c r="E997" s="40">
        <v>263</v>
      </c>
      <c r="F997" s="41">
        <f>$E997*3600/(Input!$H$4*1000)</f>
        <v>31.56</v>
      </c>
      <c r="G997" s="42" t="str">
        <f t="shared" si="15"/>
        <v>996</v>
      </c>
    </row>
    <row r="998" spans="2:7" s="38" customFormat="1" x14ac:dyDescent="0.2">
      <c r="B998" s="39" t="s">
        <v>8178</v>
      </c>
      <c r="C998" s="39" t="s">
        <v>1371</v>
      </c>
      <c r="D998" s="39" t="s">
        <v>486</v>
      </c>
      <c r="E998" s="40">
        <v>90</v>
      </c>
      <c r="F998" s="41">
        <f>$E998*3600/(Input!$H$4*1000)</f>
        <v>10.8</v>
      </c>
      <c r="G998" s="42" t="str">
        <f t="shared" si="15"/>
        <v>997</v>
      </c>
    </row>
    <row r="999" spans="2:7" s="38" customFormat="1" x14ac:dyDescent="0.2">
      <c r="B999" s="39" t="s">
        <v>8179</v>
      </c>
      <c r="C999" s="39" t="s">
        <v>1408</v>
      </c>
      <c r="D999" s="39" t="s">
        <v>1199</v>
      </c>
      <c r="E999" s="40">
        <v>520</v>
      </c>
      <c r="F999" s="41">
        <f>$E999*3600/(Input!$H$4*1000)</f>
        <v>62.4</v>
      </c>
      <c r="G999" s="42" t="str">
        <f t="shared" si="15"/>
        <v>998</v>
      </c>
    </row>
    <row r="1000" spans="2:7" s="38" customFormat="1" x14ac:dyDescent="0.2">
      <c r="B1000" s="39" t="s">
        <v>8180</v>
      </c>
      <c r="C1000" s="39" t="s">
        <v>1408</v>
      </c>
      <c r="D1000" s="39" t="s">
        <v>1813</v>
      </c>
      <c r="E1000" s="40">
        <v>760</v>
      </c>
      <c r="F1000" s="41">
        <f>$E1000*3600/(Input!$H$4*1000)</f>
        <v>91.2</v>
      </c>
      <c r="G1000" s="42" t="str">
        <f t="shared" si="15"/>
        <v>999</v>
      </c>
    </row>
    <row r="1001" spans="2:7" s="38" customFormat="1" x14ac:dyDescent="0.2">
      <c r="B1001" s="39" t="s">
        <v>8181</v>
      </c>
      <c r="C1001" s="39" t="s">
        <v>753</v>
      </c>
      <c r="D1001" s="39" t="s">
        <v>712</v>
      </c>
      <c r="E1001" s="40">
        <v>337</v>
      </c>
      <c r="F1001" s="41">
        <f>$E1001*3600/(Input!$H$4*1000)</f>
        <v>40.44</v>
      </c>
      <c r="G1001" s="42" t="str">
        <f t="shared" si="15"/>
        <v>1000</v>
      </c>
    </row>
    <row r="1002" spans="2:7" s="38" customFormat="1" x14ac:dyDescent="0.2">
      <c r="B1002" s="39" t="s">
        <v>8182</v>
      </c>
      <c r="C1002" s="39" t="s">
        <v>753</v>
      </c>
      <c r="D1002" s="39" t="s">
        <v>1272</v>
      </c>
      <c r="E1002" s="40">
        <v>480</v>
      </c>
      <c r="F1002" s="41">
        <f>$E1002*3600/(Input!$H$4*1000)</f>
        <v>57.6</v>
      </c>
      <c r="G1002" s="42" t="str">
        <f t="shared" si="15"/>
        <v>1001</v>
      </c>
    </row>
    <row r="1003" spans="2:7" s="38" customFormat="1" x14ac:dyDescent="0.2">
      <c r="B1003" s="39" t="s">
        <v>8183</v>
      </c>
      <c r="C1003" s="39" t="s">
        <v>1382</v>
      </c>
      <c r="D1003" s="39" t="s">
        <v>1408</v>
      </c>
      <c r="E1003" s="40">
        <v>328</v>
      </c>
      <c r="F1003" s="41">
        <f>$E1003*3600/(Input!$H$4*1000)</f>
        <v>39.36</v>
      </c>
      <c r="G1003" s="42" t="str">
        <f t="shared" si="15"/>
        <v>1002</v>
      </c>
    </row>
    <row r="1004" spans="2:7" s="38" customFormat="1" x14ac:dyDescent="0.2">
      <c r="B1004" s="39" t="s">
        <v>8184</v>
      </c>
      <c r="C1004" s="39" t="s">
        <v>1199</v>
      </c>
      <c r="D1004" s="39" t="s">
        <v>1326</v>
      </c>
      <c r="E1004" s="40">
        <v>324</v>
      </c>
      <c r="F1004" s="41">
        <f>$E1004*3600/(Input!$H$4*1000)</f>
        <v>38.880000000000003</v>
      </c>
      <c r="G1004" s="42" t="str">
        <f t="shared" si="15"/>
        <v>1003</v>
      </c>
    </row>
    <row r="1005" spans="2:7" s="38" customFormat="1" x14ac:dyDescent="0.2">
      <c r="B1005" s="39" t="s">
        <v>8185</v>
      </c>
      <c r="C1005" s="39" t="s">
        <v>1199</v>
      </c>
      <c r="D1005" s="39" t="s">
        <v>1431</v>
      </c>
      <c r="E1005" s="40">
        <v>297</v>
      </c>
      <c r="F1005" s="41">
        <f>$E1005*3600/(Input!$H$4*1000)</f>
        <v>35.64</v>
      </c>
      <c r="G1005" s="42" t="str">
        <f t="shared" si="15"/>
        <v>1004</v>
      </c>
    </row>
    <row r="1006" spans="2:7" s="38" customFormat="1" x14ac:dyDescent="0.2">
      <c r="B1006" s="39" t="s">
        <v>8186</v>
      </c>
      <c r="C1006" s="39" t="s">
        <v>1446</v>
      </c>
      <c r="D1006" s="39" t="s">
        <v>1326</v>
      </c>
      <c r="E1006" s="40">
        <v>145</v>
      </c>
      <c r="F1006" s="41">
        <f>$E1006*3600/(Input!$H$4*1000)</f>
        <v>17.399999999999999</v>
      </c>
      <c r="G1006" s="42" t="str">
        <f t="shared" si="15"/>
        <v>1005</v>
      </c>
    </row>
    <row r="1007" spans="2:7" s="38" customFormat="1" x14ac:dyDescent="0.2">
      <c r="B1007" s="39" t="s">
        <v>8187</v>
      </c>
      <c r="C1007" s="39" t="s">
        <v>577</v>
      </c>
      <c r="D1007" s="39" t="s">
        <v>1199</v>
      </c>
      <c r="E1007" s="40">
        <v>328</v>
      </c>
      <c r="F1007" s="41">
        <f>$E1007*3600/(Input!$H$4*1000)</f>
        <v>39.36</v>
      </c>
      <c r="G1007" s="42" t="str">
        <f t="shared" si="15"/>
        <v>1006</v>
      </c>
    </row>
    <row r="1008" spans="2:7" s="38" customFormat="1" x14ac:dyDescent="0.2">
      <c r="B1008" s="39" t="s">
        <v>8188</v>
      </c>
      <c r="C1008" s="39" t="s">
        <v>1460</v>
      </c>
      <c r="D1008" s="39" t="s">
        <v>1457</v>
      </c>
      <c r="E1008" s="40">
        <v>353</v>
      </c>
      <c r="F1008" s="41">
        <f>$E1008*3600/(Input!$H$4*1000)</f>
        <v>42.36</v>
      </c>
      <c r="G1008" s="42" t="str">
        <f t="shared" si="15"/>
        <v>1007</v>
      </c>
    </row>
    <row r="1009" spans="2:7" s="38" customFormat="1" x14ac:dyDescent="0.2">
      <c r="B1009" s="39" t="s">
        <v>8189</v>
      </c>
      <c r="C1009" s="39" t="s">
        <v>1069</v>
      </c>
      <c r="D1009" s="39" t="s">
        <v>361</v>
      </c>
      <c r="E1009" s="40">
        <v>364</v>
      </c>
      <c r="F1009" s="41">
        <f>$E1009*3600/(Input!$H$4*1000)</f>
        <v>43.68</v>
      </c>
      <c r="G1009" s="42" t="str">
        <f t="shared" si="15"/>
        <v>1008</v>
      </c>
    </row>
    <row r="1010" spans="2:7" s="38" customFormat="1" x14ac:dyDescent="0.2">
      <c r="B1010" s="39" t="s">
        <v>8190</v>
      </c>
      <c r="C1010" s="39" t="s">
        <v>1069</v>
      </c>
      <c r="D1010" s="39" t="s">
        <v>1453</v>
      </c>
      <c r="E1010" s="40">
        <v>412</v>
      </c>
      <c r="F1010" s="41">
        <f>$E1010*3600/(Input!$H$4*1000)</f>
        <v>49.44</v>
      </c>
      <c r="G1010" s="42" t="str">
        <f t="shared" si="15"/>
        <v>1009</v>
      </c>
    </row>
    <row r="1011" spans="2:7" s="38" customFormat="1" x14ac:dyDescent="0.2">
      <c r="B1011" s="39" t="s">
        <v>8191</v>
      </c>
      <c r="C1011" s="39" t="s">
        <v>1453</v>
      </c>
      <c r="D1011" s="39" t="s">
        <v>1814</v>
      </c>
      <c r="E1011" s="40">
        <v>216</v>
      </c>
      <c r="F1011" s="41">
        <f>$E1011*3600/(Input!$H$4*1000)</f>
        <v>25.92</v>
      </c>
      <c r="G1011" s="42" t="str">
        <f t="shared" si="15"/>
        <v>1010</v>
      </c>
    </row>
    <row r="1012" spans="2:7" s="38" customFormat="1" x14ac:dyDescent="0.2">
      <c r="B1012" s="39" t="s">
        <v>8192</v>
      </c>
      <c r="C1012" s="39" t="s">
        <v>79</v>
      </c>
      <c r="D1012" s="39" t="s">
        <v>1069</v>
      </c>
      <c r="E1012" s="40">
        <v>290</v>
      </c>
      <c r="F1012" s="41">
        <f>$E1012*3600/(Input!$H$4*1000)</f>
        <v>34.799999999999997</v>
      </c>
      <c r="G1012" s="42" t="str">
        <f t="shared" si="15"/>
        <v>1011</v>
      </c>
    </row>
    <row r="1013" spans="2:7" s="38" customFormat="1" x14ac:dyDescent="0.2">
      <c r="B1013" s="39" t="s">
        <v>8193</v>
      </c>
      <c r="C1013" s="39" t="s">
        <v>79</v>
      </c>
      <c r="D1013" s="39" t="s">
        <v>982</v>
      </c>
      <c r="E1013" s="40">
        <v>69</v>
      </c>
      <c r="F1013" s="41">
        <f>$E1013*3600/(Input!$H$4*1000)</f>
        <v>8.2799999999999994</v>
      </c>
      <c r="G1013" s="42" t="str">
        <f t="shared" si="15"/>
        <v>1012</v>
      </c>
    </row>
    <row r="1014" spans="2:7" s="38" customFormat="1" x14ac:dyDescent="0.2">
      <c r="B1014" s="39" t="s">
        <v>8194</v>
      </c>
      <c r="C1014" s="39" t="s">
        <v>1374</v>
      </c>
      <c r="D1014" s="39" t="s">
        <v>625</v>
      </c>
      <c r="E1014" s="40">
        <v>132</v>
      </c>
      <c r="F1014" s="41">
        <f>$E1014*3600/(Input!$H$4*1000)</f>
        <v>15.84</v>
      </c>
      <c r="G1014" s="42" t="str">
        <f t="shared" si="15"/>
        <v>1013</v>
      </c>
    </row>
    <row r="1015" spans="2:7" s="38" customFormat="1" x14ac:dyDescent="0.2">
      <c r="B1015" s="39" t="s">
        <v>8195</v>
      </c>
      <c r="C1015" s="39" t="s">
        <v>364</v>
      </c>
      <c r="D1015" s="39" t="s">
        <v>932</v>
      </c>
      <c r="E1015" s="40">
        <v>353</v>
      </c>
      <c r="F1015" s="41">
        <f>$E1015*3600/(Input!$H$4*1000)</f>
        <v>42.36</v>
      </c>
      <c r="G1015" s="42" t="str">
        <f t="shared" si="15"/>
        <v>1014</v>
      </c>
    </row>
    <row r="1016" spans="2:7" s="38" customFormat="1" x14ac:dyDescent="0.2">
      <c r="B1016" s="39" t="s">
        <v>8196</v>
      </c>
      <c r="C1016" s="39" t="s">
        <v>625</v>
      </c>
      <c r="D1016" s="39" t="s">
        <v>829</v>
      </c>
      <c r="E1016" s="40">
        <v>351</v>
      </c>
      <c r="F1016" s="41">
        <f>$E1016*3600/(Input!$H$4*1000)</f>
        <v>42.12</v>
      </c>
      <c r="G1016" s="42" t="str">
        <f t="shared" si="15"/>
        <v>1015</v>
      </c>
    </row>
    <row r="1017" spans="2:7" s="38" customFormat="1" x14ac:dyDescent="0.2">
      <c r="B1017" s="39" t="s">
        <v>8197</v>
      </c>
      <c r="C1017" s="39" t="s">
        <v>932</v>
      </c>
      <c r="D1017" s="39" t="s">
        <v>829</v>
      </c>
      <c r="E1017" s="40">
        <v>308</v>
      </c>
      <c r="F1017" s="41">
        <f>$E1017*3600/(Input!$H$4*1000)</f>
        <v>36.96</v>
      </c>
      <c r="G1017" s="42" t="str">
        <f t="shared" si="15"/>
        <v>1016</v>
      </c>
    </row>
    <row r="1018" spans="2:7" s="38" customFormat="1" x14ac:dyDescent="0.2">
      <c r="B1018" s="39" t="s">
        <v>8198</v>
      </c>
      <c r="C1018" s="39" t="s">
        <v>361</v>
      </c>
      <c r="D1018" s="39" t="s">
        <v>1588</v>
      </c>
      <c r="E1018" s="40">
        <v>555</v>
      </c>
      <c r="F1018" s="41">
        <f>$E1018*3600/(Input!$H$4*1000)</f>
        <v>66.599999999999994</v>
      </c>
      <c r="G1018" s="42" t="str">
        <f t="shared" si="15"/>
        <v>1017</v>
      </c>
    </row>
    <row r="1019" spans="2:7" s="38" customFormat="1" x14ac:dyDescent="0.2">
      <c r="B1019" s="39" t="s">
        <v>8199</v>
      </c>
      <c r="C1019" s="39" t="s">
        <v>1588</v>
      </c>
      <c r="D1019" s="39" t="s">
        <v>1259</v>
      </c>
      <c r="E1019" s="40">
        <v>93</v>
      </c>
      <c r="F1019" s="41">
        <f>$E1019*3600/(Input!$H$4*1000)</f>
        <v>11.16</v>
      </c>
      <c r="G1019" s="42" t="str">
        <f t="shared" si="15"/>
        <v>1018</v>
      </c>
    </row>
    <row r="1020" spans="2:7" s="38" customFormat="1" x14ac:dyDescent="0.2">
      <c r="B1020" s="39" t="s">
        <v>8200</v>
      </c>
      <c r="C1020" s="39" t="s">
        <v>1478</v>
      </c>
      <c r="D1020" s="39" t="s">
        <v>1814</v>
      </c>
      <c r="E1020" s="40">
        <v>268</v>
      </c>
      <c r="F1020" s="41">
        <f>$E1020*3600/(Input!$H$4*1000)</f>
        <v>32.159999999999997</v>
      </c>
      <c r="G1020" s="42" t="str">
        <f t="shared" si="15"/>
        <v>1019</v>
      </c>
    </row>
    <row r="1021" spans="2:7" s="38" customFormat="1" x14ac:dyDescent="0.2">
      <c r="B1021" s="39" t="s">
        <v>8201</v>
      </c>
      <c r="C1021" s="39" t="s">
        <v>1478</v>
      </c>
      <c r="D1021" s="39" t="s">
        <v>1466</v>
      </c>
      <c r="E1021" s="40">
        <v>495</v>
      </c>
      <c r="F1021" s="41">
        <f>$E1021*3600/(Input!$H$4*1000)</f>
        <v>59.4</v>
      </c>
      <c r="G1021" s="42" t="str">
        <f t="shared" si="15"/>
        <v>1020</v>
      </c>
    </row>
    <row r="1022" spans="2:7" s="38" customFormat="1" x14ac:dyDescent="0.2">
      <c r="B1022" s="39" t="s">
        <v>8202</v>
      </c>
      <c r="C1022" s="39" t="s">
        <v>45</v>
      </c>
      <c r="D1022" s="39" t="s">
        <v>677</v>
      </c>
      <c r="E1022" s="40">
        <v>197</v>
      </c>
      <c r="F1022" s="41">
        <f>$E1022*3600/(Input!$H$4*1000)</f>
        <v>23.64</v>
      </c>
      <c r="G1022" s="42" t="str">
        <f t="shared" si="15"/>
        <v>1021</v>
      </c>
    </row>
    <row r="1023" spans="2:7" s="38" customFormat="1" x14ac:dyDescent="0.2">
      <c r="B1023" s="39" t="s">
        <v>8203</v>
      </c>
      <c r="C1023" s="39" t="s">
        <v>1451</v>
      </c>
      <c r="D1023" s="39" t="s">
        <v>577</v>
      </c>
      <c r="E1023" s="40">
        <v>377</v>
      </c>
      <c r="F1023" s="41">
        <f>$E1023*3600/(Input!$H$4*1000)</f>
        <v>45.24</v>
      </c>
      <c r="G1023" s="42" t="str">
        <f t="shared" si="15"/>
        <v>1022</v>
      </c>
    </row>
    <row r="1024" spans="2:7" s="38" customFormat="1" x14ac:dyDescent="0.2">
      <c r="B1024" s="39" t="s">
        <v>8204</v>
      </c>
      <c r="C1024" s="39" t="s">
        <v>1459</v>
      </c>
      <c r="D1024" s="39" t="s">
        <v>45</v>
      </c>
      <c r="E1024" s="40">
        <v>122</v>
      </c>
      <c r="F1024" s="41">
        <f>$E1024*3600/(Input!$H$4*1000)</f>
        <v>14.64</v>
      </c>
      <c r="G1024" s="42" t="str">
        <f t="shared" si="15"/>
        <v>1023</v>
      </c>
    </row>
    <row r="1025" spans="2:7" s="38" customFormat="1" x14ac:dyDescent="0.2">
      <c r="B1025" s="39" t="s">
        <v>8205</v>
      </c>
      <c r="C1025" s="39" t="s">
        <v>1467</v>
      </c>
      <c r="D1025" s="39" t="s">
        <v>344</v>
      </c>
      <c r="E1025" s="40">
        <v>488</v>
      </c>
      <c r="F1025" s="41">
        <f>$E1025*3600/(Input!$H$4*1000)</f>
        <v>58.56</v>
      </c>
      <c r="G1025" s="42" t="str">
        <f t="shared" si="15"/>
        <v>1024</v>
      </c>
    </row>
    <row r="1026" spans="2:7" s="38" customFormat="1" x14ac:dyDescent="0.2">
      <c r="B1026" s="39" t="s">
        <v>8206</v>
      </c>
      <c r="C1026" s="39" t="s">
        <v>891</v>
      </c>
      <c r="D1026" s="39" t="s">
        <v>1811</v>
      </c>
      <c r="E1026" s="40">
        <v>130</v>
      </c>
      <c r="F1026" s="41">
        <f>$E1026*3600/(Input!$H$4*1000)</f>
        <v>15.6</v>
      </c>
      <c r="G1026" s="42" t="str">
        <f t="shared" ref="G1026:G1089" si="16">MID(B1026,7,LEN(B1026)-6)</f>
        <v>1025</v>
      </c>
    </row>
    <row r="1027" spans="2:7" s="38" customFormat="1" x14ac:dyDescent="0.2">
      <c r="B1027" s="39" t="s">
        <v>8207</v>
      </c>
      <c r="C1027" s="39" t="s">
        <v>914</v>
      </c>
      <c r="D1027" s="39" t="s">
        <v>344</v>
      </c>
      <c r="E1027" s="40">
        <v>259</v>
      </c>
      <c r="F1027" s="41">
        <f>$E1027*3600/(Input!$H$4*1000)</f>
        <v>31.08</v>
      </c>
      <c r="G1027" s="42" t="str">
        <f t="shared" si="16"/>
        <v>1026</v>
      </c>
    </row>
    <row r="1028" spans="2:7" s="38" customFormat="1" x14ac:dyDescent="0.2">
      <c r="B1028" s="39" t="s">
        <v>8208</v>
      </c>
      <c r="C1028" s="39" t="s">
        <v>344</v>
      </c>
      <c r="D1028" s="39" t="s">
        <v>891</v>
      </c>
      <c r="E1028" s="40">
        <v>364</v>
      </c>
      <c r="F1028" s="41">
        <f>$E1028*3600/(Input!$H$4*1000)</f>
        <v>43.68</v>
      </c>
      <c r="G1028" s="42" t="str">
        <f t="shared" si="16"/>
        <v>1027</v>
      </c>
    </row>
    <row r="1029" spans="2:7" s="38" customFormat="1" x14ac:dyDescent="0.2">
      <c r="B1029" s="39" t="s">
        <v>8209</v>
      </c>
      <c r="C1029" s="39" t="s">
        <v>479</v>
      </c>
      <c r="D1029" s="39" t="s">
        <v>344</v>
      </c>
      <c r="E1029" s="40">
        <v>259</v>
      </c>
      <c r="F1029" s="41">
        <f>$E1029*3600/(Input!$H$4*1000)</f>
        <v>31.08</v>
      </c>
      <c r="G1029" s="42" t="str">
        <f t="shared" si="16"/>
        <v>1028</v>
      </c>
    </row>
    <row r="1030" spans="2:7" s="38" customFormat="1" x14ac:dyDescent="0.2">
      <c r="B1030" s="39" t="s">
        <v>8210</v>
      </c>
      <c r="C1030" s="39" t="s">
        <v>324</v>
      </c>
      <c r="D1030" s="39" t="s">
        <v>1718</v>
      </c>
      <c r="E1030" s="40">
        <v>675</v>
      </c>
      <c r="F1030" s="41">
        <f>$E1030*3600/(Input!$H$4*1000)</f>
        <v>81</v>
      </c>
      <c r="G1030" s="42" t="str">
        <f t="shared" si="16"/>
        <v>1029</v>
      </c>
    </row>
    <row r="1031" spans="2:7" s="38" customFormat="1" x14ac:dyDescent="0.2">
      <c r="B1031" s="39" t="s">
        <v>8211</v>
      </c>
      <c r="C1031" s="39" t="s">
        <v>1718</v>
      </c>
      <c r="D1031" s="39" t="s">
        <v>860</v>
      </c>
      <c r="E1031" s="40">
        <v>864</v>
      </c>
      <c r="F1031" s="41">
        <f>$E1031*3600/(Input!$H$4*1000)</f>
        <v>103.68</v>
      </c>
      <c r="G1031" s="42" t="str">
        <f t="shared" si="16"/>
        <v>1030</v>
      </c>
    </row>
    <row r="1032" spans="2:7" s="38" customFormat="1" x14ac:dyDescent="0.2">
      <c r="B1032" s="39" t="s">
        <v>8212</v>
      </c>
      <c r="C1032" s="39" t="s">
        <v>1718</v>
      </c>
      <c r="D1032" s="39" t="s">
        <v>1710</v>
      </c>
      <c r="E1032" s="40">
        <v>638</v>
      </c>
      <c r="F1032" s="41">
        <f>$E1032*3600/(Input!$H$4*1000)</f>
        <v>76.56</v>
      </c>
      <c r="G1032" s="42" t="str">
        <f t="shared" si="16"/>
        <v>1031</v>
      </c>
    </row>
    <row r="1033" spans="2:7" s="38" customFormat="1" x14ac:dyDescent="0.2">
      <c r="B1033" s="39" t="s">
        <v>8213</v>
      </c>
      <c r="C1033" s="39" t="s">
        <v>395</v>
      </c>
      <c r="D1033" s="39" t="s">
        <v>1718</v>
      </c>
      <c r="E1033" s="40">
        <v>260</v>
      </c>
      <c r="F1033" s="41">
        <f>$E1033*3600/(Input!$H$4*1000)</f>
        <v>31.2</v>
      </c>
      <c r="G1033" s="42" t="str">
        <f t="shared" si="16"/>
        <v>1032</v>
      </c>
    </row>
    <row r="1034" spans="2:7" s="38" customFormat="1" x14ac:dyDescent="0.2">
      <c r="B1034" s="39" t="s">
        <v>8214</v>
      </c>
      <c r="C1034" s="39" t="s">
        <v>458</v>
      </c>
      <c r="D1034" s="39" t="s">
        <v>313</v>
      </c>
      <c r="E1034" s="40">
        <v>329</v>
      </c>
      <c r="F1034" s="41">
        <f>$E1034*3600/(Input!$H$4*1000)</f>
        <v>39.479999999999997</v>
      </c>
      <c r="G1034" s="42" t="str">
        <f t="shared" si="16"/>
        <v>1033</v>
      </c>
    </row>
    <row r="1035" spans="2:7" s="38" customFormat="1" x14ac:dyDescent="0.2">
      <c r="B1035" s="39" t="s">
        <v>8215</v>
      </c>
      <c r="C1035" s="39" t="s">
        <v>1444</v>
      </c>
      <c r="D1035" s="39" t="s">
        <v>1639</v>
      </c>
      <c r="E1035" s="40">
        <v>399</v>
      </c>
      <c r="F1035" s="41">
        <f>$E1035*3600/(Input!$H$4*1000)</f>
        <v>47.88</v>
      </c>
      <c r="G1035" s="42" t="str">
        <f t="shared" si="16"/>
        <v>1034</v>
      </c>
    </row>
    <row r="1036" spans="2:7" s="38" customFormat="1" x14ac:dyDescent="0.2">
      <c r="B1036" s="39" t="s">
        <v>8216</v>
      </c>
      <c r="C1036" s="39" t="s">
        <v>564</v>
      </c>
      <c r="D1036" s="39" t="s">
        <v>566</v>
      </c>
      <c r="E1036" s="40">
        <v>301</v>
      </c>
      <c r="F1036" s="41">
        <f>$E1036*3600/(Input!$H$4*1000)</f>
        <v>36.119999999999997</v>
      </c>
      <c r="G1036" s="42" t="str">
        <f t="shared" si="16"/>
        <v>1035</v>
      </c>
    </row>
    <row r="1037" spans="2:7" s="38" customFormat="1" x14ac:dyDescent="0.2">
      <c r="B1037" s="39" t="s">
        <v>8217</v>
      </c>
      <c r="C1037" s="39" t="s">
        <v>566</v>
      </c>
      <c r="D1037" s="39" t="s">
        <v>1815</v>
      </c>
      <c r="E1037" s="40">
        <v>389</v>
      </c>
      <c r="F1037" s="41">
        <f>$E1037*3600/(Input!$H$4*1000)</f>
        <v>46.68</v>
      </c>
      <c r="G1037" s="42" t="str">
        <f t="shared" si="16"/>
        <v>1036</v>
      </c>
    </row>
    <row r="1038" spans="2:7" s="38" customFormat="1" x14ac:dyDescent="0.2">
      <c r="B1038" s="39" t="s">
        <v>8218</v>
      </c>
      <c r="C1038" s="39" t="s">
        <v>1815</v>
      </c>
      <c r="D1038" s="39" t="s">
        <v>1513</v>
      </c>
      <c r="E1038" s="40">
        <v>284</v>
      </c>
      <c r="F1038" s="41">
        <f>$E1038*3600/(Input!$H$4*1000)</f>
        <v>34.08</v>
      </c>
      <c r="G1038" s="42" t="str">
        <f t="shared" si="16"/>
        <v>1037</v>
      </c>
    </row>
    <row r="1039" spans="2:7" s="38" customFormat="1" x14ac:dyDescent="0.2">
      <c r="B1039" s="39" t="s">
        <v>8219</v>
      </c>
      <c r="C1039" s="39" t="s">
        <v>1513</v>
      </c>
      <c r="D1039" s="39" t="s">
        <v>564</v>
      </c>
      <c r="E1039" s="40">
        <v>321</v>
      </c>
      <c r="F1039" s="41">
        <f>$E1039*3600/(Input!$H$4*1000)</f>
        <v>38.520000000000003</v>
      </c>
      <c r="G1039" s="42" t="str">
        <f t="shared" si="16"/>
        <v>1038</v>
      </c>
    </row>
    <row r="1040" spans="2:7" s="38" customFormat="1" x14ac:dyDescent="0.2">
      <c r="B1040" s="39" t="s">
        <v>8220</v>
      </c>
      <c r="C1040" s="39" t="s">
        <v>1513</v>
      </c>
      <c r="D1040" s="39" t="s">
        <v>30</v>
      </c>
      <c r="E1040" s="40">
        <v>597</v>
      </c>
      <c r="F1040" s="41">
        <f>$E1040*3600/(Input!$H$4*1000)</f>
        <v>71.64</v>
      </c>
      <c r="G1040" s="42" t="str">
        <f t="shared" si="16"/>
        <v>1039</v>
      </c>
    </row>
    <row r="1041" spans="2:7" s="38" customFormat="1" x14ac:dyDescent="0.2">
      <c r="B1041" s="39" t="s">
        <v>8221</v>
      </c>
      <c r="C1041" s="39" t="s">
        <v>30</v>
      </c>
      <c r="D1041" s="39" t="s">
        <v>937</v>
      </c>
      <c r="E1041" s="40">
        <v>307</v>
      </c>
      <c r="F1041" s="41">
        <f>$E1041*3600/(Input!$H$4*1000)</f>
        <v>36.840000000000003</v>
      </c>
      <c r="G1041" s="42" t="str">
        <f t="shared" si="16"/>
        <v>1040</v>
      </c>
    </row>
    <row r="1042" spans="2:7" s="38" customFormat="1" x14ac:dyDescent="0.2">
      <c r="B1042" s="39" t="s">
        <v>8222</v>
      </c>
      <c r="C1042" s="39" t="s">
        <v>1059</v>
      </c>
      <c r="D1042" s="39" t="s">
        <v>1584</v>
      </c>
      <c r="E1042" s="40">
        <v>291</v>
      </c>
      <c r="F1042" s="41">
        <f>$E1042*3600/(Input!$H$4*1000)</f>
        <v>34.92</v>
      </c>
      <c r="G1042" s="42" t="str">
        <f t="shared" si="16"/>
        <v>1041</v>
      </c>
    </row>
    <row r="1043" spans="2:7" s="38" customFormat="1" x14ac:dyDescent="0.2">
      <c r="B1043" s="39" t="s">
        <v>8223</v>
      </c>
      <c r="C1043" s="39" t="s">
        <v>952</v>
      </c>
      <c r="D1043" s="39" t="s">
        <v>1530</v>
      </c>
      <c r="E1043" s="40">
        <v>422</v>
      </c>
      <c r="F1043" s="41">
        <f>$E1043*3600/(Input!$H$4*1000)</f>
        <v>50.64</v>
      </c>
      <c r="G1043" s="42" t="str">
        <f t="shared" si="16"/>
        <v>1042</v>
      </c>
    </row>
    <row r="1044" spans="2:7" s="38" customFormat="1" x14ac:dyDescent="0.2">
      <c r="B1044" s="39" t="s">
        <v>8224</v>
      </c>
      <c r="C1044" s="39" t="s">
        <v>1530</v>
      </c>
      <c r="D1044" s="39" t="s">
        <v>1664</v>
      </c>
      <c r="E1044" s="40">
        <v>320</v>
      </c>
      <c r="F1044" s="41">
        <f>$E1044*3600/(Input!$H$4*1000)</f>
        <v>38.4</v>
      </c>
      <c r="G1044" s="42" t="str">
        <f t="shared" si="16"/>
        <v>1043</v>
      </c>
    </row>
    <row r="1045" spans="2:7" s="38" customFormat="1" x14ac:dyDescent="0.2">
      <c r="B1045" s="39" t="s">
        <v>8225</v>
      </c>
      <c r="C1045" s="39" t="s">
        <v>1568</v>
      </c>
      <c r="D1045" s="39" t="s">
        <v>1006</v>
      </c>
      <c r="E1045" s="40">
        <v>416</v>
      </c>
      <c r="F1045" s="41">
        <f>$E1045*3600/(Input!$H$4*1000)</f>
        <v>49.92</v>
      </c>
      <c r="G1045" s="42" t="str">
        <f t="shared" si="16"/>
        <v>1044</v>
      </c>
    </row>
    <row r="1046" spans="2:7" s="38" customFormat="1" x14ac:dyDescent="0.2">
      <c r="B1046" s="39" t="s">
        <v>8226</v>
      </c>
      <c r="C1046" s="39" t="s">
        <v>1006</v>
      </c>
      <c r="D1046" s="39" t="s">
        <v>1651</v>
      </c>
      <c r="E1046" s="40">
        <v>400</v>
      </c>
      <c r="F1046" s="41">
        <f>$E1046*3600/(Input!$H$4*1000)</f>
        <v>48</v>
      </c>
      <c r="G1046" s="42" t="str">
        <f t="shared" si="16"/>
        <v>1045</v>
      </c>
    </row>
    <row r="1047" spans="2:7" s="38" customFormat="1" x14ac:dyDescent="0.2">
      <c r="B1047" s="39" t="s">
        <v>8227</v>
      </c>
      <c r="C1047" s="39" t="s">
        <v>1059</v>
      </c>
      <c r="D1047" s="39" t="s">
        <v>972</v>
      </c>
      <c r="E1047" s="40">
        <v>606</v>
      </c>
      <c r="F1047" s="41">
        <f>$E1047*3600/(Input!$H$4*1000)</f>
        <v>72.72</v>
      </c>
      <c r="G1047" s="42" t="str">
        <f t="shared" si="16"/>
        <v>1046</v>
      </c>
    </row>
    <row r="1048" spans="2:7" s="38" customFormat="1" x14ac:dyDescent="0.2">
      <c r="B1048" s="39" t="s">
        <v>8228</v>
      </c>
      <c r="C1048" s="39" t="s">
        <v>1687</v>
      </c>
      <c r="D1048" s="39" t="s">
        <v>1038</v>
      </c>
      <c r="E1048" s="40">
        <v>210</v>
      </c>
      <c r="F1048" s="41">
        <f>$E1048*3600/(Input!$H$4*1000)</f>
        <v>25.2</v>
      </c>
      <c r="G1048" s="42" t="str">
        <f t="shared" si="16"/>
        <v>1047</v>
      </c>
    </row>
    <row r="1049" spans="2:7" s="38" customFormat="1" x14ac:dyDescent="0.2">
      <c r="B1049" s="39" t="s">
        <v>8229</v>
      </c>
      <c r="C1049" s="39" t="s">
        <v>1687</v>
      </c>
      <c r="D1049" s="39" t="s">
        <v>1059</v>
      </c>
      <c r="E1049" s="40">
        <v>655</v>
      </c>
      <c r="F1049" s="41">
        <f>$E1049*3600/(Input!$H$4*1000)</f>
        <v>78.599999999999994</v>
      </c>
      <c r="G1049" s="42" t="str">
        <f t="shared" si="16"/>
        <v>1048</v>
      </c>
    </row>
    <row r="1050" spans="2:7" s="38" customFormat="1" x14ac:dyDescent="0.2">
      <c r="B1050" s="39" t="s">
        <v>8230</v>
      </c>
      <c r="C1050" s="39" t="s">
        <v>464</v>
      </c>
      <c r="D1050" s="39" t="s">
        <v>1687</v>
      </c>
      <c r="E1050" s="40">
        <v>841</v>
      </c>
      <c r="F1050" s="41">
        <f>$E1050*3600/(Input!$H$4*1000)</f>
        <v>100.92</v>
      </c>
      <c r="G1050" s="42" t="str">
        <f t="shared" si="16"/>
        <v>1049</v>
      </c>
    </row>
    <row r="1051" spans="2:7" s="38" customFormat="1" x14ac:dyDescent="0.2">
      <c r="B1051" s="39" t="s">
        <v>8231</v>
      </c>
      <c r="C1051" s="39" t="s">
        <v>476</v>
      </c>
      <c r="D1051" s="39" t="s">
        <v>318</v>
      </c>
      <c r="E1051" s="40">
        <v>599</v>
      </c>
      <c r="F1051" s="41">
        <f>$E1051*3600/(Input!$H$4*1000)</f>
        <v>71.88</v>
      </c>
      <c r="G1051" s="42" t="str">
        <f t="shared" si="16"/>
        <v>1050</v>
      </c>
    </row>
    <row r="1052" spans="2:7" s="38" customFormat="1" x14ac:dyDescent="0.2">
      <c r="B1052" s="39" t="s">
        <v>8232</v>
      </c>
      <c r="C1052" s="39" t="s">
        <v>318</v>
      </c>
      <c r="D1052" s="39" t="s">
        <v>1054</v>
      </c>
      <c r="E1052" s="40">
        <v>659</v>
      </c>
      <c r="F1052" s="41">
        <f>$E1052*3600/(Input!$H$4*1000)</f>
        <v>79.08</v>
      </c>
      <c r="G1052" s="42" t="str">
        <f t="shared" si="16"/>
        <v>1051</v>
      </c>
    </row>
    <row r="1053" spans="2:7" s="38" customFormat="1" x14ac:dyDescent="0.2">
      <c r="B1053" s="39" t="s">
        <v>8233</v>
      </c>
      <c r="C1053" s="39" t="s">
        <v>1026</v>
      </c>
      <c r="D1053" s="39" t="s">
        <v>956</v>
      </c>
      <c r="E1053" s="40">
        <v>1250</v>
      </c>
      <c r="F1053" s="41">
        <f>$E1053*3600/(Input!$H$4*1000)</f>
        <v>150</v>
      </c>
      <c r="G1053" s="42" t="str">
        <f t="shared" si="16"/>
        <v>1052</v>
      </c>
    </row>
    <row r="1054" spans="2:7" s="38" customFormat="1" x14ac:dyDescent="0.2">
      <c r="B1054" s="39" t="s">
        <v>8234</v>
      </c>
      <c r="C1054" s="39" t="s">
        <v>1021</v>
      </c>
      <c r="D1054" s="39" t="s">
        <v>414</v>
      </c>
      <c r="E1054" s="40">
        <v>329</v>
      </c>
      <c r="F1054" s="41">
        <f>$E1054*3600/(Input!$H$4*1000)</f>
        <v>39.479999999999997</v>
      </c>
      <c r="G1054" s="42" t="str">
        <f t="shared" si="16"/>
        <v>1053</v>
      </c>
    </row>
    <row r="1055" spans="2:7" s="38" customFormat="1" x14ac:dyDescent="0.2">
      <c r="B1055" s="39" t="s">
        <v>8235</v>
      </c>
      <c r="C1055" s="39" t="s">
        <v>414</v>
      </c>
      <c r="D1055" s="39" t="s">
        <v>1656</v>
      </c>
      <c r="E1055" s="40">
        <v>507</v>
      </c>
      <c r="F1055" s="41">
        <f>$E1055*3600/(Input!$H$4*1000)</f>
        <v>60.84</v>
      </c>
      <c r="G1055" s="42" t="str">
        <f t="shared" si="16"/>
        <v>1054</v>
      </c>
    </row>
    <row r="1056" spans="2:7" s="38" customFormat="1" x14ac:dyDescent="0.2">
      <c r="B1056" s="39" t="s">
        <v>8236</v>
      </c>
      <c r="C1056" s="39" t="s">
        <v>1675</v>
      </c>
      <c r="D1056" s="39" t="s">
        <v>155</v>
      </c>
      <c r="E1056" s="40">
        <v>109</v>
      </c>
      <c r="F1056" s="41">
        <f>$E1056*3600/(Input!$H$4*1000)</f>
        <v>13.08</v>
      </c>
      <c r="G1056" s="42" t="str">
        <f t="shared" si="16"/>
        <v>1055</v>
      </c>
    </row>
    <row r="1057" spans="2:7" s="38" customFormat="1" x14ac:dyDescent="0.2">
      <c r="B1057" s="39" t="s">
        <v>8237</v>
      </c>
      <c r="C1057" s="39" t="s">
        <v>155</v>
      </c>
      <c r="D1057" s="39" t="s">
        <v>1036</v>
      </c>
      <c r="E1057" s="40">
        <v>141</v>
      </c>
      <c r="F1057" s="41">
        <f>$E1057*3600/(Input!$H$4*1000)</f>
        <v>16.920000000000002</v>
      </c>
      <c r="G1057" s="42" t="str">
        <f t="shared" si="16"/>
        <v>1056</v>
      </c>
    </row>
    <row r="1058" spans="2:7" s="38" customFormat="1" x14ac:dyDescent="0.2">
      <c r="B1058" s="39" t="s">
        <v>8238</v>
      </c>
      <c r="C1058" s="39" t="s">
        <v>1030</v>
      </c>
      <c r="D1058" s="39" t="s">
        <v>155</v>
      </c>
      <c r="E1058" s="40">
        <v>200</v>
      </c>
      <c r="F1058" s="41">
        <f>$E1058*3600/(Input!$H$4*1000)</f>
        <v>24</v>
      </c>
      <c r="G1058" s="42" t="str">
        <f t="shared" si="16"/>
        <v>1057</v>
      </c>
    </row>
    <row r="1059" spans="2:7" s="38" customFormat="1" x14ac:dyDescent="0.2">
      <c r="B1059" s="39" t="s">
        <v>8239</v>
      </c>
      <c r="C1059" s="39" t="s">
        <v>425</v>
      </c>
      <c r="D1059" s="39" t="s">
        <v>1687</v>
      </c>
      <c r="E1059" s="40">
        <v>378</v>
      </c>
      <c r="F1059" s="41">
        <f>$E1059*3600/(Input!$H$4*1000)</f>
        <v>45.36</v>
      </c>
      <c r="G1059" s="42" t="str">
        <f t="shared" si="16"/>
        <v>1058</v>
      </c>
    </row>
    <row r="1060" spans="2:7" s="38" customFormat="1" x14ac:dyDescent="0.2">
      <c r="B1060" s="39" t="s">
        <v>8240</v>
      </c>
      <c r="C1060" s="39" t="s">
        <v>1020</v>
      </c>
      <c r="D1060" s="39" t="s">
        <v>1675</v>
      </c>
      <c r="E1060" s="40">
        <v>473</v>
      </c>
      <c r="F1060" s="41">
        <f>$E1060*3600/(Input!$H$4*1000)</f>
        <v>56.76</v>
      </c>
      <c r="G1060" s="42" t="str">
        <f t="shared" si="16"/>
        <v>1059</v>
      </c>
    </row>
    <row r="1061" spans="2:7" s="38" customFormat="1" x14ac:dyDescent="0.2">
      <c r="B1061" s="39" t="s">
        <v>8241</v>
      </c>
      <c r="C1061" s="39" t="s">
        <v>1684</v>
      </c>
      <c r="D1061" s="39" t="s">
        <v>1031</v>
      </c>
      <c r="E1061" s="40">
        <v>980</v>
      </c>
      <c r="F1061" s="41">
        <f>$E1061*3600/(Input!$H$4*1000)</f>
        <v>117.6</v>
      </c>
      <c r="G1061" s="42" t="str">
        <f t="shared" si="16"/>
        <v>1060</v>
      </c>
    </row>
    <row r="1062" spans="2:7" s="38" customFormat="1" x14ac:dyDescent="0.2">
      <c r="B1062" s="39" t="s">
        <v>8242</v>
      </c>
      <c r="C1062" s="39" t="s">
        <v>414</v>
      </c>
      <c r="D1062" s="39" t="s">
        <v>1031</v>
      </c>
      <c r="E1062" s="40">
        <v>291</v>
      </c>
      <c r="F1062" s="41">
        <f>$E1062*3600/(Input!$H$4*1000)</f>
        <v>34.92</v>
      </c>
      <c r="G1062" s="42" t="str">
        <f t="shared" si="16"/>
        <v>1061</v>
      </c>
    </row>
    <row r="1063" spans="2:7" s="38" customFormat="1" x14ac:dyDescent="0.2">
      <c r="B1063" s="39" t="s">
        <v>8243</v>
      </c>
      <c r="C1063" s="39" t="s">
        <v>426</v>
      </c>
      <c r="D1063" s="39" t="s">
        <v>1656</v>
      </c>
      <c r="E1063" s="40">
        <v>471</v>
      </c>
      <c r="F1063" s="41">
        <f>$E1063*3600/(Input!$H$4*1000)</f>
        <v>56.52</v>
      </c>
      <c r="G1063" s="42" t="str">
        <f t="shared" si="16"/>
        <v>1062</v>
      </c>
    </row>
    <row r="1064" spans="2:7" s="38" customFormat="1" x14ac:dyDescent="0.2">
      <c r="B1064" s="39" t="s">
        <v>8244</v>
      </c>
      <c r="C1064" s="39" t="s">
        <v>246</v>
      </c>
      <c r="D1064" s="39" t="s">
        <v>1020</v>
      </c>
      <c r="E1064" s="40">
        <v>466</v>
      </c>
      <c r="F1064" s="41">
        <f>$E1064*3600/(Input!$H$4*1000)</f>
        <v>55.92</v>
      </c>
      <c r="G1064" s="42" t="str">
        <f t="shared" si="16"/>
        <v>1063</v>
      </c>
    </row>
    <row r="1065" spans="2:7" s="38" customFormat="1" x14ac:dyDescent="0.2">
      <c r="B1065" s="39" t="s">
        <v>8245</v>
      </c>
      <c r="C1065" s="39" t="s">
        <v>1015</v>
      </c>
      <c r="D1065" s="39" t="s">
        <v>246</v>
      </c>
      <c r="E1065" s="40">
        <v>409</v>
      </c>
      <c r="F1065" s="41">
        <f>$E1065*3600/(Input!$H$4*1000)</f>
        <v>49.08</v>
      </c>
      <c r="G1065" s="42" t="str">
        <f t="shared" si="16"/>
        <v>1064</v>
      </c>
    </row>
    <row r="1066" spans="2:7" s="38" customFormat="1" x14ac:dyDescent="0.2">
      <c r="B1066" s="39" t="s">
        <v>8246</v>
      </c>
      <c r="C1066" s="39" t="s">
        <v>417</v>
      </c>
      <c r="D1066" s="39" t="s">
        <v>1667</v>
      </c>
      <c r="E1066" s="40">
        <v>518</v>
      </c>
      <c r="F1066" s="41">
        <f>$E1066*3600/(Input!$H$4*1000)</f>
        <v>62.16</v>
      </c>
      <c r="G1066" s="42" t="str">
        <f t="shared" si="16"/>
        <v>1065</v>
      </c>
    </row>
    <row r="1067" spans="2:7" s="38" customFormat="1" x14ac:dyDescent="0.2">
      <c r="B1067" s="39" t="s">
        <v>8247</v>
      </c>
      <c r="C1067" s="39" t="s">
        <v>1667</v>
      </c>
      <c r="D1067" s="39" t="s">
        <v>473</v>
      </c>
      <c r="E1067" s="40">
        <v>2470</v>
      </c>
      <c r="F1067" s="41">
        <f>$E1067*3600/(Input!$H$4*1000)</f>
        <v>296.39999999999998</v>
      </c>
      <c r="G1067" s="42" t="str">
        <f t="shared" si="16"/>
        <v>1066</v>
      </c>
    </row>
    <row r="1068" spans="2:7" s="38" customFormat="1" x14ac:dyDescent="0.2">
      <c r="B1068" s="39" t="s">
        <v>8248</v>
      </c>
      <c r="C1068" s="39" t="s">
        <v>411</v>
      </c>
      <c r="D1068" s="39" t="s">
        <v>1026</v>
      </c>
      <c r="E1068" s="40">
        <v>880</v>
      </c>
      <c r="F1068" s="41">
        <f>$E1068*3600/(Input!$H$4*1000)</f>
        <v>105.6</v>
      </c>
      <c r="G1068" s="42" t="str">
        <f t="shared" si="16"/>
        <v>1067</v>
      </c>
    </row>
    <row r="1069" spans="2:7" s="38" customFormat="1" x14ac:dyDescent="0.2">
      <c r="B1069" s="39" t="s">
        <v>8249</v>
      </c>
      <c r="C1069" s="39" t="s">
        <v>411</v>
      </c>
      <c r="D1069" s="39" t="s">
        <v>405</v>
      </c>
      <c r="E1069" s="40">
        <v>820</v>
      </c>
      <c r="F1069" s="41">
        <f>$E1069*3600/(Input!$H$4*1000)</f>
        <v>98.4</v>
      </c>
      <c r="G1069" s="42" t="str">
        <f t="shared" si="16"/>
        <v>1068</v>
      </c>
    </row>
    <row r="1070" spans="2:7" s="38" customFormat="1" x14ac:dyDescent="0.2">
      <c r="B1070" s="39" t="s">
        <v>8250</v>
      </c>
      <c r="C1070" s="39" t="s">
        <v>1649</v>
      </c>
      <c r="D1070" s="39" t="s">
        <v>1056</v>
      </c>
      <c r="E1070" s="40">
        <v>705</v>
      </c>
      <c r="F1070" s="41">
        <f>$E1070*3600/(Input!$H$4*1000)</f>
        <v>84.6</v>
      </c>
      <c r="G1070" s="42" t="str">
        <f t="shared" si="16"/>
        <v>1069</v>
      </c>
    </row>
    <row r="1071" spans="2:7" s="38" customFormat="1" x14ac:dyDescent="0.2">
      <c r="B1071" s="39" t="s">
        <v>8251</v>
      </c>
      <c r="C1071" s="39" t="s">
        <v>411</v>
      </c>
      <c r="D1071" s="39" t="s">
        <v>997</v>
      </c>
      <c r="E1071" s="40">
        <v>1060</v>
      </c>
      <c r="F1071" s="41">
        <f>$E1071*3600/(Input!$H$4*1000)</f>
        <v>127.2</v>
      </c>
      <c r="G1071" s="42" t="str">
        <f t="shared" si="16"/>
        <v>1070</v>
      </c>
    </row>
    <row r="1072" spans="2:7" s="38" customFormat="1" x14ac:dyDescent="0.2">
      <c r="B1072" s="39" t="s">
        <v>8252</v>
      </c>
      <c r="C1072" s="39" t="s">
        <v>997</v>
      </c>
      <c r="D1072" s="39" t="s">
        <v>426</v>
      </c>
      <c r="E1072" s="40">
        <v>900</v>
      </c>
      <c r="F1072" s="41">
        <f>$E1072*3600/(Input!$H$4*1000)</f>
        <v>108</v>
      </c>
      <c r="G1072" s="42" t="str">
        <f t="shared" si="16"/>
        <v>1071</v>
      </c>
    </row>
    <row r="1073" spans="2:7" s="38" customFormat="1" x14ac:dyDescent="0.2">
      <c r="B1073" s="39" t="s">
        <v>8253</v>
      </c>
      <c r="C1073" s="39" t="s">
        <v>426</v>
      </c>
      <c r="D1073" s="39" t="s">
        <v>1663</v>
      </c>
      <c r="E1073" s="40">
        <v>213</v>
      </c>
      <c r="F1073" s="41">
        <f>$E1073*3600/(Input!$H$4*1000)</f>
        <v>25.56</v>
      </c>
      <c r="G1073" s="42" t="str">
        <f t="shared" si="16"/>
        <v>1072</v>
      </c>
    </row>
    <row r="1074" spans="2:7" s="38" customFormat="1" x14ac:dyDescent="0.2">
      <c r="B1074" s="39" t="s">
        <v>8254</v>
      </c>
      <c r="C1074" s="39" t="s">
        <v>1656</v>
      </c>
      <c r="D1074" s="39" t="s">
        <v>1022</v>
      </c>
      <c r="E1074" s="40">
        <v>848</v>
      </c>
      <c r="F1074" s="41">
        <f>$E1074*3600/(Input!$H$4*1000)</f>
        <v>101.76</v>
      </c>
      <c r="G1074" s="42" t="str">
        <f t="shared" si="16"/>
        <v>1073</v>
      </c>
    </row>
    <row r="1075" spans="2:7" s="38" customFormat="1" x14ac:dyDescent="0.2">
      <c r="B1075" s="39" t="s">
        <v>8255</v>
      </c>
      <c r="C1075" s="39" t="s">
        <v>1022</v>
      </c>
      <c r="D1075" s="39" t="s">
        <v>397</v>
      </c>
      <c r="E1075" s="40">
        <v>1060</v>
      </c>
      <c r="F1075" s="41">
        <f>$E1075*3600/(Input!$H$4*1000)</f>
        <v>127.2</v>
      </c>
      <c r="G1075" s="42" t="str">
        <f t="shared" si="16"/>
        <v>1074</v>
      </c>
    </row>
    <row r="1076" spans="2:7" s="38" customFormat="1" x14ac:dyDescent="0.2">
      <c r="B1076" s="39" t="s">
        <v>8256</v>
      </c>
      <c r="C1076" s="39" t="s">
        <v>961</v>
      </c>
      <c r="D1076" s="39" t="s">
        <v>1643</v>
      </c>
      <c r="E1076" s="40">
        <v>269</v>
      </c>
      <c r="F1076" s="41">
        <f>$E1076*3600/(Input!$H$4*1000)</f>
        <v>32.28</v>
      </c>
      <c r="G1076" s="42" t="str">
        <f t="shared" si="16"/>
        <v>1075</v>
      </c>
    </row>
    <row r="1077" spans="2:7" s="38" customFormat="1" x14ac:dyDescent="0.2">
      <c r="B1077" s="39" t="s">
        <v>8257</v>
      </c>
      <c r="C1077" s="39" t="s">
        <v>1670</v>
      </c>
      <c r="D1077" s="39" t="s">
        <v>1020</v>
      </c>
      <c r="E1077" s="40">
        <v>888</v>
      </c>
      <c r="F1077" s="41">
        <f>$E1077*3600/(Input!$H$4*1000)</f>
        <v>106.56</v>
      </c>
      <c r="G1077" s="42" t="str">
        <f t="shared" si="16"/>
        <v>1076</v>
      </c>
    </row>
    <row r="1078" spans="2:7" s="38" customFormat="1" x14ac:dyDescent="0.2">
      <c r="B1078" s="39" t="s">
        <v>8258</v>
      </c>
      <c r="C1078" s="39" t="s">
        <v>321</v>
      </c>
      <c r="D1078" s="39" t="s">
        <v>480</v>
      </c>
      <c r="E1078" s="40">
        <v>186</v>
      </c>
      <c r="F1078" s="41">
        <f>$E1078*3600/(Input!$H$4*1000)</f>
        <v>22.32</v>
      </c>
      <c r="G1078" s="42" t="str">
        <f t="shared" si="16"/>
        <v>1077</v>
      </c>
    </row>
    <row r="1079" spans="2:7" s="38" customFormat="1" x14ac:dyDescent="0.2">
      <c r="B1079" s="39" t="s">
        <v>8259</v>
      </c>
      <c r="C1079" s="39" t="s">
        <v>321</v>
      </c>
      <c r="D1079" s="39" t="s">
        <v>1670</v>
      </c>
      <c r="E1079" s="40">
        <v>312</v>
      </c>
      <c r="F1079" s="41">
        <f>$E1079*3600/(Input!$H$4*1000)</f>
        <v>37.44</v>
      </c>
      <c r="G1079" s="42" t="str">
        <f t="shared" si="16"/>
        <v>1078</v>
      </c>
    </row>
    <row r="1080" spans="2:7" s="38" customFormat="1" x14ac:dyDescent="0.2">
      <c r="B1080" s="39" t="s">
        <v>8260</v>
      </c>
      <c r="C1080" s="39" t="s">
        <v>1670</v>
      </c>
      <c r="D1080" s="39" t="s">
        <v>420</v>
      </c>
      <c r="E1080" s="40">
        <v>533</v>
      </c>
      <c r="F1080" s="41">
        <f>$E1080*3600/(Input!$H$4*1000)</f>
        <v>63.96</v>
      </c>
      <c r="G1080" s="42" t="str">
        <f t="shared" si="16"/>
        <v>1079</v>
      </c>
    </row>
    <row r="1081" spans="2:7" s="38" customFormat="1" x14ac:dyDescent="0.2">
      <c r="B1081" s="39" t="s">
        <v>8261</v>
      </c>
      <c r="C1081" s="39" t="s">
        <v>1648</v>
      </c>
      <c r="D1081" s="39" t="s">
        <v>420</v>
      </c>
      <c r="E1081" s="40">
        <v>216</v>
      </c>
      <c r="F1081" s="41">
        <f>$E1081*3600/(Input!$H$4*1000)</f>
        <v>25.92</v>
      </c>
      <c r="G1081" s="42" t="str">
        <f t="shared" si="16"/>
        <v>1080</v>
      </c>
    </row>
    <row r="1082" spans="2:7" s="38" customFormat="1" x14ac:dyDescent="0.2">
      <c r="B1082" s="39" t="s">
        <v>8262</v>
      </c>
      <c r="C1082" s="39" t="s">
        <v>395</v>
      </c>
      <c r="D1082" s="39" t="s">
        <v>961</v>
      </c>
      <c r="E1082" s="40">
        <v>345</v>
      </c>
      <c r="F1082" s="41">
        <f>$E1082*3600/(Input!$H$4*1000)</f>
        <v>41.4</v>
      </c>
      <c r="G1082" s="42" t="str">
        <f t="shared" si="16"/>
        <v>1081</v>
      </c>
    </row>
    <row r="1083" spans="2:7" s="38" customFormat="1" x14ac:dyDescent="0.2">
      <c r="B1083" s="39" t="s">
        <v>8263</v>
      </c>
      <c r="C1083" s="39" t="s">
        <v>395</v>
      </c>
      <c r="D1083" s="39" t="s">
        <v>1648</v>
      </c>
      <c r="E1083" s="40">
        <v>396</v>
      </c>
      <c r="F1083" s="41">
        <f>$E1083*3600/(Input!$H$4*1000)</f>
        <v>47.52</v>
      </c>
      <c r="G1083" s="42" t="str">
        <f t="shared" si="16"/>
        <v>1082</v>
      </c>
    </row>
    <row r="1084" spans="2:7" s="38" customFormat="1" x14ac:dyDescent="0.2">
      <c r="B1084" s="39" t="s">
        <v>8264</v>
      </c>
      <c r="C1084" s="39" t="s">
        <v>1648</v>
      </c>
      <c r="D1084" s="39" t="s">
        <v>458</v>
      </c>
      <c r="E1084" s="40">
        <v>418</v>
      </c>
      <c r="F1084" s="41">
        <f>$E1084*3600/(Input!$H$4*1000)</f>
        <v>50.16</v>
      </c>
      <c r="G1084" s="42" t="str">
        <f t="shared" si="16"/>
        <v>1083</v>
      </c>
    </row>
    <row r="1085" spans="2:7" s="38" customFormat="1" x14ac:dyDescent="0.2">
      <c r="B1085" s="39" t="s">
        <v>8265</v>
      </c>
      <c r="C1085" s="39" t="s">
        <v>395</v>
      </c>
      <c r="D1085" s="39" t="s">
        <v>458</v>
      </c>
      <c r="E1085" s="40">
        <v>326</v>
      </c>
      <c r="F1085" s="41">
        <f>$E1085*3600/(Input!$H$4*1000)</f>
        <v>39.119999999999997</v>
      </c>
      <c r="G1085" s="42" t="str">
        <f t="shared" si="16"/>
        <v>1084</v>
      </c>
    </row>
    <row r="1086" spans="2:7" s="38" customFormat="1" x14ac:dyDescent="0.2">
      <c r="B1086" s="39" t="s">
        <v>8266</v>
      </c>
      <c r="C1086" s="39" t="s">
        <v>480</v>
      </c>
      <c r="D1086" s="39" t="s">
        <v>1157</v>
      </c>
      <c r="E1086" s="40">
        <v>235</v>
      </c>
      <c r="F1086" s="41">
        <f>$E1086*3600/(Input!$H$4*1000)</f>
        <v>28.2</v>
      </c>
      <c r="G1086" s="42" t="str">
        <f t="shared" si="16"/>
        <v>1085</v>
      </c>
    </row>
    <row r="1087" spans="2:7" s="38" customFormat="1" x14ac:dyDescent="0.2">
      <c r="B1087" s="39" t="s">
        <v>8267</v>
      </c>
      <c r="C1087" s="39" t="s">
        <v>937</v>
      </c>
      <c r="D1087" s="39" t="s">
        <v>433</v>
      </c>
      <c r="E1087" s="40">
        <v>349</v>
      </c>
      <c r="F1087" s="41">
        <f>$E1087*3600/(Input!$H$4*1000)</f>
        <v>41.88</v>
      </c>
      <c r="G1087" s="42" t="str">
        <f t="shared" si="16"/>
        <v>1086</v>
      </c>
    </row>
    <row r="1088" spans="2:7" s="38" customFormat="1" x14ac:dyDescent="0.2">
      <c r="B1088" s="39" t="s">
        <v>8268</v>
      </c>
      <c r="C1088" s="39" t="s">
        <v>914</v>
      </c>
      <c r="D1088" s="39" t="s">
        <v>1159</v>
      </c>
      <c r="E1088" s="40">
        <v>292</v>
      </c>
      <c r="F1088" s="41">
        <f>$E1088*3600/(Input!$H$4*1000)</f>
        <v>35.04</v>
      </c>
      <c r="G1088" s="42" t="str">
        <f t="shared" si="16"/>
        <v>1087</v>
      </c>
    </row>
    <row r="1089" spans="2:7" s="38" customFormat="1" x14ac:dyDescent="0.2">
      <c r="B1089" s="39" t="s">
        <v>8269</v>
      </c>
      <c r="C1089" s="39" t="s">
        <v>354</v>
      </c>
      <c r="D1089" s="39" t="s">
        <v>914</v>
      </c>
      <c r="E1089" s="40">
        <v>187</v>
      </c>
      <c r="F1089" s="41">
        <f>$E1089*3600/(Input!$H$4*1000)</f>
        <v>22.44</v>
      </c>
      <c r="G1089" s="42" t="str">
        <f t="shared" si="16"/>
        <v>1088</v>
      </c>
    </row>
    <row r="1090" spans="2:7" s="38" customFormat="1" x14ac:dyDescent="0.2">
      <c r="B1090" s="39" t="s">
        <v>8270</v>
      </c>
      <c r="C1090" s="39" t="s">
        <v>1816</v>
      </c>
      <c r="D1090" s="39" t="s">
        <v>1454</v>
      </c>
      <c r="E1090" s="40">
        <v>135</v>
      </c>
      <c r="F1090" s="41">
        <f>$E1090*3600/(Input!$H$4*1000)</f>
        <v>16.2</v>
      </c>
      <c r="G1090" s="42" t="str">
        <f t="shared" ref="G1090:G1153" si="17">MID(B1090,7,LEN(B1090)-6)</f>
        <v>1089</v>
      </c>
    </row>
    <row r="1091" spans="2:7" s="38" customFormat="1" x14ac:dyDescent="0.2">
      <c r="B1091" s="39" t="s">
        <v>8271</v>
      </c>
      <c r="C1091" s="39" t="s">
        <v>354</v>
      </c>
      <c r="D1091" s="39" t="s">
        <v>219</v>
      </c>
      <c r="E1091" s="40">
        <v>581</v>
      </c>
      <c r="F1091" s="41">
        <f>$E1091*3600/(Input!$H$4*1000)</f>
        <v>69.72</v>
      </c>
      <c r="G1091" s="42" t="str">
        <f t="shared" si="17"/>
        <v>1090</v>
      </c>
    </row>
    <row r="1092" spans="2:7" s="38" customFormat="1" x14ac:dyDescent="0.2">
      <c r="B1092" s="39" t="s">
        <v>8272</v>
      </c>
      <c r="C1092" s="39" t="s">
        <v>1450</v>
      </c>
      <c r="D1092" s="39" t="s">
        <v>828</v>
      </c>
      <c r="E1092" s="40">
        <v>228</v>
      </c>
      <c r="F1092" s="41">
        <f>$E1092*3600/(Input!$H$4*1000)</f>
        <v>27.36</v>
      </c>
      <c r="G1092" s="42" t="str">
        <f t="shared" si="17"/>
        <v>1091</v>
      </c>
    </row>
    <row r="1093" spans="2:7" s="38" customFormat="1" x14ac:dyDescent="0.2">
      <c r="B1093" s="39" t="s">
        <v>8273</v>
      </c>
      <c r="C1093" s="39" t="s">
        <v>1816</v>
      </c>
      <c r="D1093" s="39" t="s">
        <v>565</v>
      </c>
      <c r="E1093" s="40">
        <v>359</v>
      </c>
      <c r="F1093" s="41">
        <f>$E1093*3600/(Input!$H$4*1000)</f>
        <v>43.08</v>
      </c>
      <c r="G1093" s="42" t="str">
        <f t="shared" si="17"/>
        <v>1092</v>
      </c>
    </row>
    <row r="1094" spans="2:7" s="38" customFormat="1" x14ac:dyDescent="0.2">
      <c r="B1094" s="39" t="s">
        <v>8274</v>
      </c>
      <c r="C1094" s="39" t="s">
        <v>1496</v>
      </c>
      <c r="D1094" s="39" t="s">
        <v>1450</v>
      </c>
      <c r="E1094" s="40">
        <v>324</v>
      </c>
      <c r="F1094" s="41">
        <f>$E1094*3600/(Input!$H$4*1000)</f>
        <v>38.880000000000003</v>
      </c>
      <c r="G1094" s="42" t="str">
        <f t="shared" si="17"/>
        <v>1093</v>
      </c>
    </row>
    <row r="1095" spans="2:7" s="38" customFormat="1" x14ac:dyDescent="0.2">
      <c r="B1095" s="39" t="s">
        <v>8275</v>
      </c>
      <c r="C1095" s="39" t="s">
        <v>1450</v>
      </c>
      <c r="D1095" s="39" t="s">
        <v>873</v>
      </c>
      <c r="E1095" s="40">
        <v>400</v>
      </c>
      <c r="F1095" s="41">
        <f>$E1095*3600/(Input!$H$4*1000)</f>
        <v>48</v>
      </c>
      <c r="G1095" s="42" t="str">
        <f t="shared" si="17"/>
        <v>1094</v>
      </c>
    </row>
    <row r="1096" spans="2:7" s="38" customFormat="1" x14ac:dyDescent="0.2">
      <c r="B1096" s="39" t="s">
        <v>8276</v>
      </c>
      <c r="C1096" s="39" t="s">
        <v>1450</v>
      </c>
      <c r="D1096" s="39" t="s">
        <v>219</v>
      </c>
      <c r="E1096" s="40">
        <v>577</v>
      </c>
      <c r="F1096" s="41">
        <f>$E1096*3600/(Input!$H$4*1000)</f>
        <v>69.239999999999995</v>
      </c>
      <c r="G1096" s="42" t="str">
        <f t="shared" si="17"/>
        <v>1095</v>
      </c>
    </row>
    <row r="1097" spans="2:7" s="38" customFormat="1" x14ac:dyDescent="0.2">
      <c r="B1097" s="39" t="s">
        <v>8277</v>
      </c>
      <c r="C1097" s="39" t="s">
        <v>873</v>
      </c>
      <c r="D1097" s="39" t="s">
        <v>270</v>
      </c>
      <c r="E1097" s="40">
        <v>88</v>
      </c>
      <c r="F1097" s="41">
        <f>$E1097*3600/(Input!$H$4*1000)</f>
        <v>10.56</v>
      </c>
      <c r="G1097" s="42" t="str">
        <f t="shared" si="17"/>
        <v>1096</v>
      </c>
    </row>
    <row r="1098" spans="2:7" s="38" customFormat="1" x14ac:dyDescent="0.2">
      <c r="B1098" s="39" t="s">
        <v>8278</v>
      </c>
      <c r="C1098" s="39" t="s">
        <v>904</v>
      </c>
      <c r="D1098" s="39" t="s">
        <v>1159</v>
      </c>
      <c r="E1098" s="40">
        <v>220</v>
      </c>
      <c r="F1098" s="41">
        <f>$E1098*3600/(Input!$H$4*1000)</f>
        <v>26.4</v>
      </c>
      <c r="G1098" s="42" t="str">
        <f t="shared" si="17"/>
        <v>1097</v>
      </c>
    </row>
    <row r="1099" spans="2:7" s="38" customFormat="1" x14ac:dyDescent="0.2">
      <c r="B1099" s="39" t="s">
        <v>8279</v>
      </c>
      <c r="C1099" s="39" t="s">
        <v>1496</v>
      </c>
      <c r="D1099" s="39" t="s">
        <v>354</v>
      </c>
      <c r="E1099" s="40">
        <v>375</v>
      </c>
      <c r="F1099" s="41">
        <f>$E1099*3600/(Input!$H$4*1000)</f>
        <v>45</v>
      </c>
      <c r="G1099" s="42" t="str">
        <f t="shared" si="17"/>
        <v>1098</v>
      </c>
    </row>
    <row r="1100" spans="2:7" s="38" customFormat="1" x14ac:dyDescent="0.2">
      <c r="B1100" s="39" t="s">
        <v>8280</v>
      </c>
      <c r="C1100" s="39" t="s">
        <v>465</v>
      </c>
      <c r="D1100" s="39" t="s">
        <v>354</v>
      </c>
      <c r="E1100" s="40">
        <v>277</v>
      </c>
      <c r="F1100" s="41">
        <f>$E1100*3600/(Input!$H$4*1000)</f>
        <v>33.24</v>
      </c>
      <c r="G1100" s="42" t="str">
        <f t="shared" si="17"/>
        <v>1099</v>
      </c>
    </row>
    <row r="1101" spans="2:7" s="38" customFormat="1" x14ac:dyDescent="0.2">
      <c r="B1101" s="39" t="s">
        <v>8281</v>
      </c>
      <c r="C1101" s="39" t="s">
        <v>223</v>
      </c>
      <c r="D1101" s="39" t="s">
        <v>479</v>
      </c>
      <c r="E1101" s="40">
        <v>213</v>
      </c>
      <c r="F1101" s="41">
        <f>$E1101*3600/(Input!$H$4*1000)</f>
        <v>25.56</v>
      </c>
      <c r="G1101" s="42" t="str">
        <f t="shared" si="17"/>
        <v>1100</v>
      </c>
    </row>
    <row r="1102" spans="2:7" s="38" customFormat="1" x14ac:dyDescent="0.2">
      <c r="B1102" s="39" t="s">
        <v>8282</v>
      </c>
      <c r="C1102" s="39" t="s">
        <v>223</v>
      </c>
      <c r="D1102" s="39" t="s">
        <v>1188</v>
      </c>
      <c r="E1102" s="40">
        <v>225</v>
      </c>
      <c r="F1102" s="41">
        <f>$E1102*3600/(Input!$H$4*1000)</f>
        <v>27</v>
      </c>
      <c r="G1102" s="42" t="str">
        <f t="shared" si="17"/>
        <v>1101</v>
      </c>
    </row>
    <row r="1103" spans="2:7" s="38" customFormat="1" x14ac:dyDescent="0.2">
      <c r="B1103" s="39" t="s">
        <v>8283</v>
      </c>
      <c r="C1103" s="39" t="s">
        <v>465</v>
      </c>
      <c r="D1103" s="39" t="s">
        <v>223</v>
      </c>
      <c r="E1103" s="40">
        <v>508</v>
      </c>
      <c r="F1103" s="41">
        <f>$E1103*3600/(Input!$H$4*1000)</f>
        <v>60.96</v>
      </c>
      <c r="G1103" s="42" t="str">
        <f t="shared" si="17"/>
        <v>1102</v>
      </c>
    </row>
    <row r="1104" spans="2:7" s="38" customFormat="1" x14ac:dyDescent="0.2">
      <c r="B1104" s="39" t="s">
        <v>8284</v>
      </c>
      <c r="C1104" s="39" t="s">
        <v>422</v>
      </c>
      <c r="D1104" s="39" t="s">
        <v>396</v>
      </c>
      <c r="E1104" s="40">
        <v>265</v>
      </c>
      <c r="F1104" s="41">
        <f>$E1104*3600/(Input!$H$4*1000)</f>
        <v>31.8</v>
      </c>
      <c r="G1104" s="42" t="str">
        <f t="shared" si="17"/>
        <v>1103</v>
      </c>
    </row>
    <row r="1105" spans="2:7" s="38" customFormat="1" x14ac:dyDescent="0.2">
      <c r="B1105" s="39" t="s">
        <v>8285</v>
      </c>
      <c r="C1105" s="39" t="s">
        <v>1710</v>
      </c>
      <c r="D1105" s="39" t="s">
        <v>421</v>
      </c>
      <c r="E1105" s="40">
        <v>799</v>
      </c>
      <c r="F1105" s="41">
        <f>$E1105*3600/(Input!$H$4*1000)</f>
        <v>95.88</v>
      </c>
      <c r="G1105" s="42" t="str">
        <f t="shared" si="17"/>
        <v>1104</v>
      </c>
    </row>
    <row r="1106" spans="2:7" s="38" customFormat="1" x14ac:dyDescent="0.2">
      <c r="B1106" s="39" t="s">
        <v>8286</v>
      </c>
      <c r="C1106" s="39" t="s">
        <v>421</v>
      </c>
      <c r="D1106" s="39" t="s">
        <v>121</v>
      </c>
      <c r="E1106" s="40">
        <v>200</v>
      </c>
      <c r="F1106" s="41">
        <f>$E1106*3600/(Input!$H$4*1000)</f>
        <v>24</v>
      </c>
      <c r="G1106" s="42" t="str">
        <f t="shared" si="17"/>
        <v>1105</v>
      </c>
    </row>
    <row r="1107" spans="2:7" s="38" customFormat="1" x14ac:dyDescent="0.2">
      <c r="B1107" s="39" t="s">
        <v>8287</v>
      </c>
      <c r="C1107" s="39" t="s">
        <v>121</v>
      </c>
      <c r="D1107" s="39" t="s">
        <v>1032</v>
      </c>
      <c r="E1107" s="40">
        <v>265</v>
      </c>
      <c r="F1107" s="41">
        <f>$E1107*3600/(Input!$H$4*1000)</f>
        <v>31.8</v>
      </c>
      <c r="G1107" s="42" t="str">
        <f t="shared" si="17"/>
        <v>1106</v>
      </c>
    </row>
    <row r="1108" spans="2:7" s="38" customFormat="1" x14ac:dyDescent="0.2">
      <c r="B1108" s="39" t="s">
        <v>8288</v>
      </c>
      <c r="C1108" s="39" t="s">
        <v>434</v>
      </c>
      <c r="D1108" s="39" t="s">
        <v>466</v>
      </c>
      <c r="E1108" s="40">
        <v>626</v>
      </c>
      <c r="F1108" s="41">
        <f>$E1108*3600/(Input!$H$4*1000)</f>
        <v>75.12</v>
      </c>
      <c r="G1108" s="42" t="str">
        <f t="shared" si="17"/>
        <v>1107</v>
      </c>
    </row>
    <row r="1109" spans="2:7" s="38" customFormat="1" x14ac:dyDescent="0.2">
      <c r="B1109" s="39" t="s">
        <v>8289</v>
      </c>
      <c r="C1109" s="39" t="s">
        <v>1686</v>
      </c>
      <c r="D1109" s="39" t="s">
        <v>421</v>
      </c>
      <c r="E1109" s="40">
        <v>615</v>
      </c>
      <c r="F1109" s="41">
        <f>$E1109*3600/(Input!$H$4*1000)</f>
        <v>73.8</v>
      </c>
      <c r="G1109" s="42" t="str">
        <f t="shared" si="17"/>
        <v>1108</v>
      </c>
    </row>
    <row r="1110" spans="2:7" s="38" customFormat="1" x14ac:dyDescent="0.2">
      <c r="B1110" s="39" t="s">
        <v>8290</v>
      </c>
      <c r="C1110" s="39" t="s">
        <v>1686</v>
      </c>
      <c r="D1110" s="39" t="s">
        <v>415</v>
      </c>
      <c r="E1110" s="40">
        <v>556</v>
      </c>
      <c r="F1110" s="41">
        <f>$E1110*3600/(Input!$H$4*1000)</f>
        <v>66.72</v>
      </c>
      <c r="G1110" s="42" t="str">
        <f t="shared" si="17"/>
        <v>1109</v>
      </c>
    </row>
    <row r="1111" spans="2:7" s="38" customFormat="1" x14ac:dyDescent="0.2">
      <c r="B1111" s="39" t="s">
        <v>8291</v>
      </c>
      <c r="C1111" s="39" t="s">
        <v>415</v>
      </c>
      <c r="D1111" s="39" t="s">
        <v>104</v>
      </c>
      <c r="E1111" s="40">
        <v>264</v>
      </c>
      <c r="F1111" s="41">
        <f>$E1111*3600/(Input!$H$4*1000)</f>
        <v>31.68</v>
      </c>
      <c r="G1111" s="42" t="str">
        <f t="shared" si="17"/>
        <v>1110</v>
      </c>
    </row>
    <row r="1112" spans="2:7" s="38" customFormat="1" ht="13.5" customHeight="1" x14ac:dyDescent="0.2">
      <c r="B1112" s="39" t="s">
        <v>8292</v>
      </c>
      <c r="C1112" s="39" t="s">
        <v>1677</v>
      </c>
      <c r="D1112" s="39" t="s">
        <v>415</v>
      </c>
      <c r="E1112" s="40">
        <v>619</v>
      </c>
      <c r="F1112" s="41">
        <f>$E1112*3600/(Input!$H$4*1000)</f>
        <v>74.28</v>
      </c>
      <c r="G1112" s="42" t="str">
        <f t="shared" si="17"/>
        <v>1111</v>
      </c>
    </row>
    <row r="1113" spans="2:7" s="38" customFormat="1" x14ac:dyDescent="0.2">
      <c r="B1113" s="39" t="s">
        <v>8293</v>
      </c>
      <c r="C1113" s="39" t="s">
        <v>226</v>
      </c>
      <c r="D1113" s="39" t="s">
        <v>431</v>
      </c>
      <c r="E1113" s="40">
        <v>112</v>
      </c>
      <c r="F1113" s="41">
        <f>$E1113*3600/(Input!$H$4*1000)</f>
        <v>13.44</v>
      </c>
      <c r="G1113" s="42" t="str">
        <f t="shared" si="17"/>
        <v>1112</v>
      </c>
    </row>
    <row r="1114" spans="2:7" s="38" customFormat="1" x14ac:dyDescent="0.2">
      <c r="B1114" s="39" t="s">
        <v>8294</v>
      </c>
      <c r="C1114" s="39" t="s">
        <v>431</v>
      </c>
      <c r="D1114" s="39" t="s">
        <v>104</v>
      </c>
      <c r="E1114" s="40">
        <v>346</v>
      </c>
      <c r="F1114" s="41">
        <f>$E1114*3600/(Input!$H$4*1000)</f>
        <v>41.52</v>
      </c>
      <c r="G1114" s="42" t="str">
        <f t="shared" si="17"/>
        <v>1113</v>
      </c>
    </row>
    <row r="1115" spans="2:7" s="38" customFormat="1" x14ac:dyDescent="0.2">
      <c r="B1115" s="39" t="s">
        <v>8295</v>
      </c>
      <c r="C1115" s="39" t="s">
        <v>167</v>
      </c>
      <c r="D1115" s="39" t="s">
        <v>431</v>
      </c>
      <c r="E1115" s="40">
        <v>453</v>
      </c>
      <c r="F1115" s="41">
        <f>$E1115*3600/(Input!$H$4*1000)</f>
        <v>54.36</v>
      </c>
      <c r="G1115" s="42" t="str">
        <f t="shared" si="17"/>
        <v>1114</v>
      </c>
    </row>
    <row r="1116" spans="2:7" s="38" customFormat="1" x14ac:dyDescent="0.2">
      <c r="B1116" s="39" t="s">
        <v>8296</v>
      </c>
      <c r="C1116" s="39" t="s">
        <v>431</v>
      </c>
      <c r="D1116" s="39" t="s">
        <v>1613</v>
      </c>
      <c r="E1116" s="40">
        <v>1160</v>
      </c>
      <c r="F1116" s="41">
        <f>$E1116*3600/(Input!$H$4*1000)</f>
        <v>139.19999999999999</v>
      </c>
      <c r="G1116" s="42" t="str">
        <f t="shared" si="17"/>
        <v>1115</v>
      </c>
    </row>
    <row r="1117" spans="2:7" s="38" customFormat="1" x14ac:dyDescent="0.2">
      <c r="B1117" s="39" t="s">
        <v>8297</v>
      </c>
      <c r="C1117" s="39" t="s">
        <v>1062</v>
      </c>
      <c r="D1117" s="39" t="s">
        <v>1496</v>
      </c>
      <c r="E1117" s="40">
        <v>176</v>
      </c>
      <c r="F1117" s="41">
        <f>$E1117*3600/(Input!$H$4*1000)</f>
        <v>21.12</v>
      </c>
      <c r="G1117" s="42" t="str">
        <f t="shared" si="17"/>
        <v>1116</v>
      </c>
    </row>
    <row r="1118" spans="2:7" s="38" customFormat="1" x14ac:dyDescent="0.2">
      <c r="B1118" s="39" t="s">
        <v>8298</v>
      </c>
      <c r="C1118" s="39" t="s">
        <v>1062</v>
      </c>
      <c r="D1118" s="39" t="s">
        <v>1618</v>
      </c>
      <c r="E1118" s="40">
        <v>63</v>
      </c>
      <c r="F1118" s="41">
        <f>$E1118*3600/(Input!$H$4*1000)</f>
        <v>7.56</v>
      </c>
      <c r="G1118" s="42" t="str">
        <f t="shared" si="17"/>
        <v>1117</v>
      </c>
    </row>
    <row r="1119" spans="2:7" s="38" customFormat="1" x14ac:dyDescent="0.2">
      <c r="B1119" s="39" t="s">
        <v>8299</v>
      </c>
      <c r="C1119" s="39" t="s">
        <v>431</v>
      </c>
      <c r="D1119" s="39" t="s">
        <v>1817</v>
      </c>
      <c r="E1119" s="40">
        <v>316</v>
      </c>
      <c r="F1119" s="41">
        <f>$E1119*3600/(Input!$H$4*1000)</f>
        <v>37.92</v>
      </c>
      <c r="G1119" s="42" t="str">
        <f t="shared" si="17"/>
        <v>1118</v>
      </c>
    </row>
    <row r="1120" spans="2:7" s="38" customFormat="1" x14ac:dyDescent="0.2">
      <c r="B1120" s="39" t="s">
        <v>8300</v>
      </c>
      <c r="C1120" s="39" t="s">
        <v>419</v>
      </c>
      <c r="D1120" s="39" t="s">
        <v>1681</v>
      </c>
      <c r="E1120" s="40">
        <v>480</v>
      </c>
      <c r="F1120" s="41">
        <f>$E1120*3600/(Input!$H$4*1000)</f>
        <v>57.6</v>
      </c>
      <c r="G1120" s="42" t="str">
        <f t="shared" si="17"/>
        <v>1119</v>
      </c>
    </row>
    <row r="1121" spans="2:7" s="38" customFormat="1" x14ac:dyDescent="0.2">
      <c r="B1121" s="39" t="s">
        <v>8301</v>
      </c>
      <c r="C1121" s="39" t="s">
        <v>1679</v>
      </c>
      <c r="D1121" s="39" t="s">
        <v>419</v>
      </c>
      <c r="E1121" s="40">
        <v>528</v>
      </c>
      <c r="F1121" s="41">
        <f>$E1121*3600/(Input!$H$4*1000)</f>
        <v>63.36</v>
      </c>
      <c r="G1121" s="42" t="str">
        <f t="shared" si="17"/>
        <v>1120</v>
      </c>
    </row>
    <row r="1122" spans="2:7" s="38" customFormat="1" x14ac:dyDescent="0.2">
      <c r="B1122" s="39" t="s">
        <v>8302</v>
      </c>
      <c r="C1122" s="39" t="s">
        <v>1028</v>
      </c>
      <c r="D1122" s="39" t="s">
        <v>1679</v>
      </c>
      <c r="E1122" s="40">
        <v>580</v>
      </c>
      <c r="F1122" s="41">
        <f>$E1122*3600/(Input!$H$4*1000)</f>
        <v>69.599999999999994</v>
      </c>
      <c r="G1122" s="42" t="str">
        <f t="shared" si="17"/>
        <v>1121</v>
      </c>
    </row>
    <row r="1123" spans="2:7" s="38" customFormat="1" x14ac:dyDescent="0.2">
      <c r="B1123" s="39" t="s">
        <v>8303</v>
      </c>
      <c r="C1123" s="39" t="s">
        <v>423</v>
      </c>
      <c r="D1123" s="39" t="s">
        <v>459</v>
      </c>
      <c r="E1123" s="40">
        <v>548</v>
      </c>
      <c r="F1123" s="41">
        <f>$E1123*3600/(Input!$H$4*1000)</f>
        <v>65.760000000000005</v>
      </c>
      <c r="G1123" s="42" t="str">
        <f t="shared" si="17"/>
        <v>1122</v>
      </c>
    </row>
    <row r="1124" spans="2:7" s="38" customFormat="1" x14ac:dyDescent="0.2">
      <c r="B1124" s="39" t="s">
        <v>8304</v>
      </c>
      <c r="C1124" s="39" t="s">
        <v>422</v>
      </c>
      <c r="D1124" s="39" t="s">
        <v>423</v>
      </c>
      <c r="E1124" s="40">
        <v>844</v>
      </c>
      <c r="F1124" s="41">
        <f>$E1124*3600/(Input!$H$4*1000)</f>
        <v>101.28</v>
      </c>
      <c r="G1124" s="42" t="str">
        <f t="shared" si="17"/>
        <v>1123</v>
      </c>
    </row>
    <row r="1125" spans="2:7" s="38" customFormat="1" x14ac:dyDescent="0.2">
      <c r="B1125" s="39" t="s">
        <v>8305</v>
      </c>
      <c r="C1125" s="39" t="s">
        <v>459</v>
      </c>
      <c r="D1125" s="39" t="s">
        <v>1000</v>
      </c>
      <c r="E1125" s="40">
        <v>965</v>
      </c>
      <c r="F1125" s="41">
        <f>$E1125*3600/(Input!$H$4*1000)</f>
        <v>115.8</v>
      </c>
      <c r="G1125" s="42" t="str">
        <f t="shared" si="17"/>
        <v>1124</v>
      </c>
    </row>
    <row r="1126" spans="2:7" s="38" customFormat="1" x14ac:dyDescent="0.2">
      <c r="B1126" s="39" t="s">
        <v>8306</v>
      </c>
      <c r="C1126" s="39" t="s">
        <v>423</v>
      </c>
      <c r="D1126" s="39" t="s">
        <v>1025</v>
      </c>
      <c r="E1126" s="40">
        <v>260</v>
      </c>
      <c r="F1126" s="41">
        <f>$E1126*3600/(Input!$H$4*1000)</f>
        <v>31.2</v>
      </c>
      <c r="G1126" s="42" t="str">
        <f t="shared" si="17"/>
        <v>1125</v>
      </c>
    </row>
    <row r="1127" spans="2:7" s="38" customFormat="1" x14ac:dyDescent="0.2">
      <c r="B1127" s="39" t="s">
        <v>8307</v>
      </c>
      <c r="C1127" s="39" t="s">
        <v>1025</v>
      </c>
      <c r="D1127" s="39" t="s">
        <v>404</v>
      </c>
      <c r="E1127" s="40">
        <v>523</v>
      </c>
      <c r="F1127" s="41">
        <f>$E1127*3600/(Input!$H$4*1000)</f>
        <v>62.76</v>
      </c>
      <c r="G1127" s="42" t="str">
        <f t="shared" si="17"/>
        <v>1126</v>
      </c>
    </row>
    <row r="1128" spans="2:7" s="38" customFormat="1" x14ac:dyDescent="0.2">
      <c r="B1128" s="39" t="s">
        <v>8308</v>
      </c>
      <c r="C1128" s="39" t="s">
        <v>404</v>
      </c>
      <c r="D1128" s="39" t="s">
        <v>407</v>
      </c>
      <c r="E1128" s="40">
        <v>444</v>
      </c>
      <c r="F1128" s="41">
        <f>$E1128*3600/(Input!$H$4*1000)</f>
        <v>53.28</v>
      </c>
      <c r="G1128" s="42" t="str">
        <f t="shared" si="17"/>
        <v>1127</v>
      </c>
    </row>
    <row r="1129" spans="2:7" s="38" customFormat="1" x14ac:dyDescent="0.2">
      <c r="B1129" s="39" t="s">
        <v>8309</v>
      </c>
      <c r="C1129" s="39" t="s">
        <v>407</v>
      </c>
      <c r="D1129" s="39" t="s">
        <v>408</v>
      </c>
      <c r="E1129" s="40">
        <v>566</v>
      </c>
      <c r="F1129" s="41">
        <f>$E1129*3600/(Input!$H$4*1000)</f>
        <v>67.92</v>
      </c>
      <c r="G1129" s="42" t="str">
        <f t="shared" si="17"/>
        <v>1128</v>
      </c>
    </row>
    <row r="1130" spans="2:7" s="38" customFormat="1" x14ac:dyDescent="0.2">
      <c r="B1130" s="39" t="s">
        <v>8310</v>
      </c>
      <c r="C1130" s="39" t="s">
        <v>468</v>
      </c>
      <c r="D1130" s="39" t="s">
        <v>1680</v>
      </c>
      <c r="E1130" s="40">
        <v>555</v>
      </c>
      <c r="F1130" s="41">
        <f>$E1130*3600/(Input!$H$4*1000)</f>
        <v>66.599999999999994</v>
      </c>
      <c r="G1130" s="42" t="str">
        <f t="shared" si="17"/>
        <v>1129</v>
      </c>
    </row>
    <row r="1131" spans="2:7" s="38" customFormat="1" x14ac:dyDescent="0.2">
      <c r="B1131" s="39" t="s">
        <v>8311</v>
      </c>
      <c r="C1131" s="39" t="s">
        <v>468</v>
      </c>
      <c r="D1131" s="39" t="s">
        <v>97</v>
      </c>
      <c r="E1131" s="40">
        <v>255</v>
      </c>
      <c r="F1131" s="41">
        <f>$E1131*3600/(Input!$H$4*1000)</f>
        <v>30.6</v>
      </c>
      <c r="G1131" s="42" t="str">
        <f t="shared" si="17"/>
        <v>1130</v>
      </c>
    </row>
    <row r="1132" spans="2:7" s="38" customFormat="1" x14ac:dyDescent="0.2">
      <c r="B1132" s="39" t="s">
        <v>8312</v>
      </c>
      <c r="C1132" s="39" t="s">
        <v>468</v>
      </c>
      <c r="D1132" s="39" t="s">
        <v>1688</v>
      </c>
      <c r="E1132" s="40">
        <v>590</v>
      </c>
      <c r="F1132" s="41">
        <f>$E1132*3600/(Input!$H$4*1000)</f>
        <v>70.8</v>
      </c>
      <c r="G1132" s="42" t="str">
        <f t="shared" si="17"/>
        <v>1131</v>
      </c>
    </row>
    <row r="1133" spans="2:7" s="38" customFormat="1" x14ac:dyDescent="0.2">
      <c r="B1133" s="39" t="s">
        <v>8313</v>
      </c>
      <c r="C1133" s="39" t="s">
        <v>1688</v>
      </c>
      <c r="D1133" s="39" t="s">
        <v>1818</v>
      </c>
      <c r="E1133" s="40">
        <v>690</v>
      </c>
      <c r="F1133" s="41">
        <f>$E1133*3600/(Input!$H$4*1000)</f>
        <v>82.8</v>
      </c>
      <c r="G1133" s="42" t="str">
        <f t="shared" si="17"/>
        <v>1132</v>
      </c>
    </row>
    <row r="1134" spans="2:7" s="38" customFormat="1" x14ac:dyDescent="0.2">
      <c r="B1134" s="39" t="s">
        <v>8314</v>
      </c>
      <c r="C1134" s="39" t="s">
        <v>1688</v>
      </c>
      <c r="D1134" s="39" t="s">
        <v>435</v>
      </c>
      <c r="E1134" s="40">
        <v>644</v>
      </c>
      <c r="F1134" s="41">
        <f>$E1134*3600/(Input!$H$4*1000)</f>
        <v>77.28</v>
      </c>
      <c r="G1134" s="42" t="str">
        <f t="shared" si="17"/>
        <v>1133</v>
      </c>
    </row>
    <row r="1135" spans="2:7" s="38" customFormat="1" x14ac:dyDescent="0.2">
      <c r="B1135" s="39" t="s">
        <v>8315</v>
      </c>
      <c r="C1135" s="39" t="s">
        <v>204</v>
      </c>
      <c r="D1135" s="39" t="s">
        <v>1715</v>
      </c>
      <c r="E1135" s="40">
        <v>90</v>
      </c>
      <c r="F1135" s="41">
        <f>$E1135*3600/(Input!$H$4*1000)</f>
        <v>10.8</v>
      </c>
      <c r="G1135" s="42" t="str">
        <f t="shared" si="17"/>
        <v>1134</v>
      </c>
    </row>
    <row r="1136" spans="2:7" s="38" customFormat="1" x14ac:dyDescent="0.2">
      <c r="B1136" s="39" t="s">
        <v>8316</v>
      </c>
      <c r="C1136" s="39" t="s">
        <v>1715</v>
      </c>
      <c r="D1136" s="39" t="s">
        <v>432</v>
      </c>
      <c r="E1136" s="40">
        <v>467</v>
      </c>
      <c r="F1136" s="41">
        <f>$E1136*3600/(Input!$H$4*1000)</f>
        <v>56.04</v>
      </c>
      <c r="G1136" s="42" t="str">
        <f t="shared" si="17"/>
        <v>1135</v>
      </c>
    </row>
    <row r="1137" spans="2:7" s="38" customFormat="1" x14ac:dyDescent="0.2">
      <c r="B1137" s="39" t="s">
        <v>8317</v>
      </c>
      <c r="C1137" s="39" t="s">
        <v>435</v>
      </c>
      <c r="D1137" s="39" t="s">
        <v>166</v>
      </c>
      <c r="E1137" s="40">
        <v>220</v>
      </c>
      <c r="F1137" s="41">
        <f>$E1137*3600/(Input!$H$4*1000)</f>
        <v>26.4</v>
      </c>
      <c r="G1137" s="42" t="str">
        <f t="shared" si="17"/>
        <v>1136</v>
      </c>
    </row>
    <row r="1138" spans="2:7" s="38" customFormat="1" x14ac:dyDescent="0.2">
      <c r="B1138" s="39" t="s">
        <v>8318</v>
      </c>
      <c r="C1138" s="39" t="s">
        <v>1683</v>
      </c>
      <c r="D1138" s="39" t="s">
        <v>1029</v>
      </c>
      <c r="E1138" s="40">
        <v>234</v>
      </c>
      <c r="F1138" s="41">
        <f>$E1138*3600/(Input!$H$4*1000)</f>
        <v>28.08</v>
      </c>
      <c r="G1138" s="42" t="str">
        <f t="shared" si="17"/>
        <v>1137</v>
      </c>
    </row>
    <row r="1139" spans="2:7" s="38" customFormat="1" x14ac:dyDescent="0.2">
      <c r="B1139" s="39" t="s">
        <v>8319</v>
      </c>
      <c r="C1139" s="39" t="s">
        <v>415</v>
      </c>
      <c r="D1139" s="39" t="s">
        <v>1680</v>
      </c>
      <c r="E1139" s="40">
        <v>334</v>
      </c>
      <c r="F1139" s="41">
        <f>$E1139*3600/(Input!$H$4*1000)</f>
        <v>40.08</v>
      </c>
      <c r="G1139" s="42" t="str">
        <f t="shared" si="17"/>
        <v>1138</v>
      </c>
    </row>
    <row r="1140" spans="2:7" s="38" customFormat="1" x14ac:dyDescent="0.2">
      <c r="B1140" s="39" t="s">
        <v>8320</v>
      </c>
      <c r="C1140" s="39" t="s">
        <v>1680</v>
      </c>
      <c r="D1140" s="39" t="s">
        <v>1683</v>
      </c>
      <c r="E1140" s="40">
        <v>598</v>
      </c>
      <c r="F1140" s="41">
        <f>$E1140*3600/(Input!$H$4*1000)</f>
        <v>71.760000000000005</v>
      </c>
      <c r="G1140" s="42" t="str">
        <f t="shared" si="17"/>
        <v>1139</v>
      </c>
    </row>
    <row r="1141" spans="2:7" s="38" customFormat="1" x14ac:dyDescent="0.2">
      <c r="B1141" s="39" t="s">
        <v>8321</v>
      </c>
      <c r="C1141" s="39" t="s">
        <v>146</v>
      </c>
      <c r="D1141" s="39" t="s">
        <v>432</v>
      </c>
      <c r="E1141" s="40">
        <v>294</v>
      </c>
      <c r="F1141" s="41">
        <f>$E1141*3600/(Input!$H$4*1000)</f>
        <v>35.28</v>
      </c>
      <c r="G1141" s="42" t="str">
        <f t="shared" si="17"/>
        <v>1140</v>
      </c>
    </row>
    <row r="1142" spans="2:7" s="38" customFormat="1" x14ac:dyDescent="0.2">
      <c r="B1142" s="39" t="s">
        <v>8322</v>
      </c>
      <c r="C1142" s="39" t="s">
        <v>1685</v>
      </c>
      <c r="D1142" s="39" t="s">
        <v>1715</v>
      </c>
      <c r="E1142" s="40">
        <v>649</v>
      </c>
      <c r="F1142" s="41">
        <f>$E1142*3600/(Input!$H$4*1000)</f>
        <v>77.88</v>
      </c>
      <c r="G1142" s="42" t="str">
        <f t="shared" si="17"/>
        <v>1141</v>
      </c>
    </row>
    <row r="1143" spans="2:7" s="38" customFormat="1" x14ac:dyDescent="0.2">
      <c r="B1143" s="39" t="s">
        <v>8323</v>
      </c>
      <c r="C1143" s="39" t="s">
        <v>435</v>
      </c>
      <c r="D1143" s="39" t="s">
        <v>183</v>
      </c>
      <c r="E1143" s="40">
        <v>354</v>
      </c>
      <c r="F1143" s="41">
        <f>$E1143*3600/(Input!$H$4*1000)</f>
        <v>42.48</v>
      </c>
      <c r="G1143" s="42" t="str">
        <f t="shared" si="17"/>
        <v>1142</v>
      </c>
    </row>
    <row r="1144" spans="2:7" s="38" customFormat="1" x14ac:dyDescent="0.2">
      <c r="B1144" s="39" t="s">
        <v>8324</v>
      </c>
      <c r="C1144" s="39" t="s">
        <v>1683</v>
      </c>
      <c r="D1144" s="39" t="s">
        <v>183</v>
      </c>
      <c r="E1144" s="40">
        <v>126</v>
      </c>
      <c r="F1144" s="41">
        <f>$E1144*3600/(Input!$H$4*1000)</f>
        <v>15.12</v>
      </c>
      <c r="G1144" s="42" t="str">
        <f t="shared" si="17"/>
        <v>1143</v>
      </c>
    </row>
    <row r="1145" spans="2:7" s="38" customFormat="1" x14ac:dyDescent="0.2">
      <c r="B1145" s="39" t="s">
        <v>8325</v>
      </c>
      <c r="C1145" s="39" t="s">
        <v>1683</v>
      </c>
      <c r="D1145" s="39" t="s">
        <v>424</v>
      </c>
      <c r="E1145" s="40">
        <v>379</v>
      </c>
      <c r="F1145" s="41">
        <f>$E1145*3600/(Input!$H$4*1000)</f>
        <v>45.48</v>
      </c>
      <c r="G1145" s="42" t="str">
        <f t="shared" si="17"/>
        <v>1144</v>
      </c>
    </row>
    <row r="1146" spans="2:7" s="38" customFormat="1" x14ac:dyDescent="0.2">
      <c r="B1146" s="39" t="s">
        <v>8326</v>
      </c>
      <c r="C1146" s="39" t="s">
        <v>432</v>
      </c>
      <c r="D1146" s="39" t="s">
        <v>315</v>
      </c>
      <c r="E1146" s="40">
        <v>555</v>
      </c>
      <c r="F1146" s="41">
        <f>$E1146*3600/(Input!$H$4*1000)</f>
        <v>66.599999999999994</v>
      </c>
      <c r="G1146" s="42" t="str">
        <f t="shared" si="17"/>
        <v>1145</v>
      </c>
    </row>
    <row r="1147" spans="2:7" s="38" customFormat="1" x14ac:dyDescent="0.2">
      <c r="B1147" s="39" t="s">
        <v>8327</v>
      </c>
      <c r="C1147" s="39" t="s">
        <v>424</v>
      </c>
      <c r="D1147" s="39" t="s">
        <v>462</v>
      </c>
      <c r="E1147" s="40">
        <v>454</v>
      </c>
      <c r="F1147" s="41">
        <f>$E1147*3600/(Input!$H$4*1000)</f>
        <v>54.48</v>
      </c>
      <c r="G1147" s="42" t="str">
        <f t="shared" si="17"/>
        <v>1146</v>
      </c>
    </row>
    <row r="1148" spans="2:7" s="38" customFormat="1" x14ac:dyDescent="0.2">
      <c r="B1148" s="39" t="s">
        <v>8328</v>
      </c>
      <c r="C1148" s="39" t="s">
        <v>1713</v>
      </c>
      <c r="D1148" s="39" t="s">
        <v>325</v>
      </c>
      <c r="E1148" s="40">
        <v>317</v>
      </c>
      <c r="F1148" s="41">
        <f>$E1148*3600/(Input!$H$4*1000)</f>
        <v>38.04</v>
      </c>
      <c r="G1148" s="42" t="str">
        <f t="shared" si="17"/>
        <v>1147</v>
      </c>
    </row>
    <row r="1149" spans="2:7" s="38" customFormat="1" x14ac:dyDescent="0.2">
      <c r="B1149" s="39" t="s">
        <v>8329</v>
      </c>
      <c r="C1149" s="39" t="s">
        <v>325</v>
      </c>
      <c r="D1149" s="39" t="s">
        <v>416</v>
      </c>
      <c r="E1149" s="40">
        <v>176</v>
      </c>
      <c r="F1149" s="41">
        <f>$E1149*3600/(Input!$H$4*1000)</f>
        <v>21.12</v>
      </c>
      <c r="G1149" s="42" t="str">
        <f t="shared" si="17"/>
        <v>1148</v>
      </c>
    </row>
    <row r="1150" spans="2:7" s="38" customFormat="1" x14ac:dyDescent="0.2">
      <c r="B1150" s="39" t="s">
        <v>8330</v>
      </c>
      <c r="C1150" s="39" t="s">
        <v>428</v>
      </c>
      <c r="D1150" s="39" t="s">
        <v>416</v>
      </c>
      <c r="E1150" s="40">
        <v>396</v>
      </c>
      <c r="F1150" s="41">
        <f>$E1150*3600/(Input!$H$4*1000)</f>
        <v>47.52</v>
      </c>
      <c r="G1150" s="42" t="str">
        <f t="shared" si="17"/>
        <v>1149</v>
      </c>
    </row>
    <row r="1151" spans="2:7" s="38" customFormat="1" x14ac:dyDescent="0.2">
      <c r="B1151" s="39" t="s">
        <v>8331</v>
      </c>
      <c r="C1151" s="39" t="s">
        <v>428</v>
      </c>
      <c r="D1151" s="39" t="s">
        <v>925</v>
      </c>
      <c r="E1151" s="40">
        <v>557</v>
      </c>
      <c r="F1151" s="41">
        <f>$E1151*3600/(Input!$H$4*1000)</f>
        <v>66.84</v>
      </c>
      <c r="G1151" s="42" t="str">
        <f t="shared" si="17"/>
        <v>1150</v>
      </c>
    </row>
    <row r="1152" spans="2:7" s="38" customFormat="1" x14ac:dyDescent="0.2">
      <c r="B1152" s="39" t="s">
        <v>8332</v>
      </c>
      <c r="C1152" s="39" t="s">
        <v>315</v>
      </c>
      <c r="D1152" s="39" t="s">
        <v>462</v>
      </c>
      <c r="E1152" s="40">
        <v>347</v>
      </c>
      <c r="F1152" s="41">
        <f>$E1152*3600/(Input!$H$4*1000)</f>
        <v>41.64</v>
      </c>
      <c r="G1152" s="42" t="str">
        <f t="shared" si="17"/>
        <v>1151</v>
      </c>
    </row>
    <row r="1153" spans="2:7" s="38" customFormat="1" x14ac:dyDescent="0.2">
      <c r="B1153" s="39" t="s">
        <v>8333</v>
      </c>
      <c r="C1153" s="39" t="s">
        <v>315</v>
      </c>
      <c r="D1153" s="39" t="s">
        <v>1613</v>
      </c>
      <c r="E1153" s="40">
        <v>322</v>
      </c>
      <c r="F1153" s="41">
        <f>$E1153*3600/(Input!$H$4*1000)</f>
        <v>38.64</v>
      </c>
      <c r="G1153" s="42" t="str">
        <f t="shared" si="17"/>
        <v>1152</v>
      </c>
    </row>
    <row r="1154" spans="2:7" s="38" customFormat="1" x14ac:dyDescent="0.2">
      <c r="B1154" s="39" t="s">
        <v>8334</v>
      </c>
      <c r="C1154" s="39" t="s">
        <v>925</v>
      </c>
      <c r="D1154" s="39" t="s">
        <v>1612</v>
      </c>
      <c r="E1154" s="40">
        <v>97</v>
      </c>
      <c r="F1154" s="41">
        <f>$E1154*3600/(Input!$H$4*1000)</f>
        <v>11.64</v>
      </c>
      <c r="G1154" s="42" t="str">
        <f t="shared" ref="G1154:G1217" si="18">MID(B1154,7,LEN(B1154)-6)</f>
        <v>1153</v>
      </c>
    </row>
    <row r="1155" spans="2:7" s="38" customFormat="1" x14ac:dyDescent="0.2">
      <c r="B1155" s="39" t="s">
        <v>8335</v>
      </c>
      <c r="C1155" s="39" t="s">
        <v>1612</v>
      </c>
      <c r="D1155" s="39" t="s">
        <v>1604</v>
      </c>
      <c r="E1155" s="40">
        <v>308</v>
      </c>
      <c r="F1155" s="41">
        <f>$E1155*3600/(Input!$H$4*1000)</f>
        <v>36.96</v>
      </c>
      <c r="G1155" s="42" t="str">
        <f t="shared" si="18"/>
        <v>1154</v>
      </c>
    </row>
    <row r="1156" spans="2:7" s="38" customFormat="1" x14ac:dyDescent="0.2">
      <c r="B1156" s="39" t="s">
        <v>8336</v>
      </c>
      <c r="C1156" s="39" t="s">
        <v>1609</v>
      </c>
      <c r="D1156" s="39" t="s">
        <v>1613</v>
      </c>
      <c r="E1156" s="40">
        <v>368</v>
      </c>
      <c r="F1156" s="41">
        <f>$E1156*3600/(Input!$H$4*1000)</f>
        <v>44.16</v>
      </c>
      <c r="G1156" s="42" t="str">
        <f t="shared" si="18"/>
        <v>1155</v>
      </c>
    </row>
    <row r="1157" spans="2:7" s="38" customFormat="1" x14ac:dyDescent="0.2">
      <c r="B1157" s="39" t="s">
        <v>8337</v>
      </c>
      <c r="C1157" s="39" t="s">
        <v>1613</v>
      </c>
      <c r="D1157" s="39" t="s">
        <v>1604</v>
      </c>
      <c r="E1157" s="40">
        <v>625</v>
      </c>
      <c r="F1157" s="41">
        <f>$E1157*3600/(Input!$H$4*1000)</f>
        <v>75</v>
      </c>
      <c r="G1157" s="42" t="str">
        <f t="shared" si="18"/>
        <v>1156</v>
      </c>
    </row>
    <row r="1158" spans="2:7" s="38" customFormat="1" x14ac:dyDescent="0.2">
      <c r="B1158" s="39" t="s">
        <v>8338</v>
      </c>
      <c r="C1158" s="39" t="s">
        <v>925</v>
      </c>
      <c r="D1158" s="39" t="s">
        <v>1674</v>
      </c>
      <c r="E1158" s="40">
        <v>339</v>
      </c>
      <c r="F1158" s="41">
        <f>$E1158*3600/(Input!$H$4*1000)</f>
        <v>40.68</v>
      </c>
      <c r="G1158" s="42" t="str">
        <f t="shared" si="18"/>
        <v>1157</v>
      </c>
    </row>
    <row r="1159" spans="2:7" s="38" customFormat="1" x14ac:dyDescent="0.2">
      <c r="B1159" s="39" t="s">
        <v>8339</v>
      </c>
      <c r="C1159" s="39" t="s">
        <v>847</v>
      </c>
      <c r="D1159" s="39" t="s">
        <v>1674</v>
      </c>
      <c r="E1159" s="40">
        <v>200</v>
      </c>
      <c r="F1159" s="41">
        <f>$E1159*3600/(Input!$H$4*1000)</f>
        <v>24</v>
      </c>
      <c r="G1159" s="42" t="str">
        <f t="shared" si="18"/>
        <v>1158</v>
      </c>
    </row>
    <row r="1160" spans="2:7" s="38" customFormat="1" x14ac:dyDescent="0.2">
      <c r="B1160" s="39" t="s">
        <v>8340</v>
      </c>
      <c r="C1160" s="39" t="s">
        <v>830</v>
      </c>
      <c r="D1160" s="39" t="s">
        <v>831</v>
      </c>
      <c r="E1160" s="40">
        <v>263</v>
      </c>
      <c r="F1160" s="41">
        <f>$E1160*3600/(Input!$H$4*1000)</f>
        <v>31.56</v>
      </c>
      <c r="G1160" s="42" t="str">
        <f t="shared" si="18"/>
        <v>1159</v>
      </c>
    </row>
    <row r="1161" spans="2:7" s="38" customFormat="1" x14ac:dyDescent="0.2">
      <c r="B1161" s="39" t="s">
        <v>8341</v>
      </c>
      <c r="C1161" s="39" t="s">
        <v>1222</v>
      </c>
      <c r="D1161" s="39" t="s">
        <v>1678</v>
      </c>
      <c r="E1161" s="40">
        <v>192</v>
      </c>
      <c r="F1161" s="41">
        <f>$E1161*3600/(Input!$H$4*1000)</f>
        <v>23.04</v>
      </c>
      <c r="G1161" s="42" t="str">
        <f t="shared" si="18"/>
        <v>1160</v>
      </c>
    </row>
    <row r="1162" spans="2:7" s="38" customFormat="1" x14ac:dyDescent="0.2">
      <c r="B1162" s="39" t="s">
        <v>8342</v>
      </c>
      <c r="C1162" s="39" t="s">
        <v>1222</v>
      </c>
      <c r="D1162" s="39" t="s">
        <v>251</v>
      </c>
      <c r="E1162" s="40">
        <v>116</v>
      </c>
      <c r="F1162" s="41">
        <f>$E1162*3600/(Input!$H$4*1000)</f>
        <v>13.92</v>
      </c>
      <c r="G1162" s="42" t="str">
        <f t="shared" si="18"/>
        <v>1161</v>
      </c>
    </row>
    <row r="1163" spans="2:7" s="38" customFormat="1" x14ac:dyDescent="0.2">
      <c r="B1163" s="39" t="s">
        <v>8343</v>
      </c>
      <c r="C1163" s="39" t="s">
        <v>847</v>
      </c>
      <c r="D1163" s="39" t="s">
        <v>1599</v>
      </c>
      <c r="E1163" s="40">
        <v>165</v>
      </c>
      <c r="F1163" s="41">
        <f>$E1163*3600/(Input!$H$4*1000)</f>
        <v>19.8</v>
      </c>
      <c r="G1163" s="42" t="str">
        <f t="shared" si="18"/>
        <v>1162</v>
      </c>
    </row>
    <row r="1164" spans="2:7" s="38" customFormat="1" x14ac:dyDescent="0.2">
      <c r="B1164" s="39" t="s">
        <v>8344</v>
      </c>
      <c r="C1164" s="39" t="s">
        <v>811</v>
      </c>
      <c r="D1164" s="39" t="s">
        <v>846</v>
      </c>
      <c r="E1164" s="40">
        <v>134</v>
      </c>
      <c r="F1164" s="41">
        <f>$E1164*3600/(Input!$H$4*1000)</f>
        <v>16.079999999999998</v>
      </c>
      <c r="G1164" s="42" t="str">
        <f t="shared" si="18"/>
        <v>1163</v>
      </c>
    </row>
    <row r="1165" spans="2:7" s="38" customFormat="1" x14ac:dyDescent="0.2">
      <c r="B1165" s="39" t="s">
        <v>8345</v>
      </c>
      <c r="C1165" s="39" t="s">
        <v>1599</v>
      </c>
      <c r="D1165" s="39" t="s">
        <v>831</v>
      </c>
      <c r="E1165" s="40">
        <v>120</v>
      </c>
      <c r="F1165" s="41">
        <f>$E1165*3600/(Input!$H$4*1000)</f>
        <v>14.4</v>
      </c>
      <c r="G1165" s="42" t="str">
        <f t="shared" si="18"/>
        <v>1164</v>
      </c>
    </row>
    <row r="1166" spans="2:7" s="38" customFormat="1" x14ac:dyDescent="0.2">
      <c r="B1166" s="39" t="s">
        <v>8346</v>
      </c>
      <c r="C1166" s="39" t="s">
        <v>1599</v>
      </c>
      <c r="D1166" s="39" t="s">
        <v>1273</v>
      </c>
      <c r="E1166" s="40">
        <v>209</v>
      </c>
      <c r="F1166" s="41">
        <f>$E1166*3600/(Input!$H$4*1000)</f>
        <v>25.08</v>
      </c>
      <c r="G1166" s="42" t="str">
        <f t="shared" si="18"/>
        <v>1165</v>
      </c>
    </row>
    <row r="1167" spans="2:7" s="38" customFormat="1" x14ac:dyDescent="0.2">
      <c r="B1167" s="39" t="s">
        <v>8347</v>
      </c>
      <c r="C1167" s="39" t="s">
        <v>1273</v>
      </c>
      <c r="D1167" s="39" t="s">
        <v>1678</v>
      </c>
      <c r="E1167" s="40">
        <v>228</v>
      </c>
      <c r="F1167" s="41">
        <f>$E1167*3600/(Input!$H$4*1000)</f>
        <v>27.36</v>
      </c>
      <c r="G1167" s="42" t="str">
        <f t="shared" si="18"/>
        <v>1166</v>
      </c>
    </row>
    <row r="1168" spans="2:7" s="38" customFormat="1" x14ac:dyDescent="0.2">
      <c r="B1168" s="39" t="s">
        <v>8348</v>
      </c>
      <c r="C1168" s="39" t="s">
        <v>830</v>
      </c>
      <c r="D1168" s="39" t="s">
        <v>1674</v>
      </c>
      <c r="E1168" s="40">
        <v>94</v>
      </c>
      <c r="F1168" s="41">
        <f>$E1168*3600/(Input!$H$4*1000)</f>
        <v>11.28</v>
      </c>
      <c r="G1168" s="42" t="str">
        <f t="shared" si="18"/>
        <v>1167</v>
      </c>
    </row>
    <row r="1169" spans="2:7" s="38" customFormat="1" x14ac:dyDescent="0.2">
      <c r="B1169" s="39" t="s">
        <v>8349</v>
      </c>
      <c r="C1169" s="39" t="s">
        <v>1207</v>
      </c>
      <c r="D1169" s="39" t="s">
        <v>1669</v>
      </c>
      <c r="E1169" s="40">
        <v>220</v>
      </c>
      <c r="F1169" s="41">
        <f>$E1169*3600/(Input!$H$4*1000)</f>
        <v>26.4</v>
      </c>
      <c r="G1169" s="42" t="str">
        <f t="shared" si="18"/>
        <v>1168</v>
      </c>
    </row>
    <row r="1170" spans="2:7" s="38" customFormat="1" x14ac:dyDescent="0.2">
      <c r="B1170" s="39" t="s">
        <v>8350</v>
      </c>
      <c r="C1170" s="39" t="s">
        <v>1207</v>
      </c>
      <c r="D1170" s="39" t="s">
        <v>67</v>
      </c>
      <c r="E1170" s="40">
        <v>239</v>
      </c>
      <c r="F1170" s="41">
        <f>$E1170*3600/(Input!$H$4*1000)</f>
        <v>28.68</v>
      </c>
      <c r="G1170" s="42" t="str">
        <f t="shared" si="18"/>
        <v>1169</v>
      </c>
    </row>
    <row r="1171" spans="2:7" s="38" customFormat="1" x14ac:dyDescent="0.2">
      <c r="B1171" s="39" t="s">
        <v>8351</v>
      </c>
      <c r="C1171" s="39" t="s">
        <v>790</v>
      </c>
      <c r="D1171" s="39" t="s">
        <v>1669</v>
      </c>
      <c r="E1171" s="40">
        <v>696</v>
      </c>
      <c r="F1171" s="41">
        <f>$E1171*3600/(Input!$H$4*1000)</f>
        <v>83.52</v>
      </c>
      <c r="G1171" s="42" t="str">
        <f t="shared" si="18"/>
        <v>1170</v>
      </c>
    </row>
    <row r="1172" spans="2:7" s="38" customFormat="1" x14ac:dyDescent="0.2">
      <c r="B1172" s="39" t="s">
        <v>8352</v>
      </c>
      <c r="C1172" s="39" t="s">
        <v>1819</v>
      </c>
      <c r="D1172" s="39" t="s">
        <v>1712</v>
      </c>
      <c r="E1172" s="40">
        <v>200</v>
      </c>
      <c r="F1172" s="41">
        <f>$E1172*3600/(Input!$H$4*1000)</f>
        <v>24</v>
      </c>
      <c r="G1172" s="42" t="str">
        <f t="shared" si="18"/>
        <v>1171</v>
      </c>
    </row>
    <row r="1173" spans="2:7" s="38" customFormat="1" x14ac:dyDescent="0.2">
      <c r="B1173" s="39" t="s">
        <v>8353</v>
      </c>
      <c r="C1173" s="39" t="s">
        <v>1712</v>
      </c>
      <c r="D1173" s="39" t="s">
        <v>1354</v>
      </c>
      <c r="E1173" s="40">
        <v>89</v>
      </c>
      <c r="F1173" s="41">
        <f>$E1173*3600/(Input!$H$4*1000)</f>
        <v>10.68</v>
      </c>
      <c r="G1173" s="42" t="str">
        <f t="shared" si="18"/>
        <v>1172</v>
      </c>
    </row>
    <row r="1174" spans="2:7" s="38" customFormat="1" x14ac:dyDescent="0.2">
      <c r="B1174" s="39" t="s">
        <v>8354</v>
      </c>
      <c r="C1174" s="39" t="s">
        <v>811</v>
      </c>
      <c r="D1174" s="39" t="s">
        <v>272</v>
      </c>
      <c r="E1174" s="40">
        <v>226</v>
      </c>
      <c r="F1174" s="41">
        <f>$E1174*3600/(Input!$H$4*1000)</f>
        <v>27.12</v>
      </c>
      <c r="G1174" s="42" t="str">
        <f t="shared" si="18"/>
        <v>1173</v>
      </c>
    </row>
    <row r="1175" spans="2:7" s="38" customFormat="1" x14ac:dyDescent="0.2">
      <c r="B1175" s="39" t="s">
        <v>8355</v>
      </c>
      <c r="C1175" s="39" t="s">
        <v>272</v>
      </c>
      <c r="D1175" s="39" t="s">
        <v>1354</v>
      </c>
      <c r="E1175" s="40">
        <v>179</v>
      </c>
      <c r="F1175" s="41">
        <f>$E1175*3600/(Input!$H$4*1000)</f>
        <v>21.48</v>
      </c>
      <c r="G1175" s="42" t="str">
        <f t="shared" si="18"/>
        <v>1174</v>
      </c>
    </row>
    <row r="1176" spans="2:7" s="38" customFormat="1" x14ac:dyDescent="0.2">
      <c r="B1176" s="39" t="s">
        <v>8356</v>
      </c>
      <c r="C1176" s="39" t="s">
        <v>1186</v>
      </c>
      <c r="D1176" s="39" t="s">
        <v>1210</v>
      </c>
      <c r="E1176" s="40">
        <v>267</v>
      </c>
      <c r="F1176" s="41">
        <f>$E1176*3600/(Input!$H$4*1000)</f>
        <v>32.04</v>
      </c>
      <c r="G1176" s="42" t="str">
        <f t="shared" si="18"/>
        <v>1175</v>
      </c>
    </row>
    <row r="1177" spans="2:7" s="38" customFormat="1" x14ac:dyDescent="0.2">
      <c r="B1177" s="39" t="s">
        <v>8357</v>
      </c>
      <c r="C1177" s="39" t="s">
        <v>790</v>
      </c>
      <c r="D1177" s="39" t="s">
        <v>1219</v>
      </c>
      <c r="E1177" s="40">
        <v>715</v>
      </c>
      <c r="F1177" s="41">
        <f>$E1177*3600/(Input!$H$4*1000)</f>
        <v>85.8</v>
      </c>
      <c r="G1177" s="42" t="str">
        <f t="shared" si="18"/>
        <v>1176</v>
      </c>
    </row>
    <row r="1178" spans="2:7" s="38" customFormat="1" x14ac:dyDescent="0.2">
      <c r="B1178" s="39" t="s">
        <v>8358</v>
      </c>
      <c r="C1178" s="39" t="s">
        <v>683</v>
      </c>
      <c r="D1178" s="39" t="s">
        <v>1201</v>
      </c>
      <c r="E1178" s="40">
        <v>242</v>
      </c>
      <c r="F1178" s="41">
        <f>$E1178*3600/(Input!$H$4*1000)</f>
        <v>29.04</v>
      </c>
      <c r="G1178" s="42" t="str">
        <f t="shared" si="18"/>
        <v>1177</v>
      </c>
    </row>
    <row r="1179" spans="2:7" s="38" customFormat="1" x14ac:dyDescent="0.2">
      <c r="B1179" s="39" t="s">
        <v>8359</v>
      </c>
      <c r="C1179" s="39" t="s">
        <v>683</v>
      </c>
      <c r="D1179" s="39" t="s">
        <v>1024</v>
      </c>
      <c r="E1179" s="40">
        <v>345</v>
      </c>
      <c r="F1179" s="41">
        <f>$E1179*3600/(Input!$H$4*1000)</f>
        <v>41.4</v>
      </c>
      <c r="G1179" s="42" t="str">
        <f t="shared" si="18"/>
        <v>1178</v>
      </c>
    </row>
    <row r="1180" spans="2:7" s="38" customFormat="1" x14ac:dyDescent="0.2">
      <c r="B1180" s="39" t="s">
        <v>8360</v>
      </c>
      <c r="C1180" s="39" t="s">
        <v>1220</v>
      </c>
      <c r="D1180" s="39" t="s">
        <v>614</v>
      </c>
      <c r="E1180" s="40">
        <v>549</v>
      </c>
      <c r="F1180" s="41">
        <f>$E1180*3600/(Input!$H$4*1000)</f>
        <v>65.88</v>
      </c>
      <c r="G1180" s="42" t="str">
        <f t="shared" si="18"/>
        <v>1179</v>
      </c>
    </row>
    <row r="1181" spans="2:7" s="38" customFormat="1" x14ac:dyDescent="0.2">
      <c r="B1181" s="39" t="s">
        <v>8361</v>
      </c>
      <c r="C1181" s="39" t="s">
        <v>1673</v>
      </c>
      <c r="D1181" s="39" t="s">
        <v>636</v>
      </c>
      <c r="E1181" s="40">
        <v>189</v>
      </c>
      <c r="F1181" s="41">
        <f>$E1181*3600/(Input!$H$4*1000)</f>
        <v>22.68</v>
      </c>
      <c r="G1181" s="42" t="str">
        <f t="shared" si="18"/>
        <v>1180</v>
      </c>
    </row>
    <row r="1182" spans="2:7" s="38" customFormat="1" x14ac:dyDescent="0.2">
      <c r="B1182" s="39" t="s">
        <v>8362</v>
      </c>
      <c r="C1182" s="39" t="s">
        <v>593</v>
      </c>
      <c r="D1182" s="39" t="s">
        <v>636</v>
      </c>
      <c r="E1182" s="40">
        <v>472</v>
      </c>
      <c r="F1182" s="41">
        <f>$E1182*3600/(Input!$H$4*1000)</f>
        <v>56.64</v>
      </c>
      <c r="G1182" s="42" t="str">
        <f t="shared" si="18"/>
        <v>1181</v>
      </c>
    </row>
    <row r="1183" spans="2:7" s="38" customFormat="1" x14ac:dyDescent="0.2">
      <c r="B1183" s="39" t="s">
        <v>8363</v>
      </c>
      <c r="C1183" s="39" t="s">
        <v>1301</v>
      </c>
      <c r="D1183" s="39" t="s">
        <v>287</v>
      </c>
      <c r="E1183" s="40">
        <v>80</v>
      </c>
      <c r="F1183" s="41">
        <f>$E1183*3600/(Input!$H$4*1000)</f>
        <v>9.6</v>
      </c>
      <c r="G1183" s="42" t="str">
        <f t="shared" si="18"/>
        <v>1182</v>
      </c>
    </row>
    <row r="1184" spans="2:7" s="38" customFormat="1" x14ac:dyDescent="0.2">
      <c r="B1184" s="39" t="s">
        <v>8364</v>
      </c>
      <c r="C1184" s="39" t="s">
        <v>1673</v>
      </c>
      <c r="D1184" s="39" t="s">
        <v>1301</v>
      </c>
      <c r="E1184" s="40">
        <v>168</v>
      </c>
      <c r="F1184" s="41">
        <f>$E1184*3600/(Input!$H$4*1000)</f>
        <v>20.16</v>
      </c>
      <c r="G1184" s="42" t="str">
        <f t="shared" si="18"/>
        <v>1183</v>
      </c>
    </row>
    <row r="1185" spans="2:7" s="38" customFormat="1" x14ac:dyDescent="0.2">
      <c r="B1185" s="39" t="s">
        <v>8365</v>
      </c>
      <c r="C1185" s="39" t="s">
        <v>653</v>
      </c>
      <c r="D1185" s="39" t="s">
        <v>788</v>
      </c>
      <c r="E1185" s="40">
        <v>153</v>
      </c>
      <c r="F1185" s="41">
        <f>$E1185*3600/(Input!$H$4*1000)</f>
        <v>18.36</v>
      </c>
      <c r="G1185" s="42" t="str">
        <f t="shared" si="18"/>
        <v>1184</v>
      </c>
    </row>
    <row r="1186" spans="2:7" s="38" customFormat="1" x14ac:dyDescent="0.2">
      <c r="B1186" s="39" t="s">
        <v>8366</v>
      </c>
      <c r="C1186" s="39" t="s">
        <v>173</v>
      </c>
      <c r="D1186" s="39" t="s">
        <v>629</v>
      </c>
      <c r="E1186" s="40">
        <v>156</v>
      </c>
      <c r="F1186" s="41">
        <f>$E1186*3600/(Input!$H$4*1000)</f>
        <v>18.72</v>
      </c>
      <c r="G1186" s="42" t="str">
        <f t="shared" si="18"/>
        <v>1185</v>
      </c>
    </row>
    <row r="1187" spans="2:7" s="38" customFormat="1" x14ac:dyDescent="0.2">
      <c r="B1187" s="39" t="s">
        <v>8367</v>
      </c>
      <c r="C1187" s="39" t="s">
        <v>173</v>
      </c>
      <c r="D1187" s="39" t="s">
        <v>580</v>
      </c>
      <c r="E1187" s="40">
        <v>177</v>
      </c>
      <c r="F1187" s="41">
        <f>$E1187*3600/(Input!$H$4*1000)</f>
        <v>21.24</v>
      </c>
      <c r="G1187" s="42" t="str">
        <f t="shared" si="18"/>
        <v>1186</v>
      </c>
    </row>
    <row r="1188" spans="2:7" s="38" customFormat="1" x14ac:dyDescent="0.2">
      <c r="B1188" s="39" t="s">
        <v>8368</v>
      </c>
      <c r="C1188" s="39" t="s">
        <v>841</v>
      </c>
      <c r="D1188" s="39" t="s">
        <v>580</v>
      </c>
      <c r="E1188" s="40">
        <v>329</v>
      </c>
      <c r="F1188" s="41">
        <f>$E1188*3600/(Input!$H$4*1000)</f>
        <v>39.479999999999997</v>
      </c>
      <c r="G1188" s="42" t="str">
        <f t="shared" si="18"/>
        <v>1187</v>
      </c>
    </row>
    <row r="1189" spans="2:7" s="38" customFormat="1" x14ac:dyDescent="0.2">
      <c r="B1189" s="39" t="s">
        <v>8369</v>
      </c>
      <c r="C1189" s="39" t="s">
        <v>653</v>
      </c>
      <c r="D1189" s="39" t="s">
        <v>841</v>
      </c>
      <c r="E1189" s="40">
        <v>79</v>
      </c>
      <c r="F1189" s="41">
        <f>$E1189*3600/(Input!$H$4*1000)</f>
        <v>9.48</v>
      </c>
      <c r="G1189" s="42" t="str">
        <f t="shared" si="18"/>
        <v>1188</v>
      </c>
    </row>
    <row r="1190" spans="2:7" s="38" customFormat="1" x14ac:dyDescent="0.2">
      <c r="B1190" s="39" t="s">
        <v>8370</v>
      </c>
      <c r="C1190" s="39" t="s">
        <v>680</v>
      </c>
      <c r="D1190" s="39" t="s">
        <v>1301</v>
      </c>
      <c r="E1190" s="40">
        <v>241</v>
      </c>
      <c r="F1190" s="41">
        <f>$E1190*3600/(Input!$H$4*1000)</f>
        <v>28.92</v>
      </c>
      <c r="G1190" s="42" t="str">
        <f t="shared" si="18"/>
        <v>1189</v>
      </c>
    </row>
    <row r="1191" spans="2:7" s="38" customFormat="1" x14ac:dyDescent="0.2">
      <c r="B1191" s="39" t="s">
        <v>8371</v>
      </c>
      <c r="C1191" s="39" t="s">
        <v>680</v>
      </c>
      <c r="D1191" s="39" t="s">
        <v>580</v>
      </c>
      <c r="E1191" s="40">
        <v>262</v>
      </c>
      <c r="F1191" s="41">
        <f>$E1191*3600/(Input!$H$4*1000)</f>
        <v>31.44</v>
      </c>
      <c r="G1191" s="42" t="str">
        <f t="shared" si="18"/>
        <v>1190</v>
      </c>
    </row>
    <row r="1192" spans="2:7" s="38" customFormat="1" x14ac:dyDescent="0.2">
      <c r="B1192" s="39" t="s">
        <v>8372</v>
      </c>
      <c r="C1192" s="39" t="s">
        <v>1301</v>
      </c>
      <c r="D1192" s="39" t="s">
        <v>173</v>
      </c>
      <c r="E1192" s="40">
        <v>551</v>
      </c>
      <c r="F1192" s="41">
        <f>$E1192*3600/(Input!$H$4*1000)</f>
        <v>66.12</v>
      </c>
      <c r="G1192" s="42" t="str">
        <f t="shared" si="18"/>
        <v>1191</v>
      </c>
    </row>
    <row r="1193" spans="2:7" s="38" customFormat="1" x14ac:dyDescent="0.2">
      <c r="B1193" s="39" t="s">
        <v>8373</v>
      </c>
      <c r="C1193" s="39" t="s">
        <v>841</v>
      </c>
      <c r="D1193" s="39" t="s">
        <v>1377</v>
      </c>
      <c r="E1193" s="40">
        <v>54</v>
      </c>
      <c r="F1193" s="41">
        <f>$E1193*3600/(Input!$H$4*1000)</f>
        <v>6.48</v>
      </c>
      <c r="G1193" s="42" t="str">
        <f t="shared" si="18"/>
        <v>1192</v>
      </c>
    </row>
    <row r="1194" spans="2:7" s="46" customFormat="1" x14ac:dyDescent="0.2">
      <c r="B1194" s="39" t="s">
        <v>8374</v>
      </c>
      <c r="C1194" s="39" t="s">
        <v>841</v>
      </c>
      <c r="D1194" s="39" t="s">
        <v>1345</v>
      </c>
      <c r="E1194" s="40">
        <v>151</v>
      </c>
      <c r="F1194" s="41">
        <f>$E1194*3600/(Input!$H$4*1000)</f>
        <v>18.12</v>
      </c>
      <c r="G1194" s="42" t="str">
        <f t="shared" si="18"/>
        <v>1193</v>
      </c>
    </row>
    <row r="1195" spans="2:7" s="38" customFormat="1" x14ac:dyDescent="0.2">
      <c r="B1195" s="39" t="s">
        <v>8375</v>
      </c>
      <c r="C1195" s="39" t="s">
        <v>629</v>
      </c>
      <c r="D1195" s="39" t="s">
        <v>1323</v>
      </c>
      <c r="E1195" s="40">
        <v>127</v>
      </c>
      <c r="F1195" s="41">
        <f>$E1195*3600/(Input!$H$4*1000)</f>
        <v>15.24</v>
      </c>
      <c r="G1195" s="42" t="str">
        <f t="shared" si="18"/>
        <v>1194</v>
      </c>
    </row>
    <row r="1196" spans="2:7" s="38" customFormat="1" x14ac:dyDescent="0.2">
      <c r="B1196" s="39" t="s">
        <v>8376</v>
      </c>
      <c r="C1196" s="39" t="s">
        <v>173</v>
      </c>
      <c r="D1196" s="39" t="s">
        <v>854</v>
      </c>
      <c r="E1196" s="40">
        <v>236</v>
      </c>
      <c r="F1196" s="41">
        <f>$E1196*3600/(Input!$H$4*1000)</f>
        <v>28.32</v>
      </c>
      <c r="G1196" s="42" t="str">
        <f t="shared" si="18"/>
        <v>1195</v>
      </c>
    </row>
    <row r="1197" spans="2:7" s="38" customFormat="1" x14ac:dyDescent="0.2">
      <c r="B1197" s="39" t="s">
        <v>8377</v>
      </c>
      <c r="C1197" s="39" t="s">
        <v>854</v>
      </c>
      <c r="D1197" s="39" t="s">
        <v>1276</v>
      </c>
      <c r="E1197" s="40">
        <v>28</v>
      </c>
      <c r="F1197" s="41">
        <f>$E1197*3600/(Input!$H$4*1000)</f>
        <v>3.36</v>
      </c>
      <c r="G1197" s="42" t="str">
        <f t="shared" si="18"/>
        <v>1196</v>
      </c>
    </row>
    <row r="1198" spans="2:7" s="38" customFormat="1" x14ac:dyDescent="0.2">
      <c r="B1198" s="39" t="s">
        <v>8378</v>
      </c>
      <c r="C1198" s="39" t="s">
        <v>854</v>
      </c>
      <c r="D1198" s="39" t="s">
        <v>559</v>
      </c>
      <c r="E1198" s="40">
        <v>235</v>
      </c>
      <c r="F1198" s="41">
        <f>$E1198*3600/(Input!$H$4*1000)</f>
        <v>28.2</v>
      </c>
      <c r="G1198" s="42" t="str">
        <f t="shared" si="18"/>
        <v>1197</v>
      </c>
    </row>
    <row r="1199" spans="2:7" s="38" customFormat="1" x14ac:dyDescent="0.2">
      <c r="B1199" s="48" t="s">
        <v>8379</v>
      </c>
      <c r="C1199" s="48" t="s">
        <v>1731</v>
      </c>
      <c r="D1199" s="48" t="s">
        <v>617</v>
      </c>
      <c r="E1199" s="40">
        <v>149</v>
      </c>
      <c r="F1199" s="41">
        <f>$E1199*3600/(Input!$H$4*1000)</f>
        <v>17.88</v>
      </c>
      <c r="G1199" s="49" t="str">
        <f t="shared" si="18"/>
        <v>1198</v>
      </c>
    </row>
    <row r="1200" spans="2:7" s="38" customFormat="1" x14ac:dyDescent="0.2">
      <c r="B1200" s="39" t="s">
        <v>8380</v>
      </c>
      <c r="C1200" s="39" t="s">
        <v>628</v>
      </c>
      <c r="D1200" s="39" t="s">
        <v>1731</v>
      </c>
      <c r="E1200" s="40">
        <v>199</v>
      </c>
      <c r="F1200" s="41">
        <f>$E1200*3600/(Input!$H$4*1000)</f>
        <v>23.88</v>
      </c>
      <c r="G1200" s="42" t="str">
        <f t="shared" si="18"/>
        <v>1199</v>
      </c>
    </row>
    <row r="1201" spans="2:7" s="38" customFormat="1" x14ac:dyDescent="0.2">
      <c r="B1201" s="39" t="s">
        <v>8381</v>
      </c>
      <c r="C1201" s="39" t="s">
        <v>559</v>
      </c>
      <c r="D1201" s="39" t="s">
        <v>1731</v>
      </c>
      <c r="E1201" s="40">
        <v>314</v>
      </c>
      <c r="F1201" s="41">
        <f>$E1201*3600/(Input!$H$4*1000)</f>
        <v>37.68</v>
      </c>
      <c r="G1201" s="42" t="str">
        <f t="shared" si="18"/>
        <v>1200</v>
      </c>
    </row>
    <row r="1202" spans="2:7" s="38" customFormat="1" x14ac:dyDescent="0.2">
      <c r="B1202" s="39" t="s">
        <v>8382</v>
      </c>
      <c r="C1202" s="39" t="s">
        <v>559</v>
      </c>
      <c r="D1202" s="39" t="s">
        <v>1218</v>
      </c>
      <c r="E1202" s="40">
        <v>256</v>
      </c>
      <c r="F1202" s="41">
        <f>$E1202*3600/(Input!$H$4*1000)</f>
        <v>30.72</v>
      </c>
      <c r="G1202" s="42" t="str">
        <f t="shared" si="18"/>
        <v>1201</v>
      </c>
    </row>
    <row r="1203" spans="2:7" s="38" customFormat="1" x14ac:dyDescent="0.2">
      <c r="B1203" s="39" t="s">
        <v>8383</v>
      </c>
      <c r="C1203" s="39" t="s">
        <v>1218</v>
      </c>
      <c r="D1203" s="39" t="s">
        <v>1256</v>
      </c>
      <c r="E1203" s="40">
        <v>410</v>
      </c>
      <c r="F1203" s="41">
        <f>$E1203*3600/(Input!$H$4*1000)</f>
        <v>49.2</v>
      </c>
      <c r="G1203" s="42" t="str">
        <f t="shared" si="18"/>
        <v>1202</v>
      </c>
    </row>
    <row r="1204" spans="2:7" s="38" customFormat="1" x14ac:dyDescent="0.2">
      <c r="B1204" s="39" t="s">
        <v>8384</v>
      </c>
      <c r="C1204" s="39" t="s">
        <v>1345</v>
      </c>
      <c r="D1204" s="39" t="s">
        <v>1377</v>
      </c>
      <c r="E1204" s="40">
        <v>121</v>
      </c>
      <c r="F1204" s="41">
        <f>$E1204*3600/(Input!$H$4*1000)</f>
        <v>14.52</v>
      </c>
      <c r="G1204" s="42" t="str">
        <f t="shared" si="18"/>
        <v>1203</v>
      </c>
    </row>
    <row r="1205" spans="2:7" s="38" customFormat="1" x14ac:dyDescent="0.2">
      <c r="B1205" s="39" t="s">
        <v>8385</v>
      </c>
      <c r="C1205" s="39" t="s">
        <v>845</v>
      </c>
      <c r="D1205" s="39" t="s">
        <v>1256</v>
      </c>
      <c r="E1205" s="40">
        <v>118</v>
      </c>
      <c r="F1205" s="41">
        <f>$E1205*3600/(Input!$H$4*1000)</f>
        <v>14.16</v>
      </c>
      <c r="G1205" s="42" t="str">
        <f t="shared" si="18"/>
        <v>1204</v>
      </c>
    </row>
    <row r="1206" spans="2:7" s="38" customFormat="1" x14ac:dyDescent="0.2">
      <c r="B1206" s="39" t="s">
        <v>8386</v>
      </c>
      <c r="C1206" s="39" t="s">
        <v>1377</v>
      </c>
      <c r="D1206" s="39" t="s">
        <v>1169</v>
      </c>
      <c r="E1206" s="40">
        <v>364</v>
      </c>
      <c r="F1206" s="41">
        <f>$E1206*3600/(Input!$H$4*1000)</f>
        <v>43.68</v>
      </c>
      <c r="G1206" s="42" t="str">
        <f t="shared" si="18"/>
        <v>1205</v>
      </c>
    </row>
    <row r="1207" spans="2:7" s="38" customFormat="1" x14ac:dyDescent="0.2">
      <c r="B1207" s="39" t="s">
        <v>8387</v>
      </c>
      <c r="C1207" s="39" t="s">
        <v>1203</v>
      </c>
      <c r="D1207" s="39" t="s">
        <v>1215</v>
      </c>
      <c r="E1207" s="40">
        <v>209</v>
      </c>
      <c r="F1207" s="41">
        <f>$E1207*3600/(Input!$H$4*1000)</f>
        <v>25.08</v>
      </c>
      <c r="G1207" s="42" t="str">
        <f t="shared" si="18"/>
        <v>1206</v>
      </c>
    </row>
    <row r="1208" spans="2:7" s="38" customFormat="1" x14ac:dyDescent="0.2">
      <c r="B1208" s="44" t="s">
        <v>8388</v>
      </c>
      <c r="C1208" s="44" t="s">
        <v>815</v>
      </c>
      <c r="D1208" s="44" t="s">
        <v>1169</v>
      </c>
      <c r="E1208" s="45">
        <v>96</v>
      </c>
      <c r="F1208" s="41">
        <f>$E1208*3600/(Input!$H$4*1000)</f>
        <v>11.52</v>
      </c>
      <c r="G1208" s="42" t="str">
        <f t="shared" si="18"/>
        <v>1207</v>
      </c>
    </row>
    <row r="1209" spans="2:7" s="38" customFormat="1" x14ac:dyDescent="0.2">
      <c r="B1209" s="39" t="s">
        <v>8389</v>
      </c>
      <c r="C1209" s="39" t="s">
        <v>616</v>
      </c>
      <c r="D1209" s="39" t="s">
        <v>1169</v>
      </c>
      <c r="E1209" s="40">
        <v>175</v>
      </c>
      <c r="F1209" s="41">
        <f>$E1209*3600/(Input!$H$4*1000)</f>
        <v>21</v>
      </c>
      <c r="G1209" s="42" t="str">
        <f t="shared" si="18"/>
        <v>1208</v>
      </c>
    </row>
    <row r="1210" spans="2:7" s="38" customFormat="1" x14ac:dyDescent="0.2">
      <c r="B1210" s="39" t="s">
        <v>8390</v>
      </c>
      <c r="C1210" s="39" t="s">
        <v>855</v>
      </c>
      <c r="D1210" s="39" t="s">
        <v>668</v>
      </c>
      <c r="E1210" s="40">
        <v>124</v>
      </c>
      <c r="F1210" s="41">
        <f>$E1210*3600/(Input!$H$4*1000)</f>
        <v>14.88</v>
      </c>
      <c r="G1210" s="42" t="str">
        <f t="shared" si="18"/>
        <v>1209</v>
      </c>
    </row>
    <row r="1211" spans="2:7" s="38" customFormat="1" x14ac:dyDescent="0.2">
      <c r="B1211" s="39" t="s">
        <v>8391</v>
      </c>
      <c r="C1211" s="39" t="s">
        <v>892</v>
      </c>
      <c r="D1211" s="39" t="s">
        <v>34</v>
      </c>
      <c r="E1211" s="40">
        <v>301</v>
      </c>
      <c r="F1211" s="41">
        <f>$E1211*3600/(Input!$H$4*1000)</f>
        <v>36.119999999999997</v>
      </c>
      <c r="G1211" s="42" t="str">
        <f t="shared" si="18"/>
        <v>1210</v>
      </c>
    </row>
    <row r="1212" spans="2:7" s="38" customFormat="1" x14ac:dyDescent="0.2">
      <c r="B1212" s="39" t="s">
        <v>8392</v>
      </c>
      <c r="C1212" s="39" t="s">
        <v>1193</v>
      </c>
      <c r="D1212" s="39" t="s">
        <v>1213</v>
      </c>
      <c r="E1212" s="40">
        <v>847</v>
      </c>
      <c r="F1212" s="41">
        <f>$E1212*3600/(Input!$H$4*1000)</f>
        <v>101.64</v>
      </c>
      <c r="G1212" s="42" t="str">
        <f t="shared" si="18"/>
        <v>1211</v>
      </c>
    </row>
    <row r="1213" spans="2:7" s="38" customFormat="1" x14ac:dyDescent="0.2">
      <c r="B1213" s="39" t="s">
        <v>8393</v>
      </c>
      <c r="C1213" s="39" t="s">
        <v>1069</v>
      </c>
      <c r="D1213" s="39" t="s">
        <v>1565</v>
      </c>
      <c r="E1213" s="40">
        <v>1150</v>
      </c>
      <c r="F1213" s="41">
        <f>$E1213*3600/(Input!$H$4*1000)</f>
        <v>138</v>
      </c>
      <c r="G1213" s="42" t="str">
        <f t="shared" si="18"/>
        <v>1212</v>
      </c>
    </row>
    <row r="1214" spans="2:7" s="38" customFormat="1" x14ac:dyDescent="0.2">
      <c r="B1214" s="39" t="s">
        <v>8394</v>
      </c>
      <c r="C1214" s="39" t="s">
        <v>122</v>
      </c>
      <c r="D1214" s="39" t="s">
        <v>1545</v>
      </c>
      <c r="E1214" s="40">
        <v>429</v>
      </c>
      <c r="F1214" s="41">
        <f>$E1214*3600/(Input!$H$4*1000)</f>
        <v>51.48</v>
      </c>
      <c r="G1214" s="42" t="str">
        <f t="shared" si="18"/>
        <v>1213</v>
      </c>
    </row>
    <row r="1215" spans="2:7" s="38" customFormat="1" x14ac:dyDescent="0.2">
      <c r="B1215" s="39" t="s">
        <v>8395</v>
      </c>
      <c r="C1215" s="39" t="s">
        <v>409</v>
      </c>
      <c r="D1215" s="39" t="s">
        <v>1809</v>
      </c>
      <c r="E1215" s="40">
        <v>323</v>
      </c>
      <c r="F1215" s="41">
        <f>$E1215*3600/(Input!$H$4*1000)</f>
        <v>38.76</v>
      </c>
      <c r="G1215" s="42" t="str">
        <f t="shared" si="18"/>
        <v>1214</v>
      </c>
    </row>
    <row r="1216" spans="2:7" s="38" customFormat="1" x14ac:dyDescent="0.2">
      <c r="B1216" s="39" t="s">
        <v>8396</v>
      </c>
      <c r="C1216" s="39" t="s">
        <v>1499</v>
      </c>
      <c r="D1216" s="39" t="s">
        <v>984</v>
      </c>
      <c r="E1216" s="40">
        <v>338</v>
      </c>
      <c r="F1216" s="41">
        <f>$E1216*3600/(Input!$H$4*1000)</f>
        <v>40.56</v>
      </c>
      <c r="G1216" s="42" t="str">
        <f t="shared" si="18"/>
        <v>1215</v>
      </c>
    </row>
    <row r="1217" spans="2:7" s="38" customFormat="1" x14ac:dyDescent="0.2">
      <c r="B1217" s="39" t="s">
        <v>8397</v>
      </c>
      <c r="C1217" s="39" t="s">
        <v>1026</v>
      </c>
      <c r="D1217" s="39" t="s">
        <v>1667</v>
      </c>
      <c r="E1217" s="40">
        <v>474</v>
      </c>
      <c r="F1217" s="41">
        <f>$E1217*3600/(Input!$H$4*1000)</f>
        <v>56.88</v>
      </c>
      <c r="G1217" s="42" t="str">
        <f t="shared" si="18"/>
        <v>1216</v>
      </c>
    </row>
    <row r="1218" spans="2:7" s="38" customFormat="1" x14ac:dyDescent="0.2">
      <c r="B1218" s="39" t="s">
        <v>8398</v>
      </c>
      <c r="C1218" s="39" t="s">
        <v>460</v>
      </c>
      <c r="D1218" s="39" t="s">
        <v>154</v>
      </c>
      <c r="E1218" s="40">
        <v>421</v>
      </c>
      <c r="F1218" s="41">
        <f>$E1218*3600/(Input!$H$4*1000)</f>
        <v>50.52</v>
      </c>
      <c r="G1218" s="42" t="str">
        <f t="shared" ref="G1218:G1281" si="19">MID(B1218,7,LEN(B1218)-6)</f>
        <v>1217</v>
      </c>
    </row>
    <row r="1219" spans="2:7" s="38" customFormat="1" x14ac:dyDescent="0.2">
      <c r="B1219" s="39" t="s">
        <v>8399</v>
      </c>
      <c r="C1219" s="39" t="s">
        <v>1054</v>
      </c>
      <c r="D1219" s="39" t="s">
        <v>154</v>
      </c>
      <c r="E1219" s="40">
        <v>722</v>
      </c>
      <c r="F1219" s="41">
        <f>$E1219*3600/(Input!$H$4*1000)</f>
        <v>86.64</v>
      </c>
      <c r="G1219" s="42" t="str">
        <f t="shared" si="19"/>
        <v>1218</v>
      </c>
    </row>
    <row r="1220" spans="2:7" s="38" customFormat="1" x14ac:dyDescent="0.2">
      <c r="B1220" s="39" t="s">
        <v>8400</v>
      </c>
      <c r="C1220" s="39" t="s">
        <v>425</v>
      </c>
      <c r="D1220" s="39" t="s">
        <v>1684</v>
      </c>
      <c r="E1220" s="40">
        <v>827</v>
      </c>
      <c r="F1220" s="41">
        <f>$E1220*3600/(Input!$H$4*1000)</f>
        <v>99.24</v>
      </c>
      <c r="G1220" s="42" t="str">
        <f t="shared" si="19"/>
        <v>1219</v>
      </c>
    </row>
    <row r="1221" spans="2:7" s="38" customFormat="1" x14ac:dyDescent="0.2">
      <c r="B1221" s="39" t="s">
        <v>8401</v>
      </c>
      <c r="C1221" s="39" t="s">
        <v>1684</v>
      </c>
      <c r="D1221" s="39" t="s">
        <v>1687</v>
      </c>
      <c r="E1221" s="40">
        <v>792</v>
      </c>
      <c r="F1221" s="41">
        <f>$E1221*3600/(Input!$H$4*1000)</f>
        <v>95.04</v>
      </c>
      <c r="G1221" s="42" t="str">
        <f t="shared" si="19"/>
        <v>1220</v>
      </c>
    </row>
    <row r="1222" spans="2:7" s="38" customFormat="1" x14ac:dyDescent="0.2">
      <c r="B1222" s="39" t="s">
        <v>8402</v>
      </c>
      <c r="C1222" s="39" t="s">
        <v>1020</v>
      </c>
      <c r="D1222" s="39" t="s">
        <v>1656</v>
      </c>
      <c r="E1222" s="40">
        <v>362</v>
      </c>
      <c r="F1222" s="41">
        <f>$E1222*3600/(Input!$H$4*1000)</f>
        <v>43.44</v>
      </c>
      <c r="G1222" s="42" t="str">
        <f t="shared" si="19"/>
        <v>1221</v>
      </c>
    </row>
    <row r="1223" spans="2:7" s="38" customFormat="1" x14ac:dyDescent="0.2">
      <c r="B1223" s="39" t="s">
        <v>8403</v>
      </c>
      <c r="C1223" s="39" t="s">
        <v>1444</v>
      </c>
      <c r="D1223" s="39" t="s">
        <v>1719</v>
      </c>
      <c r="E1223" s="40">
        <v>514</v>
      </c>
      <c r="F1223" s="41">
        <f>$E1223*3600/(Input!$H$4*1000)</f>
        <v>61.68</v>
      </c>
      <c r="G1223" s="42" t="str">
        <f t="shared" si="19"/>
        <v>1222</v>
      </c>
    </row>
    <row r="1224" spans="2:7" s="38" customFormat="1" x14ac:dyDescent="0.2">
      <c r="B1224" s="39" t="s">
        <v>8404</v>
      </c>
      <c r="C1224" s="39" t="s">
        <v>434</v>
      </c>
      <c r="D1224" s="39" t="s">
        <v>1677</v>
      </c>
      <c r="E1224" s="40">
        <v>291</v>
      </c>
      <c r="F1224" s="41">
        <f>$E1224*3600/(Input!$H$4*1000)</f>
        <v>34.92</v>
      </c>
      <c r="G1224" s="42" t="str">
        <f t="shared" si="19"/>
        <v>1223</v>
      </c>
    </row>
    <row r="1225" spans="2:7" s="38" customFormat="1" x14ac:dyDescent="0.2">
      <c r="B1225" s="39" t="s">
        <v>8405</v>
      </c>
      <c r="C1225" s="39" t="s">
        <v>434</v>
      </c>
      <c r="D1225" s="39" t="s">
        <v>226</v>
      </c>
      <c r="E1225" s="40">
        <v>331</v>
      </c>
      <c r="F1225" s="41">
        <f>$E1225*3600/(Input!$H$4*1000)</f>
        <v>39.72</v>
      </c>
      <c r="G1225" s="42" t="str">
        <f t="shared" si="19"/>
        <v>1224</v>
      </c>
    </row>
    <row r="1226" spans="2:7" s="38" customFormat="1" x14ac:dyDescent="0.2">
      <c r="B1226" s="39" t="s">
        <v>8406</v>
      </c>
      <c r="C1226" s="39" t="s">
        <v>467</v>
      </c>
      <c r="D1226" s="39" t="s">
        <v>1355</v>
      </c>
      <c r="E1226" s="40">
        <v>1240</v>
      </c>
      <c r="F1226" s="41">
        <f>$E1226*3600/(Input!$H$4*1000)</f>
        <v>148.80000000000001</v>
      </c>
      <c r="G1226" s="42" t="str">
        <f t="shared" si="19"/>
        <v>1225</v>
      </c>
    </row>
    <row r="1227" spans="2:7" s="38" customFormat="1" x14ac:dyDescent="0.2">
      <c r="B1227" s="39" t="s">
        <v>8407</v>
      </c>
      <c r="C1227" s="39" t="s">
        <v>467</v>
      </c>
      <c r="D1227" s="39" t="s">
        <v>1653</v>
      </c>
      <c r="E1227" s="40">
        <v>622</v>
      </c>
      <c r="F1227" s="41">
        <f>$E1227*3600/(Input!$H$4*1000)</f>
        <v>74.64</v>
      </c>
      <c r="G1227" s="42" t="str">
        <f t="shared" si="19"/>
        <v>1226</v>
      </c>
    </row>
    <row r="1228" spans="2:7" s="38" customFormat="1" x14ac:dyDescent="0.2">
      <c r="B1228" s="39" t="s">
        <v>8408</v>
      </c>
      <c r="C1228" s="39" t="s">
        <v>266</v>
      </c>
      <c r="D1228" s="39" t="s">
        <v>1653</v>
      </c>
      <c r="E1228" s="40">
        <v>539</v>
      </c>
      <c r="F1228" s="41">
        <f>$E1228*3600/(Input!$H$4*1000)</f>
        <v>64.680000000000007</v>
      </c>
      <c r="G1228" s="42" t="str">
        <f t="shared" si="19"/>
        <v>1227</v>
      </c>
    </row>
    <row r="1229" spans="2:7" s="38" customFormat="1" x14ac:dyDescent="0.2">
      <c r="B1229" s="39" t="s">
        <v>8409</v>
      </c>
      <c r="C1229" s="39" t="s">
        <v>1653</v>
      </c>
      <c r="D1229" s="39" t="s">
        <v>1129</v>
      </c>
      <c r="E1229" s="40">
        <v>161</v>
      </c>
      <c r="F1229" s="41">
        <f>$E1229*3600/(Input!$H$4*1000)</f>
        <v>19.32</v>
      </c>
      <c r="G1229" s="42" t="str">
        <f t="shared" si="19"/>
        <v>1228</v>
      </c>
    </row>
    <row r="1230" spans="2:7" s="38" customFormat="1" x14ac:dyDescent="0.2">
      <c r="B1230" s="39" t="s">
        <v>8410</v>
      </c>
      <c r="C1230" s="39" t="s">
        <v>139</v>
      </c>
      <c r="D1230" s="39" t="s">
        <v>1653</v>
      </c>
      <c r="E1230" s="40">
        <v>744</v>
      </c>
      <c r="F1230" s="41">
        <f>$E1230*3600/(Input!$H$4*1000)</f>
        <v>89.28</v>
      </c>
      <c r="G1230" s="42" t="str">
        <f t="shared" si="19"/>
        <v>1229</v>
      </c>
    </row>
    <row r="1231" spans="2:7" s="38" customFormat="1" x14ac:dyDescent="0.2">
      <c r="B1231" s="39" t="s">
        <v>8411</v>
      </c>
      <c r="C1231" s="39" t="s">
        <v>112</v>
      </c>
      <c r="D1231" s="39" t="s">
        <v>1055</v>
      </c>
      <c r="E1231" s="40">
        <v>1530</v>
      </c>
      <c r="F1231" s="41">
        <f>$E1231*3600/(Input!$H$4*1000)</f>
        <v>183.6</v>
      </c>
      <c r="G1231" s="42" t="str">
        <f t="shared" si="19"/>
        <v>1230</v>
      </c>
    </row>
    <row r="1232" spans="2:7" s="38" customFormat="1" x14ac:dyDescent="0.2">
      <c r="B1232" s="39" t="s">
        <v>8412</v>
      </c>
      <c r="C1232" s="39" t="s">
        <v>1027</v>
      </c>
      <c r="D1232" s="39" t="s">
        <v>418</v>
      </c>
      <c r="E1232" s="40">
        <v>904</v>
      </c>
      <c r="F1232" s="41">
        <f>$E1232*3600/(Input!$H$4*1000)</f>
        <v>108.48</v>
      </c>
      <c r="G1232" s="42" t="str">
        <f t="shared" si="19"/>
        <v>1231</v>
      </c>
    </row>
    <row r="1233" spans="2:7" s="38" customFormat="1" x14ac:dyDescent="0.2">
      <c r="B1233" s="39" t="s">
        <v>8413</v>
      </c>
      <c r="C1233" s="39" t="s">
        <v>1027</v>
      </c>
      <c r="D1233" s="39" t="s">
        <v>294</v>
      </c>
      <c r="E1233" s="40">
        <v>1180</v>
      </c>
      <c r="F1233" s="41">
        <f>$E1233*3600/(Input!$H$4*1000)</f>
        <v>141.6</v>
      </c>
      <c r="G1233" s="42" t="str">
        <f t="shared" si="19"/>
        <v>1232</v>
      </c>
    </row>
    <row r="1234" spans="2:7" s="38" customFormat="1" x14ac:dyDescent="0.2">
      <c r="B1234" s="39" t="s">
        <v>8414</v>
      </c>
      <c r="C1234" s="39" t="s">
        <v>418</v>
      </c>
      <c r="D1234" s="39" t="s">
        <v>533</v>
      </c>
      <c r="E1234" s="40">
        <v>966</v>
      </c>
      <c r="F1234" s="41">
        <f>$E1234*3600/(Input!$H$4*1000)</f>
        <v>115.92</v>
      </c>
      <c r="G1234" s="42" t="str">
        <f t="shared" si="19"/>
        <v>1233</v>
      </c>
    </row>
    <row r="1235" spans="2:7" s="38" customFormat="1" x14ac:dyDescent="0.2">
      <c r="B1235" s="39" t="s">
        <v>8415</v>
      </c>
      <c r="C1235" s="39" t="s">
        <v>1820</v>
      </c>
      <c r="D1235" s="39" t="s">
        <v>533</v>
      </c>
      <c r="E1235" s="40">
        <v>628</v>
      </c>
      <c r="F1235" s="41">
        <f>$E1235*3600/(Input!$H$4*1000)</f>
        <v>75.36</v>
      </c>
      <c r="G1235" s="42" t="str">
        <f t="shared" si="19"/>
        <v>1234</v>
      </c>
    </row>
    <row r="1236" spans="2:7" s="38" customFormat="1" x14ac:dyDescent="0.2">
      <c r="B1236" s="39" t="s">
        <v>8416</v>
      </c>
      <c r="C1236" s="39" t="s">
        <v>1820</v>
      </c>
      <c r="D1236" s="39" t="s">
        <v>403</v>
      </c>
      <c r="E1236" s="40">
        <v>1420</v>
      </c>
      <c r="F1236" s="41">
        <f>$E1236*3600/(Input!$H$4*1000)</f>
        <v>170.4</v>
      </c>
      <c r="G1236" s="42" t="str">
        <f t="shared" si="19"/>
        <v>1235</v>
      </c>
    </row>
    <row r="1237" spans="2:7" s="38" customFormat="1" x14ac:dyDescent="0.2">
      <c r="B1237" s="39" t="s">
        <v>8417</v>
      </c>
      <c r="C1237" s="39" t="s">
        <v>403</v>
      </c>
      <c r="D1237" s="39" t="s">
        <v>306</v>
      </c>
      <c r="E1237" s="40">
        <v>1450</v>
      </c>
      <c r="F1237" s="41">
        <f>$E1237*3600/(Input!$H$4*1000)</f>
        <v>174</v>
      </c>
      <c r="G1237" s="42" t="str">
        <f t="shared" si="19"/>
        <v>1236</v>
      </c>
    </row>
    <row r="1238" spans="2:7" s="38" customFormat="1" x14ac:dyDescent="0.2">
      <c r="B1238" s="39" t="s">
        <v>8418</v>
      </c>
      <c r="C1238" s="39" t="s">
        <v>306</v>
      </c>
      <c r="D1238" s="39" t="s">
        <v>303</v>
      </c>
      <c r="E1238" s="40">
        <v>1360</v>
      </c>
      <c r="F1238" s="41">
        <f>$E1238*3600/(Input!$H$4*1000)</f>
        <v>163.19999999999999</v>
      </c>
      <c r="G1238" s="42" t="str">
        <f t="shared" si="19"/>
        <v>1237</v>
      </c>
    </row>
    <row r="1239" spans="2:7" s="38" customFormat="1" x14ac:dyDescent="0.2">
      <c r="B1239" s="39" t="s">
        <v>8419</v>
      </c>
      <c r="C1239" s="39" t="s">
        <v>303</v>
      </c>
      <c r="D1239" s="39" t="s">
        <v>256</v>
      </c>
      <c r="E1239" s="40">
        <v>877</v>
      </c>
      <c r="F1239" s="41">
        <f>$E1239*3600/(Input!$H$4*1000)</f>
        <v>105.24</v>
      </c>
      <c r="G1239" s="42" t="str">
        <f t="shared" si="19"/>
        <v>1238</v>
      </c>
    </row>
    <row r="1240" spans="2:7" s="38" customFormat="1" x14ac:dyDescent="0.2">
      <c r="B1240" s="39" t="s">
        <v>8420</v>
      </c>
      <c r="C1240" s="39" t="s">
        <v>216</v>
      </c>
      <c r="D1240" s="39" t="s">
        <v>247</v>
      </c>
      <c r="E1240" s="40">
        <v>213</v>
      </c>
      <c r="F1240" s="41">
        <f>$E1240*3600/(Input!$H$4*1000)</f>
        <v>25.56</v>
      </c>
      <c r="G1240" s="42" t="str">
        <f t="shared" si="19"/>
        <v>1239</v>
      </c>
    </row>
    <row r="1241" spans="2:7" s="38" customFormat="1" x14ac:dyDescent="0.2">
      <c r="B1241" s="39" t="s">
        <v>8421</v>
      </c>
      <c r="C1241" s="39" t="s">
        <v>216</v>
      </c>
      <c r="D1241" s="39" t="s">
        <v>1004</v>
      </c>
      <c r="E1241" s="40">
        <v>726</v>
      </c>
      <c r="F1241" s="41">
        <f>$E1241*3600/(Input!$H$4*1000)</f>
        <v>87.12</v>
      </c>
      <c r="G1241" s="42" t="str">
        <f t="shared" si="19"/>
        <v>1240</v>
      </c>
    </row>
    <row r="1242" spans="2:7" s="38" customFormat="1" x14ac:dyDescent="0.2">
      <c r="B1242" s="39" t="s">
        <v>8422</v>
      </c>
      <c r="C1242" s="39" t="s">
        <v>1004</v>
      </c>
      <c r="D1242" s="39" t="s">
        <v>713</v>
      </c>
      <c r="E1242" s="40">
        <v>1280</v>
      </c>
      <c r="F1242" s="41">
        <f>$E1242*3600/(Input!$H$4*1000)</f>
        <v>153.6</v>
      </c>
      <c r="G1242" s="42" t="str">
        <f t="shared" si="19"/>
        <v>1241</v>
      </c>
    </row>
    <row r="1243" spans="2:7" s="38" customFormat="1" x14ac:dyDescent="0.2">
      <c r="B1243" s="39" t="s">
        <v>8423</v>
      </c>
      <c r="C1243" s="39" t="s">
        <v>713</v>
      </c>
      <c r="D1243" s="39" t="s">
        <v>341</v>
      </c>
      <c r="E1243" s="40">
        <v>183</v>
      </c>
      <c r="F1243" s="41">
        <f>$E1243*3600/(Input!$H$4*1000)</f>
        <v>21.96</v>
      </c>
      <c r="G1243" s="42" t="str">
        <f t="shared" si="19"/>
        <v>1242</v>
      </c>
    </row>
    <row r="1244" spans="2:7" s="38" customFormat="1" x14ac:dyDescent="0.2">
      <c r="B1244" s="39" t="s">
        <v>8424</v>
      </c>
      <c r="C1244" s="39" t="s">
        <v>1636</v>
      </c>
      <c r="D1244" s="39" t="s">
        <v>1004</v>
      </c>
      <c r="E1244" s="40">
        <v>472</v>
      </c>
      <c r="F1244" s="41">
        <f>$E1244*3600/(Input!$H$4*1000)</f>
        <v>56.64</v>
      </c>
      <c r="G1244" s="42" t="str">
        <f t="shared" si="19"/>
        <v>1243</v>
      </c>
    </row>
    <row r="1245" spans="2:7" s="38" customFormat="1" x14ac:dyDescent="0.2">
      <c r="B1245" s="39" t="s">
        <v>8425</v>
      </c>
      <c r="C1245" s="39" t="s">
        <v>1004</v>
      </c>
      <c r="D1245" s="39" t="s">
        <v>1003</v>
      </c>
      <c r="E1245" s="40">
        <v>671</v>
      </c>
      <c r="F1245" s="41">
        <f>$E1245*3600/(Input!$H$4*1000)</f>
        <v>80.52</v>
      </c>
      <c r="G1245" s="42" t="str">
        <f t="shared" si="19"/>
        <v>1244</v>
      </c>
    </row>
    <row r="1246" spans="2:7" s="38" customFormat="1" x14ac:dyDescent="0.2">
      <c r="B1246" s="39" t="s">
        <v>8426</v>
      </c>
      <c r="C1246" s="39" t="s">
        <v>807</v>
      </c>
      <c r="D1246" s="39" t="s">
        <v>1002</v>
      </c>
      <c r="E1246" s="40">
        <v>507</v>
      </c>
      <c r="F1246" s="41">
        <f>$E1246*3600/(Input!$H$4*1000)</f>
        <v>60.84</v>
      </c>
      <c r="G1246" s="42" t="str">
        <f t="shared" si="19"/>
        <v>1245</v>
      </c>
    </row>
    <row r="1247" spans="2:7" s="38" customFormat="1" x14ac:dyDescent="0.2">
      <c r="B1247" s="39" t="s">
        <v>8427</v>
      </c>
      <c r="C1247" s="39" t="s">
        <v>292</v>
      </c>
      <c r="D1247" s="39" t="s">
        <v>300</v>
      </c>
      <c r="E1247" s="40">
        <v>572</v>
      </c>
      <c r="F1247" s="41">
        <f>$E1247*3600/(Input!$H$4*1000)</f>
        <v>68.64</v>
      </c>
      <c r="G1247" s="42" t="str">
        <f t="shared" si="19"/>
        <v>1246</v>
      </c>
    </row>
    <row r="1248" spans="2:7" s="38" customFormat="1" x14ac:dyDescent="0.2">
      <c r="B1248" s="39" t="s">
        <v>8428</v>
      </c>
      <c r="C1248" s="39" t="s">
        <v>292</v>
      </c>
      <c r="D1248" s="39" t="s">
        <v>314</v>
      </c>
      <c r="E1248" s="40">
        <v>195</v>
      </c>
      <c r="F1248" s="41">
        <f>$E1248*3600/(Input!$H$4*1000)</f>
        <v>23.4</v>
      </c>
      <c r="G1248" s="42" t="str">
        <f t="shared" si="19"/>
        <v>1247</v>
      </c>
    </row>
    <row r="1249" spans="2:7" s="38" customFormat="1" x14ac:dyDescent="0.2">
      <c r="B1249" s="39" t="s">
        <v>8429</v>
      </c>
      <c r="C1249" s="39" t="s">
        <v>314</v>
      </c>
      <c r="D1249" s="39" t="s">
        <v>597</v>
      </c>
      <c r="E1249" s="40">
        <v>705</v>
      </c>
      <c r="F1249" s="41">
        <f>$E1249*3600/(Input!$H$4*1000)</f>
        <v>84.6</v>
      </c>
      <c r="G1249" s="42" t="str">
        <f t="shared" si="19"/>
        <v>1248</v>
      </c>
    </row>
    <row r="1250" spans="2:7" s="38" customFormat="1" x14ac:dyDescent="0.2">
      <c r="B1250" s="39" t="s">
        <v>8430</v>
      </c>
      <c r="C1250" s="39" t="s">
        <v>478</v>
      </c>
      <c r="D1250" s="39" t="s">
        <v>597</v>
      </c>
      <c r="E1250" s="40">
        <v>386</v>
      </c>
      <c r="F1250" s="41">
        <f>$E1250*3600/(Input!$H$4*1000)</f>
        <v>46.32</v>
      </c>
      <c r="G1250" s="42" t="str">
        <f t="shared" si="19"/>
        <v>1249</v>
      </c>
    </row>
    <row r="1251" spans="2:7" s="38" customFormat="1" x14ac:dyDescent="0.2">
      <c r="B1251" s="39" t="s">
        <v>8431</v>
      </c>
      <c r="C1251" s="39" t="s">
        <v>114</v>
      </c>
      <c r="D1251" s="39" t="s">
        <v>482</v>
      </c>
      <c r="E1251" s="40">
        <v>661</v>
      </c>
      <c r="F1251" s="41">
        <f>$E1251*3600/(Input!$H$4*1000)</f>
        <v>79.319999999999993</v>
      </c>
      <c r="G1251" s="42" t="str">
        <f t="shared" si="19"/>
        <v>1250</v>
      </c>
    </row>
    <row r="1252" spans="2:7" s="38" customFormat="1" x14ac:dyDescent="0.2">
      <c r="B1252" s="39" t="s">
        <v>8432</v>
      </c>
      <c r="C1252" s="39" t="s">
        <v>470</v>
      </c>
      <c r="D1252" s="39" t="s">
        <v>482</v>
      </c>
      <c r="E1252" s="40">
        <v>367</v>
      </c>
      <c r="F1252" s="41">
        <f>$E1252*3600/(Input!$H$4*1000)</f>
        <v>44.04</v>
      </c>
      <c r="G1252" s="42" t="str">
        <f t="shared" si="19"/>
        <v>1251</v>
      </c>
    </row>
    <row r="1253" spans="2:7" s="38" customFormat="1" x14ac:dyDescent="0.2">
      <c r="B1253" s="39" t="s">
        <v>8433</v>
      </c>
      <c r="C1253" s="39" t="s">
        <v>1063</v>
      </c>
      <c r="D1253" s="39" t="s">
        <v>804</v>
      </c>
      <c r="E1253" s="40">
        <v>741</v>
      </c>
      <c r="F1253" s="41">
        <f>$E1253*3600/(Input!$H$4*1000)</f>
        <v>88.92</v>
      </c>
      <c r="G1253" s="42" t="str">
        <f t="shared" si="19"/>
        <v>1252</v>
      </c>
    </row>
    <row r="1254" spans="2:7" s="38" customFormat="1" x14ac:dyDescent="0.2">
      <c r="B1254" s="39" t="s">
        <v>8434</v>
      </c>
      <c r="C1254" s="39" t="s">
        <v>1063</v>
      </c>
      <c r="D1254" s="39" t="s">
        <v>1821</v>
      </c>
      <c r="E1254" s="40">
        <v>667</v>
      </c>
      <c r="F1254" s="41">
        <f>$E1254*3600/(Input!$H$4*1000)</f>
        <v>80.040000000000006</v>
      </c>
      <c r="G1254" s="42" t="str">
        <f t="shared" si="19"/>
        <v>1253</v>
      </c>
    </row>
    <row r="1255" spans="2:7" s="38" customFormat="1" x14ac:dyDescent="0.2">
      <c r="B1255" s="39" t="s">
        <v>8435</v>
      </c>
      <c r="C1255" s="39" t="s">
        <v>1821</v>
      </c>
      <c r="D1255" s="39" t="s">
        <v>169</v>
      </c>
      <c r="E1255" s="40">
        <v>913</v>
      </c>
      <c r="F1255" s="41">
        <f>$E1255*3600/(Input!$H$4*1000)</f>
        <v>109.56</v>
      </c>
      <c r="G1255" s="42" t="str">
        <f t="shared" si="19"/>
        <v>1254</v>
      </c>
    </row>
    <row r="1256" spans="2:7" s="38" customFormat="1" x14ac:dyDescent="0.2">
      <c r="B1256" s="39" t="s">
        <v>8436</v>
      </c>
      <c r="C1256" s="39" t="s">
        <v>169</v>
      </c>
      <c r="D1256" s="39" t="s">
        <v>1016</v>
      </c>
      <c r="E1256" s="40">
        <v>806</v>
      </c>
      <c r="F1256" s="41">
        <f>$E1256*3600/(Input!$H$4*1000)</f>
        <v>96.72</v>
      </c>
      <c r="G1256" s="42" t="str">
        <f t="shared" si="19"/>
        <v>1255</v>
      </c>
    </row>
    <row r="1257" spans="2:7" s="38" customFormat="1" x14ac:dyDescent="0.2">
      <c r="B1257" s="39" t="s">
        <v>8437</v>
      </c>
      <c r="C1257" s="39" t="s">
        <v>470</v>
      </c>
      <c r="D1257" s="39" t="s">
        <v>169</v>
      </c>
      <c r="E1257" s="40">
        <v>2090</v>
      </c>
      <c r="F1257" s="41">
        <f>$E1257*3600/(Input!$H$4*1000)</f>
        <v>250.8</v>
      </c>
      <c r="G1257" s="42" t="str">
        <f t="shared" si="19"/>
        <v>1256</v>
      </c>
    </row>
    <row r="1258" spans="2:7" s="38" customFormat="1" x14ac:dyDescent="0.2">
      <c r="B1258" s="39" t="s">
        <v>8438</v>
      </c>
      <c r="C1258" s="39" t="s">
        <v>475</v>
      </c>
      <c r="D1258" s="39" t="s">
        <v>250</v>
      </c>
      <c r="E1258" s="40">
        <v>303</v>
      </c>
      <c r="F1258" s="41">
        <f>$E1258*3600/(Input!$H$4*1000)</f>
        <v>36.36</v>
      </c>
      <c r="G1258" s="42" t="str">
        <f t="shared" si="19"/>
        <v>1257</v>
      </c>
    </row>
    <row r="1259" spans="2:7" s="38" customFormat="1" x14ac:dyDescent="0.2">
      <c r="B1259" s="39" t="s">
        <v>8439</v>
      </c>
      <c r="C1259" s="39" t="s">
        <v>1057</v>
      </c>
      <c r="D1259" s="39" t="s">
        <v>1720</v>
      </c>
      <c r="E1259" s="40">
        <v>1020</v>
      </c>
      <c r="F1259" s="41">
        <f>$E1259*3600/(Input!$H$4*1000)</f>
        <v>122.4</v>
      </c>
      <c r="G1259" s="42" t="str">
        <f t="shared" si="19"/>
        <v>1258</v>
      </c>
    </row>
    <row r="1260" spans="2:7" s="38" customFormat="1" x14ac:dyDescent="0.2">
      <c r="B1260" s="39" t="s">
        <v>8440</v>
      </c>
      <c r="C1260" s="39" t="s">
        <v>470</v>
      </c>
      <c r="D1260" s="39" t="s">
        <v>1720</v>
      </c>
      <c r="E1260" s="40">
        <v>230</v>
      </c>
      <c r="F1260" s="41">
        <f>$E1260*3600/(Input!$H$4*1000)</f>
        <v>27.6</v>
      </c>
      <c r="G1260" s="42" t="str">
        <f t="shared" si="19"/>
        <v>1259</v>
      </c>
    </row>
    <row r="1261" spans="2:7" s="38" customFormat="1" x14ac:dyDescent="0.2">
      <c r="B1261" s="39" t="s">
        <v>8441</v>
      </c>
      <c r="C1261" s="39" t="s">
        <v>470</v>
      </c>
      <c r="D1261" s="39" t="s">
        <v>314</v>
      </c>
      <c r="E1261" s="40">
        <v>648</v>
      </c>
      <c r="F1261" s="41">
        <f>$E1261*3600/(Input!$H$4*1000)</f>
        <v>77.760000000000005</v>
      </c>
      <c r="G1261" s="42" t="str">
        <f t="shared" si="19"/>
        <v>1260</v>
      </c>
    </row>
    <row r="1262" spans="2:7" s="38" customFormat="1" x14ac:dyDescent="0.2">
      <c r="B1262" s="39" t="s">
        <v>8442</v>
      </c>
      <c r="C1262" s="39" t="s">
        <v>1027</v>
      </c>
      <c r="D1262" s="39" t="s">
        <v>139</v>
      </c>
      <c r="E1262" s="40">
        <v>2020</v>
      </c>
      <c r="F1262" s="41">
        <f>$E1262*3600/(Input!$H$4*1000)</f>
        <v>242.4</v>
      </c>
      <c r="G1262" s="42" t="str">
        <f t="shared" si="19"/>
        <v>1261</v>
      </c>
    </row>
    <row r="1263" spans="2:7" s="38" customFormat="1" x14ac:dyDescent="0.2">
      <c r="B1263" s="39" t="s">
        <v>8443</v>
      </c>
      <c r="C1263" s="39" t="s">
        <v>294</v>
      </c>
      <c r="D1263" s="39" t="s">
        <v>1655</v>
      </c>
      <c r="E1263" s="40">
        <v>1070</v>
      </c>
      <c r="F1263" s="41">
        <f>$E1263*3600/(Input!$H$4*1000)</f>
        <v>128.4</v>
      </c>
      <c r="G1263" s="42" t="str">
        <f t="shared" si="19"/>
        <v>1262</v>
      </c>
    </row>
    <row r="1264" spans="2:7" s="38" customFormat="1" x14ac:dyDescent="0.2">
      <c r="B1264" s="39" t="s">
        <v>8444</v>
      </c>
      <c r="C1264" s="39" t="s">
        <v>1655</v>
      </c>
      <c r="D1264" s="39" t="s">
        <v>1649</v>
      </c>
      <c r="E1264" s="40">
        <v>1140</v>
      </c>
      <c r="F1264" s="41">
        <f>$E1264*3600/(Input!$H$4*1000)</f>
        <v>136.80000000000001</v>
      </c>
      <c r="G1264" s="42" t="str">
        <f t="shared" si="19"/>
        <v>1263</v>
      </c>
    </row>
    <row r="1265" spans="2:7" s="38" customFormat="1" x14ac:dyDescent="0.2">
      <c r="B1265" s="39" t="s">
        <v>8445</v>
      </c>
      <c r="C1265" s="39" t="s">
        <v>1002</v>
      </c>
      <c r="D1265" s="39" t="s">
        <v>1649</v>
      </c>
      <c r="E1265" s="40">
        <v>239</v>
      </c>
      <c r="F1265" s="41">
        <f>$E1265*3600/(Input!$H$4*1000)</f>
        <v>28.68</v>
      </c>
      <c r="G1265" s="42" t="str">
        <f t="shared" si="19"/>
        <v>1264</v>
      </c>
    </row>
    <row r="1266" spans="2:7" s="38" customFormat="1" x14ac:dyDescent="0.2">
      <c r="B1266" s="39" t="s">
        <v>8446</v>
      </c>
      <c r="C1266" s="39" t="s">
        <v>457</v>
      </c>
      <c r="D1266" s="39" t="s">
        <v>1676</v>
      </c>
      <c r="E1266" s="40">
        <v>268</v>
      </c>
      <c r="F1266" s="41">
        <f>$E1266*3600/(Input!$H$4*1000)</f>
        <v>32.159999999999997</v>
      </c>
      <c r="G1266" s="42" t="str">
        <f t="shared" si="19"/>
        <v>1266</v>
      </c>
    </row>
    <row r="1267" spans="2:7" s="38" customFormat="1" x14ac:dyDescent="0.2">
      <c r="B1267" s="39" t="s">
        <v>8447</v>
      </c>
      <c r="C1267" s="39" t="s">
        <v>457</v>
      </c>
      <c r="D1267" s="39" t="s">
        <v>245</v>
      </c>
      <c r="E1267" s="40">
        <v>283</v>
      </c>
      <c r="F1267" s="41">
        <f>$E1267*3600/(Input!$H$4*1000)</f>
        <v>33.96</v>
      </c>
      <c r="G1267" s="42" t="str">
        <f t="shared" si="19"/>
        <v>1267</v>
      </c>
    </row>
    <row r="1268" spans="2:7" s="38" customFormat="1" x14ac:dyDescent="0.2">
      <c r="B1268" s="39" t="s">
        <v>8448</v>
      </c>
      <c r="C1268" s="39" t="s">
        <v>1055</v>
      </c>
      <c r="D1268" s="39" t="s">
        <v>1037</v>
      </c>
      <c r="E1268" s="40">
        <v>874</v>
      </c>
      <c r="F1268" s="41">
        <f>$E1268*3600/(Input!$H$4*1000)</f>
        <v>104.88</v>
      </c>
      <c r="G1268" s="42" t="str">
        <f t="shared" si="19"/>
        <v>1268</v>
      </c>
    </row>
    <row r="1269" spans="2:7" s="38" customFormat="1" x14ac:dyDescent="0.2">
      <c r="B1269" s="39" t="s">
        <v>8449</v>
      </c>
      <c r="C1269" s="39" t="s">
        <v>1037</v>
      </c>
      <c r="D1269" s="39" t="s">
        <v>1822</v>
      </c>
      <c r="E1269" s="40">
        <v>828</v>
      </c>
      <c r="F1269" s="41">
        <f>$E1269*3600/(Input!$H$4*1000)</f>
        <v>99.36</v>
      </c>
      <c r="G1269" s="42" t="str">
        <f t="shared" si="19"/>
        <v>1269</v>
      </c>
    </row>
    <row r="1270" spans="2:7" s="38" customFormat="1" x14ac:dyDescent="0.2">
      <c r="B1270" s="39" t="s">
        <v>8450</v>
      </c>
      <c r="C1270" s="39" t="s">
        <v>293</v>
      </c>
      <c r="D1270" s="39" t="s">
        <v>1592</v>
      </c>
      <c r="E1270" s="40">
        <v>612</v>
      </c>
      <c r="F1270" s="41">
        <f>$E1270*3600/(Input!$H$4*1000)</f>
        <v>73.44</v>
      </c>
      <c r="G1270" s="42" t="str">
        <f t="shared" si="19"/>
        <v>1270</v>
      </c>
    </row>
    <row r="1271" spans="2:7" s="38" customFormat="1" x14ac:dyDescent="0.2">
      <c r="B1271" s="39" t="s">
        <v>8451</v>
      </c>
      <c r="C1271" s="39" t="s">
        <v>1592</v>
      </c>
      <c r="D1271" s="39" t="s">
        <v>461</v>
      </c>
      <c r="E1271" s="40">
        <v>988</v>
      </c>
      <c r="F1271" s="41">
        <f>$E1271*3600/(Input!$H$4*1000)</f>
        <v>118.56</v>
      </c>
      <c r="G1271" s="42" t="str">
        <f t="shared" si="19"/>
        <v>1271</v>
      </c>
    </row>
    <row r="1272" spans="2:7" s="38" customFormat="1" x14ac:dyDescent="0.2">
      <c r="B1272" s="39" t="s">
        <v>8452</v>
      </c>
      <c r="C1272" s="39" t="s">
        <v>461</v>
      </c>
      <c r="D1272" s="39" t="s">
        <v>58</v>
      </c>
      <c r="E1272" s="40">
        <v>268</v>
      </c>
      <c r="F1272" s="41">
        <f>$E1272*3600/(Input!$H$4*1000)</f>
        <v>32.159999999999997</v>
      </c>
      <c r="G1272" s="42" t="str">
        <f t="shared" si="19"/>
        <v>1272</v>
      </c>
    </row>
    <row r="1273" spans="2:7" s="38" customFormat="1" x14ac:dyDescent="0.2">
      <c r="B1273" s="39" t="s">
        <v>8453</v>
      </c>
      <c r="C1273" s="39" t="s">
        <v>58</v>
      </c>
      <c r="D1273" s="39" t="s">
        <v>468</v>
      </c>
      <c r="E1273" s="40">
        <v>588</v>
      </c>
      <c r="F1273" s="41">
        <f>$E1273*3600/(Input!$H$4*1000)</f>
        <v>70.56</v>
      </c>
      <c r="G1273" s="42" t="str">
        <f t="shared" si="19"/>
        <v>1273</v>
      </c>
    </row>
    <row r="1274" spans="2:7" s="38" customFormat="1" x14ac:dyDescent="0.2">
      <c r="B1274" s="39" t="s">
        <v>8454</v>
      </c>
      <c r="C1274" s="39" t="s">
        <v>98</v>
      </c>
      <c r="D1274" s="39" t="s">
        <v>1715</v>
      </c>
      <c r="E1274" s="40">
        <v>210</v>
      </c>
      <c r="F1274" s="41">
        <f>$E1274*3600/(Input!$H$4*1000)</f>
        <v>25.2</v>
      </c>
      <c r="G1274" s="42" t="str">
        <f t="shared" si="19"/>
        <v>1274</v>
      </c>
    </row>
    <row r="1275" spans="2:7" s="38" customFormat="1" x14ac:dyDescent="0.2">
      <c r="B1275" s="39" t="s">
        <v>8455</v>
      </c>
      <c r="C1275" s="39" t="s">
        <v>98</v>
      </c>
      <c r="D1275" s="39" t="s">
        <v>234</v>
      </c>
      <c r="E1275" s="40">
        <v>98</v>
      </c>
      <c r="F1275" s="41">
        <f>$E1275*3600/(Input!$H$4*1000)</f>
        <v>11.76</v>
      </c>
      <c r="G1275" s="42" t="str">
        <f t="shared" si="19"/>
        <v>1275</v>
      </c>
    </row>
    <row r="1276" spans="2:7" s="38" customFormat="1" x14ac:dyDescent="0.2">
      <c r="B1276" s="39" t="s">
        <v>8456</v>
      </c>
      <c r="C1276" s="39" t="s">
        <v>234</v>
      </c>
      <c r="D1276" s="39" t="s">
        <v>48</v>
      </c>
      <c r="E1276" s="40">
        <v>99</v>
      </c>
      <c r="F1276" s="41">
        <f>$E1276*3600/(Input!$H$4*1000)</f>
        <v>11.88</v>
      </c>
      <c r="G1276" s="42" t="str">
        <f t="shared" si="19"/>
        <v>1276</v>
      </c>
    </row>
    <row r="1277" spans="2:7" s="38" customFormat="1" x14ac:dyDescent="0.2">
      <c r="B1277" s="39" t="s">
        <v>8457</v>
      </c>
      <c r="C1277" s="39" t="s">
        <v>242</v>
      </c>
      <c r="D1277" s="39" t="s">
        <v>174</v>
      </c>
      <c r="E1277" s="40">
        <v>181</v>
      </c>
      <c r="F1277" s="41">
        <f>$E1277*3600/(Input!$H$4*1000)</f>
        <v>21.72</v>
      </c>
      <c r="G1277" s="42" t="str">
        <f t="shared" si="19"/>
        <v>1277</v>
      </c>
    </row>
    <row r="1278" spans="2:7" s="38" customFormat="1" x14ac:dyDescent="0.2">
      <c r="B1278" s="39" t="s">
        <v>8458</v>
      </c>
      <c r="C1278" s="39" t="s">
        <v>174</v>
      </c>
      <c r="D1278" s="39" t="s">
        <v>217</v>
      </c>
      <c r="E1278" s="40">
        <v>137</v>
      </c>
      <c r="F1278" s="41">
        <f>$E1278*3600/(Input!$H$4*1000)</f>
        <v>16.440000000000001</v>
      </c>
      <c r="G1278" s="42" t="str">
        <f t="shared" si="19"/>
        <v>1278</v>
      </c>
    </row>
    <row r="1279" spans="2:7" s="38" customFormat="1" x14ac:dyDescent="0.2">
      <c r="B1279" s="39" t="s">
        <v>8459</v>
      </c>
      <c r="C1279" s="39" t="s">
        <v>203</v>
      </c>
      <c r="D1279" s="39" t="s">
        <v>471</v>
      </c>
      <c r="E1279" s="40">
        <v>181</v>
      </c>
      <c r="F1279" s="41">
        <f>$E1279*3600/(Input!$H$4*1000)</f>
        <v>21.72</v>
      </c>
      <c r="G1279" s="42" t="str">
        <f t="shared" si="19"/>
        <v>1279</v>
      </c>
    </row>
    <row r="1280" spans="2:7" s="38" customFormat="1" x14ac:dyDescent="0.2">
      <c r="B1280" s="39" t="s">
        <v>8460</v>
      </c>
      <c r="C1280" s="39" t="s">
        <v>471</v>
      </c>
      <c r="D1280" s="39" t="s">
        <v>174</v>
      </c>
      <c r="E1280" s="40">
        <v>269</v>
      </c>
      <c r="F1280" s="41">
        <f>$E1280*3600/(Input!$H$4*1000)</f>
        <v>32.28</v>
      </c>
      <c r="G1280" s="42" t="str">
        <f t="shared" si="19"/>
        <v>1280</v>
      </c>
    </row>
    <row r="1281" spans="2:7" s="38" customFormat="1" x14ac:dyDescent="0.2">
      <c r="B1281" s="39" t="s">
        <v>8461</v>
      </c>
      <c r="C1281" s="39" t="s">
        <v>471</v>
      </c>
      <c r="D1281" s="39" t="s">
        <v>48</v>
      </c>
      <c r="E1281" s="40">
        <v>180</v>
      </c>
      <c r="F1281" s="41">
        <f>$E1281*3600/(Input!$H$4*1000)</f>
        <v>21.6</v>
      </c>
      <c r="G1281" s="42" t="str">
        <f t="shared" si="19"/>
        <v>1281</v>
      </c>
    </row>
    <row r="1282" spans="2:7" s="38" customFormat="1" x14ac:dyDescent="0.2">
      <c r="B1282" s="39" t="s">
        <v>8462</v>
      </c>
      <c r="C1282" s="39" t="s">
        <v>471</v>
      </c>
      <c r="D1282" s="39" t="s">
        <v>1713</v>
      </c>
      <c r="E1282" s="40">
        <v>203</v>
      </c>
      <c r="F1282" s="41">
        <f>$E1282*3600/(Input!$H$4*1000)</f>
        <v>24.36</v>
      </c>
      <c r="G1282" s="42" t="str">
        <f t="shared" ref="G1282:G1345" si="20">MID(B1282,7,LEN(B1282)-6)</f>
        <v>1282</v>
      </c>
    </row>
    <row r="1283" spans="2:7" s="38" customFormat="1" x14ac:dyDescent="0.2">
      <c r="B1283" s="39" t="s">
        <v>8463</v>
      </c>
      <c r="C1283" s="39" t="s">
        <v>217</v>
      </c>
      <c r="D1283" s="39" t="s">
        <v>463</v>
      </c>
      <c r="E1283" s="40">
        <v>260</v>
      </c>
      <c r="F1283" s="41">
        <f>$E1283*3600/(Input!$H$4*1000)</f>
        <v>31.2</v>
      </c>
      <c r="G1283" s="42" t="str">
        <f t="shared" si="20"/>
        <v>1283</v>
      </c>
    </row>
    <row r="1284" spans="2:7" s="38" customFormat="1" x14ac:dyDescent="0.2">
      <c r="B1284" s="39" t="s">
        <v>8464</v>
      </c>
      <c r="C1284" s="39" t="s">
        <v>463</v>
      </c>
      <c r="D1284" s="39" t="s">
        <v>1713</v>
      </c>
      <c r="E1284" s="40">
        <v>275</v>
      </c>
      <c r="F1284" s="41">
        <f>$E1284*3600/(Input!$H$4*1000)</f>
        <v>33</v>
      </c>
      <c r="G1284" s="42" t="str">
        <f t="shared" si="20"/>
        <v>1284</v>
      </c>
    </row>
    <row r="1285" spans="2:7" s="38" customFormat="1" x14ac:dyDescent="0.2">
      <c r="B1285" s="39" t="s">
        <v>8465</v>
      </c>
      <c r="C1285" s="39" t="s">
        <v>463</v>
      </c>
      <c r="D1285" s="39" t="s">
        <v>138</v>
      </c>
      <c r="E1285" s="40">
        <v>91</v>
      </c>
      <c r="F1285" s="41">
        <f>$E1285*3600/(Input!$H$4*1000)</f>
        <v>10.92</v>
      </c>
      <c r="G1285" s="42" t="str">
        <f t="shared" si="20"/>
        <v>1285</v>
      </c>
    </row>
    <row r="1286" spans="2:7" s="38" customFormat="1" x14ac:dyDescent="0.2">
      <c r="B1286" s="39" t="s">
        <v>8466</v>
      </c>
      <c r="C1286" s="39" t="s">
        <v>138</v>
      </c>
      <c r="D1286" s="39" t="s">
        <v>428</v>
      </c>
      <c r="E1286" s="40">
        <v>330</v>
      </c>
      <c r="F1286" s="41">
        <f>$E1286*3600/(Input!$H$4*1000)</f>
        <v>39.6</v>
      </c>
      <c r="G1286" s="42" t="str">
        <f t="shared" si="20"/>
        <v>1286</v>
      </c>
    </row>
    <row r="1287" spans="2:7" s="38" customFormat="1" x14ac:dyDescent="0.2">
      <c r="B1287" s="39" t="s">
        <v>8467</v>
      </c>
      <c r="C1287" s="39" t="s">
        <v>428</v>
      </c>
      <c r="D1287" s="39" t="s">
        <v>1563</v>
      </c>
      <c r="E1287" s="40">
        <v>208</v>
      </c>
      <c r="F1287" s="41">
        <f>$E1287*3600/(Input!$H$4*1000)</f>
        <v>24.96</v>
      </c>
      <c r="G1287" s="42" t="str">
        <f t="shared" si="20"/>
        <v>1287</v>
      </c>
    </row>
    <row r="1288" spans="2:7" s="38" customFormat="1" x14ac:dyDescent="0.2">
      <c r="B1288" s="39" t="s">
        <v>8468</v>
      </c>
      <c r="C1288" s="39" t="s">
        <v>1563</v>
      </c>
      <c r="D1288" s="39" t="s">
        <v>1711</v>
      </c>
      <c r="E1288" s="40">
        <v>186</v>
      </c>
      <c r="F1288" s="41">
        <f>$E1288*3600/(Input!$H$4*1000)</f>
        <v>22.32</v>
      </c>
      <c r="G1288" s="42" t="str">
        <f t="shared" si="20"/>
        <v>1288</v>
      </c>
    </row>
    <row r="1289" spans="2:7" s="38" customFormat="1" x14ac:dyDescent="0.2">
      <c r="B1289" s="39" t="s">
        <v>8469</v>
      </c>
      <c r="C1289" s="39" t="s">
        <v>1711</v>
      </c>
      <c r="D1289" s="39" t="s">
        <v>472</v>
      </c>
      <c r="E1289" s="40">
        <v>267</v>
      </c>
      <c r="F1289" s="41">
        <f>$E1289*3600/(Input!$H$4*1000)</f>
        <v>32.04</v>
      </c>
      <c r="G1289" s="42" t="str">
        <f t="shared" si="20"/>
        <v>1289</v>
      </c>
    </row>
    <row r="1290" spans="2:7" s="38" customFormat="1" x14ac:dyDescent="0.2">
      <c r="B1290" s="39" t="s">
        <v>8470</v>
      </c>
      <c r="C1290" s="39" t="s">
        <v>472</v>
      </c>
      <c r="D1290" s="39" t="s">
        <v>429</v>
      </c>
      <c r="E1290" s="40">
        <v>210</v>
      </c>
      <c r="F1290" s="41">
        <f>$E1290*3600/(Input!$H$4*1000)</f>
        <v>25.2</v>
      </c>
      <c r="G1290" s="42" t="str">
        <f t="shared" si="20"/>
        <v>1290</v>
      </c>
    </row>
    <row r="1291" spans="2:7" s="38" customFormat="1" x14ac:dyDescent="0.2">
      <c r="B1291" s="39" t="s">
        <v>8471</v>
      </c>
      <c r="C1291" s="39" t="s">
        <v>429</v>
      </c>
      <c r="D1291" s="39" t="s">
        <v>1034</v>
      </c>
      <c r="E1291" s="40">
        <v>1050</v>
      </c>
      <c r="F1291" s="41">
        <f>$E1291*3600/(Input!$H$4*1000)</f>
        <v>126</v>
      </c>
      <c r="G1291" s="42" t="str">
        <f t="shared" si="20"/>
        <v>1291</v>
      </c>
    </row>
    <row r="1292" spans="2:7" s="38" customFormat="1" x14ac:dyDescent="0.2">
      <c r="B1292" s="39" t="s">
        <v>8472</v>
      </c>
      <c r="C1292" s="39" t="s">
        <v>1135</v>
      </c>
      <c r="D1292" s="39" t="s">
        <v>1286</v>
      </c>
      <c r="E1292" s="40">
        <v>364</v>
      </c>
      <c r="F1292" s="41">
        <f>$E1292*3600/(Input!$H$4*1000)</f>
        <v>43.68</v>
      </c>
      <c r="G1292" s="42" t="str">
        <f t="shared" si="20"/>
        <v>1292</v>
      </c>
    </row>
    <row r="1293" spans="2:7" s="38" customFormat="1" x14ac:dyDescent="0.2">
      <c r="B1293" s="39" t="s">
        <v>8473</v>
      </c>
      <c r="C1293" s="39" t="s">
        <v>1135</v>
      </c>
      <c r="D1293" s="39" t="s">
        <v>1260</v>
      </c>
      <c r="E1293" s="40">
        <v>219</v>
      </c>
      <c r="F1293" s="41">
        <f>$E1293*3600/(Input!$H$4*1000)</f>
        <v>26.28</v>
      </c>
      <c r="G1293" s="42" t="str">
        <f t="shared" si="20"/>
        <v>1293</v>
      </c>
    </row>
    <row r="1294" spans="2:7" s="38" customFormat="1" x14ac:dyDescent="0.2">
      <c r="B1294" s="39" t="s">
        <v>8474</v>
      </c>
      <c r="C1294" s="39" t="s">
        <v>272</v>
      </c>
      <c r="D1294" s="39" t="s">
        <v>1823</v>
      </c>
      <c r="E1294" s="40">
        <v>994</v>
      </c>
      <c r="F1294" s="41">
        <f>$E1294*3600/(Input!$H$4*1000)</f>
        <v>119.28</v>
      </c>
      <c r="G1294" s="42" t="str">
        <f t="shared" si="20"/>
        <v>1294</v>
      </c>
    </row>
    <row r="1295" spans="2:7" s="38" customFormat="1" x14ac:dyDescent="0.2">
      <c r="B1295" s="39" t="s">
        <v>8475</v>
      </c>
      <c r="C1295" s="39" t="s">
        <v>1588</v>
      </c>
      <c r="D1295" s="39" t="s">
        <v>1260</v>
      </c>
      <c r="E1295" s="40">
        <v>658</v>
      </c>
      <c r="F1295" s="41">
        <f>$E1295*3600/(Input!$H$4*1000)</f>
        <v>78.959999999999994</v>
      </c>
      <c r="G1295" s="42" t="str">
        <f t="shared" si="20"/>
        <v>1295</v>
      </c>
    </row>
    <row r="1296" spans="2:7" s="38" customFormat="1" x14ac:dyDescent="0.2">
      <c r="B1296" s="39" t="s">
        <v>8476</v>
      </c>
      <c r="C1296" s="39" t="s">
        <v>1823</v>
      </c>
      <c r="D1296" s="39" t="s">
        <v>625</v>
      </c>
      <c r="E1296" s="40">
        <v>708</v>
      </c>
      <c r="F1296" s="41">
        <f>$E1296*3600/(Input!$H$4*1000)</f>
        <v>84.96</v>
      </c>
      <c r="G1296" s="42" t="str">
        <f t="shared" si="20"/>
        <v>1296</v>
      </c>
    </row>
    <row r="1297" spans="2:7" s="38" customFormat="1" x14ac:dyDescent="0.2">
      <c r="B1297" s="39" t="s">
        <v>8477</v>
      </c>
      <c r="C1297" s="39" t="s">
        <v>1022</v>
      </c>
      <c r="D1297" s="39" t="s">
        <v>1005</v>
      </c>
      <c r="E1297" s="40">
        <v>1250</v>
      </c>
      <c r="F1297" s="41">
        <f>$E1297*3600/(Input!$H$4*1000)</f>
        <v>150</v>
      </c>
      <c r="G1297" s="42" t="str">
        <f t="shared" si="20"/>
        <v>1297</v>
      </c>
    </row>
    <row r="1298" spans="2:7" s="38" customFormat="1" x14ac:dyDescent="0.2">
      <c r="B1298" s="39" t="s">
        <v>8478</v>
      </c>
      <c r="C1298" s="39" t="s">
        <v>427</v>
      </c>
      <c r="D1298" s="39" t="s">
        <v>404</v>
      </c>
      <c r="E1298" s="40">
        <v>789</v>
      </c>
      <c r="F1298" s="41">
        <f>$E1298*3600/(Input!$H$4*1000)</f>
        <v>94.68</v>
      </c>
      <c r="G1298" s="42" t="str">
        <f t="shared" si="20"/>
        <v>1298</v>
      </c>
    </row>
    <row r="1299" spans="2:7" s="38" customFormat="1" x14ac:dyDescent="0.2">
      <c r="B1299" s="39" t="s">
        <v>8479</v>
      </c>
      <c r="C1299" s="39" t="s">
        <v>1592</v>
      </c>
      <c r="D1299" s="39" t="s">
        <v>1037</v>
      </c>
      <c r="E1299" s="40">
        <v>2720</v>
      </c>
      <c r="F1299" s="41">
        <f>$E1299*3600/(Input!$H$4*1000)</f>
        <v>326.39999999999998</v>
      </c>
      <c r="G1299" s="42" t="str">
        <f t="shared" si="20"/>
        <v>1299</v>
      </c>
    </row>
    <row r="1300" spans="2:7" s="38" customFormat="1" x14ac:dyDescent="0.2">
      <c r="B1300" s="39" t="s">
        <v>8480</v>
      </c>
      <c r="C1300" s="39" t="s">
        <v>1822</v>
      </c>
      <c r="D1300" s="39" t="s">
        <v>430</v>
      </c>
      <c r="E1300" s="40">
        <v>344</v>
      </c>
      <c r="F1300" s="41">
        <f>$E1300*3600/(Input!$H$4*1000)</f>
        <v>41.28</v>
      </c>
      <c r="G1300" s="42" t="str">
        <f t="shared" si="20"/>
        <v>1300</v>
      </c>
    </row>
    <row r="1301" spans="2:7" s="38" customFormat="1" x14ac:dyDescent="0.2">
      <c r="B1301" s="39" t="s">
        <v>8481</v>
      </c>
      <c r="C1301" s="39" t="s">
        <v>182</v>
      </c>
      <c r="D1301" s="39" t="s">
        <v>457</v>
      </c>
      <c r="E1301" s="40">
        <v>892</v>
      </c>
      <c r="F1301" s="41">
        <f>$E1301*3600/(Input!$H$4*1000)</f>
        <v>107.04</v>
      </c>
      <c r="G1301" s="42" t="str">
        <f t="shared" si="20"/>
        <v>1301</v>
      </c>
    </row>
    <row r="1302" spans="2:7" s="38" customFormat="1" x14ac:dyDescent="0.2">
      <c r="B1302" s="39" t="s">
        <v>8482</v>
      </c>
      <c r="C1302" s="39" t="s">
        <v>809</v>
      </c>
      <c r="D1302" s="39" t="s">
        <v>182</v>
      </c>
      <c r="E1302" s="40">
        <v>236</v>
      </c>
      <c r="F1302" s="41">
        <f>$E1302*3600/(Input!$H$4*1000)</f>
        <v>28.32</v>
      </c>
      <c r="G1302" s="42" t="str">
        <f t="shared" si="20"/>
        <v>1302</v>
      </c>
    </row>
    <row r="1303" spans="2:7" s="38" customFormat="1" x14ac:dyDescent="0.2">
      <c r="B1303" s="39" t="s">
        <v>8483</v>
      </c>
      <c r="C1303" s="39" t="s">
        <v>809</v>
      </c>
      <c r="D1303" s="39" t="s">
        <v>720</v>
      </c>
      <c r="E1303" s="40">
        <v>938</v>
      </c>
      <c r="F1303" s="41">
        <f>$E1303*3600/(Input!$H$4*1000)</f>
        <v>112.56</v>
      </c>
      <c r="G1303" s="42" t="str">
        <f t="shared" si="20"/>
        <v>1303</v>
      </c>
    </row>
    <row r="1304" spans="2:7" s="38" customFormat="1" x14ac:dyDescent="0.2">
      <c r="B1304" s="39" t="s">
        <v>8484</v>
      </c>
      <c r="C1304" s="39" t="s">
        <v>1652</v>
      </c>
      <c r="D1304" s="39" t="s">
        <v>720</v>
      </c>
      <c r="E1304" s="40">
        <v>736</v>
      </c>
      <c r="F1304" s="41">
        <f>$E1304*3600/(Input!$H$4*1000)</f>
        <v>88.32</v>
      </c>
      <c r="G1304" s="42" t="str">
        <f t="shared" si="20"/>
        <v>1304</v>
      </c>
    </row>
    <row r="1305" spans="2:7" s="38" customFormat="1" x14ac:dyDescent="0.2">
      <c r="B1305" s="39" t="s">
        <v>8485</v>
      </c>
      <c r="C1305" s="39" t="s">
        <v>1005</v>
      </c>
      <c r="D1305" s="39" t="s">
        <v>1025</v>
      </c>
      <c r="E1305" s="40">
        <v>978</v>
      </c>
      <c r="F1305" s="41">
        <f>$E1305*3600/(Input!$H$4*1000)</f>
        <v>117.36</v>
      </c>
      <c r="G1305" s="42" t="str">
        <f t="shared" si="20"/>
        <v>1305</v>
      </c>
    </row>
    <row r="1306" spans="2:7" s="38" customFormat="1" x14ac:dyDescent="0.2">
      <c r="B1306" s="39" t="s">
        <v>8486</v>
      </c>
      <c r="C1306" s="39" t="s">
        <v>1033</v>
      </c>
      <c r="D1306" s="39" t="s">
        <v>1005</v>
      </c>
      <c r="E1306" s="40">
        <v>699</v>
      </c>
      <c r="F1306" s="41">
        <f>$E1306*3600/(Input!$H$4*1000)</f>
        <v>83.88</v>
      </c>
      <c r="G1306" s="42" t="str">
        <f t="shared" si="20"/>
        <v>1306</v>
      </c>
    </row>
    <row r="1307" spans="2:7" s="38" customFormat="1" x14ac:dyDescent="0.2">
      <c r="B1307" s="39" t="s">
        <v>8487</v>
      </c>
      <c r="C1307" s="39" t="s">
        <v>1033</v>
      </c>
      <c r="D1307" s="39" t="s">
        <v>430</v>
      </c>
      <c r="E1307" s="40">
        <v>995</v>
      </c>
      <c r="F1307" s="41">
        <f>$E1307*3600/(Input!$H$4*1000)</f>
        <v>119.4</v>
      </c>
      <c r="G1307" s="42" t="str">
        <f t="shared" si="20"/>
        <v>1307</v>
      </c>
    </row>
    <row r="1308" spans="2:7" s="38" customFormat="1" x14ac:dyDescent="0.2">
      <c r="B1308" s="39" t="s">
        <v>8488</v>
      </c>
      <c r="C1308" s="39" t="s">
        <v>430</v>
      </c>
      <c r="D1308" s="39" t="s">
        <v>996</v>
      </c>
      <c r="E1308" s="40">
        <v>818</v>
      </c>
      <c r="F1308" s="41">
        <f>$E1308*3600/(Input!$H$4*1000)</f>
        <v>98.16</v>
      </c>
      <c r="G1308" s="42" t="str">
        <f t="shared" si="20"/>
        <v>1308</v>
      </c>
    </row>
    <row r="1309" spans="2:7" s="38" customFormat="1" x14ac:dyDescent="0.2">
      <c r="B1309" s="39" t="s">
        <v>8489</v>
      </c>
      <c r="C1309" s="39" t="s">
        <v>818</v>
      </c>
      <c r="D1309" s="39" t="s">
        <v>430</v>
      </c>
      <c r="E1309" s="40">
        <v>527</v>
      </c>
      <c r="F1309" s="41">
        <f>$E1309*3600/(Input!$H$4*1000)</f>
        <v>63.24</v>
      </c>
      <c r="G1309" s="42" t="str">
        <f t="shared" si="20"/>
        <v>1309</v>
      </c>
    </row>
    <row r="1310" spans="2:7" s="38" customFormat="1" x14ac:dyDescent="0.2">
      <c r="B1310" s="39" t="s">
        <v>8490</v>
      </c>
      <c r="C1310" s="39" t="s">
        <v>398</v>
      </c>
      <c r="D1310" s="39" t="s">
        <v>1640</v>
      </c>
      <c r="E1310" s="40">
        <v>330</v>
      </c>
      <c r="F1310" s="41">
        <f>$E1310*3600/(Input!$H$4*1000)</f>
        <v>39.6</v>
      </c>
      <c r="G1310" s="42" t="str">
        <f t="shared" si="20"/>
        <v>1310</v>
      </c>
    </row>
    <row r="1311" spans="2:7" s="38" customFormat="1" x14ac:dyDescent="0.2">
      <c r="B1311" s="39" t="s">
        <v>8491</v>
      </c>
      <c r="C1311" s="39" t="s">
        <v>398</v>
      </c>
      <c r="D1311" s="39" t="s">
        <v>182</v>
      </c>
      <c r="E1311" s="40">
        <v>446</v>
      </c>
      <c r="F1311" s="41">
        <f>$E1311*3600/(Input!$H$4*1000)</f>
        <v>53.52</v>
      </c>
      <c r="G1311" s="42" t="str">
        <f t="shared" si="20"/>
        <v>1311</v>
      </c>
    </row>
    <row r="1312" spans="2:7" s="38" customFormat="1" x14ac:dyDescent="0.2">
      <c r="B1312" s="39" t="s">
        <v>8492</v>
      </c>
      <c r="C1312" s="39" t="s">
        <v>777</v>
      </c>
      <c r="D1312" s="39" t="s">
        <v>1640</v>
      </c>
      <c r="E1312" s="40">
        <v>254</v>
      </c>
      <c r="F1312" s="41">
        <f>$E1312*3600/(Input!$H$4*1000)</f>
        <v>30.48</v>
      </c>
      <c r="G1312" s="42" t="str">
        <f t="shared" si="20"/>
        <v>1312</v>
      </c>
    </row>
    <row r="1313" spans="2:7" s="38" customFormat="1" x14ac:dyDescent="0.2">
      <c r="B1313" s="39" t="s">
        <v>8493</v>
      </c>
      <c r="C1313" s="39" t="s">
        <v>1640</v>
      </c>
      <c r="D1313" s="39" t="s">
        <v>430</v>
      </c>
      <c r="E1313" s="40">
        <v>1640</v>
      </c>
      <c r="F1313" s="41">
        <f>$E1313*3600/(Input!$H$4*1000)</f>
        <v>196.8</v>
      </c>
      <c r="G1313" s="42" t="str">
        <f t="shared" si="20"/>
        <v>1313</v>
      </c>
    </row>
    <row r="1314" spans="2:7" s="38" customFormat="1" x14ac:dyDescent="0.2">
      <c r="B1314" s="39" t="s">
        <v>8494</v>
      </c>
      <c r="C1314" s="39" t="s">
        <v>398</v>
      </c>
      <c r="D1314" s="39" t="s">
        <v>960</v>
      </c>
      <c r="E1314" s="40">
        <v>255</v>
      </c>
      <c r="F1314" s="41">
        <f>$E1314*3600/(Input!$H$4*1000)</f>
        <v>30.6</v>
      </c>
      <c r="G1314" s="42" t="str">
        <f t="shared" si="20"/>
        <v>1314</v>
      </c>
    </row>
    <row r="1315" spans="2:7" s="38" customFormat="1" x14ac:dyDescent="0.2">
      <c r="B1315" s="39" t="s">
        <v>8495</v>
      </c>
      <c r="C1315" s="39" t="s">
        <v>398</v>
      </c>
      <c r="D1315" s="39" t="s">
        <v>1642</v>
      </c>
      <c r="E1315" s="40">
        <v>524</v>
      </c>
      <c r="F1315" s="41">
        <f>$E1315*3600/(Input!$H$4*1000)</f>
        <v>62.88</v>
      </c>
      <c r="G1315" s="42" t="str">
        <f t="shared" si="20"/>
        <v>1315</v>
      </c>
    </row>
    <row r="1316" spans="2:7" s="38" customFormat="1" x14ac:dyDescent="0.2">
      <c r="B1316" s="39" t="s">
        <v>8496</v>
      </c>
      <c r="C1316" s="39" t="s">
        <v>1641</v>
      </c>
      <c r="D1316" s="39" t="s">
        <v>1001</v>
      </c>
      <c r="E1316" s="40">
        <v>431</v>
      </c>
      <c r="F1316" s="41">
        <f>$E1316*3600/(Input!$H$4*1000)</f>
        <v>51.72</v>
      </c>
      <c r="G1316" s="42" t="str">
        <f t="shared" si="20"/>
        <v>1316</v>
      </c>
    </row>
    <row r="1317" spans="2:7" s="38" customFormat="1" x14ac:dyDescent="0.2">
      <c r="B1317" s="39" t="s">
        <v>8497</v>
      </c>
      <c r="C1317" s="39" t="s">
        <v>1650</v>
      </c>
      <c r="D1317" s="39" t="s">
        <v>401</v>
      </c>
      <c r="E1317" s="40">
        <v>425</v>
      </c>
      <c r="F1317" s="41">
        <f>$E1317*3600/(Input!$H$4*1000)</f>
        <v>51</v>
      </c>
      <c r="G1317" s="42" t="str">
        <f t="shared" si="20"/>
        <v>1317</v>
      </c>
    </row>
    <row r="1318" spans="2:7" s="38" customFormat="1" x14ac:dyDescent="0.2">
      <c r="B1318" s="39" t="s">
        <v>8498</v>
      </c>
      <c r="C1318" s="39" t="s">
        <v>400</v>
      </c>
      <c r="D1318" s="39" t="s">
        <v>401</v>
      </c>
      <c r="E1318" s="40">
        <v>646</v>
      </c>
      <c r="F1318" s="41">
        <f>$E1318*3600/(Input!$H$4*1000)</f>
        <v>77.52</v>
      </c>
      <c r="G1318" s="42" t="str">
        <f t="shared" si="20"/>
        <v>1318</v>
      </c>
    </row>
    <row r="1319" spans="2:7" s="38" customFormat="1" x14ac:dyDescent="0.2">
      <c r="B1319" s="39" t="s">
        <v>8499</v>
      </c>
      <c r="C1319" s="39" t="s">
        <v>399</v>
      </c>
      <c r="D1319" s="39" t="s">
        <v>401</v>
      </c>
      <c r="E1319" s="40">
        <v>532</v>
      </c>
      <c r="F1319" s="41">
        <f>$E1319*3600/(Input!$H$4*1000)</f>
        <v>63.84</v>
      </c>
      <c r="G1319" s="42" t="str">
        <f t="shared" si="20"/>
        <v>1319</v>
      </c>
    </row>
    <row r="1320" spans="2:7" s="38" customFormat="1" x14ac:dyDescent="0.2">
      <c r="B1320" s="39" t="s">
        <v>8500</v>
      </c>
      <c r="C1320" s="39" t="s">
        <v>401</v>
      </c>
      <c r="D1320" s="39" t="s">
        <v>237</v>
      </c>
      <c r="E1320" s="40">
        <v>245</v>
      </c>
      <c r="F1320" s="41">
        <f>$E1320*3600/(Input!$H$4*1000)</f>
        <v>29.4</v>
      </c>
      <c r="G1320" s="42" t="str">
        <f t="shared" si="20"/>
        <v>1320</v>
      </c>
    </row>
    <row r="1321" spans="2:7" s="38" customFormat="1" x14ac:dyDescent="0.2">
      <c r="B1321" s="39" t="s">
        <v>8501</v>
      </c>
      <c r="C1321" s="39" t="s">
        <v>401</v>
      </c>
      <c r="D1321" s="39" t="s">
        <v>398</v>
      </c>
      <c r="E1321" s="40">
        <v>521</v>
      </c>
      <c r="F1321" s="41">
        <f>$E1321*3600/(Input!$H$4*1000)</f>
        <v>62.52</v>
      </c>
      <c r="G1321" s="42" t="str">
        <f t="shared" si="20"/>
        <v>1321</v>
      </c>
    </row>
    <row r="1322" spans="2:7" s="38" customFormat="1" x14ac:dyDescent="0.2">
      <c r="B1322" s="39" t="s">
        <v>8502</v>
      </c>
      <c r="C1322" s="39" t="s">
        <v>1652</v>
      </c>
      <c r="D1322" s="39" t="s">
        <v>1003</v>
      </c>
      <c r="E1322" s="40">
        <v>1140</v>
      </c>
      <c r="F1322" s="41">
        <f>$E1322*3600/(Input!$H$4*1000)</f>
        <v>136.80000000000001</v>
      </c>
      <c r="G1322" s="42" t="str">
        <f t="shared" si="20"/>
        <v>1322</v>
      </c>
    </row>
    <row r="1323" spans="2:7" s="38" customFormat="1" x14ac:dyDescent="0.2">
      <c r="B1323" s="39" t="s">
        <v>8503</v>
      </c>
      <c r="C1323" s="39" t="s">
        <v>1004</v>
      </c>
      <c r="D1323" s="39" t="s">
        <v>403</v>
      </c>
      <c r="E1323" s="40">
        <v>1230</v>
      </c>
      <c r="F1323" s="41">
        <f>$E1323*3600/(Input!$H$4*1000)</f>
        <v>147.6</v>
      </c>
      <c r="G1323" s="42" t="str">
        <f t="shared" si="20"/>
        <v>1323</v>
      </c>
    </row>
    <row r="1324" spans="2:7" s="38" customFormat="1" x14ac:dyDescent="0.2">
      <c r="B1324" s="39" t="s">
        <v>8504</v>
      </c>
      <c r="C1324" s="39" t="s">
        <v>1003</v>
      </c>
      <c r="D1324" s="39" t="s">
        <v>401</v>
      </c>
      <c r="E1324" s="40">
        <v>1310</v>
      </c>
      <c r="F1324" s="41">
        <f>$E1324*3600/(Input!$H$4*1000)</f>
        <v>157.19999999999999</v>
      </c>
      <c r="G1324" s="42" t="str">
        <f t="shared" si="20"/>
        <v>1324</v>
      </c>
    </row>
    <row r="1325" spans="2:7" s="38" customFormat="1" x14ac:dyDescent="0.2">
      <c r="B1325" s="39" t="s">
        <v>8505</v>
      </c>
      <c r="C1325" s="39" t="s">
        <v>237</v>
      </c>
      <c r="D1325" s="39" t="s">
        <v>475</v>
      </c>
      <c r="E1325" s="40">
        <v>871</v>
      </c>
      <c r="F1325" s="41">
        <f>$E1325*3600/(Input!$H$4*1000)</f>
        <v>104.52</v>
      </c>
      <c r="G1325" s="42" t="str">
        <f t="shared" si="20"/>
        <v>1325</v>
      </c>
    </row>
    <row r="1326" spans="2:7" s="38" customFormat="1" x14ac:dyDescent="0.2">
      <c r="B1326" s="39" t="s">
        <v>8506</v>
      </c>
      <c r="C1326" s="39" t="s">
        <v>300</v>
      </c>
      <c r="D1326" s="39" t="s">
        <v>1003</v>
      </c>
      <c r="E1326" s="40">
        <v>1440</v>
      </c>
      <c r="F1326" s="41">
        <f>$E1326*3600/(Input!$H$4*1000)</f>
        <v>172.8</v>
      </c>
      <c r="G1326" s="42" t="str">
        <f t="shared" si="20"/>
        <v>1326</v>
      </c>
    </row>
    <row r="1327" spans="2:7" s="38" customFormat="1" x14ac:dyDescent="0.2">
      <c r="B1327" s="39" t="s">
        <v>8507</v>
      </c>
      <c r="C1327" s="39" t="s">
        <v>1035</v>
      </c>
      <c r="D1327" s="39" t="s">
        <v>1057</v>
      </c>
      <c r="E1327" s="40">
        <v>226</v>
      </c>
      <c r="F1327" s="41">
        <f>$E1327*3600/(Input!$H$4*1000)</f>
        <v>27.12</v>
      </c>
      <c r="G1327" s="42" t="str">
        <f t="shared" si="20"/>
        <v>1327</v>
      </c>
    </row>
    <row r="1328" spans="2:7" s="38" customFormat="1" x14ac:dyDescent="0.2">
      <c r="B1328" s="39" t="s">
        <v>8508</v>
      </c>
      <c r="C1328" s="39" t="s">
        <v>58</v>
      </c>
      <c r="D1328" s="39" t="s">
        <v>407</v>
      </c>
      <c r="E1328" s="40">
        <v>903</v>
      </c>
      <c r="F1328" s="41">
        <f>$E1328*3600/(Input!$H$4*1000)</f>
        <v>108.36</v>
      </c>
      <c r="G1328" s="42" t="str">
        <f t="shared" si="20"/>
        <v>1328</v>
      </c>
    </row>
    <row r="1329" spans="2:7" s="38" customFormat="1" x14ac:dyDescent="0.2">
      <c r="B1329" s="39" t="s">
        <v>8509</v>
      </c>
      <c r="C1329" s="39" t="s">
        <v>1033</v>
      </c>
      <c r="D1329" s="39" t="s">
        <v>407</v>
      </c>
      <c r="E1329" s="40">
        <v>1690</v>
      </c>
      <c r="F1329" s="41">
        <f>$E1329*3600/(Input!$H$4*1000)</f>
        <v>202.8</v>
      </c>
      <c r="G1329" s="42" t="str">
        <f t="shared" si="20"/>
        <v>1329</v>
      </c>
    </row>
    <row r="1330" spans="2:7" s="38" customFormat="1" x14ac:dyDescent="0.2">
      <c r="B1330" s="39" t="s">
        <v>8510</v>
      </c>
      <c r="C1330" s="39" t="s">
        <v>469</v>
      </c>
      <c r="D1330" s="39" t="s">
        <v>1824</v>
      </c>
      <c r="E1330" s="40">
        <v>1080</v>
      </c>
      <c r="F1330" s="41">
        <f>$E1330*3600/(Input!$H$4*1000)</f>
        <v>129.6</v>
      </c>
      <c r="G1330" s="42" t="str">
        <f t="shared" si="20"/>
        <v>1330</v>
      </c>
    </row>
    <row r="1331" spans="2:7" s="38" customFormat="1" x14ac:dyDescent="0.2">
      <c r="B1331" s="39" t="s">
        <v>8511</v>
      </c>
      <c r="C1331" s="39" t="s">
        <v>469</v>
      </c>
      <c r="D1331" s="39" t="s">
        <v>340</v>
      </c>
      <c r="E1331" s="40">
        <v>1010</v>
      </c>
      <c r="F1331" s="41">
        <f>$E1331*3600/(Input!$H$4*1000)</f>
        <v>121.2</v>
      </c>
      <c r="G1331" s="42" t="str">
        <f t="shared" si="20"/>
        <v>1331</v>
      </c>
    </row>
    <row r="1332" spans="2:7" s="38" customFormat="1" x14ac:dyDescent="0.2">
      <c r="B1332" s="39" t="s">
        <v>8512</v>
      </c>
      <c r="C1332" s="39" t="s">
        <v>340</v>
      </c>
      <c r="D1332" s="39" t="s">
        <v>1824</v>
      </c>
      <c r="E1332" s="40">
        <v>394</v>
      </c>
      <c r="F1332" s="41">
        <f>$E1332*3600/(Input!$H$4*1000)</f>
        <v>47.28</v>
      </c>
      <c r="G1332" s="42" t="str">
        <f t="shared" si="20"/>
        <v>1332</v>
      </c>
    </row>
    <row r="1333" spans="2:7" s="38" customFormat="1" x14ac:dyDescent="0.2">
      <c r="B1333" s="39" t="s">
        <v>8513</v>
      </c>
      <c r="C1333" s="39" t="s">
        <v>1824</v>
      </c>
      <c r="D1333" s="39" t="s">
        <v>1825</v>
      </c>
      <c r="E1333" s="40">
        <v>228</v>
      </c>
      <c r="F1333" s="41">
        <f>$E1333*3600/(Input!$H$4*1000)</f>
        <v>27.36</v>
      </c>
      <c r="G1333" s="42" t="str">
        <f t="shared" si="20"/>
        <v>1333</v>
      </c>
    </row>
    <row r="1334" spans="2:7" s="38" customFormat="1" x14ac:dyDescent="0.2">
      <c r="B1334" s="39" t="s">
        <v>8514</v>
      </c>
      <c r="C1334" s="39" t="s">
        <v>1825</v>
      </c>
      <c r="D1334" s="39" t="s">
        <v>347</v>
      </c>
      <c r="E1334" s="40">
        <v>318</v>
      </c>
      <c r="F1334" s="41">
        <f>$E1334*3600/(Input!$H$4*1000)</f>
        <v>38.159999999999997</v>
      </c>
      <c r="G1334" s="42" t="str">
        <f t="shared" si="20"/>
        <v>1334</v>
      </c>
    </row>
    <row r="1335" spans="2:7" s="38" customFormat="1" x14ac:dyDescent="0.2">
      <c r="B1335" s="39" t="s">
        <v>8515</v>
      </c>
      <c r="C1335" s="39" t="s">
        <v>1826</v>
      </c>
      <c r="D1335" s="39" t="s">
        <v>347</v>
      </c>
      <c r="E1335" s="40">
        <v>374</v>
      </c>
      <c r="F1335" s="41">
        <f>$E1335*3600/(Input!$H$4*1000)</f>
        <v>44.88</v>
      </c>
      <c r="G1335" s="42" t="str">
        <f t="shared" si="20"/>
        <v>1335</v>
      </c>
    </row>
    <row r="1336" spans="2:7" s="38" customFormat="1" x14ac:dyDescent="0.2">
      <c r="B1336" s="39" t="s">
        <v>8516</v>
      </c>
      <c r="C1336" s="39" t="s">
        <v>1826</v>
      </c>
      <c r="D1336" s="39" t="s">
        <v>343</v>
      </c>
      <c r="E1336" s="40">
        <v>218</v>
      </c>
      <c r="F1336" s="41">
        <f>$E1336*3600/(Input!$H$4*1000)</f>
        <v>26.16</v>
      </c>
      <c r="G1336" s="42" t="str">
        <f t="shared" si="20"/>
        <v>1336</v>
      </c>
    </row>
    <row r="1337" spans="2:7" s="38" customFormat="1" x14ac:dyDescent="0.2">
      <c r="B1337" s="39" t="s">
        <v>8517</v>
      </c>
      <c r="C1337" s="39" t="s">
        <v>470</v>
      </c>
      <c r="D1337" s="39" t="s">
        <v>469</v>
      </c>
      <c r="E1337" s="40">
        <v>1220</v>
      </c>
      <c r="F1337" s="41">
        <f>$E1337*3600/(Input!$H$4*1000)</f>
        <v>146.4</v>
      </c>
      <c r="G1337" s="42" t="str">
        <f t="shared" si="20"/>
        <v>1337</v>
      </c>
    </row>
    <row r="1338" spans="2:7" s="38" customFormat="1" x14ac:dyDescent="0.2">
      <c r="B1338" s="39" t="s">
        <v>8518</v>
      </c>
      <c r="C1338" s="39" t="s">
        <v>1053</v>
      </c>
      <c r="D1338" s="39" t="s">
        <v>337</v>
      </c>
      <c r="E1338" s="40">
        <v>532</v>
      </c>
      <c r="F1338" s="41">
        <f>$E1338*3600/(Input!$H$4*1000)</f>
        <v>63.84</v>
      </c>
      <c r="G1338" s="42" t="str">
        <f t="shared" si="20"/>
        <v>1338</v>
      </c>
    </row>
    <row r="1339" spans="2:7" s="38" customFormat="1" x14ac:dyDescent="0.2">
      <c r="B1339" s="39" t="s">
        <v>8519</v>
      </c>
      <c r="C1339" s="39" t="s">
        <v>1053</v>
      </c>
      <c r="D1339" s="39" t="s">
        <v>1060</v>
      </c>
      <c r="E1339" s="40">
        <v>1810</v>
      </c>
      <c r="F1339" s="41">
        <f>$E1339*3600/(Input!$H$4*1000)</f>
        <v>217.2</v>
      </c>
      <c r="G1339" s="42" t="str">
        <f t="shared" si="20"/>
        <v>1339</v>
      </c>
    </row>
    <row r="1340" spans="2:7" s="38" customFormat="1" x14ac:dyDescent="0.2">
      <c r="B1340" s="39" t="s">
        <v>8520</v>
      </c>
      <c r="C1340" s="39" t="s">
        <v>1205</v>
      </c>
      <c r="D1340" s="39" t="s">
        <v>1348</v>
      </c>
      <c r="E1340" s="40">
        <v>537</v>
      </c>
      <c r="F1340" s="41">
        <f>$E1340*3600/(Input!$H$4*1000)</f>
        <v>64.44</v>
      </c>
      <c r="G1340" s="42" t="str">
        <f t="shared" si="20"/>
        <v>1340</v>
      </c>
    </row>
    <row r="1341" spans="2:7" s="38" customFormat="1" x14ac:dyDescent="0.2">
      <c r="B1341" s="39" t="s">
        <v>8521</v>
      </c>
      <c r="C1341" s="39" t="s">
        <v>1348</v>
      </c>
      <c r="D1341" s="39" t="s">
        <v>195</v>
      </c>
      <c r="E1341" s="40">
        <v>317</v>
      </c>
      <c r="F1341" s="41">
        <f>$E1341*3600/(Input!$H$4*1000)</f>
        <v>38.04</v>
      </c>
      <c r="G1341" s="42" t="str">
        <f t="shared" si="20"/>
        <v>1341</v>
      </c>
    </row>
    <row r="1342" spans="2:7" s="38" customFormat="1" x14ac:dyDescent="0.2">
      <c r="B1342" s="39" t="s">
        <v>8522</v>
      </c>
      <c r="C1342" s="39" t="s">
        <v>1181</v>
      </c>
      <c r="D1342" s="39" t="s">
        <v>645</v>
      </c>
      <c r="E1342" s="40">
        <v>669</v>
      </c>
      <c r="F1342" s="41">
        <f>$E1342*3600/(Input!$H$4*1000)</f>
        <v>80.28</v>
      </c>
      <c r="G1342" s="42" t="str">
        <f t="shared" si="20"/>
        <v>1342</v>
      </c>
    </row>
    <row r="1343" spans="2:7" s="38" customFormat="1" x14ac:dyDescent="0.2">
      <c r="B1343" s="39" t="s">
        <v>8523</v>
      </c>
      <c r="C1343" s="39" t="s">
        <v>1181</v>
      </c>
      <c r="D1343" s="39" t="s">
        <v>1827</v>
      </c>
      <c r="E1343" s="40">
        <v>1080</v>
      </c>
      <c r="F1343" s="41">
        <f>$E1343*3600/(Input!$H$4*1000)</f>
        <v>129.6</v>
      </c>
      <c r="G1343" s="42" t="str">
        <f t="shared" si="20"/>
        <v>1343</v>
      </c>
    </row>
    <row r="1344" spans="2:7" s="38" customFormat="1" x14ac:dyDescent="0.2">
      <c r="B1344" s="39" t="s">
        <v>8524</v>
      </c>
      <c r="C1344" s="39" t="s">
        <v>763</v>
      </c>
      <c r="D1344" s="39" t="s">
        <v>645</v>
      </c>
      <c r="E1344" s="40">
        <v>433</v>
      </c>
      <c r="F1344" s="41">
        <f>$E1344*3600/(Input!$H$4*1000)</f>
        <v>51.96</v>
      </c>
      <c r="G1344" s="42" t="str">
        <f t="shared" si="20"/>
        <v>1344</v>
      </c>
    </row>
    <row r="1345" spans="2:7" s="38" customFormat="1" ht="13.5" customHeight="1" x14ac:dyDescent="0.2">
      <c r="B1345" s="44" t="s">
        <v>8525</v>
      </c>
      <c r="C1345" s="44" t="s">
        <v>1277</v>
      </c>
      <c r="D1345" s="44" t="s">
        <v>123</v>
      </c>
      <c r="E1345" s="45">
        <v>443</v>
      </c>
      <c r="F1345" s="41">
        <f>$E1345*3600/(Input!$H$4*1000)</f>
        <v>53.16</v>
      </c>
      <c r="G1345" s="42" t="str">
        <f t="shared" si="20"/>
        <v>1345</v>
      </c>
    </row>
    <row r="1346" spans="2:7" s="38" customFormat="1" x14ac:dyDescent="0.2">
      <c r="B1346" s="39" t="s">
        <v>8526</v>
      </c>
      <c r="C1346" s="39" t="s">
        <v>1211</v>
      </c>
      <c r="D1346" s="39" t="s">
        <v>751</v>
      </c>
      <c r="E1346" s="40">
        <v>152</v>
      </c>
      <c r="F1346" s="41">
        <f>$E1346*3600/(Input!$H$4*1000)</f>
        <v>18.239999999999998</v>
      </c>
      <c r="G1346" s="42" t="str">
        <f t="shared" ref="G1346:G1409" si="21">MID(B1346,7,LEN(B1346)-6)</f>
        <v>1346</v>
      </c>
    </row>
    <row r="1347" spans="2:7" s="38" customFormat="1" x14ac:dyDescent="0.2">
      <c r="B1347" s="39" t="s">
        <v>8527</v>
      </c>
      <c r="C1347" s="39" t="s">
        <v>1611</v>
      </c>
      <c r="D1347" s="39" t="s">
        <v>153</v>
      </c>
      <c r="E1347" s="40">
        <v>557</v>
      </c>
      <c r="F1347" s="41">
        <f>$E1347*3600/(Input!$H$4*1000)</f>
        <v>66.84</v>
      </c>
      <c r="G1347" s="42" t="str">
        <f t="shared" si="21"/>
        <v>1347</v>
      </c>
    </row>
    <row r="1348" spans="2:7" s="38" customFormat="1" x14ac:dyDescent="0.2">
      <c r="B1348" s="39" t="s">
        <v>8528</v>
      </c>
      <c r="C1348" s="39" t="s">
        <v>153</v>
      </c>
      <c r="D1348" s="39" t="s">
        <v>723</v>
      </c>
      <c r="E1348" s="40">
        <v>109</v>
      </c>
      <c r="F1348" s="41">
        <f>$E1348*3600/(Input!$H$4*1000)</f>
        <v>13.08</v>
      </c>
      <c r="G1348" s="42" t="str">
        <f t="shared" si="21"/>
        <v>1348</v>
      </c>
    </row>
    <row r="1349" spans="2:7" s="38" customFormat="1" x14ac:dyDescent="0.2">
      <c r="B1349" s="39" t="s">
        <v>8529</v>
      </c>
      <c r="C1349" s="39" t="s">
        <v>879</v>
      </c>
      <c r="D1349" s="39" t="s">
        <v>153</v>
      </c>
      <c r="E1349" s="40">
        <v>524</v>
      </c>
      <c r="F1349" s="41">
        <f>$E1349*3600/(Input!$H$4*1000)</f>
        <v>62.88</v>
      </c>
      <c r="G1349" s="42" t="str">
        <f t="shared" si="21"/>
        <v>1349</v>
      </c>
    </row>
    <row r="1350" spans="2:7" s="38" customFormat="1" x14ac:dyDescent="0.2">
      <c r="B1350" s="39" t="s">
        <v>8530</v>
      </c>
      <c r="C1350" s="39" t="s">
        <v>1611</v>
      </c>
      <c r="D1350" s="39" t="s">
        <v>1418</v>
      </c>
      <c r="E1350" s="40">
        <v>421</v>
      </c>
      <c r="F1350" s="41">
        <f>$E1350*3600/(Input!$H$4*1000)</f>
        <v>50.52</v>
      </c>
      <c r="G1350" s="42" t="str">
        <f t="shared" si="21"/>
        <v>1350</v>
      </c>
    </row>
    <row r="1351" spans="2:7" s="38" customFormat="1" x14ac:dyDescent="0.2">
      <c r="B1351" s="39" t="s">
        <v>8531</v>
      </c>
      <c r="C1351" s="39" t="s">
        <v>1418</v>
      </c>
      <c r="D1351" s="39" t="s">
        <v>1419</v>
      </c>
      <c r="E1351" s="40">
        <v>280</v>
      </c>
      <c r="F1351" s="41">
        <f>$E1351*3600/(Input!$H$4*1000)</f>
        <v>33.6</v>
      </c>
      <c r="G1351" s="42" t="str">
        <f t="shared" si="21"/>
        <v>1351</v>
      </c>
    </row>
    <row r="1352" spans="2:7" s="38" customFormat="1" x14ac:dyDescent="0.2">
      <c r="B1352" s="39" t="s">
        <v>8532</v>
      </c>
      <c r="C1352" s="39" t="s">
        <v>557</v>
      </c>
      <c r="D1352" s="39" t="s">
        <v>1419</v>
      </c>
      <c r="E1352" s="40">
        <v>313</v>
      </c>
      <c r="F1352" s="41">
        <f>$E1352*3600/(Input!$H$4*1000)</f>
        <v>37.56</v>
      </c>
      <c r="G1352" s="42" t="str">
        <f t="shared" si="21"/>
        <v>1352</v>
      </c>
    </row>
    <row r="1353" spans="2:7" s="38" customFormat="1" x14ac:dyDescent="0.2">
      <c r="B1353" s="39" t="s">
        <v>8533</v>
      </c>
      <c r="C1353" s="39" t="s">
        <v>874</v>
      </c>
      <c r="D1353" s="39" t="s">
        <v>557</v>
      </c>
      <c r="E1353" s="40">
        <v>159</v>
      </c>
      <c r="F1353" s="41">
        <f>$E1353*3600/(Input!$H$4*1000)</f>
        <v>19.079999999999998</v>
      </c>
      <c r="G1353" s="42" t="str">
        <f t="shared" si="21"/>
        <v>1353</v>
      </c>
    </row>
    <row r="1354" spans="2:7" s="38" customFormat="1" x14ac:dyDescent="0.2">
      <c r="B1354" s="39" t="s">
        <v>8534</v>
      </c>
      <c r="C1354" s="39" t="s">
        <v>874</v>
      </c>
      <c r="D1354" s="39" t="s">
        <v>192</v>
      </c>
      <c r="E1354" s="40">
        <v>143</v>
      </c>
      <c r="F1354" s="41">
        <f>$E1354*3600/(Input!$H$4*1000)</f>
        <v>17.16</v>
      </c>
      <c r="G1354" s="42" t="str">
        <f t="shared" si="21"/>
        <v>1354</v>
      </c>
    </row>
    <row r="1355" spans="2:7" s="38" customFormat="1" x14ac:dyDescent="0.2">
      <c r="B1355" s="39" t="s">
        <v>8535</v>
      </c>
      <c r="C1355" s="39" t="s">
        <v>874</v>
      </c>
      <c r="D1355" s="39" t="s">
        <v>1310</v>
      </c>
      <c r="E1355" s="40">
        <v>622</v>
      </c>
      <c r="F1355" s="41">
        <f>$E1355*3600/(Input!$H$4*1000)</f>
        <v>74.64</v>
      </c>
      <c r="G1355" s="42" t="str">
        <f t="shared" si="21"/>
        <v>1355</v>
      </c>
    </row>
    <row r="1356" spans="2:7" s="38" customFormat="1" x14ac:dyDescent="0.2">
      <c r="B1356" s="39" t="s">
        <v>8536</v>
      </c>
      <c r="C1356" s="39" t="s">
        <v>1418</v>
      </c>
      <c r="D1356" s="39" t="s">
        <v>1417</v>
      </c>
      <c r="E1356" s="40">
        <v>690</v>
      </c>
      <c r="F1356" s="41">
        <f>$E1356*3600/(Input!$H$4*1000)</f>
        <v>82.8</v>
      </c>
      <c r="G1356" s="42" t="str">
        <f t="shared" si="21"/>
        <v>1356</v>
      </c>
    </row>
    <row r="1357" spans="2:7" s="38" customFormat="1" x14ac:dyDescent="0.2">
      <c r="B1357" s="39" t="s">
        <v>8537</v>
      </c>
      <c r="C1357" s="39" t="s">
        <v>1727</v>
      </c>
      <c r="D1357" s="39" t="s">
        <v>1462</v>
      </c>
      <c r="E1357" s="40">
        <v>362</v>
      </c>
      <c r="F1357" s="41">
        <f>$E1357*3600/(Input!$H$4*1000)</f>
        <v>43.44</v>
      </c>
      <c r="G1357" s="42" t="str">
        <f t="shared" si="21"/>
        <v>1357</v>
      </c>
    </row>
    <row r="1358" spans="2:7" s="38" customFormat="1" x14ac:dyDescent="0.2">
      <c r="B1358" s="39" t="s">
        <v>8538</v>
      </c>
      <c r="C1358" s="39" t="s">
        <v>1727</v>
      </c>
      <c r="D1358" s="39" t="s">
        <v>1445</v>
      </c>
      <c r="E1358" s="40">
        <v>536</v>
      </c>
      <c r="F1358" s="41">
        <f>$E1358*3600/(Input!$H$4*1000)</f>
        <v>64.319999999999993</v>
      </c>
      <c r="G1358" s="42" t="str">
        <f t="shared" si="21"/>
        <v>1358</v>
      </c>
    </row>
    <row r="1359" spans="2:7" s="46" customFormat="1" x14ac:dyDescent="0.2">
      <c r="B1359" s="39" t="s">
        <v>8539</v>
      </c>
      <c r="C1359" s="39" t="s">
        <v>363</v>
      </c>
      <c r="D1359" s="39" t="s">
        <v>489</v>
      </c>
      <c r="E1359" s="40">
        <v>245</v>
      </c>
      <c r="F1359" s="41">
        <f>$E1359*3600/(Input!$H$4*1000)</f>
        <v>29.4</v>
      </c>
      <c r="G1359" s="42" t="str">
        <f t="shared" si="21"/>
        <v>1359</v>
      </c>
    </row>
    <row r="1360" spans="2:7" s="46" customFormat="1" x14ac:dyDescent="0.2">
      <c r="B1360" s="39" t="s">
        <v>8540</v>
      </c>
      <c r="C1360" s="39" t="s">
        <v>37</v>
      </c>
      <c r="D1360" s="39" t="s">
        <v>563</v>
      </c>
      <c r="E1360" s="40">
        <v>469</v>
      </c>
      <c r="F1360" s="41">
        <f>$E1360*3600/(Input!$H$4*1000)</f>
        <v>56.28</v>
      </c>
      <c r="G1360" s="42" t="str">
        <f t="shared" si="21"/>
        <v>1360</v>
      </c>
    </row>
    <row r="1361" spans="2:7" s="46" customFormat="1" x14ac:dyDescent="0.2">
      <c r="B1361" s="39" t="s">
        <v>8541</v>
      </c>
      <c r="C1361" s="39" t="s">
        <v>363</v>
      </c>
      <c r="D1361" s="39" t="s">
        <v>37</v>
      </c>
      <c r="E1361" s="40">
        <v>241</v>
      </c>
      <c r="F1361" s="41">
        <f>$E1361*3600/(Input!$H$4*1000)</f>
        <v>28.92</v>
      </c>
      <c r="G1361" s="42" t="str">
        <f t="shared" si="21"/>
        <v>1361</v>
      </c>
    </row>
    <row r="1362" spans="2:7" s="46" customFormat="1" x14ac:dyDescent="0.2">
      <c r="B1362" s="39" t="s">
        <v>8542</v>
      </c>
      <c r="C1362" s="39" t="s">
        <v>37</v>
      </c>
      <c r="D1362" s="39" t="s">
        <v>1251</v>
      </c>
      <c r="E1362" s="40">
        <v>289</v>
      </c>
      <c r="F1362" s="41">
        <f>$E1362*3600/(Input!$H$4*1000)</f>
        <v>34.68</v>
      </c>
      <c r="G1362" s="42" t="str">
        <f t="shared" si="21"/>
        <v>1362</v>
      </c>
    </row>
    <row r="1363" spans="2:7" s="38" customFormat="1" x14ac:dyDescent="0.2">
      <c r="B1363" s="39" t="s">
        <v>8543</v>
      </c>
      <c r="C1363" s="39" t="s">
        <v>37</v>
      </c>
      <c r="D1363" s="39" t="s">
        <v>38</v>
      </c>
      <c r="E1363" s="40">
        <v>209</v>
      </c>
      <c r="F1363" s="41">
        <f>$E1363*3600/(Input!$H$4*1000)</f>
        <v>25.08</v>
      </c>
      <c r="G1363" s="42" t="str">
        <f t="shared" si="21"/>
        <v>1363</v>
      </c>
    </row>
    <row r="1364" spans="2:7" s="38" customFormat="1" x14ac:dyDescent="0.2">
      <c r="B1364" s="39" t="s">
        <v>8544</v>
      </c>
      <c r="C1364" s="39" t="s">
        <v>1165</v>
      </c>
      <c r="D1364" s="39" t="s">
        <v>38</v>
      </c>
      <c r="E1364" s="40">
        <v>307</v>
      </c>
      <c r="F1364" s="41">
        <f>$E1364*3600/(Input!$H$4*1000)</f>
        <v>36.840000000000003</v>
      </c>
      <c r="G1364" s="42" t="str">
        <f t="shared" si="21"/>
        <v>1364</v>
      </c>
    </row>
    <row r="1365" spans="2:7" s="38" customFormat="1" x14ac:dyDescent="0.2">
      <c r="B1365" s="39" t="s">
        <v>8545</v>
      </c>
      <c r="C1365" s="39" t="s">
        <v>38</v>
      </c>
      <c r="D1365" s="39" t="s">
        <v>890</v>
      </c>
      <c r="E1365" s="40">
        <v>322</v>
      </c>
      <c r="F1365" s="41">
        <f>$E1365*3600/(Input!$H$4*1000)</f>
        <v>38.64</v>
      </c>
      <c r="G1365" s="42" t="str">
        <f t="shared" si="21"/>
        <v>1365</v>
      </c>
    </row>
    <row r="1366" spans="2:7" s="38" customFormat="1" x14ac:dyDescent="0.2">
      <c r="B1366" s="39" t="s">
        <v>8546</v>
      </c>
      <c r="C1366" s="39" t="s">
        <v>890</v>
      </c>
      <c r="D1366" s="39" t="s">
        <v>1171</v>
      </c>
      <c r="E1366" s="40">
        <v>78</v>
      </c>
      <c r="F1366" s="41">
        <f>$E1366*3600/(Input!$H$4*1000)</f>
        <v>9.36</v>
      </c>
      <c r="G1366" s="42" t="str">
        <f t="shared" si="21"/>
        <v>1366</v>
      </c>
    </row>
    <row r="1367" spans="2:7" s="38" customFormat="1" x14ac:dyDescent="0.2">
      <c r="B1367" s="39" t="s">
        <v>8547</v>
      </c>
      <c r="C1367" s="39" t="s">
        <v>1165</v>
      </c>
      <c r="D1367" s="39" t="s">
        <v>1455</v>
      </c>
      <c r="E1367" s="40">
        <v>434</v>
      </c>
      <c r="F1367" s="41">
        <f>$E1367*3600/(Input!$H$4*1000)</f>
        <v>52.08</v>
      </c>
      <c r="G1367" s="42" t="str">
        <f t="shared" si="21"/>
        <v>1367</v>
      </c>
    </row>
    <row r="1368" spans="2:7" s="38" customFormat="1" x14ac:dyDescent="0.2">
      <c r="B1368" s="39" t="s">
        <v>8548</v>
      </c>
      <c r="C1368" s="39" t="s">
        <v>838</v>
      </c>
      <c r="D1368" s="39" t="s">
        <v>68</v>
      </c>
      <c r="E1368" s="40">
        <v>124</v>
      </c>
      <c r="F1368" s="41">
        <f>$E1368*3600/(Input!$H$4*1000)</f>
        <v>14.88</v>
      </c>
      <c r="G1368" s="42" t="str">
        <f t="shared" si="21"/>
        <v>1368</v>
      </c>
    </row>
    <row r="1369" spans="2:7" s="38" customFormat="1" x14ac:dyDescent="0.2">
      <c r="B1369" s="39" t="s">
        <v>8549</v>
      </c>
      <c r="C1369" s="39" t="s">
        <v>63</v>
      </c>
      <c r="D1369" s="39" t="s">
        <v>68</v>
      </c>
      <c r="E1369" s="40">
        <v>294</v>
      </c>
      <c r="F1369" s="41">
        <f>$E1369*3600/(Input!$H$4*1000)</f>
        <v>35.28</v>
      </c>
      <c r="G1369" s="42" t="str">
        <f t="shared" si="21"/>
        <v>1369</v>
      </c>
    </row>
    <row r="1370" spans="2:7" s="38" customFormat="1" x14ac:dyDescent="0.2">
      <c r="B1370" s="39" t="s">
        <v>8550</v>
      </c>
      <c r="C1370" s="39" t="s">
        <v>610</v>
      </c>
      <c r="D1370" s="39" t="s">
        <v>68</v>
      </c>
      <c r="E1370" s="40">
        <v>150</v>
      </c>
      <c r="F1370" s="41">
        <f>$E1370*3600/(Input!$H$4*1000)</f>
        <v>18</v>
      </c>
      <c r="G1370" s="42" t="str">
        <f t="shared" si="21"/>
        <v>1370</v>
      </c>
    </row>
    <row r="1371" spans="2:7" s="38" customFormat="1" x14ac:dyDescent="0.2">
      <c r="B1371" s="39" t="s">
        <v>8551</v>
      </c>
      <c r="C1371" s="39" t="s">
        <v>610</v>
      </c>
      <c r="D1371" s="39" t="s">
        <v>1441</v>
      </c>
      <c r="E1371" s="40">
        <v>233</v>
      </c>
      <c r="F1371" s="41">
        <f>$E1371*3600/(Input!$H$4*1000)</f>
        <v>27.96</v>
      </c>
      <c r="G1371" s="42" t="str">
        <f t="shared" si="21"/>
        <v>1371</v>
      </c>
    </row>
    <row r="1372" spans="2:7" s="38" customFormat="1" x14ac:dyDescent="0.2">
      <c r="B1372" s="39" t="s">
        <v>8552</v>
      </c>
      <c r="C1372" s="39" t="s">
        <v>1441</v>
      </c>
      <c r="D1372" s="39" t="s">
        <v>1439</v>
      </c>
      <c r="E1372" s="40">
        <v>298</v>
      </c>
      <c r="F1372" s="41">
        <f>$E1372*3600/(Input!$H$4*1000)</f>
        <v>35.76</v>
      </c>
      <c r="G1372" s="42" t="str">
        <f t="shared" si="21"/>
        <v>1372</v>
      </c>
    </row>
    <row r="1373" spans="2:7" s="38" customFormat="1" x14ac:dyDescent="0.2">
      <c r="B1373" s="39" t="s">
        <v>8553</v>
      </c>
      <c r="C1373" s="39" t="s">
        <v>1439</v>
      </c>
      <c r="D1373" s="39" t="s">
        <v>693</v>
      </c>
      <c r="E1373" s="40">
        <v>329</v>
      </c>
      <c r="F1373" s="41">
        <f>$E1373*3600/(Input!$H$4*1000)</f>
        <v>39.479999999999997</v>
      </c>
      <c r="G1373" s="42" t="str">
        <f t="shared" si="21"/>
        <v>1373</v>
      </c>
    </row>
    <row r="1374" spans="2:7" s="38" customFormat="1" x14ac:dyDescent="0.2">
      <c r="B1374" s="39" t="s">
        <v>8554</v>
      </c>
      <c r="C1374" s="39" t="s">
        <v>38</v>
      </c>
      <c r="D1374" s="39" t="s">
        <v>1438</v>
      </c>
      <c r="E1374" s="40">
        <v>421</v>
      </c>
      <c r="F1374" s="41">
        <f>$E1374*3600/(Input!$H$4*1000)</f>
        <v>50.52</v>
      </c>
      <c r="G1374" s="42" t="str">
        <f t="shared" si="21"/>
        <v>1374</v>
      </c>
    </row>
    <row r="1375" spans="2:7" s="38" customFormat="1" x14ac:dyDescent="0.2">
      <c r="B1375" s="39" t="s">
        <v>8555</v>
      </c>
      <c r="C1375" s="39" t="s">
        <v>1418</v>
      </c>
      <c r="D1375" s="39" t="s">
        <v>694</v>
      </c>
      <c r="E1375" s="40">
        <v>466</v>
      </c>
      <c r="F1375" s="41">
        <f>$E1375*3600/(Input!$H$4*1000)</f>
        <v>55.92</v>
      </c>
      <c r="G1375" s="42" t="str">
        <f t="shared" si="21"/>
        <v>1375</v>
      </c>
    </row>
    <row r="1376" spans="2:7" s="38" customFormat="1" x14ac:dyDescent="0.2">
      <c r="B1376" s="39" t="s">
        <v>8556</v>
      </c>
      <c r="C1376" s="39" t="s">
        <v>667</v>
      </c>
      <c r="D1376" s="39" t="s">
        <v>1422</v>
      </c>
      <c r="E1376" s="40">
        <v>141</v>
      </c>
      <c r="F1376" s="41">
        <f>$E1376*3600/(Input!$H$4*1000)</f>
        <v>16.920000000000002</v>
      </c>
      <c r="G1376" s="42" t="str">
        <f t="shared" si="21"/>
        <v>1376</v>
      </c>
    </row>
    <row r="1377" spans="2:7" s="38" customFormat="1" x14ac:dyDescent="0.2">
      <c r="B1377" s="39" t="s">
        <v>8557</v>
      </c>
      <c r="C1377" s="39" t="s">
        <v>694</v>
      </c>
      <c r="D1377" s="39" t="s">
        <v>1422</v>
      </c>
      <c r="E1377" s="40">
        <v>95</v>
      </c>
      <c r="F1377" s="41">
        <f>$E1377*3600/(Input!$H$4*1000)</f>
        <v>11.4</v>
      </c>
      <c r="G1377" s="42" t="str">
        <f t="shared" si="21"/>
        <v>1377</v>
      </c>
    </row>
    <row r="1378" spans="2:7" s="38" customFormat="1" x14ac:dyDescent="0.2">
      <c r="B1378" s="39" t="s">
        <v>8558</v>
      </c>
      <c r="C1378" s="39" t="s">
        <v>1434</v>
      </c>
      <c r="D1378" s="39" t="s">
        <v>1419</v>
      </c>
      <c r="E1378" s="40">
        <v>485</v>
      </c>
      <c r="F1378" s="41">
        <f>$E1378*3600/(Input!$H$4*1000)</f>
        <v>58.2</v>
      </c>
      <c r="G1378" s="42" t="str">
        <f t="shared" si="21"/>
        <v>1378</v>
      </c>
    </row>
    <row r="1379" spans="2:7" s="38" customFormat="1" x14ac:dyDescent="0.2">
      <c r="B1379" s="39" t="s">
        <v>8559</v>
      </c>
      <c r="C1379" s="39" t="s">
        <v>981</v>
      </c>
      <c r="D1379" s="39" t="s">
        <v>1438</v>
      </c>
      <c r="E1379" s="40">
        <v>167</v>
      </c>
      <c r="F1379" s="41">
        <f>$E1379*3600/(Input!$H$4*1000)</f>
        <v>20.04</v>
      </c>
      <c r="G1379" s="42" t="str">
        <f t="shared" si="21"/>
        <v>1379</v>
      </c>
    </row>
    <row r="1380" spans="2:7" s="38" customFormat="1" x14ac:dyDescent="0.2">
      <c r="B1380" s="39" t="s">
        <v>8560</v>
      </c>
      <c r="C1380" s="39" t="s">
        <v>604</v>
      </c>
      <c r="D1380" s="39" t="s">
        <v>693</v>
      </c>
      <c r="E1380" s="40">
        <v>392</v>
      </c>
      <c r="F1380" s="41">
        <f>$E1380*3600/(Input!$H$4*1000)</f>
        <v>47.04</v>
      </c>
      <c r="G1380" s="42" t="str">
        <f t="shared" si="21"/>
        <v>1380</v>
      </c>
    </row>
    <row r="1381" spans="2:7" s="38" customFormat="1" x14ac:dyDescent="0.2">
      <c r="B1381" s="39" t="s">
        <v>8561</v>
      </c>
      <c r="C1381" s="39" t="s">
        <v>869</v>
      </c>
      <c r="D1381" s="39" t="s">
        <v>604</v>
      </c>
      <c r="E1381" s="40">
        <v>276</v>
      </c>
      <c r="F1381" s="41">
        <f>$E1381*3600/(Input!$H$4*1000)</f>
        <v>33.119999999999997</v>
      </c>
      <c r="G1381" s="42" t="str">
        <f t="shared" si="21"/>
        <v>1381</v>
      </c>
    </row>
    <row r="1382" spans="2:7" s="38" customFormat="1" x14ac:dyDescent="0.2">
      <c r="B1382" s="39" t="s">
        <v>8562</v>
      </c>
      <c r="C1382" s="39" t="s">
        <v>607</v>
      </c>
      <c r="D1382" s="39" t="s">
        <v>557</v>
      </c>
      <c r="E1382" s="40">
        <v>462</v>
      </c>
      <c r="F1382" s="41">
        <f>$E1382*3600/(Input!$H$4*1000)</f>
        <v>55.44</v>
      </c>
      <c r="G1382" s="42" t="str">
        <f t="shared" si="21"/>
        <v>1382</v>
      </c>
    </row>
    <row r="1383" spans="2:7" s="38" customFormat="1" x14ac:dyDescent="0.2">
      <c r="B1383" s="39" t="s">
        <v>8563</v>
      </c>
      <c r="C1383" s="39" t="s">
        <v>884</v>
      </c>
      <c r="D1383" s="39" t="s">
        <v>607</v>
      </c>
      <c r="E1383" s="40">
        <v>377</v>
      </c>
      <c r="F1383" s="41">
        <f>$E1383*3600/(Input!$H$4*1000)</f>
        <v>45.24</v>
      </c>
      <c r="G1383" s="42" t="str">
        <f t="shared" si="21"/>
        <v>1383</v>
      </c>
    </row>
    <row r="1384" spans="2:7" s="38" customFormat="1" x14ac:dyDescent="0.2">
      <c r="B1384" s="39" t="s">
        <v>8564</v>
      </c>
      <c r="C1384" s="39" t="s">
        <v>884</v>
      </c>
      <c r="D1384" s="39" t="s">
        <v>1343</v>
      </c>
      <c r="E1384" s="40">
        <v>311</v>
      </c>
      <c r="F1384" s="41">
        <f>$E1384*3600/(Input!$H$4*1000)</f>
        <v>37.32</v>
      </c>
      <c r="G1384" s="42" t="str">
        <f t="shared" si="21"/>
        <v>1384</v>
      </c>
    </row>
    <row r="1385" spans="2:7" s="38" customFormat="1" x14ac:dyDescent="0.2">
      <c r="B1385" s="39" t="s">
        <v>8565</v>
      </c>
      <c r="C1385" s="39" t="s">
        <v>606</v>
      </c>
      <c r="D1385" s="39" t="s">
        <v>1343</v>
      </c>
      <c r="E1385" s="40">
        <v>502</v>
      </c>
      <c r="F1385" s="41">
        <f>$E1385*3600/(Input!$H$4*1000)</f>
        <v>60.24</v>
      </c>
      <c r="G1385" s="42" t="str">
        <f t="shared" si="21"/>
        <v>1385</v>
      </c>
    </row>
    <row r="1386" spans="2:7" s="38" customFormat="1" x14ac:dyDescent="0.2">
      <c r="B1386" s="39" t="s">
        <v>8566</v>
      </c>
      <c r="C1386" s="39" t="s">
        <v>669</v>
      </c>
      <c r="D1386" s="39" t="s">
        <v>606</v>
      </c>
      <c r="E1386" s="40">
        <v>159</v>
      </c>
      <c r="F1386" s="41">
        <f>$E1386*3600/(Input!$H$4*1000)</f>
        <v>19.079999999999998</v>
      </c>
      <c r="G1386" s="42" t="str">
        <f t="shared" si="21"/>
        <v>1386</v>
      </c>
    </row>
    <row r="1387" spans="2:7" s="38" customFormat="1" x14ac:dyDescent="0.2">
      <c r="B1387" s="39" t="s">
        <v>8567</v>
      </c>
      <c r="C1387" s="39" t="s">
        <v>724</v>
      </c>
      <c r="D1387" s="39" t="s">
        <v>1619</v>
      </c>
      <c r="E1387" s="40">
        <v>174</v>
      </c>
      <c r="F1387" s="41">
        <f>$E1387*3600/(Input!$H$4*1000)</f>
        <v>20.88</v>
      </c>
      <c r="G1387" s="42" t="str">
        <f t="shared" si="21"/>
        <v>1387</v>
      </c>
    </row>
    <row r="1388" spans="2:7" s="38" customFormat="1" x14ac:dyDescent="0.2">
      <c r="B1388" s="39" t="s">
        <v>8568</v>
      </c>
      <c r="C1388" s="39" t="s">
        <v>1619</v>
      </c>
      <c r="D1388" s="39" t="s">
        <v>716</v>
      </c>
      <c r="E1388" s="40">
        <v>238</v>
      </c>
      <c r="F1388" s="41">
        <f>$E1388*3600/(Input!$H$4*1000)</f>
        <v>28.56</v>
      </c>
      <c r="G1388" s="42" t="str">
        <f t="shared" si="21"/>
        <v>1388</v>
      </c>
    </row>
    <row r="1389" spans="2:7" s="38" customFormat="1" x14ac:dyDescent="0.2">
      <c r="B1389" s="39" t="s">
        <v>8569</v>
      </c>
      <c r="C1389" s="39" t="s">
        <v>716</v>
      </c>
      <c r="D1389" s="39" t="s">
        <v>643</v>
      </c>
      <c r="E1389" s="40">
        <v>136</v>
      </c>
      <c r="F1389" s="41">
        <f>$E1389*3600/(Input!$H$4*1000)</f>
        <v>16.32</v>
      </c>
      <c r="G1389" s="42" t="str">
        <f t="shared" si="21"/>
        <v>1389</v>
      </c>
    </row>
    <row r="1390" spans="2:7" s="38" customFormat="1" x14ac:dyDescent="0.2">
      <c r="B1390" s="39" t="s">
        <v>8570</v>
      </c>
      <c r="C1390" s="39" t="s">
        <v>716</v>
      </c>
      <c r="D1390" s="39" t="s">
        <v>1426</v>
      </c>
      <c r="E1390" s="40">
        <v>94</v>
      </c>
      <c r="F1390" s="41">
        <f>$E1390*3600/(Input!$H$4*1000)</f>
        <v>11.28</v>
      </c>
      <c r="G1390" s="42" t="str">
        <f t="shared" si="21"/>
        <v>1390</v>
      </c>
    </row>
    <row r="1391" spans="2:7" s="38" customFormat="1" x14ac:dyDescent="0.2">
      <c r="B1391" s="39" t="s">
        <v>8571</v>
      </c>
      <c r="C1391" s="39" t="s">
        <v>178</v>
      </c>
      <c r="D1391" s="39" t="s">
        <v>1434</v>
      </c>
      <c r="E1391" s="40">
        <v>308</v>
      </c>
      <c r="F1391" s="41">
        <f>$E1391*3600/(Input!$H$4*1000)</f>
        <v>36.96</v>
      </c>
      <c r="G1391" s="42" t="str">
        <f t="shared" si="21"/>
        <v>1391</v>
      </c>
    </row>
    <row r="1392" spans="2:7" s="38" customFormat="1" x14ac:dyDescent="0.2">
      <c r="B1392" s="39" t="s">
        <v>8572</v>
      </c>
      <c r="C1392" s="39" t="s">
        <v>604</v>
      </c>
      <c r="D1392" s="39" t="s">
        <v>647</v>
      </c>
      <c r="E1392" s="40">
        <v>226</v>
      </c>
      <c r="F1392" s="41">
        <f>$E1392*3600/(Input!$H$4*1000)</f>
        <v>27.12</v>
      </c>
      <c r="G1392" s="42" t="str">
        <f t="shared" si="21"/>
        <v>1392</v>
      </c>
    </row>
    <row r="1393" spans="2:7" s="38" customFormat="1" x14ac:dyDescent="0.2">
      <c r="B1393" s="39" t="s">
        <v>8573</v>
      </c>
      <c r="C1393" s="39" t="s">
        <v>647</v>
      </c>
      <c r="D1393" s="39" t="s">
        <v>1342</v>
      </c>
      <c r="E1393" s="40">
        <v>114</v>
      </c>
      <c r="F1393" s="41">
        <f>$E1393*3600/(Input!$H$4*1000)</f>
        <v>13.68</v>
      </c>
      <c r="G1393" s="42" t="str">
        <f t="shared" si="21"/>
        <v>1393</v>
      </c>
    </row>
    <row r="1394" spans="2:7" s="38" customFormat="1" x14ac:dyDescent="0.2">
      <c r="B1394" s="39" t="s">
        <v>8574</v>
      </c>
      <c r="C1394" s="39" t="s">
        <v>1562</v>
      </c>
      <c r="D1394" s="39" t="s">
        <v>1070</v>
      </c>
      <c r="E1394" s="40">
        <v>590</v>
      </c>
      <c r="F1394" s="41">
        <f>$E1394*3600/(Input!$H$4*1000)</f>
        <v>70.8</v>
      </c>
      <c r="G1394" s="42" t="str">
        <f t="shared" si="21"/>
        <v>1394</v>
      </c>
    </row>
    <row r="1395" spans="2:7" s="38" customFormat="1" x14ac:dyDescent="0.2">
      <c r="B1395" s="39" t="s">
        <v>8575</v>
      </c>
      <c r="C1395" s="39" t="s">
        <v>1211</v>
      </c>
      <c r="D1395" s="39" t="s">
        <v>723</v>
      </c>
      <c r="E1395" s="40">
        <v>320</v>
      </c>
      <c r="F1395" s="41">
        <f>$E1395*3600/(Input!$H$4*1000)</f>
        <v>38.4</v>
      </c>
      <c r="G1395" s="42" t="str">
        <f t="shared" si="21"/>
        <v>1395</v>
      </c>
    </row>
    <row r="1396" spans="2:7" s="38" customFormat="1" x14ac:dyDescent="0.2">
      <c r="B1396" s="39" t="s">
        <v>8576</v>
      </c>
      <c r="C1396" s="39" t="s">
        <v>630</v>
      </c>
      <c r="D1396" s="39" t="s">
        <v>723</v>
      </c>
      <c r="E1396" s="40">
        <v>466</v>
      </c>
      <c r="F1396" s="41">
        <f>$E1396*3600/(Input!$H$4*1000)</f>
        <v>55.92</v>
      </c>
      <c r="G1396" s="42" t="str">
        <f t="shared" si="21"/>
        <v>1396</v>
      </c>
    </row>
    <row r="1397" spans="2:7" s="38" customFormat="1" x14ac:dyDescent="0.2">
      <c r="B1397" s="39" t="s">
        <v>8577</v>
      </c>
      <c r="C1397" s="39" t="s">
        <v>630</v>
      </c>
      <c r="D1397" s="39" t="s">
        <v>868</v>
      </c>
      <c r="E1397" s="40">
        <v>422</v>
      </c>
      <c r="F1397" s="41">
        <f>$E1397*3600/(Input!$H$4*1000)</f>
        <v>50.64</v>
      </c>
      <c r="G1397" s="42" t="str">
        <f t="shared" si="21"/>
        <v>1397</v>
      </c>
    </row>
    <row r="1398" spans="2:7" s="38" customFormat="1" x14ac:dyDescent="0.2">
      <c r="B1398" s="39" t="s">
        <v>8578</v>
      </c>
      <c r="C1398" s="39" t="s">
        <v>1422</v>
      </c>
      <c r="D1398" s="39" t="s">
        <v>238</v>
      </c>
      <c r="E1398" s="40">
        <v>113</v>
      </c>
      <c r="F1398" s="41">
        <f>$E1398*3600/(Input!$H$4*1000)</f>
        <v>13.56</v>
      </c>
      <c r="G1398" s="42" t="str">
        <f t="shared" si="21"/>
        <v>1398</v>
      </c>
    </row>
    <row r="1399" spans="2:7" s="38" customFormat="1" x14ac:dyDescent="0.2">
      <c r="B1399" s="39" t="s">
        <v>8579</v>
      </c>
      <c r="C1399" s="39" t="s">
        <v>362</v>
      </c>
      <c r="D1399" s="39" t="s">
        <v>1421</v>
      </c>
      <c r="E1399" s="40">
        <v>232</v>
      </c>
      <c r="F1399" s="41">
        <f>$E1399*3600/(Input!$H$4*1000)</f>
        <v>27.84</v>
      </c>
      <c r="G1399" s="42" t="str">
        <f t="shared" si="21"/>
        <v>1399</v>
      </c>
    </row>
    <row r="1400" spans="2:7" s="38" customFormat="1" x14ac:dyDescent="0.2">
      <c r="B1400" s="39" t="s">
        <v>8580</v>
      </c>
      <c r="C1400" s="39" t="s">
        <v>362</v>
      </c>
      <c r="D1400" s="39" t="s">
        <v>1425</v>
      </c>
      <c r="E1400" s="40">
        <v>276</v>
      </c>
      <c r="F1400" s="41">
        <f>$E1400*3600/(Input!$H$4*1000)</f>
        <v>33.119999999999997</v>
      </c>
      <c r="G1400" s="42" t="str">
        <f t="shared" si="21"/>
        <v>1400</v>
      </c>
    </row>
    <row r="1401" spans="2:7" s="38" customFormat="1" x14ac:dyDescent="0.2">
      <c r="B1401" s="39" t="s">
        <v>8581</v>
      </c>
      <c r="C1401" s="39" t="s">
        <v>1419</v>
      </c>
      <c r="D1401" s="39" t="s">
        <v>1198</v>
      </c>
      <c r="E1401" s="40">
        <v>359</v>
      </c>
      <c r="F1401" s="41">
        <f>$E1401*3600/(Input!$H$4*1000)</f>
        <v>43.08</v>
      </c>
      <c r="G1401" s="42" t="str">
        <f t="shared" si="21"/>
        <v>1401</v>
      </c>
    </row>
    <row r="1402" spans="2:7" s="38" customFormat="1" x14ac:dyDescent="0.2">
      <c r="B1402" s="39" t="s">
        <v>8582</v>
      </c>
      <c r="C1402" s="39" t="s">
        <v>179</v>
      </c>
      <c r="D1402" s="39" t="s">
        <v>1198</v>
      </c>
      <c r="E1402" s="40">
        <v>124</v>
      </c>
      <c r="F1402" s="41">
        <f>$E1402*3600/(Input!$H$4*1000)</f>
        <v>14.88</v>
      </c>
      <c r="G1402" s="42" t="str">
        <f t="shared" si="21"/>
        <v>1402</v>
      </c>
    </row>
    <row r="1403" spans="2:7" s="38" customFormat="1" x14ac:dyDescent="0.2">
      <c r="B1403" s="39" t="s">
        <v>8583</v>
      </c>
      <c r="C1403" s="39" t="s">
        <v>448</v>
      </c>
      <c r="D1403" s="39" t="s">
        <v>1419</v>
      </c>
      <c r="E1403" s="40">
        <v>645</v>
      </c>
      <c r="F1403" s="41">
        <f>$E1403*3600/(Input!$H$4*1000)</f>
        <v>77.400000000000006</v>
      </c>
      <c r="G1403" s="42" t="str">
        <f t="shared" si="21"/>
        <v>1403</v>
      </c>
    </row>
    <row r="1404" spans="2:7" s="38" customFormat="1" x14ac:dyDescent="0.2">
      <c r="B1404" s="39" t="s">
        <v>8584</v>
      </c>
      <c r="C1404" s="39" t="s">
        <v>448</v>
      </c>
      <c r="D1404" s="39" t="s">
        <v>362</v>
      </c>
      <c r="E1404" s="40">
        <v>393</v>
      </c>
      <c r="F1404" s="41">
        <f>$E1404*3600/(Input!$H$4*1000)</f>
        <v>47.16</v>
      </c>
      <c r="G1404" s="42" t="str">
        <f t="shared" si="21"/>
        <v>1404</v>
      </c>
    </row>
    <row r="1405" spans="2:7" s="38" customFormat="1" x14ac:dyDescent="0.2">
      <c r="B1405" s="39" t="s">
        <v>8585</v>
      </c>
      <c r="C1405" s="39" t="s">
        <v>448</v>
      </c>
      <c r="D1405" s="39" t="s">
        <v>642</v>
      </c>
      <c r="E1405" s="40">
        <v>610</v>
      </c>
      <c r="F1405" s="41">
        <f>$E1405*3600/(Input!$H$4*1000)</f>
        <v>73.2</v>
      </c>
      <c r="G1405" s="42" t="str">
        <f t="shared" si="21"/>
        <v>1405</v>
      </c>
    </row>
    <row r="1406" spans="2:7" s="38" customFormat="1" x14ac:dyDescent="0.2">
      <c r="B1406" s="39" t="s">
        <v>8586</v>
      </c>
      <c r="C1406" s="39" t="s">
        <v>1261</v>
      </c>
      <c r="D1406" s="39" t="s">
        <v>868</v>
      </c>
      <c r="E1406" s="40">
        <v>338</v>
      </c>
      <c r="F1406" s="41">
        <f>$E1406*3600/(Input!$H$4*1000)</f>
        <v>40.56</v>
      </c>
      <c r="G1406" s="42" t="str">
        <f t="shared" si="21"/>
        <v>1406</v>
      </c>
    </row>
    <row r="1407" spans="2:7" s="38" customFormat="1" x14ac:dyDescent="0.2">
      <c r="B1407" s="39" t="s">
        <v>8587</v>
      </c>
      <c r="C1407" s="39" t="s">
        <v>1261</v>
      </c>
      <c r="D1407" s="39" t="s">
        <v>1426</v>
      </c>
      <c r="E1407" s="40">
        <v>269</v>
      </c>
      <c r="F1407" s="41">
        <f>$E1407*3600/(Input!$H$4*1000)</f>
        <v>32.28</v>
      </c>
      <c r="G1407" s="42" t="str">
        <f t="shared" si="21"/>
        <v>1407</v>
      </c>
    </row>
    <row r="1408" spans="2:7" s="38" customFormat="1" x14ac:dyDescent="0.2">
      <c r="B1408" s="39" t="s">
        <v>8588</v>
      </c>
      <c r="C1408" s="39" t="s">
        <v>1562</v>
      </c>
      <c r="D1408" s="39" t="s">
        <v>751</v>
      </c>
      <c r="E1408" s="40">
        <v>1300</v>
      </c>
      <c r="F1408" s="41">
        <f>$E1408*3600/(Input!$H$4*1000)</f>
        <v>156</v>
      </c>
      <c r="G1408" s="42" t="str">
        <f t="shared" si="21"/>
        <v>1408</v>
      </c>
    </row>
    <row r="1409" spans="2:7" s="38" customFormat="1" x14ac:dyDescent="0.2">
      <c r="B1409" s="39" t="s">
        <v>8589</v>
      </c>
      <c r="C1409" s="39" t="s">
        <v>1619</v>
      </c>
      <c r="D1409" s="39" t="s">
        <v>642</v>
      </c>
      <c r="E1409" s="40">
        <v>443</v>
      </c>
      <c r="F1409" s="41">
        <f>$E1409*3600/(Input!$H$4*1000)</f>
        <v>53.16</v>
      </c>
      <c r="G1409" s="42" t="str">
        <f t="shared" si="21"/>
        <v>1409</v>
      </c>
    </row>
    <row r="1410" spans="2:7" s="38" customFormat="1" x14ac:dyDescent="0.2">
      <c r="B1410" s="39" t="s">
        <v>8590</v>
      </c>
      <c r="C1410" s="39" t="s">
        <v>755</v>
      </c>
      <c r="D1410" s="39" t="s">
        <v>642</v>
      </c>
      <c r="E1410" s="40">
        <v>335</v>
      </c>
      <c r="F1410" s="41">
        <f>$E1410*3600/(Input!$H$4*1000)</f>
        <v>40.200000000000003</v>
      </c>
      <c r="G1410" s="42" t="str">
        <f t="shared" ref="G1410:G1473" si="22">MID(B1410,7,LEN(B1410)-6)</f>
        <v>1410</v>
      </c>
    </row>
    <row r="1411" spans="2:7" s="38" customFormat="1" x14ac:dyDescent="0.2">
      <c r="B1411" s="39" t="s">
        <v>8591</v>
      </c>
      <c r="C1411" s="39" t="s">
        <v>72</v>
      </c>
      <c r="D1411" s="39" t="s">
        <v>669</v>
      </c>
      <c r="E1411" s="40">
        <v>203</v>
      </c>
      <c r="F1411" s="41">
        <f>$E1411*3600/(Input!$H$4*1000)</f>
        <v>24.36</v>
      </c>
      <c r="G1411" s="42" t="str">
        <f t="shared" si="22"/>
        <v>1411</v>
      </c>
    </row>
    <row r="1412" spans="2:7" s="38" customFormat="1" x14ac:dyDescent="0.2">
      <c r="B1412" s="39" t="s">
        <v>8592</v>
      </c>
      <c r="C1412" s="39" t="s">
        <v>725</v>
      </c>
      <c r="D1412" s="39" t="s">
        <v>669</v>
      </c>
      <c r="E1412" s="40">
        <v>256</v>
      </c>
      <c r="F1412" s="41">
        <f>$E1412*3600/(Input!$H$4*1000)</f>
        <v>30.72</v>
      </c>
      <c r="G1412" s="42" t="str">
        <f t="shared" si="22"/>
        <v>1412</v>
      </c>
    </row>
    <row r="1413" spans="2:7" s="38" customFormat="1" x14ac:dyDescent="0.2">
      <c r="B1413" s="39" t="s">
        <v>8593</v>
      </c>
      <c r="C1413" s="39" t="s">
        <v>137</v>
      </c>
      <c r="D1413" s="39" t="s">
        <v>158</v>
      </c>
      <c r="E1413" s="40">
        <v>442</v>
      </c>
      <c r="F1413" s="41">
        <f>$E1413*3600/(Input!$H$4*1000)</f>
        <v>53.04</v>
      </c>
      <c r="G1413" s="42" t="str">
        <f t="shared" si="22"/>
        <v>1414</v>
      </c>
    </row>
    <row r="1414" spans="2:7" s="38" customFormat="1" x14ac:dyDescent="0.2">
      <c r="B1414" s="39" t="s">
        <v>8594</v>
      </c>
      <c r="C1414" s="39" t="s">
        <v>137</v>
      </c>
      <c r="D1414" s="39" t="s">
        <v>679</v>
      </c>
      <c r="E1414" s="40">
        <v>166</v>
      </c>
      <c r="F1414" s="41">
        <f>$E1414*3600/(Input!$H$4*1000)</f>
        <v>19.920000000000002</v>
      </c>
      <c r="G1414" s="42" t="str">
        <f t="shared" si="22"/>
        <v>1415</v>
      </c>
    </row>
    <row r="1415" spans="2:7" s="38" customFormat="1" x14ac:dyDescent="0.2">
      <c r="B1415" s="39" t="s">
        <v>8595</v>
      </c>
      <c r="C1415" s="39" t="s">
        <v>137</v>
      </c>
      <c r="D1415" s="39" t="s">
        <v>1325</v>
      </c>
      <c r="E1415" s="40">
        <v>138</v>
      </c>
      <c r="F1415" s="41">
        <f>$E1415*3600/(Input!$H$4*1000)</f>
        <v>16.559999999999999</v>
      </c>
      <c r="G1415" s="42" t="str">
        <f t="shared" si="22"/>
        <v>1416</v>
      </c>
    </row>
    <row r="1416" spans="2:7" s="38" customFormat="1" x14ac:dyDescent="0.2">
      <c r="B1416" s="39" t="s">
        <v>8596</v>
      </c>
      <c r="C1416" s="39" t="s">
        <v>679</v>
      </c>
      <c r="D1416" s="39" t="s">
        <v>1325</v>
      </c>
      <c r="E1416" s="40">
        <v>139</v>
      </c>
      <c r="F1416" s="41">
        <f>$E1416*3600/(Input!$H$4*1000)</f>
        <v>16.68</v>
      </c>
      <c r="G1416" s="42" t="str">
        <f t="shared" si="22"/>
        <v>1417</v>
      </c>
    </row>
    <row r="1417" spans="2:7" s="38" customFormat="1" x14ac:dyDescent="0.2">
      <c r="B1417" s="39" t="s">
        <v>8597</v>
      </c>
      <c r="C1417" s="39" t="s">
        <v>72</v>
      </c>
      <c r="D1417" s="39" t="s">
        <v>835</v>
      </c>
      <c r="E1417" s="40">
        <v>68</v>
      </c>
      <c r="F1417" s="41">
        <f>$E1417*3600/(Input!$H$4*1000)</f>
        <v>8.16</v>
      </c>
      <c r="G1417" s="42" t="str">
        <f t="shared" si="22"/>
        <v>1418</v>
      </c>
    </row>
    <row r="1418" spans="2:7" s="38" customFormat="1" x14ac:dyDescent="0.2">
      <c r="B1418" s="39" t="s">
        <v>8598</v>
      </c>
      <c r="C1418" s="39" t="s">
        <v>592</v>
      </c>
      <c r="D1418" s="39" t="s">
        <v>835</v>
      </c>
      <c r="E1418" s="40">
        <v>877</v>
      </c>
      <c r="F1418" s="41">
        <f>$E1418*3600/(Input!$H$4*1000)</f>
        <v>105.24</v>
      </c>
      <c r="G1418" s="42" t="str">
        <f t="shared" si="22"/>
        <v>1419</v>
      </c>
    </row>
    <row r="1419" spans="2:7" s="38" customFormat="1" x14ac:dyDescent="0.2">
      <c r="B1419" s="39" t="s">
        <v>8599</v>
      </c>
      <c r="C1419" s="39" t="s">
        <v>835</v>
      </c>
      <c r="D1419" s="39" t="s">
        <v>1246</v>
      </c>
      <c r="E1419" s="40">
        <v>1350</v>
      </c>
      <c r="F1419" s="41">
        <f>$E1419*3600/(Input!$H$4*1000)</f>
        <v>162</v>
      </c>
      <c r="G1419" s="42" t="str">
        <f t="shared" si="22"/>
        <v>1420</v>
      </c>
    </row>
    <row r="1420" spans="2:7" s="38" customFormat="1" x14ac:dyDescent="0.2">
      <c r="B1420" s="39" t="s">
        <v>8600</v>
      </c>
      <c r="C1420" s="39" t="s">
        <v>693</v>
      </c>
      <c r="D1420" s="39" t="s">
        <v>890</v>
      </c>
      <c r="E1420" s="40">
        <v>614</v>
      </c>
      <c r="F1420" s="41">
        <f>$E1420*3600/(Input!$H$4*1000)</f>
        <v>73.680000000000007</v>
      </c>
      <c r="G1420" s="42" t="str">
        <f t="shared" si="22"/>
        <v>1421</v>
      </c>
    </row>
    <row r="1421" spans="2:7" s="38" customFormat="1" x14ac:dyDescent="0.2">
      <c r="B1421" s="39" t="s">
        <v>8601</v>
      </c>
      <c r="C1421" s="39" t="s">
        <v>1441</v>
      </c>
      <c r="D1421" s="39" t="s">
        <v>1413</v>
      </c>
      <c r="E1421" s="40">
        <v>467</v>
      </c>
      <c r="F1421" s="41">
        <f>$E1421*3600/(Input!$H$4*1000)</f>
        <v>56.04</v>
      </c>
      <c r="G1421" s="42" t="str">
        <f t="shared" si="22"/>
        <v>1422</v>
      </c>
    </row>
    <row r="1422" spans="2:7" s="38" customFormat="1" x14ac:dyDescent="0.2">
      <c r="B1422" s="39" t="s">
        <v>8602</v>
      </c>
      <c r="C1422" s="39" t="s">
        <v>1441</v>
      </c>
      <c r="D1422" s="39" t="s">
        <v>61</v>
      </c>
      <c r="E1422" s="40">
        <v>473</v>
      </c>
      <c r="F1422" s="41">
        <f>$E1422*3600/(Input!$H$4*1000)</f>
        <v>56.76</v>
      </c>
      <c r="G1422" s="42" t="str">
        <f t="shared" si="22"/>
        <v>1423</v>
      </c>
    </row>
    <row r="1423" spans="2:7" s="38" customFormat="1" x14ac:dyDescent="0.2">
      <c r="B1423" s="39" t="s">
        <v>8603</v>
      </c>
      <c r="C1423" s="39" t="s">
        <v>63</v>
      </c>
      <c r="D1423" s="39" t="s">
        <v>68</v>
      </c>
      <c r="E1423" s="40">
        <v>350</v>
      </c>
      <c r="F1423" s="41">
        <f>$E1423*3600/(Input!$H$4*1000)</f>
        <v>42</v>
      </c>
      <c r="G1423" s="42" t="str">
        <f t="shared" si="22"/>
        <v>1424</v>
      </c>
    </row>
    <row r="1424" spans="2:7" s="38" customFormat="1" x14ac:dyDescent="0.2">
      <c r="B1424" s="39" t="s">
        <v>8604</v>
      </c>
      <c r="C1424" s="39" t="s">
        <v>61</v>
      </c>
      <c r="D1424" s="39" t="s">
        <v>68</v>
      </c>
      <c r="E1424" s="40">
        <v>878</v>
      </c>
      <c r="F1424" s="41">
        <f>$E1424*3600/(Input!$H$4*1000)</f>
        <v>105.36</v>
      </c>
      <c r="G1424" s="42" t="str">
        <f t="shared" si="22"/>
        <v>1425</v>
      </c>
    </row>
    <row r="1425" spans="2:7" s="38" customFormat="1" x14ac:dyDescent="0.2">
      <c r="B1425" s="39" t="s">
        <v>8605</v>
      </c>
      <c r="C1425" s="39" t="s">
        <v>71</v>
      </c>
      <c r="D1425" s="39" t="s">
        <v>68</v>
      </c>
      <c r="E1425" s="40">
        <v>563</v>
      </c>
      <c r="F1425" s="41">
        <f>$E1425*3600/(Input!$H$4*1000)</f>
        <v>67.56</v>
      </c>
      <c r="G1425" s="42" t="str">
        <f t="shared" si="22"/>
        <v>1426</v>
      </c>
    </row>
    <row r="1426" spans="2:7" s="38" customFormat="1" x14ac:dyDescent="0.2">
      <c r="B1426" s="39" t="s">
        <v>8606</v>
      </c>
      <c r="C1426" s="39" t="s">
        <v>189</v>
      </c>
      <c r="D1426" s="39" t="s">
        <v>71</v>
      </c>
      <c r="E1426" s="40">
        <v>443</v>
      </c>
      <c r="F1426" s="41">
        <f>$E1426*3600/(Input!$H$4*1000)</f>
        <v>53.16</v>
      </c>
      <c r="G1426" s="42" t="str">
        <f t="shared" si="22"/>
        <v>1427</v>
      </c>
    </row>
    <row r="1427" spans="2:7" s="38" customFormat="1" x14ac:dyDescent="0.2">
      <c r="B1427" s="39" t="s">
        <v>8607</v>
      </c>
      <c r="C1427" s="39" t="s">
        <v>69</v>
      </c>
      <c r="D1427" s="39" t="s">
        <v>71</v>
      </c>
      <c r="E1427" s="40">
        <v>639</v>
      </c>
      <c r="F1427" s="41">
        <f>$E1427*3600/(Input!$H$4*1000)</f>
        <v>76.680000000000007</v>
      </c>
      <c r="G1427" s="42" t="str">
        <f t="shared" si="22"/>
        <v>1428</v>
      </c>
    </row>
    <row r="1428" spans="2:7" s="38" customFormat="1" x14ac:dyDescent="0.2">
      <c r="B1428" s="39" t="s">
        <v>8608</v>
      </c>
      <c r="C1428" s="39" t="s">
        <v>1482</v>
      </c>
      <c r="D1428" s="39" t="s">
        <v>71</v>
      </c>
      <c r="E1428" s="40">
        <v>517</v>
      </c>
      <c r="F1428" s="41">
        <f>$E1428*3600/(Input!$H$4*1000)</f>
        <v>62.04</v>
      </c>
      <c r="G1428" s="42" t="str">
        <f t="shared" si="22"/>
        <v>1429</v>
      </c>
    </row>
    <row r="1429" spans="2:7" s="38" customFormat="1" x14ac:dyDescent="0.2">
      <c r="B1429" s="39" t="s">
        <v>8609</v>
      </c>
      <c r="C1429" s="39" t="s">
        <v>900</v>
      </c>
      <c r="D1429" s="39" t="s">
        <v>89</v>
      </c>
      <c r="E1429" s="40">
        <v>241</v>
      </c>
      <c r="F1429" s="41">
        <f>$E1429*3600/(Input!$H$4*1000)</f>
        <v>28.92</v>
      </c>
      <c r="G1429" s="42" t="str">
        <f t="shared" si="22"/>
        <v>1430</v>
      </c>
    </row>
    <row r="1430" spans="2:7" s="38" customFormat="1" x14ac:dyDescent="0.2">
      <c r="B1430" s="39" t="s">
        <v>8610</v>
      </c>
      <c r="C1430" s="39" t="s">
        <v>599</v>
      </c>
      <c r="D1430" s="39" t="s">
        <v>89</v>
      </c>
      <c r="E1430" s="40">
        <v>194</v>
      </c>
      <c r="F1430" s="41">
        <f>$E1430*3600/(Input!$H$4*1000)</f>
        <v>23.28</v>
      </c>
      <c r="G1430" s="42" t="str">
        <f t="shared" si="22"/>
        <v>1431</v>
      </c>
    </row>
    <row r="1431" spans="2:7" s="38" customFormat="1" x14ac:dyDescent="0.2">
      <c r="B1431" s="39" t="s">
        <v>8611</v>
      </c>
      <c r="C1431" s="39" t="s">
        <v>1468</v>
      </c>
      <c r="D1431" s="39" t="s">
        <v>1313</v>
      </c>
      <c r="E1431" s="40">
        <v>172</v>
      </c>
      <c r="F1431" s="41">
        <f>$E1431*3600/(Input!$H$4*1000)</f>
        <v>20.64</v>
      </c>
      <c r="G1431" s="42" t="str">
        <f t="shared" si="22"/>
        <v>1432</v>
      </c>
    </row>
    <row r="1432" spans="2:7" s="38" customFormat="1" x14ac:dyDescent="0.2">
      <c r="B1432" s="39" t="s">
        <v>8612</v>
      </c>
      <c r="C1432" s="39" t="s">
        <v>1376</v>
      </c>
      <c r="D1432" s="39" t="s">
        <v>612</v>
      </c>
      <c r="E1432" s="40">
        <v>434</v>
      </c>
      <c r="F1432" s="41">
        <f>$E1432*3600/(Input!$H$4*1000)</f>
        <v>52.08</v>
      </c>
      <c r="G1432" s="42" t="str">
        <f t="shared" si="22"/>
        <v>1433</v>
      </c>
    </row>
    <row r="1433" spans="2:7" s="38" customFormat="1" x14ac:dyDescent="0.2">
      <c r="B1433" s="39" t="s">
        <v>8613</v>
      </c>
      <c r="C1433" s="39" t="s">
        <v>729</v>
      </c>
      <c r="D1433" s="39" t="s">
        <v>1376</v>
      </c>
      <c r="E1433" s="40">
        <v>232</v>
      </c>
      <c r="F1433" s="41">
        <f>$E1433*3600/(Input!$H$4*1000)</f>
        <v>27.84</v>
      </c>
      <c r="G1433" s="42" t="str">
        <f t="shared" si="22"/>
        <v>1434</v>
      </c>
    </row>
    <row r="1434" spans="2:7" s="38" customFormat="1" x14ac:dyDescent="0.2">
      <c r="B1434" s="39" t="s">
        <v>8614</v>
      </c>
      <c r="C1434" s="39" t="s">
        <v>1481</v>
      </c>
      <c r="D1434" s="39" t="s">
        <v>729</v>
      </c>
      <c r="E1434" s="40">
        <v>197</v>
      </c>
      <c r="F1434" s="41">
        <f>$E1434*3600/(Input!$H$4*1000)</f>
        <v>23.64</v>
      </c>
      <c r="G1434" s="42" t="str">
        <f t="shared" si="22"/>
        <v>1435</v>
      </c>
    </row>
    <row r="1435" spans="2:7" s="38" customFormat="1" x14ac:dyDescent="0.2">
      <c r="B1435" s="39" t="s">
        <v>8615</v>
      </c>
      <c r="C1435" s="39" t="s">
        <v>1313</v>
      </c>
      <c r="D1435" s="39" t="s">
        <v>1481</v>
      </c>
      <c r="E1435" s="40">
        <v>125</v>
      </c>
      <c r="F1435" s="41">
        <f>$E1435*3600/(Input!$H$4*1000)</f>
        <v>15</v>
      </c>
      <c r="G1435" s="42" t="str">
        <f t="shared" si="22"/>
        <v>1436</v>
      </c>
    </row>
    <row r="1436" spans="2:7" s="38" customFormat="1" x14ac:dyDescent="0.2">
      <c r="B1436" s="39" t="s">
        <v>8616</v>
      </c>
      <c r="C1436" s="39" t="s">
        <v>1376</v>
      </c>
      <c r="D1436" s="39" t="s">
        <v>599</v>
      </c>
      <c r="E1436" s="40">
        <v>392</v>
      </c>
      <c r="F1436" s="41">
        <f>$E1436*3600/(Input!$H$4*1000)</f>
        <v>47.04</v>
      </c>
      <c r="G1436" s="42" t="str">
        <f t="shared" si="22"/>
        <v>1437</v>
      </c>
    </row>
    <row r="1437" spans="2:7" s="38" customFormat="1" x14ac:dyDescent="0.2">
      <c r="B1437" s="39" t="s">
        <v>8617</v>
      </c>
      <c r="C1437" s="39" t="s">
        <v>1376</v>
      </c>
      <c r="D1437" s="39" t="s">
        <v>608</v>
      </c>
      <c r="E1437" s="40">
        <v>86</v>
      </c>
      <c r="F1437" s="41">
        <f>$E1437*3600/(Input!$H$4*1000)</f>
        <v>10.32</v>
      </c>
      <c r="G1437" s="42" t="str">
        <f t="shared" si="22"/>
        <v>1438</v>
      </c>
    </row>
    <row r="1438" spans="2:7" s="38" customFormat="1" x14ac:dyDescent="0.2">
      <c r="B1438" s="39" t="s">
        <v>8618</v>
      </c>
      <c r="C1438" s="39" t="s">
        <v>608</v>
      </c>
      <c r="D1438" s="39" t="s">
        <v>575</v>
      </c>
      <c r="E1438" s="40">
        <v>109</v>
      </c>
      <c r="F1438" s="41">
        <f>$E1438*3600/(Input!$H$4*1000)</f>
        <v>13.08</v>
      </c>
      <c r="G1438" s="42" t="str">
        <f t="shared" si="22"/>
        <v>1439</v>
      </c>
    </row>
    <row r="1439" spans="2:7" s="38" customFormat="1" x14ac:dyDescent="0.2">
      <c r="B1439" s="39" t="s">
        <v>8619</v>
      </c>
      <c r="C1439" s="39" t="s">
        <v>608</v>
      </c>
      <c r="D1439" s="39" t="s">
        <v>612</v>
      </c>
      <c r="E1439" s="40">
        <v>284</v>
      </c>
      <c r="F1439" s="41">
        <f>$E1439*3600/(Input!$H$4*1000)</f>
        <v>34.08</v>
      </c>
      <c r="G1439" s="42" t="str">
        <f t="shared" si="22"/>
        <v>1440</v>
      </c>
    </row>
    <row r="1440" spans="2:7" s="38" customFormat="1" x14ac:dyDescent="0.2">
      <c r="B1440" s="39" t="s">
        <v>8620</v>
      </c>
      <c r="C1440" s="39" t="s">
        <v>808</v>
      </c>
      <c r="D1440" s="39" t="s">
        <v>612</v>
      </c>
      <c r="E1440" s="40">
        <v>135</v>
      </c>
      <c r="F1440" s="41">
        <f>$E1440*3600/(Input!$H$4*1000)</f>
        <v>16.2</v>
      </c>
      <c r="G1440" s="42" t="str">
        <f t="shared" si="22"/>
        <v>1441</v>
      </c>
    </row>
    <row r="1441" spans="2:7" s="38" customFormat="1" x14ac:dyDescent="0.2">
      <c r="B1441" s="39" t="s">
        <v>8621</v>
      </c>
      <c r="C1441" s="39" t="s">
        <v>611</v>
      </c>
      <c r="D1441" s="39" t="s">
        <v>599</v>
      </c>
      <c r="E1441" s="40">
        <v>622</v>
      </c>
      <c r="F1441" s="41">
        <f>$E1441*3600/(Input!$H$4*1000)</f>
        <v>74.64</v>
      </c>
      <c r="G1441" s="42" t="str">
        <f t="shared" si="22"/>
        <v>1442</v>
      </c>
    </row>
    <row r="1442" spans="2:7" s="38" customFormat="1" x14ac:dyDescent="0.2">
      <c r="B1442" s="39" t="s">
        <v>8622</v>
      </c>
      <c r="C1442" s="39" t="s">
        <v>1440</v>
      </c>
      <c r="D1442" s="39" t="s">
        <v>599</v>
      </c>
      <c r="E1442" s="40">
        <v>326</v>
      </c>
      <c r="F1442" s="41">
        <f>$E1442*3600/(Input!$H$4*1000)</f>
        <v>39.119999999999997</v>
      </c>
      <c r="G1442" s="42" t="str">
        <f t="shared" si="22"/>
        <v>1443</v>
      </c>
    </row>
    <row r="1443" spans="2:7" s="38" customFormat="1" x14ac:dyDescent="0.2">
      <c r="B1443" s="39" t="s">
        <v>8623</v>
      </c>
      <c r="C1443" s="39" t="s">
        <v>1440</v>
      </c>
      <c r="D1443" s="39" t="s">
        <v>988</v>
      </c>
      <c r="E1443" s="40">
        <v>218</v>
      </c>
      <c r="F1443" s="41">
        <f>$E1443*3600/(Input!$H$4*1000)</f>
        <v>26.16</v>
      </c>
      <c r="G1443" s="42" t="str">
        <f t="shared" si="22"/>
        <v>1444</v>
      </c>
    </row>
    <row r="1444" spans="2:7" s="38" customFormat="1" x14ac:dyDescent="0.2">
      <c r="B1444" s="39" t="s">
        <v>8624</v>
      </c>
      <c r="C1444" s="39" t="s">
        <v>611</v>
      </c>
      <c r="D1444" s="39" t="s">
        <v>907</v>
      </c>
      <c r="E1444" s="40">
        <v>1260</v>
      </c>
      <c r="F1444" s="41">
        <f>$E1444*3600/(Input!$H$4*1000)</f>
        <v>151.19999999999999</v>
      </c>
      <c r="G1444" s="42" t="str">
        <f t="shared" si="22"/>
        <v>1445</v>
      </c>
    </row>
    <row r="1445" spans="2:7" s="38" customFormat="1" x14ac:dyDescent="0.2">
      <c r="B1445" s="39" t="s">
        <v>8625</v>
      </c>
      <c r="C1445" s="39" t="s">
        <v>1469</v>
      </c>
      <c r="D1445" s="39" t="s">
        <v>611</v>
      </c>
      <c r="E1445" s="40">
        <v>112</v>
      </c>
      <c r="F1445" s="41">
        <f>$E1445*3600/(Input!$H$4*1000)</f>
        <v>13.44</v>
      </c>
      <c r="G1445" s="42" t="str">
        <f t="shared" si="22"/>
        <v>1446</v>
      </c>
    </row>
    <row r="1446" spans="2:7" s="38" customFormat="1" x14ac:dyDescent="0.2">
      <c r="B1446" s="39" t="s">
        <v>8626</v>
      </c>
      <c r="C1446" s="39" t="s">
        <v>1077</v>
      </c>
      <c r="D1446" s="39" t="s">
        <v>612</v>
      </c>
      <c r="E1446" s="40">
        <v>340</v>
      </c>
      <c r="F1446" s="41">
        <f>$E1446*3600/(Input!$H$4*1000)</f>
        <v>40.799999999999997</v>
      </c>
      <c r="G1446" s="42" t="str">
        <f t="shared" si="22"/>
        <v>1447</v>
      </c>
    </row>
    <row r="1447" spans="2:7" s="38" customFormat="1" x14ac:dyDescent="0.2">
      <c r="B1447" s="39" t="s">
        <v>8627</v>
      </c>
      <c r="C1447" s="39" t="s">
        <v>1077</v>
      </c>
      <c r="D1447" s="39" t="s">
        <v>290</v>
      </c>
      <c r="E1447" s="40">
        <v>368</v>
      </c>
      <c r="F1447" s="41">
        <f>$E1447*3600/(Input!$H$4*1000)</f>
        <v>44.16</v>
      </c>
      <c r="G1447" s="42" t="str">
        <f t="shared" si="22"/>
        <v>1448</v>
      </c>
    </row>
    <row r="1448" spans="2:7" s="38" customFormat="1" x14ac:dyDescent="0.2">
      <c r="B1448" s="39" t="s">
        <v>8628</v>
      </c>
      <c r="C1448" s="39" t="s">
        <v>290</v>
      </c>
      <c r="D1448" s="39" t="s">
        <v>906</v>
      </c>
      <c r="E1448" s="40">
        <v>185</v>
      </c>
      <c r="F1448" s="41">
        <f>$E1448*3600/(Input!$H$4*1000)</f>
        <v>22.2</v>
      </c>
      <c r="G1448" s="42" t="str">
        <f t="shared" si="22"/>
        <v>1449</v>
      </c>
    </row>
    <row r="1449" spans="2:7" s="38" customFormat="1" x14ac:dyDescent="0.2">
      <c r="B1449" s="39" t="s">
        <v>8629</v>
      </c>
      <c r="C1449" s="39" t="s">
        <v>906</v>
      </c>
      <c r="D1449" s="39" t="s">
        <v>290</v>
      </c>
      <c r="E1449" s="40">
        <v>122</v>
      </c>
      <c r="F1449" s="41">
        <f>$E1449*3600/(Input!$H$4*1000)</f>
        <v>14.64</v>
      </c>
      <c r="G1449" s="42" t="str">
        <f t="shared" si="22"/>
        <v>1450</v>
      </c>
    </row>
    <row r="1450" spans="2:7" s="46" customFormat="1" x14ac:dyDescent="0.2">
      <c r="B1450" s="39" t="s">
        <v>8630</v>
      </c>
      <c r="C1450" s="39" t="s">
        <v>906</v>
      </c>
      <c r="D1450" s="39" t="s">
        <v>1278</v>
      </c>
      <c r="E1450" s="40">
        <v>127</v>
      </c>
      <c r="F1450" s="41">
        <f>$E1450*3600/(Input!$H$4*1000)</f>
        <v>15.24</v>
      </c>
      <c r="G1450" s="42" t="str">
        <f t="shared" si="22"/>
        <v>1451</v>
      </c>
    </row>
    <row r="1451" spans="2:7" s="46" customFormat="1" x14ac:dyDescent="0.2">
      <c r="B1451" s="39" t="s">
        <v>8631</v>
      </c>
      <c r="C1451" s="39" t="s">
        <v>851</v>
      </c>
      <c r="D1451" s="39" t="s">
        <v>259</v>
      </c>
      <c r="E1451" s="40">
        <v>288</v>
      </c>
      <c r="F1451" s="41">
        <f>$E1451*3600/(Input!$H$4*1000)</f>
        <v>34.56</v>
      </c>
      <c r="G1451" s="42" t="str">
        <f t="shared" si="22"/>
        <v>1452</v>
      </c>
    </row>
    <row r="1452" spans="2:7" s="46" customFormat="1" x14ac:dyDescent="0.2">
      <c r="B1452" s="39" t="s">
        <v>8632</v>
      </c>
      <c r="C1452" s="39" t="s">
        <v>1469</v>
      </c>
      <c r="D1452" s="39" t="s">
        <v>851</v>
      </c>
      <c r="E1452" s="40">
        <v>555</v>
      </c>
      <c r="F1452" s="41">
        <f>$E1452*3600/(Input!$H$4*1000)</f>
        <v>66.599999999999994</v>
      </c>
      <c r="G1452" s="42" t="str">
        <f t="shared" si="22"/>
        <v>1453</v>
      </c>
    </row>
    <row r="1453" spans="2:7" s="38" customFormat="1" x14ac:dyDescent="0.2">
      <c r="B1453" s="39" t="s">
        <v>8633</v>
      </c>
      <c r="C1453" s="39" t="s">
        <v>851</v>
      </c>
      <c r="D1453" s="39" t="s">
        <v>1268</v>
      </c>
      <c r="E1453" s="40">
        <v>279</v>
      </c>
      <c r="F1453" s="41">
        <f>$E1453*3600/(Input!$H$4*1000)</f>
        <v>33.479999999999997</v>
      </c>
      <c r="G1453" s="42" t="str">
        <f t="shared" si="22"/>
        <v>1454</v>
      </c>
    </row>
    <row r="1454" spans="2:7" s="38" customFormat="1" x14ac:dyDescent="0.2">
      <c r="B1454" s="39" t="s">
        <v>8634</v>
      </c>
      <c r="C1454" s="39" t="s">
        <v>1623</v>
      </c>
      <c r="D1454" s="39" t="s">
        <v>907</v>
      </c>
      <c r="E1454" s="40">
        <v>1990</v>
      </c>
      <c r="F1454" s="41">
        <f>$E1454*3600/(Input!$H$4*1000)</f>
        <v>238.8</v>
      </c>
      <c r="G1454" s="42" t="str">
        <f t="shared" si="22"/>
        <v>1455</v>
      </c>
    </row>
    <row r="1455" spans="2:7" s="38" customFormat="1" x14ac:dyDescent="0.2">
      <c r="B1455" s="39" t="s">
        <v>8635</v>
      </c>
      <c r="C1455" s="39" t="s">
        <v>172</v>
      </c>
      <c r="D1455" s="39" t="s">
        <v>1178</v>
      </c>
      <c r="E1455" s="40">
        <v>153</v>
      </c>
      <c r="F1455" s="41">
        <f>$E1455*3600/(Input!$H$4*1000)</f>
        <v>18.36</v>
      </c>
      <c r="G1455" s="42" t="str">
        <f t="shared" si="22"/>
        <v>1456</v>
      </c>
    </row>
    <row r="1456" spans="2:7" s="38" customFormat="1" x14ac:dyDescent="0.2">
      <c r="B1456" s="39" t="s">
        <v>8636</v>
      </c>
      <c r="C1456" s="39" t="s">
        <v>1410</v>
      </c>
      <c r="D1456" s="39" t="s">
        <v>871</v>
      </c>
      <c r="E1456" s="40">
        <v>303</v>
      </c>
      <c r="F1456" s="41">
        <f>$E1456*3600/(Input!$H$4*1000)</f>
        <v>36.36</v>
      </c>
      <c r="G1456" s="42" t="str">
        <f t="shared" si="22"/>
        <v>1457</v>
      </c>
    </row>
    <row r="1457" spans="2:7" s="38" customFormat="1" x14ac:dyDescent="0.2">
      <c r="B1457" s="39" t="s">
        <v>8637</v>
      </c>
      <c r="C1457" s="39" t="s">
        <v>730</v>
      </c>
      <c r="D1457" s="39" t="s">
        <v>1410</v>
      </c>
      <c r="E1457" s="40">
        <v>215</v>
      </c>
      <c r="F1457" s="41">
        <f>$E1457*3600/(Input!$H$4*1000)</f>
        <v>25.8</v>
      </c>
      <c r="G1457" s="42" t="str">
        <f t="shared" si="22"/>
        <v>1458</v>
      </c>
    </row>
    <row r="1458" spans="2:7" s="38" customFormat="1" x14ac:dyDescent="0.2">
      <c r="B1458" s="39" t="s">
        <v>8638</v>
      </c>
      <c r="C1458" s="39" t="s">
        <v>1242</v>
      </c>
      <c r="D1458" s="39" t="s">
        <v>1367</v>
      </c>
      <c r="E1458" s="40">
        <v>323</v>
      </c>
      <c r="F1458" s="41">
        <f>$E1458*3600/(Input!$H$4*1000)</f>
        <v>38.76</v>
      </c>
      <c r="G1458" s="42" t="str">
        <f t="shared" si="22"/>
        <v>1459</v>
      </c>
    </row>
    <row r="1459" spans="2:7" s="38" customFormat="1" x14ac:dyDescent="0.2">
      <c r="B1459" s="44" t="s">
        <v>8639</v>
      </c>
      <c r="C1459" s="44" t="s">
        <v>1367</v>
      </c>
      <c r="D1459" s="44" t="s">
        <v>1306</v>
      </c>
      <c r="E1459" s="45">
        <v>86</v>
      </c>
      <c r="F1459" s="41">
        <f>$E1459*3600/(Input!$H$4*1000)</f>
        <v>10.32</v>
      </c>
      <c r="G1459" s="42" t="str">
        <f t="shared" si="22"/>
        <v>1460</v>
      </c>
    </row>
    <row r="1460" spans="2:7" s="38" customFormat="1" x14ac:dyDescent="0.2">
      <c r="B1460" s="39" t="s">
        <v>8640</v>
      </c>
      <c r="C1460" s="39" t="s">
        <v>1077</v>
      </c>
      <c r="D1460" s="39" t="s">
        <v>149</v>
      </c>
      <c r="E1460" s="40">
        <v>195</v>
      </c>
      <c r="F1460" s="41">
        <f>$E1460*3600/(Input!$H$4*1000)</f>
        <v>23.4</v>
      </c>
      <c r="G1460" s="42" t="str">
        <f t="shared" si="22"/>
        <v>1461</v>
      </c>
    </row>
    <row r="1461" spans="2:7" s="38" customFormat="1" x14ac:dyDescent="0.2">
      <c r="B1461" s="39" t="s">
        <v>8641</v>
      </c>
      <c r="C1461" s="39" t="s">
        <v>616</v>
      </c>
      <c r="D1461" s="39" t="s">
        <v>1202</v>
      </c>
      <c r="E1461" s="40">
        <v>80</v>
      </c>
      <c r="F1461" s="41">
        <f>$E1461*3600/(Input!$H$4*1000)</f>
        <v>9.6</v>
      </c>
      <c r="G1461" s="42" t="str">
        <f t="shared" si="22"/>
        <v>1462</v>
      </c>
    </row>
    <row r="1462" spans="2:7" s="38" customFormat="1" x14ac:dyDescent="0.2">
      <c r="B1462" s="39" t="s">
        <v>8642</v>
      </c>
      <c r="C1462" s="39" t="s">
        <v>633</v>
      </c>
      <c r="D1462" s="39" t="s">
        <v>813</v>
      </c>
      <c r="E1462" s="40">
        <v>64</v>
      </c>
      <c r="F1462" s="41">
        <f>$E1462*3600/(Input!$H$4*1000)</f>
        <v>7.68</v>
      </c>
      <c r="G1462" s="42" t="str">
        <f t="shared" si="22"/>
        <v>1463</v>
      </c>
    </row>
    <row r="1463" spans="2:7" s="38" customFormat="1" x14ac:dyDescent="0.2">
      <c r="B1463" s="39" t="s">
        <v>8643</v>
      </c>
      <c r="C1463" s="39" t="s">
        <v>813</v>
      </c>
      <c r="D1463" s="39" t="s">
        <v>1306</v>
      </c>
      <c r="E1463" s="40">
        <v>111</v>
      </c>
      <c r="F1463" s="41">
        <f>$E1463*3600/(Input!$H$4*1000)</f>
        <v>13.32</v>
      </c>
      <c r="G1463" s="42" t="str">
        <f t="shared" si="22"/>
        <v>1464</v>
      </c>
    </row>
    <row r="1464" spans="2:7" s="38" customFormat="1" x14ac:dyDescent="0.2">
      <c r="B1464" s="39" t="s">
        <v>8644</v>
      </c>
      <c r="C1464" s="39" t="s">
        <v>225</v>
      </c>
      <c r="D1464" s="39" t="s">
        <v>871</v>
      </c>
      <c r="E1464" s="40">
        <v>106</v>
      </c>
      <c r="F1464" s="41">
        <f>$E1464*3600/(Input!$H$4*1000)</f>
        <v>12.72</v>
      </c>
      <c r="G1464" s="42" t="str">
        <f t="shared" si="22"/>
        <v>1465</v>
      </c>
    </row>
    <row r="1465" spans="2:7" s="38" customFormat="1" x14ac:dyDescent="0.2">
      <c r="B1465" s="39" t="s">
        <v>8645</v>
      </c>
      <c r="C1465" s="39" t="s">
        <v>1077</v>
      </c>
      <c r="D1465" s="39" t="s">
        <v>871</v>
      </c>
      <c r="E1465" s="40">
        <v>560</v>
      </c>
      <c r="F1465" s="41">
        <f>$E1465*3600/(Input!$H$4*1000)</f>
        <v>67.2</v>
      </c>
      <c r="G1465" s="42" t="str">
        <f t="shared" si="22"/>
        <v>1466</v>
      </c>
    </row>
    <row r="1466" spans="2:7" s="38" customFormat="1" x14ac:dyDescent="0.2">
      <c r="B1466" s="39" t="s">
        <v>8646</v>
      </c>
      <c r="C1466" s="39" t="s">
        <v>1218</v>
      </c>
      <c r="D1466" s="39" t="s">
        <v>201</v>
      </c>
      <c r="E1466" s="40">
        <v>198</v>
      </c>
      <c r="F1466" s="41">
        <f>$E1466*3600/(Input!$H$4*1000)</f>
        <v>23.76</v>
      </c>
      <c r="G1466" s="42" t="str">
        <f t="shared" si="22"/>
        <v>1467</v>
      </c>
    </row>
    <row r="1467" spans="2:7" s="38" customFormat="1" x14ac:dyDescent="0.2">
      <c r="B1467" s="39" t="s">
        <v>8647</v>
      </c>
      <c r="C1467" s="39" t="s">
        <v>1202</v>
      </c>
      <c r="D1467" s="39" t="s">
        <v>637</v>
      </c>
      <c r="E1467" s="40">
        <v>221</v>
      </c>
      <c r="F1467" s="41">
        <f>$E1467*3600/(Input!$H$4*1000)</f>
        <v>26.52</v>
      </c>
      <c r="G1467" s="42" t="str">
        <f t="shared" si="22"/>
        <v>1468</v>
      </c>
    </row>
    <row r="1468" spans="2:7" s="38" customFormat="1" x14ac:dyDescent="0.2">
      <c r="B1468" s="39" t="s">
        <v>8648</v>
      </c>
      <c r="C1468" s="39" t="s">
        <v>637</v>
      </c>
      <c r="D1468" s="39" t="s">
        <v>632</v>
      </c>
      <c r="E1468" s="40">
        <v>218</v>
      </c>
      <c r="F1468" s="41">
        <f>$E1468*3600/(Input!$H$4*1000)</f>
        <v>26.16</v>
      </c>
      <c r="G1468" s="42" t="str">
        <f t="shared" si="22"/>
        <v>1469</v>
      </c>
    </row>
    <row r="1469" spans="2:7" s="38" customFormat="1" x14ac:dyDescent="0.2">
      <c r="B1469" s="39" t="s">
        <v>8649</v>
      </c>
      <c r="C1469" s="39" t="s">
        <v>1320</v>
      </c>
      <c r="D1469" s="39" t="s">
        <v>632</v>
      </c>
      <c r="E1469" s="40">
        <v>409</v>
      </c>
      <c r="F1469" s="41">
        <f>$E1469*3600/(Input!$H$4*1000)</f>
        <v>49.08</v>
      </c>
      <c r="G1469" s="42" t="str">
        <f t="shared" si="22"/>
        <v>1470</v>
      </c>
    </row>
    <row r="1470" spans="2:7" s="38" customFormat="1" x14ac:dyDescent="0.2">
      <c r="B1470" s="39" t="s">
        <v>8650</v>
      </c>
      <c r="C1470" s="39" t="s">
        <v>1202</v>
      </c>
      <c r="D1470" s="39" t="s">
        <v>1319</v>
      </c>
      <c r="E1470" s="40">
        <v>305</v>
      </c>
      <c r="F1470" s="41">
        <f>$E1470*3600/(Input!$H$4*1000)</f>
        <v>36.6</v>
      </c>
      <c r="G1470" s="42" t="str">
        <f t="shared" si="22"/>
        <v>1471</v>
      </c>
    </row>
    <row r="1471" spans="2:7" s="38" customFormat="1" x14ac:dyDescent="0.2">
      <c r="B1471" s="39" t="s">
        <v>8651</v>
      </c>
      <c r="C1471" s="39" t="s">
        <v>855</v>
      </c>
      <c r="D1471" s="39" t="s">
        <v>1175</v>
      </c>
      <c r="E1471" s="40">
        <v>98</v>
      </c>
      <c r="F1471" s="41">
        <f>$E1471*3600/(Input!$H$4*1000)</f>
        <v>11.76</v>
      </c>
      <c r="G1471" s="42" t="str">
        <f t="shared" si="22"/>
        <v>1472</v>
      </c>
    </row>
    <row r="1472" spans="2:7" s="38" customFormat="1" x14ac:dyDescent="0.2">
      <c r="B1472" s="39" t="s">
        <v>8652</v>
      </c>
      <c r="C1472" s="39" t="s">
        <v>1202</v>
      </c>
      <c r="D1472" s="39" t="s">
        <v>1175</v>
      </c>
      <c r="E1472" s="40">
        <v>473</v>
      </c>
      <c r="F1472" s="41">
        <f>$E1472*3600/(Input!$H$4*1000)</f>
        <v>56.76</v>
      </c>
      <c r="G1472" s="42" t="str">
        <f t="shared" si="22"/>
        <v>1473</v>
      </c>
    </row>
    <row r="1473" spans="2:7" s="38" customFormat="1" x14ac:dyDescent="0.2">
      <c r="B1473" s="39" t="s">
        <v>8653</v>
      </c>
      <c r="C1473" s="39" t="s">
        <v>201</v>
      </c>
      <c r="D1473" s="39" t="s">
        <v>1175</v>
      </c>
      <c r="E1473" s="40">
        <v>401</v>
      </c>
      <c r="F1473" s="41">
        <f>$E1473*3600/(Input!$H$4*1000)</f>
        <v>48.12</v>
      </c>
      <c r="G1473" s="42" t="str">
        <f t="shared" si="22"/>
        <v>1474</v>
      </c>
    </row>
    <row r="1474" spans="2:7" s="38" customFormat="1" x14ac:dyDescent="0.2">
      <c r="B1474" s="39" t="s">
        <v>8654</v>
      </c>
      <c r="C1474" s="39" t="s">
        <v>1250</v>
      </c>
      <c r="D1474" s="39" t="s">
        <v>772</v>
      </c>
      <c r="E1474" s="40">
        <v>215</v>
      </c>
      <c r="F1474" s="41">
        <f>$E1474*3600/(Input!$H$4*1000)</f>
        <v>25.8</v>
      </c>
      <c r="G1474" s="42" t="str">
        <f t="shared" ref="G1474:G1537" si="23">MID(B1474,7,LEN(B1474)-6)</f>
        <v>1475</v>
      </c>
    </row>
    <row r="1475" spans="2:7" s="38" customFormat="1" x14ac:dyDescent="0.2">
      <c r="B1475" s="39" t="s">
        <v>8655</v>
      </c>
      <c r="C1475" s="39" t="s">
        <v>1250</v>
      </c>
      <c r="D1475" s="39" t="s">
        <v>201</v>
      </c>
      <c r="E1475" s="40">
        <v>176</v>
      </c>
      <c r="F1475" s="41">
        <f>$E1475*3600/(Input!$H$4*1000)</f>
        <v>21.12</v>
      </c>
      <c r="G1475" s="42" t="str">
        <f t="shared" si="23"/>
        <v>1476</v>
      </c>
    </row>
    <row r="1476" spans="2:7" s="38" customFormat="1" x14ac:dyDescent="0.2">
      <c r="B1476" s="39" t="s">
        <v>8656</v>
      </c>
      <c r="C1476" s="39" t="s">
        <v>1175</v>
      </c>
      <c r="D1476" s="39" t="s">
        <v>618</v>
      </c>
      <c r="E1476" s="40">
        <v>188</v>
      </c>
      <c r="F1476" s="41">
        <f>$E1476*3600/(Input!$H$4*1000)</f>
        <v>22.56</v>
      </c>
      <c r="G1476" s="42" t="str">
        <f t="shared" si="23"/>
        <v>1477</v>
      </c>
    </row>
    <row r="1477" spans="2:7" s="38" customFormat="1" x14ac:dyDescent="0.2">
      <c r="B1477" s="39" t="s">
        <v>8657</v>
      </c>
      <c r="C1477" s="39" t="s">
        <v>652</v>
      </c>
      <c r="D1477" s="39" t="s">
        <v>1294</v>
      </c>
      <c r="E1477" s="40">
        <v>98</v>
      </c>
      <c r="F1477" s="41">
        <f>$E1477*3600/(Input!$H$4*1000)</f>
        <v>11.76</v>
      </c>
      <c r="G1477" s="42" t="str">
        <f t="shared" si="23"/>
        <v>1478</v>
      </c>
    </row>
    <row r="1478" spans="2:7" s="38" customFormat="1" x14ac:dyDescent="0.2">
      <c r="B1478" s="39" t="s">
        <v>8658</v>
      </c>
      <c r="C1478" s="39" t="s">
        <v>652</v>
      </c>
      <c r="D1478" s="39" t="s">
        <v>1175</v>
      </c>
      <c r="E1478" s="40">
        <v>595</v>
      </c>
      <c r="F1478" s="41">
        <f>$E1478*3600/(Input!$H$4*1000)</f>
        <v>71.400000000000006</v>
      </c>
      <c r="G1478" s="42" t="str">
        <f t="shared" si="23"/>
        <v>1479</v>
      </c>
    </row>
    <row r="1479" spans="2:7" s="38" customFormat="1" x14ac:dyDescent="0.2">
      <c r="B1479" s="39" t="s">
        <v>8659</v>
      </c>
      <c r="C1479" s="39" t="s">
        <v>1250</v>
      </c>
      <c r="D1479" s="39" t="s">
        <v>1393</v>
      </c>
      <c r="E1479" s="40">
        <v>423</v>
      </c>
      <c r="F1479" s="41">
        <f>$E1479*3600/(Input!$H$4*1000)</f>
        <v>50.76</v>
      </c>
      <c r="G1479" s="42" t="str">
        <f t="shared" si="23"/>
        <v>1480</v>
      </c>
    </row>
    <row r="1480" spans="2:7" s="38" customFormat="1" x14ac:dyDescent="0.2">
      <c r="B1480" s="39" t="s">
        <v>8660</v>
      </c>
      <c r="C1480" s="39" t="s">
        <v>76</v>
      </c>
      <c r="D1480" s="39" t="s">
        <v>284</v>
      </c>
      <c r="E1480" s="40">
        <v>551</v>
      </c>
      <c r="F1480" s="41">
        <f>$E1480*3600/(Input!$H$4*1000)</f>
        <v>66.12</v>
      </c>
      <c r="G1480" s="42" t="str">
        <f t="shared" si="23"/>
        <v>1481</v>
      </c>
    </row>
    <row r="1481" spans="2:7" s="38" customFormat="1" x14ac:dyDescent="0.2">
      <c r="B1481" s="39" t="s">
        <v>8661</v>
      </c>
      <c r="C1481" s="39" t="s">
        <v>76</v>
      </c>
      <c r="D1481" s="39" t="s">
        <v>772</v>
      </c>
      <c r="E1481" s="40">
        <v>374</v>
      </c>
      <c r="F1481" s="41">
        <f>$E1481*3600/(Input!$H$4*1000)</f>
        <v>44.88</v>
      </c>
      <c r="G1481" s="42" t="str">
        <f t="shared" si="23"/>
        <v>1482</v>
      </c>
    </row>
    <row r="1482" spans="2:7" s="38" customFormat="1" x14ac:dyDescent="0.2">
      <c r="B1482" s="39" t="s">
        <v>8662</v>
      </c>
      <c r="C1482" s="39" t="s">
        <v>1436</v>
      </c>
      <c r="D1482" s="39" t="s">
        <v>1304</v>
      </c>
      <c r="E1482" s="40">
        <v>1830</v>
      </c>
      <c r="F1482" s="41">
        <f>$E1482*3600/(Input!$H$4*1000)</f>
        <v>219.6</v>
      </c>
      <c r="G1482" s="42" t="str">
        <f t="shared" si="23"/>
        <v>1483</v>
      </c>
    </row>
    <row r="1483" spans="2:7" s="38" customFormat="1" x14ac:dyDescent="0.2">
      <c r="B1483" s="39" t="s">
        <v>8663</v>
      </c>
      <c r="C1483" s="39" t="s">
        <v>1436</v>
      </c>
      <c r="D1483" s="39" t="s">
        <v>76</v>
      </c>
      <c r="E1483" s="40">
        <v>891</v>
      </c>
      <c r="F1483" s="41">
        <f>$E1483*3600/(Input!$H$4*1000)</f>
        <v>106.92</v>
      </c>
      <c r="G1483" s="42" t="str">
        <f t="shared" si="23"/>
        <v>1484</v>
      </c>
    </row>
    <row r="1484" spans="2:7" s="38" customFormat="1" x14ac:dyDescent="0.2">
      <c r="B1484" s="39" t="s">
        <v>8664</v>
      </c>
      <c r="C1484" s="39" t="s">
        <v>1436</v>
      </c>
      <c r="D1484" s="39" t="s">
        <v>1437</v>
      </c>
      <c r="E1484" s="40">
        <v>1110</v>
      </c>
      <c r="F1484" s="41">
        <f>$E1484*3600/(Input!$H$4*1000)</f>
        <v>133.19999999999999</v>
      </c>
      <c r="G1484" s="42" t="str">
        <f t="shared" si="23"/>
        <v>1485</v>
      </c>
    </row>
    <row r="1485" spans="2:7" s="38" customFormat="1" x14ac:dyDescent="0.2">
      <c r="B1485" s="39" t="s">
        <v>8665</v>
      </c>
      <c r="C1485" s="39" t="s">
        <v>875</v>
      </c>
      <c r="D1485" s="39" t="s">
        <v>1437</v>
      </c>
      <c r="E1485" s="40">
        <v>341</v>
      </c>
      <c r="F1485" s="41">
        <f>$E1485*3600/(Input!$H$4*1000)</f>
        <v>40.92</v>
      </c>
      <c r="G1485" s="42" t="str">
        <f t="shared" si="23"/>
        <v>1486</v>
      </c>
    </row>
    <row r="1486" spans="2:7" s="38" customFormat="1" x14ac:dyDescent="0.2">
      <c r="B1486" s="39" t="s">
        <v>8666</v>
      </c>
      <c r="C1486" s="39" t="s">
        <v>887</v>
      </c>
      <c r="D1486" s="39" t="s">
        <v>632</v>
      </c>
      <c r="E1486" s="40">
        <v>510</v>
      </c>
      <c r="F1486" s="41">
        <f>$E1486*3600/(Input!$H$4*1000)</f>
        <v>61.2</v>
      </c>
      <c r="G1486" s="42" t="str">
        <f t="shared" si="23"/>
        <v>1487</v>
      </c>
    </row>
    <row r="1487" spans="2:7" s="38" customFormat="1" x14ac:dyDescent="0.2">
      <c r="B1487" s="39" t="s">
        <v>8667</v>
      </c>
      <c r="C1487" s="39" t="s">
        <v>1169</v>
      </c>
      <c r="D1487" s="39" t="s">
        <v>784</v>
      </c>
      <c r="E1487" s="40">
        <v>834</v>
      </c>
      <c r="F1487" s="41">
        <f>$E1487*3600/(Input!$H$4*1000)</f>
        <v>100.08</v>
      </c>
      <c r="G1487" s="42" t="str">
        <f t="shared" si="23"/>
        <v>1488</v>
      </c>
    </row>
    <row r="1488" spans="2:7" s="38" customFormat="1" x14ac:dyDescent="0.2">
      <c r="B1488" s="44" t="s">
        <v>8668</v>
      </c>
      <c r="C1488" s="44" t="s">
        <v>149</v>
      </c>
      <c r="D1488" s="44" t="s">
        <v>1178</v>
      </c>
      <c r="E1488" s="45">
        <v>554</v>
      </c>
      <c r="F1488" s="41">
        <f>$E1488*3600/(Input!$H$4*1000)</f>
        <v>66.48</v>
      </c>
      <c r="G1488" s="42" t="str">
        <f t="shared" si="23"/>
        <v>1489</v>
      </c>
    </row>
    <row r="1489" spans="2:7" s="38" customFormat="1" x14ac:dyDescent="0.2">
      <c r="B1489" s="39" t="s">
        <v>8669</v>
      </c>
      <c r="C1489" s="39" t="s">
        <v>1169</v>
      </c>
      <c r="D1489" s="39" t="s">
        <v>605</v>
      </c>
      <c r="E1489" s="40">
        <v>178</v>
      </c>
      <c r="F1489" s="41">
        <f>$E1489*3600/(Input!$H$4*1000)</f>
        <v>21.36</v>
      </c>
      <c r="G1489" s="42" t="str">
        <f t="shared" si="23"/>
        <v>1490</v>
      </c>
    </row>
    <row r="1490" spans="2:7" s="38" customFormat="1" x14ac:dyDescent="0.2">
      <c r="B1490" s="39" t="s">
        <v>8670</v>
      </c>
      <c r="C1490" s="39" t="s">
        <v>1304</v>
      </c>
      <c r="D1490" s="39" t="s">
        <v>1279</v>
      </c>
      <c r="E1490" s="40">
        <v>999</v>
      </c>
      <c r="F1490" s="41">
        <f>$E1490*3600/(Input!$H$4*1000)</f>
        <v>119.88</v>
      </c>
      <c r="G1490" s="42" t="str">
        <f t="shared" si="23"/>
        <v>1491</v>
      </c>
    </row>
    <row r="1491" spans="2:7" s="38" customFormat="1" x14ac:dyDescent="0.2">
      <c r="B1491" s="39" t="s">
        <v>8671</v>
      </c>
      <c r="C1491" s="39" t="s">
        <v>639</v>
      </c>
      <c r="D1491" s="39" t="s">
        <v>1436</v>
      </c>
      <c r="E1491" s="40">
        <v>1800</v>
      </c>
      <c r="F1491" s="41">
        <f>$E1491*3600/(Input!$H$4*1000)</f>
        <v>216</v>
      </c>
      <c r="G1491" s="42" t="str">
        <f t="shared" si="23"/>
        <v>1492</v>
      </c>
    </row>
    <row r="1492" spans="2:7" s="38" customFormat="1" x14ac:dyDescent="0.2">
      <c r="B1492" s="39" t="s">
        <v>8672</v>
      </c>
      <c r="C1492" s="39" t="s">
        <v>1711</v>
      </c>
      <c r="D1492" s="39" t="s">
        <v>1206</v>
      </c>
      <c r="E1492" s="40">
        <v>304</v>
      </c>
      <c r="F1492" s="41">
        <f>$E1492*3600/(Input!$H$4*1000)</f>
        <v>36.479999999999997</v>
      </c>
      <c r="G1492" s="42" t="str">
        <f t="shared" si="23"/>
        <v>1493</v>
      </c>
    </row>
    <row r="1493" spans="2:7" s="38" customFormat="1" x14ac:dyDescent="0.2">
      <c r="B1493" s="39" t="s">
        <v>8673</v>
      </c>
      <c r="C1493" s="39" t="s">
        <v>1711</v>
      </c>
      <c r="D1493" s="39" t="s">
        <v>1559</v>
      </c>
      <c r="E1493" s="40">
        <v>400</v>
      </c>
      <c r="F1493" s="41">
        <f>$E1493*3600/(Input!$H$4*1000)</f>
        <v>48</v>
      </c>
      <c r="G1493" s="42" t="str">
        <f t="shared" si="23"/>
        <v>1494</v>
      </c>
    </row>
    <row r="1494" spans="2:7" s="38" customFormat="1" x14ac:dyDescent="0.2">
      <c r="B1494" s="39" t="s">
        <v>8674</v>
      </c>
      <c r="C1494" s="39" t="s">
        <v>1711</v>
      </c>
      <c r="D1494" s="39" t="s">
        <v>1222</v>
      </c>
      <c r="E1494" s="40">
        <v>679</v>
      </c>
      <c r="F1494" s="41">
        <f>$E1494*3600/(Input!$H$4*1000)</f>
        <v>81.48</v>
      </c>
      <c r="G1494" s="42" t="str">
        <f t="shared" si="23"/>
        <v>1495</v>
      </c>
    </row>
    <row r="1495" spans="2:7" s="38" customFormat="1" x14ac:dyDescent="0.2">
      <c r="B1495" s="39" t="s">
        <v>8675</v>
      </c>
      <c r="C1495" s="39" t="s">
        <v>25</v>
      </c>
      <c r="D1495" s="39" t="s">
        <v>550</v>
      </c>
      <c r="E1495" s="40">
        <v>2620</v>
      </c>
      <c r="F1495" s="41">
        <f>$E1495*3600/(Input!$H$4*1000)</f>
        <v>314.39999999999998</v>
      </c>
      <c r="G1495" s="42" t="str">
        <f t="shared" si="23"/>
        <v>1496</v>
      </c>
    </row>
    <row r="1496" spans="2:7" s="46" customFormat="1" x14ac:dyDescent="0.2">
      <c r="B1496" s="39" t="s">
        <v>8676</v>
      </c>
      <c r="C1496" s="39" t="s">
        <v>392</v>
      </c>
      <c r="D1496" s="39" t="s">
        <v>240</v>
      </c>
      <c r="E1496" s="40">
        <v>971</v>
      </c>
      <c r="F1496" s="41">
        <f>$E1496*3600/(Input!$H$4*1000)</f>
        <v>116.52</v>
      </c>
      <c r="G1496" s="42" t="str">
        <f t="shared" si="23"/>
        <v>1497</v>
      </c>
    </row>
    <row r="1497" spans="2:7" s="46" customFormat="1" x14ac:dyDescent="0.2">
      <c r="B1497" s="39" t="s">
        <v>8677</v>
      </c>
      <c r="C1497" s="39" t="s">
        <v>541</v>
      </c>
      <c r="D1497" s="39" t="s">
        <v>539</v>
      </c>
      <c r="E1497" s="40">
        <v>454</v>
      </c>
      <c r="F1497" s="41">
        <f>$E1497*3600/(Input!$H$4*1000)</f>
        <v>54.48</v>
      </c>
      <c r="G1497" s="42" t="str">
        <f t="shared" si="23"/>
        <v>1498</v>
      </c>
    </row>
    <row r="1498" spans="2:7" s="46" customFormat="1" x14ac:dyDescent="0.2">
      <c r="B1498" s="39" t="s">
        <v>8678</v>
      </c>
      <c r="C1498" s="39" t="s">
        <v>541</v>
      </c>
      <c r="D1498" s="39" t="s">
        <v>1049</v>
      </c>
      <c r="E1498" s="40">
        <v>675</v>
      </c>
      <c r="F1498" s="41">
        <f>$E1498*3600/(Input!$H$4*1000)</f>
        <v>81</v>
      </c>
      <c r="G1498" s="42" t="str">
        <f t="shared" si="23"/>
        <v>1499</v>
      </c>
    </row>
    <row r="1499" spans="2:7" s="38" customFormat="1" x14ac:dyDescent="0.2">
      <c r="B1499" s="39" t="s">
        <v>8679</v>
      </c>
      <c r="C1499" s="39" t="s">
        <v>451</v>
      </c>
      <c r="D1499" s="39" t="s">
        <v>455</v>
      </c>
      <c r="E1499" s="40">
        <v>978</v>
      </c>
      <c r="F1499" s="41">
        <f>$E1499*3600/(Input!$H$4*1000)</f>
        <v>117.36</v>
      </c>
      <c r="G1499" s="42" t="str">
        <f t="shared" si="23"/>
        <v>1500</v>
      </c>
    </row>
    <row r="1500" spans="2:7" s="38" customFormat="1" x14ac:dyDescent="0.2">
      <c r="B1500" s="39" t="s">
        <v>8680</v>
      </c>
      <c r="C1500" s="39" t="s">
        <v>1788</v>
      </c>
      <c r="D1500" s="39" t="s">
        <v>991</v>
      </c>
      <c r="E1500" s="40">
        <v>1270</v>
      </c>
      <c r="F1500" s="41">
        <f>$E1500*3600/(Input!$H$4*1000)</f>
        <v>152.4</v>
      </c>
      <c r="G1500" s="42" t="str">
        <f t="shared" si="23"/>
        <v>1501</v>
      </c>
    </row>
    <row r="1501" spans="2:7" s="38" customFormat="1" x14ac:dyDescent="0.2">
      <c r="B1501" s="39" t="s">
        <v>8681</v>
      </c>
      <c r="C1501" s="39" t="s">
        <v>1586</v>
      </c>
      <c r="D1501" s="39" t="s">
        <v>614</v>
      </c>
      <c r="E1501" s="40">
        <v>1010</v>
      </c>
      <c r="F1501" s="41">
        <f>$E1501*3600/(Input!$H$4*1000)</f>
        <v>121.2</v>
      </c>
      <c r="G1501" s="42" t="str">
        <f t="shared" si="23"/>
        <v>1502</v>
      </c>
    </row>
    <row r="1502" spans="2:7" s="38" customFormat="1" x14ac:dyDescent="0.2">
      <c r="B1502" s="39" t="s">
        <v>8682</v>
      </c>
      <c r="C1502" s="39" t="s">
        <v>1586</v>
      </c>
      <c r="D1502" s="39" t="s">
        <v>1512</v>
      </c>
      <c r="E1502" s="40">
        <v>1230</v>
      </c>
      <c r="F1502" s="41">
        <f>$E1502*3600/(Input!$H$4*1000)</f>
        <v>147.6</v>
      </c>
      <c r="G1502" s="42" t="str">
        <f t="shared" si="23"/>
        <v>1503</v>
      </c>
    </row>
    <row r="1503" spans="2:7" s="38" customFormat="1" x14ac:dyDescent="0.2">
      <c r="B1503" s="39" t="s">
        <v>8683</v>
      </c>
      <c r="C1503" s="39" t="s">
        <v>1604</v>
      </c>
      <c r="D1503" s="39" t="s">
        <v>962</v>
      </c>
      <c r="E1503" s="40">
        <v>356</v>
      </c>
      <c r="F1503" s="41">
        <f>$E1503*3600/(Input!$H$4*1000)</f>
        <v>42.72</v>
      </c>
      <c r="G1503" s="42" t="str">
        <f t="shared" si="23"/>
        <v>1504</v>
      </c>
    </row>
    <row r="1504" spans="2:7" s="38" customFormat="1" x14ac:dyDescent="0.2">
      <c r="B1504" s="39" t="s">
        <v>8684</v>
      </c>
      <c r="C1504" s="39" t="s">
        <v>962</v>
      </c>
      <c r="D1504" s="39" t="s">
        <v>1593</v>
      </c>
      <c r="E1504" s="40">
        <v>342</v>
      </c>
      <c r="F1504" s="41">
        <f>$E1504*3600/(Input!$H$4*1000)</f>
        <v>41.04</v>
      </c>
      <c r="G1504" s="42" t="str">
        <f t="shared" si="23"/>
        <v>1505</v>
      </c>
    </row>
    <row r="1505" spans="2:7" s="38" customFormat="1" x14ac:dyDescent="0.2">
      <c r="B1505" s="39" t="s">
        <v>8685</v>
      </c>
      <c r="C1505" s="39" t="s">
        <v>1196</v>
      </c>
      <c r="D1505" s="39" t="s">
        <v>214</v>
      </c>
      <c r="E1505" s="40">
        <v>10</v>
      </c>
      <c r="F1505" s="41">
        <f>$E1505*3600/(Input!$H$4*1000)</f>
        <v>1.2</v>
      </c>
      <c r="G1505" s="42" t="str">
        <f t="shared" si="23"/>
        <v>1506</v>
      </c>
    </row>
    <row r="1506" spans="2:7" s="38" customFormat="1" x14ac:dyDescent="0.2">
      <c r="B1506" s="39" t="s">
        <v>8686</v>
      </c>
      <c r="C1506" s="39" t="s">
        <v>106</v>
      </c>
      <c r="D1506" s="39" t="s">
        <v>1828</v>
      </c>
      <c r="E1506" s="40">
        <v>10</v>
      </c>
      <c r="F1506" s="41">
        <f>$E1506*3600/(Input!$H$4*1000)</f>
        <v>1.2</v>
      </c>
      <c r="G1506" s="42" t="str">
        <f t="shared" si="23"/>
        <v>1507</v>
      </c>
    </row>
    <row r="1507" spans="2:7" s="38" customFormat="1" x14ac:dyDescent="0.2">
      <c r="B1507" s="39" t="s">
        <v>8687</v>
      </c>
      <c r="C1507" s="39" t="s">
        <v>1078</v>
      </c>
      <c r="D1507" s="39" t="s">
        <v>1335</v>
      </c>
      <c r="E1507" s="40">
        <v>10</v>
      </c>
      <c r="F1507" s="41">
        <f>$E1507*3600/(Input!$H$4*1000)</f>
        <v>1.2</v>
      </c>
      <c r="G1507" s="42" t="str">
        <f t="shared" si="23"/>
        <v>1508</v>
      </c>
    </row>
    <row r="1508" spans="2:7" s="38" customFormat="1" x14ac:dyDescent="0.2">
      <c r="B1508" s="39" t="s">
        <v>8688</v>
      </c>
      <c r="C1508" s="39" t="s">
        <v>1335</v>
      </c>
      <c r="D1508" s="39" t="s">
        <v>1412</v>
      </c>
      <c r="E1508" s="40">
        <v>10</v>
      </c>
      <c r="F1508" s="41">
        <f>$E1508*3600/(Input!$H$4*1000)</f>
        <v>1.2</v>
      </c>
      <c r="G1508" s="42" t="str">
        <f t="shared" si="23"/>
        <v>1509</v>
      </c>
    </row>
    <row r="1509" spans="2:7" s="38" customFormat="1" x14ac:dyDescent="0.2">
      <c r="B1509" s="39" t="s">
        <v>8689</v>
      </c>
      <c r="C1509" s="39" t="s">
        <v>1338</v>
      </c>
      <c r="D1509" s="39" t="s">
        <v>688</v>
      </c>
      <c r="E1509" s="40">
        <v>10</v>
      </c>
      <c r="F1509" s="41">
        <f>$E1509*3600/(Input!$H$4*1000)</f>
        <v>1.2</v>
      </c>
      <c r="G1509" s="42" t="str">
        <f t="shared" si="23"/>
        <v>1510</v>
      </c>
    </row>
    <row r="1510" spans="2:7" s="38" customFormat="1" x14ac:dyDescent="0.2">
      <c r="B1510" s="39" t="s">
        <v>8690</v>
      </c>
      <c r="C1510" s="44" t="s">
        <v>689</v>
      </c>
      <c r="D1510" s="44" t="s">
        <v>1829</v>
      </c>
      <c r="E1510" s="45">
        <v>10</v>
      </c>
      <c r="F1510" s="41">
        <f>$E1510*3600/(Input!$H$4*1000)</f>
        <v>1.2</v>
      </c>
      <c r="G1510" s="42" t="str">
        <f t="shared" si="23"/>
        <v>1511</v>
      </c>
    </row>
    <row r="1511" spans="2:7" s="38" customFormat="1" x14ac:dyDescent="0.2">
      <c r="B1511" s="39" t="s">
        <v>8691</v>
      </c>
      <c r="C1511" s="44" t="s">
        <v>497</v>
      </c>
      <c r="D1511" s="44" t="s">
        <v>232</v>
      </c>
      <c r="E1511" s="45">
        <v>10</v>
      </c>
      <c r="F1511" s="41">
        <f>$E1511*3600/(Input!$H$4*1000)</f>
        <v>1.2</v>
      </c>
      <c r="G1511" s="42" t="str">
        <f t="shared" si="23"/>
        <v>1512</v>
      </c>
    </row>
    <row r="1512" spans="2:7" s="38" customFormat="1" x14ac:dyDescent="0.2">
      <c r="B1512" s="39" t="s">
        <v>8692</v>
      </c>
      <c r="C1512" s="39" t="s">
        <v>65</v>
      </c>
      <c r="D1512" s="39" t="s">
        <v>1830</v>
      </c>
      <c r="E1512" s="40">
        <v>10</v>
      </c>
      <c r="F1512" s="41">
        <f>$E1512*3600/(Input!$H$4*1000)</f>
        <v>1.2</v>
      </c>
      <c r="G1512" s="42" t="str">
        <f t="shared" si="23"/>
        <v>1513</v>
      </c>
    </row>
    <row r="1513" spans="2:7" s="38" customFormat="1" x14ac:dyDescent="0.2">
      <c r="B1513" s="39" t="s">
        <v>8693</v>
      </c>
      <c r="C1513" s="39" t="s">
        <v>273</v>
      </c>
      <c r="D1513" s="39" t="s">
        <v>1162</v>
      </c>
      <c r="E1513" s="40">
        <v>10</v>
      </c>
      <c r="F1513" s="41">
        <f>$E1513*3600/(Input!$H$4*1000)</f>
        <v>1.2</v>
      </c>
      <c r="G1513" s="42" t="str">
        <f t="shared" si="23"/>
        <v>1514</v>
      </c>
    </row>
    <row r="1514" spans="2:7" s="38" customFormat="1" x14ac:dyDescent="0.2">
      <c r="B1514" s="39" t="s">
        <v>8694</v>
      </c>
      <c r="C1514" s="39" t="s">
        <v>672</v>
      </c>
      <c r="D1514" s="39" t="s">
        <v>278</v>
      </c>
      <c r="E1514" s="40">
        <v>10</v>
      </c>
      <c r="F1514" s="41">
        <f>$E1514*3600/(Input!$H$4*1000)</f>
        <v>1.2</v>
      </c>
      <c r="G1514" s="42" t="str">
        <f t="shared" si="23"/>
        <v>1515</v>
      </c>
    </row>
    <row r="1515" spans="2:7" s="38" customFormat="1" x14ac:dyDescent="0.2">
      <c r="B1515" s="39" t="s">
        <v>8695</v>
      </c>
      <c r="C1515" s="39" t="s">
        <v>157</v>
      </c>
      <c r="D1515" s="39" t="s">
        <v>1831</v>
      </c>
      <c r="E1515" s="40">
        <v>10</v>
      </c>
      <c r="F1515" s="41">
        <f>$E1515*3600/(Input!$H$4*1000)</f>
        <v>1.2</v>
      </c>
      <c r="G1515" s="42" t="str">
        <f t="shared" si="23"/>
        <v>1516</v>
      </c>
    </row>
    <row r="1516" spans="2:7" s="38" customFormat="1" x14ac:dyDescent="0.2">
      <c r="B1516" s="39" t="s">
        <v>8696</v>
      </c>
      <c r="C1516" s="39" t="s">
        <v>832</v>
      </c>
      <c r="D1516" s="39" t="s">
        <v>842</v>
      </c>
      <c r="E1516" s="40">
        <v>10</v>
      </c>
      <c r="F1516" s="41">
        <f>$E1516*3600/(Input!$H$4*1000)</f>
        <v>1.2</v>
      </c>
      <c r="G1516" s="42" t="str">
        <f t="shared" si="23"/>
        <v>1517</v>
      </c>
    </row>
    <row r="1517" spans="2:7" s="38" customFormat="1" x14ac:dyDescent="0.2">
      <c r="B1517" s="39" t="s">
        <v>8697</v>
      </c>
      <c r="C1517" s="39" t="s">
        <v>878</v>
      </c>
      <c r="D1517" s="39" t="s">
        <v>842</v>
      </c>
      <c r="E1517" s="40">
        <v>10</v>
      </c>
      <c r="F1517" s="41">
        <f>$E1517*3600/(Input!$H$4*1000)</f>
        <v>1.2</v>
      </c>
      <c r="G1517" s="42" t="str">
        <f t="shared" si="23"/>
        <v>1518</v>
      </c>
    </row>
    <row r="1518" spans="2:7" s="38" customFormat="1" x14ac:dyDescent="0.2">
      <c r="B1518" s="39" t="s">
        <v>8698</v>
      </c>
      <c r="C1518" s="39" t="s">
        <v>842</v>
      </c>
      <c r="D1518" s="39" t="s">
        <v>878</v>
      </c>
      <c r="E1518" s="40">
        <v>10</v>
      </c>
      <c r="F1518" s="41">
        <f>$E1518*3600/(Input!$H$4*1000)</f>
        <v>1.2</v>
      </c>
      <c r="G1518" s="42" t="str">
        <f t="shared" si="23"/>
        <v>1519</v>
      </c>
    </row>
    <row r="1519" spans="2:7" s="38" customFormat="1" x14ac:dyDescent="0.2">
      <c r="B1519" s="39" t="s">
        <v>8699</v>
      </c>
      <c r="C1519" s="39" t="s">
        <v>691</v>
      </c>
      <c r="D1519" s="39" t="s">
        <v>1832</v>
      </c>
      <c r="E1519" s="40">
        <v>10</v>
      </c>
      <c r="F1519" s="41">
        <f>$E1519*3600/(Input!$H$4*1000)</f>
        <v>1.2</v>
      </c>
      <c r="G1519" s="42" t="str">
        <f t="shared" si="23"/>
        <v>1520</v>
      </c>
    </row>
    <row r="1520" spans="2:7" s="38" customFormat="1" x14ac:dyDescent="0.2">
      <c r="B1520" s="39" t="s">
        <v>8700</v>
      </c>
      <c r="C1520" s="39" t="s">
        <v>1366</v>
      </c>
      <c r="D1520" s="39" t="s">
        <v>1080</v>
      </c>
      <c r="E1520" s="40">
        <v>10</v>
      </c>
      <c r="F1520" s="41">
        <f>$E1520*3600/(Input!$H$4*1000)</f>
        <v>1.2</v>
      </c>
      <c r="G1520" s="42" t="str">
        <f t="shared" si="23"/>
        <v>1521</v>
      </c>
    </row>
    <row r="1521" spans="2:7" s="38" customFormat="1" x14ac:dyDescent="0.2">
      <c r="B1521" s="39" t="s">
        <v>8701</v>
      </c>
      <c r="C1521" s="39" t="s">
        <v>731</v>
      </c>
      <c r="D1521" s="39" t="s">
        <v>1833</v>
      </c>
      <c r="E1521" s="40">
        <v>10</v>
      </c>
      <c r="F1521" s="41">
        <f>$E1521*3600/(Input!$H$4*1000)</f>
        <v>1.2</v>
      </c>
      <c r="G1521" s="42" t="str">
        <f t="shared" si="23"/>
        <v>1522</v>
      </c>
    </row>
    <row r="1522" spans="2:7" s="38" customFormat="1" x14ac:dyDescent="0.2">
      <c r="B1522" s="39" t="s">
        <v>8702</v>
      </c>
      <c r="C1522" s="39" t="s">
        <v>1192</v>
      </c>
      <c r="D1522" s="39" t="s">
        <v>657</v>
      </c>
      <c r="E1522" s="40">
        <v>10</v>
      </c>
      <c r="F1522" s="41">
        <f>$E1522*3600/(Input!$H$4*1000)</f>
        <v>1.2</v>
      </c>
      <c r="G1522" s="42" t="str">
        <f t="shared" si="23"/>
        <v>1523</v>
      </c>
    </row>
    <row r="1523" spans="2:7" s="38" customFormat="1" x14ac:dyDescent="0.2">
      <c r="B1523" s="39" t="s">
        <v>8703</v>
      </c>
      <c r="C1523" s="39" t="s">
        <v>1158</v>
      </c>
      <c r="D1523" s="39" t="s">
        <v>1395</v>
      </c>
      <c r="E1523" s="40">
        <v>10</v>
      </c>
      <c r="F1523" s="41">
        <f>$E1523*3600/(Input!$H$4*1000)</f>
        <v>1.2</v>
      </c>
      <c r="G1523" s="42" t="str">
        <f t="shared" si="23"/>
        <v>1524</v>
      </c>
    </row>
    <row r="1524" spans="2:7" s="38" customFormat="1" x14ac:dyDescent="0.2">
      <c r="B1524" s="39" t="s">
        <v>8704</v>
      </c>
      <c r="C1524" s="39" t="s">
        <v>1834</v>
      </c>
      <c r="D1524" s="39" t="s">
        <v>1239</v>
      </c>
      <c r="E1524" s="40">
        <v>10</v>
      </c>
      <c r="F1524" s="41">
        <f>$E1524*3600/(Input!$H$4*1000)</f>
        <v>1.2</v>
      </c>
      <c r="G1524" s="42" t="str">
        <f t="shared" si="23"/>
        <v>1525</v>
      </c>
    </row>
    <row r="1525" spans="2:7" s="38" customFormat="1" x14ac:dyDescent="0.2">
      <c r="B1525" s="39" t="s">
        <v>8705</v>
      </c>
      <c r="C1525" s="39" t="s">
        <v>1182</v>
      </c>
      <c r="D1525" s="39" t="s">
        <v>1308</v>
      </c>
      <c r="E1525" s="40">
        <v>10</v>
      </c>
      <c r="F1525" s="41">
        <f>$E1525*3600/(Input!$H$4*1000)</f>
        <v>1.2</v>
      </c>
      <c r="G1525" s="42" t="str">
        <f t="shared" si="23"/>
        <v>1526</v>
      </c>
    </row>
    <row r="1526" spans="2:7" s="38" customFormat="1" x14ac:dyDescent="0.2">
      <c r="B1526" s="39" t="s">
        <v>8706</v>
      </c>
      <c r="C1526" s="39" t="s">
        <v>1835</v>
      </c>
      <c r="D1526" s="39" t="s">
        <v>1566</v>
      </c>
      <c r="E1526" s="40">
        <v>10</v>
      </c>
      <c r="F1526" s="41">
        <f>$E1526*3600/(Input!$H$4*1000)</f>
        <v>1.2</v>
      </c>
      <c r="G1526" s="42" t="str">
        <f t="shared" si="23"/>
        <v>1527</v>
      </c>
    </row>
    <row r="1527" spans="2:7" s="38" customFormat="1" x14ac:dyDescent="0.2">
      <c r="B1527" s="39" t="s">
        <v>8707</v>
      </c>
      <c r="C1527" s="39" t="s">
        <v>1254</v>
      </c>
      <c r="D1527" s="39" t="s">
        <v>709</v>
      </c>
      <c r="E1527" s="40">
        <v>10</v>
      </c>
      <c r="F1527" s="41">
        <f>$E1527*3600/(Input!$H$4*1000)</f>
        <v>1.2</v>
      </c>
      <c r="G1527" s="42" t="str">
        <f t="shared" si="23"/>
        <v>1528</v>
      </c>
    </row>
    <row r="1528" spans="2:7" s="38" customFormat="1" x14ac:dyDescent="0.2">
      <c r="B1528" s="39" t="s">
        <v>8708</v>
      </c>
      <c r="C1528" s="39" t="s">
        <v>1836</v>
      </c>
      <c r="D1528" s="39" t="s">
        <v>662</v>
      </c>
      <c r="E1528" s="40">
        <v>10</v>
      </c>
      <c r="F1528" s="41">
        <f>$E1528*3600/(Input!$H$4*1000)</f>
        <v>1.2</v>
      </c>
      <c r="G1528" s="42" t="str">
        <f t="shared" si="23"/>
        <v>1529</v>
      </c>
    </row>
    <row r="1529" spans="2:7" s="38" customFormat="1" x14ac:dyDescent="0.2">
      <c r="B1529" s="39" t="s">
        <v>8709</v>
      </c>
      <c r="C1529" s="39" t="s">
        <v>1007</v>
      </c>
      <c r="D1529" s="39" t="s">
        <v>1837</v>
      </c>
      <c r="E1529" s="40">
        <v>10</v>
      </c>
      <c r="F1529" s="41">
        <f>$E1529*3600/(Input!$H$4*1000)</f>
        <v>1.2</v>
      </c>
      <c r="G1529" s="42" t="str">
        <f t="shared" si="23"/>
        <v>1530</v>
      </c>
    </row>
    <row r="1530" spans="2:7" s="38" customFormat="1" x14ac:dyDescent="0.2">
      <c r="B1530" s="39" t="s">
        <v>8710</v>
      </c>
      <c r="C1530" s="39" t="s">
        <v>1838</v>
      </c>
      <c r="D1530" s="39" t="s">
        <v>1009</v>
      </c>
      <c r="E1530" s="40">
        <v>10</v>
      </c>
      <c r="F1530" s="41">
        <f>$E1530*3600/(Input!$H$4*1000)</f>
        <v>1.2</v>
      </c>
      <c r="G1530" s="42" t="str">
        <f t="shared" si="23"/>
        <v>1531</v>
      </c>
    </row>
    <row r="1531" spans="2:7" s="38" customFormat="1" x14ac:dyDescent="0.2">
      <c r="B1531" s="39" t="s">
        <v>8711</v>
      </c>
      <c r="C1531" s="39" t="s">
        <v>1573</v>
      </c>
      <c r="D1531" s="39" t="s">
        <v>277</v>
      </c>
      <c r="E1531" s="40">
        <v>10</v>
      </c>
      <c r="F1531" s="41">
        <f>$E1531*3600/(Input!$H$4*1000)</f>
        <v>1.2</v>
      </c>
      <c r="G1531" s="42" t="str">
        <f t="shared" si="23"/>
        <v>1532</v>
      </c>
    </row>
    <row r="1532" spans="2:7" s="38" customFormat="1" x14ac:dyDescent="0.2">
      <c r="B1532" s="39" t="s">
        <v>8712</v>
      </c>
      <c r="C1532" s="39" t="s">
        <v>371</v>
      </c>
      <c r="D1532" s="39" t="s">
        <v>1839</v>
      </c>
      <c r="E1532" s="40">
        <v>10</v>
      </c>
      <c r="F1532" s="41">
        <f>$E1532*3600/(Input!$H$4*1000)</f>
        <v>1.2</v>
      </c>
      <c r="G1532" s="42" t="str">
        <f t="shared" si="23"/>
        <v>1533</v>
      </c>
    </row>
    <row r="1533" spans="2:7" s="38" customFormat="1" x14ac:dyDescent="0.2">
      <c r="B1533" s="39" t="s">
        <v>8713</v>
      </c>
      <c r="C1533" s="39" t="s">
        <v>931</v>
      </c>
      <c r="D1533" s="39" t="s">
        <v>644</v>
      </c>
      <c r="E1533" s="40">
        <v>10</v>
      </c>
      <c r="F1533" s="41">
        <f>$E1533*3600/(Input!$H$4*1000)</f>
        <v>1.2</v>
      </c>
      <c r="G1533" s="42" t="str">
        <f t="shared" si="23"/>
        <v>1534</v>
      </c>
    </row>
    <row r="1534" spans="2:7" s="38" customFormat="1" x14ac:dyDescent="0.2">
      <c r="B1534" s="39" t="s">
        <v>8714</v>
      </c>
      <c r="C1534" s="39" t="s">
        <v>644</v>
      </c>
      <c r="D1534" s="39" t="s">
        <v>734</v>
      </c>
      <c r="E1534" s="40">
        <v>10</v>
      </c>
      <c r="F1534" s="41">
        <f>$E1534*3600/(Input!$H$4*1000)</f>
        <v>1.2</v>
      </c>
      <c r="G1534" s="42" t="str">
        <f t="shared" si="23"/>
        <v>1535</v>
      </c>
    </row>
    <row r="1535" spans="2:7" s="46" customFormat="1" x14ac:dyDescent="0.2">
      <c r="B1535" s="39" t="s">
        <v>8715</v>
      </c>
      <c r="C1535" s="39" t="s">
        <v>1840</v>
      </c>
      <c r="D1535" s="39" t="s">
        <v>1012</v>
      </c>
      <c r="E1535" s="40">
        <v>10</v>
      </c>
      <c r="F1535" s="41">
        <f>$E1535*3600/(Input!$H$4*1000)</f>
        <v>1.2</v>
      </c>
      <c r="G1535" s="42" t="str">
        <f t="shared" si="23"/>
        <v>1536</v>
      </c>
    </row>
    <row r="1536" spans="2:7" s="38" customFormat="1" x14ac:dyDescent="0.2">
      <c r="B1536" s="39" t="s">
        <v>8716</v>
      </c>
      <c r="C1536" s="39" t="s">
        <v>993</v>
      </c>
      <c r="D1536" s="39" t="s">
        <v>793</v>
      </c>
      <c r="E1536" s="40">
        <v>10</v>
      </c>
      <c r="F1536" s="41">
        <f>$E1536*3600/(Input!$H$4*1000)</f>
        <v>1.2</v>
      </c>
      <c r="G1536" s="42" t="str">
        <f t="shared" si="23"/>
        <v>1537</v>
      </c>
    </row>
    <row r="1537" spans="2:7" s="38" customFormat="1" x14ac:dyDescent="0.2">
      <c r="B1537" s="39" t="s">
        <v>8717</v>
      </c>
      <c r="C1537" s="39" t="s">
        <v>1424</v>
      </c>
      <c r="D1537" s="39" t="s">
        <v>1629</v>
      </c>
      <c r="E1537" s="40">
        <v>10</v>
      </c>
      <c r="F1537" s="41">
        <f>$E1537*3600/(Input!$H$4*1000)</f>
        <v>1.2</v>
      </c>
      <c r="G1537" s="42" t="str">
        <f t="shared" si="23"/>
        <v>1538</v>
      </c>
    </row>
    <row r="1538" spans="2:7" s="38" customFormat="1" x14ac:dyDescent="0.2">
      <c r="B1538" s="39" t="s">
        <v>8718</v>
      </c>
      <c r="C1538" s="39" t="s">
        <v>1629</v>
      </c>
      <c r="D1538" s="39" t="s">
        <v>103</v>
      </c>
      <c r="E1538" s="40">
        <v>10</v>
      </c>
      <c r="F1538" s="41">
        <f>$E1538*3600/(Input!$H$4*1000)</f>
        <v>1.2</v>
      </c>
      <c r="G1538" s="42" t="str">
        <f t="shared" ref="G1538:G1601" si="24">MID(B1538,7,LEN(B1538)-6)</f>
        <v>1539</v>
      </c>
    </row>
    <row r="1539" spans="2:7" s="38" customFormat="1" x14ac:dyDescent="0.2">
      <c r="B1539" s="39" t="s">
        <v>8719</v>
      </c>
      <c r="C1539" s="39" t="s">
        <v>930</v>
      </c>
      <c r="D1539" s="39" t="s">
        <v>1289</v>
      </c>
      <c r="E1539" s="40">
        <v>10</v>
      </c>
      <c r="F1539" s="41">
        <f>$E1539*3600/(Input!$H$4*1000)</f>
        <v>1.2</v>
      </c>
      <c r="G1539" s="42" t="str">
        <f t="shared" si="24"/>
        <v>1540</v>
      </c>
    </row>
    <row r="1540" spans="2:7" s="38" customFormat="1" x14ac:dyDescent="0.2">
      <c r="B1540" s="39" t="s">
        <v>8720</v>
      </c>
      <c r="C1540" s="39" t="s">
        <v>1289</v>
      </c>
      <c r="D1540" s="39" t="s">
        <v>1330</v>
      </c>
      <c r="E1540" s="40">
        <v>10</v>
      </c>
      <c r="F1540" s="41">
        <f>$E1540*3600/(Input!$H$4*1000)</f>
        <v>1.2</v>
      </c>
      <c r="G1540" s="42" t="str">
        <f t="shared" si="24"/>
        <v>1541</v>
      </c>
    </row>
    <row r="1541" spans="2:7" s="38" customFormat="1" x14ac:dyDescent="0.2">
      <c r="B1541" s="39" t="s">
        <v>8721</v>
      </c>
      <c r="C1541" s="39" t="s">
        <v>1389</v>
      </c>
      <c r="D1541" s="39" t="s">
        <v>684</v>
      </c>
      <c r="E1541" s="40">
        <v>10</v>
      </c>
      <c r="F1541" s="41">
        <f>$E1541*3600/(Input!$H$4*1000)</f>
        <v>1.2</v>
      </c>
      <c r="G1541" s="42" t="str">
        <f t="shared" si="24"/>
        <v>1542</v>
      </c>
    </row>
    <row r="1542" spans="2:7" s="38" customFormat="1" x14ac:dyDescent="0.2">
      <c r="B1542" s="39" t="s">
        <v>8722</v>
      </c>
      <c r="C1542" s="39" t="s">
        <v>983</v>
      </c>
      <c r="D1542" s="39" t="s">
        <v>661</v>
      </c>
      <c r="E1542" s="40">
        <v>10</v>
      </c>
      <c r="F1542" s="41">
        <f>$E1542*3600/(Input!$H$4*1000)</f>
        <v>1.2</v>
      </c>
      <c r="G1542" s="42" t="str">
        <f t="shared" si="24"/>
        <v>1543</v>
      </c>
    </row>
    <row r="1543" spans="2:7" s="38" customFormat="1" x14ac:dyDescent="0.2">
      <c r="B1543" s="39" t="s">
        <v>8723</v>
      </c>
      <c r="C1543" s="39" t="s">
        <v>1841</v>
      </c>
      <c r="D1543" s="39" t="s">
        <v>1229</v>
      </c>
      <c r="E1543" s="40">
        <v>10</v>
      </c>
      <c r="F1543" s="41">
        <f>$E1543*3600/(Input!$H$4*1000)</f>
        <v>1.2</v>
      </c>
      <c r="G1543" s="42" t="str">
        <f t="shared" si="24"/>
        <v>1544</v>
      </c>
    </row>
    <row r="1544" spans="2:7" s="38" customFormat="1" x14ac:dyDescent="0.2">
      <c r="B1544" s="39" t="s">
        <v>8724</v>
      </c>
      <c r="C1544" s="39" t="s">
        <v>975</v>
      </c>
      <c r="D1544" s="39" t="s">
        <v>108</v>
      </c>
      <c r="E1544" s="40">
        <v>10</v>
      </c>
      <c r="F1544" s="41">
        <f>$E1544*3600/(Input!$H$4*1000)</f>
        <v>1.2</v>
      </c>
      <c r="G1544" s="42" t="str">
        <f t="shared" si="24"/>
        <v>1545</v>
      </c>
    </row>
    <row r="1545" spans="2:7" s="38" customFormat="1" x14ac:dyDescent="0.2">
      <c r="B1545" s="39" t="s">
        <v>8725</v>
      </c>
      <c r="C1545" s="39" t="s">
        <v>1442</v>
      </c>
      <c r="D1545" s="39" t="s">
        <v>1616</v>
      </c>
      <c r="E1545" s="40">
        <v>10</v>
      </c>
      <c r="F1545" s="41">
        <f>$E1545*3600/(Input!$H$4*1000)</f>
        <v>1.2</v>
      </c>
      <c r="G1545" s="42" t="str">
        <f t="shared" si="24"/>
        <v>1546</v>
      </c>
    </row>
    <row r="1546" spans="2:7" s="38" customFormat="1" x14ac:dyDescent="0.2">
      <c r="B1546" s="39" t="s">
        <v>8726</v>
      </c>
      <c r="C1546" s="39" t="s">
        <v>1578</v>
      </c>
      <c r="D1546" s="39" t="s">
        <v>113</v>
      </c>
      <c r="E1546" s="40">
        <v>10</v>
      </c>
      <c r="F1546" s="41">
        <f>$E1546*3600/(Input!$H$4*1000)</f>
        <v>1.2</v>
      </c>
      <c r="G1546" s="42" t="str">
        <f t="shared" si="24"/>
        <v>1547</v>
      </c>
    </row>
    <row r="1547" spans="2:7" s="38" customFormat="1" x14ac:dyDescent="0.2">
      <c r="B1547" s="39" t="s">
        <v>8727</v>
      </c>
      <c r="C1547" s="39" t="s">
        <v>1356</v>
      </c>
      <c r="D1547" s="39" t="s">
        <v>978</v>
      </c>
      <c r="E1547" s="40">
        <v>10</v>
      </c>
      <c r="F1547" s="41">
        <f>$E1547*3600/(Input!$H$4*1000)</f>
        <v>1.2</v>
      </c>
      <c r="G1547" s="42" t="str">
        <f t="shared" si="24"/>
        <v>1548</v>
      </c>
    </row>
    <row r="1548" spans="2:7" s="38" customFormat="1" x14ac:dyDescent="0.2">
      <c r="B1548" s="39" t="s">
        <v>8728</v>
      </c>
      <c r="C1548" s="39" t="s">
        <v>978</v>
      </c>
      <c r="D1548" s="39" t="s">
        <v>1356</v>
      </c>
      <c r="E1548" s="40">
        <v>10</v>
      </c>
      <c r="F1548" s="41">
        <f>$E1548*3600/(Input!$H$4*1000)</f>
        <v>1.2</v>
      </c>
      <c r="G1548" s="42" t="str">
        <f t="shared" si="24"/>
        <v>1549</v>
      </c>
    </row>
    <row r="1549" spans="2:7" s="38" customFormat="1" x14ac:dyDescent="0.2">
      <c r="B1549" s="39" t="s">
        <v>8729</v>
      </c>
      <c r="C1549" s="39" t="s">
        <v>388</v>
      </c>
      <c r="D1549" s="39" t="s">
        <v>1842</v>
      </c>
      <c r="E1549" s="40">
        <v>10</v>
      </c>
      <c r="F1549" s="41">
        <f>$E1549*3600/(Input!$H$4*1000)</f>
        <v>1.2</v>
      </c>
      <c r="G1549" s="42" t="str">
        <f t="shared" si="24"/>
        <v>1550</v>
      </c>
    </row>
    <row r="1550" spans="2:7" s="38" customFormat="1" x14ac:dyDescent="0.2">
      <c r="B1550" s="39" t="s">
        <v>8730</v>
      </c>
      <c r="C1550" s="39" t="s">
        <v>385</v>
      </c>
      <c r="D1550" s="39" t="s">
        <v>368</v>
      </c>
      <c r="E1550" s="40">
        <v>10</v>
      </c>
      <c r="F1550" s="41">
        <f>$E1550*3600/(Input!$H$4*1000)</f>
        <v>1.2</v>
      </c>
      <c r="G1550" s="42" t="str">
        <f t="shared" si="24"/>
        <v>1551</v>
      </c>
    </row>
    <row r="1551" spans="2:7" s="38" customFormat="1" x14ac:dyDescent="0.2">
      <c r="B1551" s="39" t="s">
        <v>8731</v>
      </c>
      <c r="C1551" s="39" t="s">
        <v>1843</v>
      </c>
      <c r="D1551" s="39" t="s">
        <v>1608</v>
      </c>
      <c r="E1551" s="40">
        <v>10</v>
      </c>
      <c r="F1551" s="41">
        <f>$E1551*3600/(Input!$H$4*1000)</f>
        <v>1.2</v>
      </c>
      <c r="G1551" s="42" t="str">
        <f t="shared" si="24"/>
        <v>1552</v>
      </c>
    </row>
    <row r="1552" spans="2:7" s="38" customFormat="1" x14ac:dyDescent="0.2">
      <c r="B1552" s="39" t="s">
        <v>8732</v>
      </c>
      <c r="C1552" s="39" t="s">
        <v>665</v>
      </c>
      <c r="D1552" s="39" t="s">
        <v>706</v>
      </c>
      <c r="E1552" s="40">
        <v>10</v>
      </c>
      <c r="F1552" s="41">
        <f>$E1552*3600/(Input!$H$4*1000)</f>
        <v>1.2</v>
      </c>
      <c r="G1552" s="42" t="str">
        <f t="shared" si="24"/>
        <v>1553</v>
      </c>
    </row>
    <row r="1553" spans="2:7" s="38" customFormat="1" x14ac:dyDescent="0.2">
      <c r="B1553" s="39" t="s">
        <v>8733</v>
      </c>
      <c r="C1553" s="39" t="s">
        <v>1552</v>
      </c>
      <c r="D1553" s="39" t="s">
        <v>1844</v>
      </c>
      <c r="E1553" s="40">
        <v>10</v>
      </c>
      <c r="F1553" s="41">
        <f>$E1553*3600/(Input!$H$4*1000)</f>
        <v>1.2</v>
      </c>
      <c r="G1553" s="42" t="str">
        <f t="shared" si="24"/>
        <v>1554</v>
      </c>
    </row>
    <row r="1554" spans="2:7" s="38" customFormat="1" x14ac:dyDescent="0.2">
      <c r="B1554" s="39" t="s">
        <v>8734</v>
      </c>
      <c r="C1554" s="39" t="s">
        <v>1607</v>
      </c>
      <c r="D1554" s="39" t="s">
        <v>1372</v>
      </c>
      <c r="E1554" s="40">
        <v>64</v>
      </c>
      <c r="F1554" s="41">
        <f>$E1554*3600/(Input!$H$4*1000)</f>
        <v>7.68</v>
      </c>
      <c r="G1554" s="42" t="str">
        <f t="shared" si="24"/>
        <v>1555</v>
      </c>
    </row>
    <row r="1555" spans="2:7" s="38" customFormat="1" x14ac:dyDescent="0.2">
      <c r="B1555" s="39" t="s">
        <v>8735</v>
      </c>
      <c r="C1555" s="39" t="s">
        <v>1845</v>
      </c>
      <c r="D1555" s="39" t="s">
        <v>383</v>
      </c>
      <c r="E1555" s="40">
        <v>10</v>
      </c>
      <c r="F1555" s="41">
        <f>$E1555*3600/(Input!$H$4*1000)</f>
        <v>1.2</v>
      </c>
      <c r="G1555" s="42" t="str">
        <f t="shared" si="24"/>
        <v>1556</v>
      </c>
    </row>
    <row r="1556" spans="2:7" s="38" customFormat="1" x14ac:dyDescent="0.2">
      <c r="B1556" s="39" t="s">
        <v>8736</v>
      </c>
      <c r="C1556" s="39" t="s">
        <v>574</v>
      </c>
      <c r="D1556" s="39" t="s">
        <v>1580</v>
      </c>
      <c r="E1556" s="40">
        <v>10</v>
      </c>
      <c r="F1556" s="41">
        <f>$E1556*3600/(Input!$H$4*1000)</f>
        <v>1.2</v>
      </c>
      <c r="G1556" s="42" t="str">
        <f t="shared" si="24"/>
        <v>1557</v>
      </c>
    </row>
    <row r="1557" spans="2:7" s="38" customFormat="1" x14ac:dyDescent="0.2">
      <c r="B1557" s="39" t="s">
        <v>8737</v>
      </c>
      <c r="C1557" s="39" t="s">
        <v>185</v>
      </c>
      <c r="D1557" s="39" t="s">
        <v>382</v>
      </c>
      <c r="E1557" s="40">
        <v>10</v>
      </c>
      <c r="F1557" s="41">
        <f>$E1557*3600/(Input!$H$4*1000)</f>
        <v>1.2</v>
      </c>
      <c r="G1557" s="42" t="str">
        <f t="shared" si="24"/>
        <v>1558</v>
      </c>
    </row>
    <row r="1558" spans="2:7" s="38" customFormat="1" x14ac:dyDescent="0.2">
      <c r="B1558" s="39" t="s">
        <v>8738</v>
      </c>
      <c r="C1558" s="39" t="s">
        <v>581</v>
      </c>
      <c r="D1558" s="39" t="s">
        <v>967</v>
      </c>
      <c r="E1558" s="40">
        <v>10</v>
      </c>
      <c r="F1558" s="41">
        <f>$E1558*3600/(Input!$H$4*1000)</f>
        <v>1.2</v>
      </c>
      <c r="G1558" s="42" t="str">
        <f t="shared" si="24"/>
        <v>1559</v>
      </c>
    </row>
    <row r="1559" spans="2:7" s="38" customFormat="1" x14ac:dyDescent="0.2">
      <c r="B1559" s="39" t="s">
        <v>8739</v>
      </c>
      <c r="C1559" s="39" t="s">
        <v>1544</v>
      </c>
      <c r="D1559" s="39" t="s">
        <v>1288</v>
      </c>
      <c r="E1559" s="40">
        <v>10</v>
      </c>
      <c r="F1559" s="41">
        <f>$E1559*3600/(Input!$H$4*1000)</f>
        <v>1.2</v>
      </c>
      <c r="G1559" s="42" t="str">
        <f t="shared" si="24"/>
        <v>1560</v>
      </c>
    </row>
    <row r="1560" spans="2:7" s="38" customFormat="1" x14ac:dyDescent="0.2">
      <c r="B1560" s="39" t="s">
        <v>8740</v>
      </c>
      <c r="C1560" s="39" t="s">
        <v>733</v>
      </c>
      <c r="D1560" s="39" t="s">
        <v>954</v>
      </c>
      <c r="E1560" s="40">
        <v>10</v>
      </c>
      <c r="F1560" s="41">
        <f>$E1560*3600/(Input!$H$4*1000)</f>
        <v>1.2</v>
      </c>
      <c r="G1560" s="42" t="str">
        <f t="shared" si="24"/>
        <v>1561</v>
      </c>
    </row>
    <row r="1561" spans="2:7" s="38" customFormat="1" x14ac:dyDescent="0.2">
      <c r="B1561" s="39" t="s">
        <v>8741</v>
      </c>
      <c r="C1561" s="39" t="s">
        <v>650</v>
      </c>
      <c r="D1561" s="39" t="s">
        <v>651</v>
      </c>
      <c r="E1561" s="40">
        <v>10</v>
      </c>
      <c r="F1561" s="41">
        <f>$E1561*3600/(Input!$H$4*1000)</f>
        <v>1.2</v>
      </c>
      <c r="G1561" s="42" t="str">
        <f t="shared" si="24"/>
        <v>1562</v>
      </c>
    </row>
    <row r="1562" spans="2:7" s="38" customFormat="1" x14ac:dyDescent="0.2">
      <c r="B1562" s="39" t="s">
        <v>8742</v>
      </c>
      <c r="C1562" s="39" t="s">
        <v>1372</v>
      </c>
      <c r="D1562" s="39" t="s">
        <v>1607</v>
      </c>
      <c r="E1562" s="40">
        <v>10</v>
      </c>
      <c r="F1562" s="41">
        <f>$E1562*3600/(Input!$H$4*1000)</f>
        <v>1.2</v>
      </c>
      <c r="G1562" s="42" t="str">
        <f t="shared" si="24"/>
        <v>1563</v>
      </c>
    </row>
    <row r="1563" spans="2:7" s="38" customFormat="1" x14ac:dyDescent="0.2">
      <c r="B1563" s="39" t="s">
        <v>8743</v>
      </c>
      <c r="C1563" s="39" t="s">
        <v>1846</v>
      </c>
      <c r="D1563" s="39" t="s">
        <v>368</v>
      </c>
      <c r="E1563" s="40">
        <v>10</v>
      </c>
      <c r="F1563" s="41">
        <f>$E1563*3600/(Input!$H$4*1000)</f>
        <v>1.2</v>
      </c>
      <c r="G1563" s="42" t="str">
        <f t="shared" si="24"/>
        <v>1564</v>
      </c>
    </row>
    <row r="1564" spans="2:7" s="38" customFormat="1" x14ac:dyDescent="0.2">
      <c r="B1564" s="39" t="s">
        <v>8744</v>
      </c>
      <c r="C1564" s="39" t="s">
        <v>1847</v>
      </c>
      <c r="D1564" s="39" t="s">
        <v>939</v>
      </c>
      <c r="E1564" s="40">
        <v>10</v>
      </c>
      <c r="F1564" s="41">
        <f>$E1564*3600/(Input!$H$4*1000)</f>
        <v>1.2</v>
      </c>
      <c r="G1564" s="42" t="str">
        <f t="shared" si="24"/>
        <v>1565</v>
      </c>
    </row>
    <row r="1565" spans="2:7" s="38" customFormat="1" x14ac:dyDescent="0.2">
      <c r="B1565" s="39" t="s">
        <v>8745</v>
      </c>
      <c r="C1565" s="39" t="s">
        <v>1848</v>
      </c>
      <c r="D1565" s="39" t="s">
        <v>939</v>
      </c>
      <c r="E1565" s="40">
        <v>10</v>
      </c>
      <c r="F1565" s="41">
        <f>$E1565*3600/(Input!$H$4*1000)</f>
        <v>1.2</v>
      </c>
      <c r="G1565" s="42" t="str">
        <f t="shared" si="24"/>
        <v>1566</v>
      </c>
    </row>
    <row r="1566" spans="2:7" s="38" customFormat="1" x14ac:dyDescent="0.2">
      <c r="B1566" s="39" t="s">
        <v>8746</v>
      </c>
      <c r="C1566" s="39" t="s">
        <v>1849</v>
      </c>
      <c r="D1566" s="39" t="s">
        <v>1539</v>
      </c>
      <c r="E1566" s="40">
        <v>10</v>
      </c>
      <c r="F1566" s="41">
        <f>$E1566*3600/(Input!$H$4*1000)</f>
        <v>1.2</v>
      </c>
      <c r="G1566" s="42" t="str">
        <f t="shared" si="24"/>
        <v>1567</v>
      </c>
    </row>
    <row r="1567" spans="2:7" s="38" customFormat="1" x14ac:dyDescent="0.2">
      <c r="B1567" s="39" t="s">
        <v>8747</v>
      </c>
      <c r="C1567" s="39" t="s">
        <v>1850</v>
      </c>
      <c r="D1567" s="39" t="s">
        <v>393</v>
      </c>
      <c r="E1567" s="40">
        <v>10</v>
      </c>
      <c r="F1567" s="41">
        <f>$E1567*3600/(Input!$H$4*1000)</f>
        <v>1.2</v>
      </c>
      <c r="G1567" s="42" t="str">
        <f t="shared" si="24"/>
        <v>1568</v>
      </c>
    </row>
    <row r="1568" spans="2:7" s="38" customFormat="1" x14ac:dyDescent="0.2">
      <c r="B1568" s="39" t="s">
        <v>8748</v>
      </c>
      <c r="C1568" s="39" t="s">
        <v>1851</v>
      </c>
      <c r="D1568" s="39" t="s">
        <v>378</v>
      </c>
      <c r="E1568" s="40">
        <v>10</v>
      </c>
      <c r="F1568" s="41">
        <f>$E1568*3600/(Input!$H$4*1000)</f>
        <v>1.2</v>
      </c>
      <c r="G1568" s="42" t="str">
        <f t="shared" si="24"/>
        <v>1569</v>
      </c>
    </row>
    <row r="1569" spans="2:7" s="38" customFormat="1" x14ac:dyDescent="0.2">
      <c r="B1569" s="39" t="s">
        <v>8749</v>
      </c>
      <c r="C1569" s="39" t="s">
        <v>1852</v>
      </c>
      <c r="D1569" s="39" t="s">
        <v>279</v>
      </c>
      <c r="E1569" s="40">
        <v>10</v>
      </c>
      <c r="F1569" s="41">
        <f>$E1569*3600/(Input!$H$4*1000)</f>
        <v>1.2</v>
      </c>
      <c r="G1569" s="42" t="str">
        <f t="shared" si="24"/>
        <v>1570</v>
      </c>
    </row>
    <row r="1570" spans="2:7" s="38" customFormat="1" x14ac:dyDescent="0.2">
      <c r="B1570" s="39" t="s">
        <v>8750</v>
      </c>
      <c r="C1570" s="39" t="s">
        <v>134</v>
      </c>
      <c r="D1570" s="39" t="s">
        <v>1697</v>
      </c>
      <c r="E1570" s="40">
        <v>10</v>
      </c>
      <c r="F1570" s="41">
        <f>$E1570*3600/(Input!$H$4*1000)</f>
        <v>1.2</v>
      </c>
      <c r="G1570" s="42" t="str">
        <f t="shared" si="24"/>
        <v>1571</v>
      </c>
    </row>
    <row r="1571" spans="2:7" s="38" customFormat="1" x14ac:dyDescent="0.2">
      <c r="B1571" s="39" t="s">
        <v>8751</v>
      </c>
      <c r="C1571" s="39" t="s">
        <v>439</v>
      </c>
      <c r="D1571" s="39" t="s">
        <v>1853</v>
      </c>
      <c r="E1571" s="40">
        <v>10</v>
      </c>
      <c r="F1571" s="41">
        <f>$E1571*3600/(Input!$H$4*1000)</f>
        <v>1.2</v>
      </c>
      <c r="G1571" s="42" t="str">
        <f t="shared" si="24"/>
        <v>1572</v>
      </c>
    </row>
    <row r="1572" spans="2:7" s="38" customFormat="1" x14ac:dyDescent="0.2">
      <c r="B1572" s="39" t="s">
        <v>8752</v>
      </c>
      <c r="C1572" s="39" t="s">
        <v>1700</v>
      </c>
      <c r="D1572" s="39" t="s">
        <v>1854</v>
      </c>
      <c r="E1572" s="40">
        <v>10</v>
      </c>
      <c r="F1572" s="41">
        <f>$E1572*3600/(Input!$H$4*1000)</f>
        <v>1.2</v>
      </c>
      <c r="G1572" s="42" t="str">
        <f t="shared" si="24"/>
        <v>1573</v>
      </c>
    </row>
    <row r="1573" spans="2:7" s="38" customFormat="1" x14ac:dyDescent="0.2">
      <c r="B1573" s="39" t="s">
        <v>8753</v>
      </c>
      <c r="C1573" s="39" t="s">
        <v>553</v>
      </c>
      <c r="D1573" s="39" t="s">
        <v>1855</v>
      </c>
      <c r="E1573" s="40">
        <v>10</v>
      </c>
      <c r="F1573" s="41">
        <f>$E1573*3600/(Input!$H$4*1000)</f>
        <v>1.2</v>
      </c>
      <c r="G1573" s="42" t="str">
        <f t="shared" si="24"/>
        <v>1574</v>
      </c>
    </row>
    <row r="1574" spans="2:7" s="38" customFormat="1" x14ac:dyDescent="0.2">
      <c r="B1574" s="39" t="s">
        <v>8754</v>
      </c>
      <c r="C1574" s="39" t="s">
        <v>774</v>
      </c>
      <c r="D1574" s="39" t="s">
        <v>1856</v>
      </c>
      <c r="E1574" s="40">
        <v>10</v>
      </c>
      <c r="F1574" s="41">
        <f>$E1574*3600/(Input!$H$4*1000)</f>
        <v>1.2</v>
      </c>
      <c r="G1574" s="42" t="str">
        <f t="shared" si="24"/>
        <v>1575</v>
      </c>
    </row>
    <row r="1575" spans="2:7" s="38" customFormat="1" x14ac:dyDescent="0.2">
      <c r="B1575" s="39" t="s">
        <v>8755</v>
      </c>
      <c r="C1575" s="39" t="s">
        <v>1646</v>
      </c>
      <c r="D1575" s="39" t="s">
        <v>1857</v>
      </c>
      <c r="E1575" s="40">
        <v>10</v>
      </c>
      <c r="F1575" s="41">
        <f>$E1575*3600/(Input!$H$4*1000)</f>
        <v>1.2</v>
      </c>
      <c r="G1575" s="42" t="str">
        <f t="shared" si="24"/>
        <v>1576</v>
      </c>
    </row>
    <row r="1576" spans="2:7" s="38" customFormat="1" x14ac:dyDescent="0.2">
      <c r="B1576" s="39" t="s">
        <v>8756</v>
      </c>
      <c r="C1576" s="39" t="s">
        <v>1050</v>
      </c>
      <c r="D1576" s="39" t="s">
        <v>1858</v>
      </c>
      <c r="E1576" s="40">
        <v>10</v>
      </c>
      <c r="F1576" s="41">
        <f>$E1576*3600/(Input!$H$4*1000)</f>
        <v>1.2</v>
      </c>
      <c r="G1576" s="42" t="str">
        <f t="shared" si="24"/>
        <v>1577</v>
      </c>
    </row>
    <row r="1577" spans="2:7" s="38" customFormat="1" x14ac:dyDescent="0.2">
      <c r="B1577" s="39" t="s">
        <v>8757</v>
      </c>
      <c r="C1577" s="39" t="s">
        <v>1697</v>
      </c>
      <c r="D1577" s="39" t="s">
        <v>134</v>
      </c>
      <c r="E1577" s="40">
        <v>10</v>
      </c>
      <c r="F1577" s="41">
        <f>$E1577*3600/(Input!$H$4*1000)</f>
        <v>1.2</v>
      </c>
      <c r="G1577" s="42" t="str">
        <f t="shared" si="24"/>
        <v>1578</v>
      </c>
    </row>
    <row r="1578" spans="2:7" s="38" customFormat="1" x14ac:dyDescent="0.2">
      <c r="B1578" s="39" t="s">
        <v>8758</v>
      </c>
      <c r="C1578" s="39" t="s">
        <v>1671</v>
      </c>
      <c r="D1578" s="39" t="s">
        <v>1128</v>
      </c>
      <c r="E1578" s="40">
        <v>10</v>
      </c>
      <c r="F1578" s="41">
        <f>$E1578*3600/(Input!$H$4*1000)</f>
        <v>1.2</v>
      </c>
      <c r="G1578" s="42" t="str">
        <f t="shared" si="24"/>
        <v>1579</v>
      </c>
    </row>
    <row r="1579" spans="2:7" s="38" customFormat="1" x14ac:dyDescent="0.2">
      <c r="B1579" s="39" t="s">
        <v>8759</v>
      </c>
      <c r="C1579" s="39" t="s">
        <v>1551</v>
      </c>
      <c r="D1579" s="39" t="s">
        <v>766</v>
      </c>
      <c r="E1579" s="40">
        <v>10</v>
      </c>
      <c r="F1579" s="41">
        <f>$E1579*3600/(Input!$H$4*1000)</f>
        <v>1.2</v>
      </c>
      <c r="G1579" s="42" t="str">
        <f t="shared" si="24"/>
        <v>1580</v>
      </c>
    </row>
    <row r="1580" spans="2:7" s="38" customFormat="1" x14ac:dyDescent="0.2">
      <c r="B1580" s="39" t="s">
        <v>8760</v>
      </c>
      <c r="C1580" s="39" t="s">
        <v>1859</v>
      </c>
      <c r="D1580" s="39" t="s">
        <v>1139</v>
      </c>
      <c r="E1580" s="40">
        <v>10</v>
      </c>
      <c r="F1580" s="41">
        <f>$E1580*3600/(Input!$H$4*1000)</f>
        <v>1.2</v>
      </c>
      <c r="G1580" s="42" t="str">
        <f t="shared" si="24"/>
        <v>1581</v>
      </c>
    </row>
    <row r="1581" spans="2:7" s="38" customFormat="1" x14ac:dyDescent="0.2">
      <c r="B1581" s="39" t="s">
        <v>8761</v>
      </c>
      <c r="C1581" s="39" t="s">
        <v>27</v>
      </c>
      <c r="D1581" s="39" t="s">
        <v>1860</v>
      </c>
      <c r="E1581" s="40">
        <v>10</v>
      </c>
      <c r="F1581" s="41">
        <f>$E1581*3600/(Input!$H$4*1000)</f>
        <v>1.2</v>
      </c>
      <c r="G1581" s="42" t="str">
        <f t="shared" si="24"/>
        <v>1582</v>
      </c>
    </row>
    <row r="1582" spans="2:7" s="38" customFormat="1" x14ac:dyDescent="0.2">
      <c r="B1582" s="39" t="s">
        <v>8762</v>
      </c>
      <c r="C1582" s="39" t="s">
        <v>1861</v>
      </c>
      <c r="D1582" s="39" t="s">
        <v>1624</v>
      </c>
      <c r="E1582" s="40">
        <v>10</v>
      </c>
      <c r="F1582" s="41">
        <f>$E1582*3600/(Input!$H$4*1000)</f>
        <v>1.2</v>
      </c>
      <c r="G1582" s="42" t="str">
        <f t="shared" si="24"/>
        <v>1583</v>
      </c>
    </row>
    <row r="1583" spans="2:7" s="38" customFormat="1" x14ac:dyDescent="0.2">
      <c r="B1583" s="39" t="s">
        <v>8763</v>
      </c>
      <c r="C1583" s="39" t="s">
        <v>135</v>
      </c>
      <c r="D1583" s="39" t="s">
        <v>1862</v>
      </c>
      <c r="E1583" s="40">
        <v>10</v>
      </c>
      <c r="F1583" s="41">
        <f>$E1583*3600/(Input!$H$4*1000)</f>
        <v>1.2</v>
      </c>
      <c r="G1583" s="42" t="str">
        <f t="shared" si="24"/>
        <v>1584</v>
      </c>
    </row>
    <row r="1584" spans="2:7" s="38" customFormat="1" x14ac:dyDescent="0.2">
      <c r="B1584" s="39" t="s">
        <v>8764</v>
      </c>
      <c r="C1584" s="39" t="s">
        <v>103</v>
      </c>
      <c r="D1584" s="39" t="s">
        <v>758</v>
      </c>
      <c r="E1584" s="40">
        <v>10</v>
      </c>
      <c r="F1584" s="41">
        <f>$E1584*3600/(Input!$H$4*1000)</f>
        <v>1.2</v>
      </c>
      <c r="G1584" s="42" t="str">
        <f t="shared" si="24"/>
        <v>1585</v>
      </c>
    </row>
    <row r="1585" spans="2:7" s="38" customFormat="1" x14ac:dyDescent="0.2">
      <c r="B1585" s="39" t="s">
        <v>8765</v>
      </c>
      <c r="C1585" s="39" t="s">
        <v>586</v>
      </c>
      <c r="D1585" s="39" t="s">
        <v>1863</v>
      </c>
      <c r="E1585" s="40">
        <v>10</v>
      </c>
      <c r="F1585" s="41">
        <f>$E1585*3600/(Input!$H$4*1000)</f>
        <v>1.2</v>
      </c>
      <c r="G1585" s="42" t="str">
        <f t="shared" si="24"/>
        <v>1586</v>
      </c>
    </row>
    <row r="1586" spans="2:7" s="38" customFormat="1" x14ac:dyDescent="0.2">
      <c r="B1586" s="39" t="s">
        <v>8766</v>
      </c>
      <c r="C1586" s="39" t="s">
        <v>1864</v>
      </c>
      <c r="D1586" s="39" t="s">
        <v>316</v>
      </c>
      <c r="E1586" s="40">
        <v>10</v>
      </c>
      <c r="F1586" s="41">
        <f>$E1586*3600/(Input!$H$4*1000)</f>
        <v>1.2</v>
      </c>
      <c r="G1586" s="42" t="str">
        <f t="shared" si="24"/>
        <v>1587</v>
      </c>
    </row>
    <row r="1587" spans="2:7" s="38" customFormat="1" x14ac:dyDescent="0.2">
      <c r="B1587" s="39" t="s">
        <v>8767</v>
      </c>
      <c r="C1587" s="39" t="s">
        <v>1865</v>
      </c>
      <c r="D1587" s="39" t="s">
        <v>1390</v>
      </c>
      <c r="E1587" s="40">
        <v>10</v>
      </c>
      <c r="F1587" s="41">
        <f>$E1587*3600/(Input!$H$4*1000)</f>
        <v>1.2</v>
      </c>
      <c r="G1587" s="42" t="str">
        <f t="shared" si="24"/>
        <v>1588</v>
      </c>
    </row>
    <row r="1588" spans="2:7" s="38" customFormat="1" x14ac:dyDescent="0.2">
      <c r="B1588" s="39" t="s">
        <v>8768</v>
      </c>
      <c r="C1588" s="39" t="s">
        <v>1866</v>
      </c>
      <c r="D1588" s="39" t="s">
        <v>221</v>
      </c>
      <c r="E1588" s="40">
        <v>10</v>
      </c>
      <c r="F1588" s="41">
        <f>$E1588*3600/(Input!$H$4*1000)</f>
        <v>1.2</v>
      </c>
      <c r="G1588" s="42" t="str">
        <f t="shared" si="24"/>
        <v>1589</v>
      </c>
    </row>
    <row r="1589" spans="2:7" s="38" customFormat="1" x14ac:dyDescent="0.2">
      <c r="B1589" s="39" t="s">
        <v>8769</v>
      </c>
      <c r="C1589" s="39" t="s">
        <v>1867</v>
      </c>
      <c r="D1589" s="39" t="s">
        <v>221</v>
      </c>
      <c r="E1589" s="40">
        <v>10</v>
      </c>
      <c r="F1589" s="41">
        <f>$E1589*3600/(Input!$H$4*1000)</f>
        <v>1.2</v>
      </c>
      <c r="G1589" s="42" t="str">
        <f t="shared" si="24"/>
        <v>1590</v>
      </c>
    </row>
    <row r="1590" spans="2:7" s="38" customFormat="1" x14ac:dyDescent="0.2">
      <c r="B1590" s="39" t="s">
        <v>8770</v>
      </c>
      <c r="C1590" s="39" t="s">
        <v>743</v>
      </c>
      <c r="D1590" s="39" t="s">
        <v>1868</v>
      </c>
      <c r="E1590" s="40">
        <v>10</v>
      </c>
      <c r="F1590" s="41">
        <f>$E1590*3600/(Input!$H$4*1000)</f>
        <v>1.2</v>
      </c>
      <c r="G1590" s="42" t="str">
        <f t="shared" si="24"/>
        <v>1591</v>
      </c>
    </row>
    <row r="1591" spans="2:7" s="38" customFormat="1" x14ac:dyDescent="0.2">
      <c r="B1591" s="39" t="s">
        <v>8771</v>
      </c>
      <c r="C1591" s="39" t="s">
        <v>307</v>
      </c>
      <c r="D1591" s="39" t="s">
        <v>686</v>
      </c>
      <c r="E1591" s="40">
        <v>10</v>
      </c>
      <c r="F1591" s="41">
        <f>$E1591*3600/(Input!$H$4*1000)</f>
        <v>1.2</v>
      </c>
      <c r="G1591" s="42" t="str">
        <f t="shared" si="24"/>
        <v>1592</v>
      </c>
    </row>
    <row r="1592" spans="2:7" s="38" customFormat="1" x14ac:dyDescent="0.2">
      <c r="B1592" s="39" t="s">
        <v>8772</v>
      </c>
      <c r="C1592" s="39" t="s">
        <v>1303</v>
      </c>
      <c r="D1592" s="39" t="s">
        <v>1130</v>
      </c>
      <c r="E1592" s="40">
        <v>10</v>
      </c>
      <c r="F1592" s="41">
        <f>$E1592*3600/(Input!$H$4*1000)</f>
        <v>1.2</v>
      </c>
      <c r="G1592" s="42" t="str">
        <f t="shared" si="24"/>
        <v>1593</v>
      </c>
    </row>
    <row r="1593" spans="2:7" s="38" customFormat="1" x14ac:dyDescent="0.2">
      <c r="B1593" s="39" t="s">
        <v>8773</v>
      </c>
      <c r="C1593" s="39" t="s">
        <v>1630</v>
      </c>
      <c r="D1593" s="39" t="s">
        <v>1869</v>
      </c>
      <c r="E1593" s="40">
        <v>10</v>
      </c>
      <c r="F1593" s="41">
        <f>$E1593*3600/(Input!$H$4*1000)</f>
        <v>1.2</v>
      </c>
      <c r="G1593" s="42" t="str">
        <f t="shared" si="24"/>
        <v>1594</v>
      </c>
    </row>
    <row r="1594" spans="2:7" s="38" customFormat="1" x14ac:dyDescent="0.2">
      <c r="B1594" s="39" t="s">
        <v>8774</v>
      </c>
      <c r="C1594" s="39" t="s">
        <v>1221</v>
      </c>
      <c r="D1594" s="39" t="s">
        <v>1870</v>
      </c>
      <c r="E1594" s="40">
        <v>10</v>
      </c>
      <c r="F1594" s="41">
        <f>$E1594*3600/(Input!$H$4*1000)</f>
        <v>1.2</v>
      </c>
      <c r="G1594" s="42" t="str">
        <f t="shared" si="24"/>
        <v>1595</v>
      </c>
    </row>
    <row r="1595" spans="2:7" s="38" customFormat="1" x14ac:dyDescent="0.2">
      <c r="B1595" s="39" t="s">
        <v>8775</v>
      </c>
      <c r="C1595" s="39" t="s">
        <v>1871</v>
      </c>
      <c r="D1595" s="39" t="s">
        <v>261</v>
      </c>
      <c r="E1595" s="40">
        <v>10</v>
      </c>
      <c r="F1595" s="41">
        <f>$E1595*3600/(Input!$H$4*1000)</f>
        <v>1.2</v>
      </c>
      <c r="G1595" s="42" t="str">
        <f t="shared" si="24"/>
        <v>1596</v>
      </c>
    </row>
    <row r="1596" spans="2:7" s="38" customFormat="1" x14ac:dyDescent="0.2">
      <c r="B1596" s="39" t="s">
        <v>8776</v>
      </c>
      <c r="C1596" s="39" t="s">
        <v>1872</v>
      </c>
      <c r="D1596" s="39" t="s">
        <v>671</v>
      </c>
      <c r="E1596" s="40">
        <v>10</v>
      </c>
      <c r="F1596" s="41">
        <f>$E1596*3600/(Input!$H$4*1000)</f>
        <v>1.2</v>
      </c>
      <c r="G1596" s="42" t="str">
        <f t="shared" si="24"/>
        <v>1597</v>
      </c>
    </row>
    <row r="1597" spans="2:7" s="38" customFormat="1" x14ac:dyDescent="0.2">
      <c r="B1597" s="39" t="s">
        <v>8777</v>
      </c>
      <c r="C1597" s="39" t="s">
        <v>145</v>
      </c>
      <c r="D1597" s="39" t="s">
        <v>1495</v>
      </c>
      <c r="E1597" s="40">
        <v>10</v>
      </c>
      <c r="F1597" s="41">
        <f>$E1597*3600/(Input!$H$4*1000)</f>
        <v>1.2</v>
      </c>
      <c r="G1597" s="42" t="str">
        <f t="shared" si="24"/>
        <v>1598</v>
      </c>
    </row>
    <row r="1598" spans="2:7" s="38" customFormat="1" x14ac:dyDescent="0.2">
      <c r="B1598" s="39" t="s">
        <v>8778</v>
      </c>
      <c r="C1598" s="39" t="s">
        <v>584</v>
      </c>
      <c r="D1598" s="39" t="s">
        <v>744</v>
      </c>
      <c r="E1598" s="40">
        <v>10</v>
      </c>
      <c r="F1598" s="41">
        <f>$E1598*3600/(Input!$H$4*1000)</f>
        <v>1.2</v>
      </c>
      <c r="G1598" s="42" t="str">
        <f t="shared" si="24"/>
        <v>1599</v>
      </c>
    </row>
    <row r="1599" spans="2:7" s="38" customFormat="1" x14ac:dyDescent="0.2">
      <c r="B1599" s="39" t="s">
        <v>8779</v>
      </c>
      <c r="C1599" s="39" t="s">
        <v>1079</v>
      </c>
      <c r="D1599" s="39" t="s">
        <v>175</v>
      </c>
      <c r="E1599" s="40">
        <v>10</v>
      </c>
      <c r="F1599" s="41">
        <f>$E1599*3600/(Input!$H$4*1000)</f>
        <v>1.2</v>
      </c>
      <c r="G1599" s="42" t="str">
        <f t="shared" si="24"/>
        <v>1600</v>
      </c>
    </row>
    <row r="1600" spans="2:7" s="38" customFormat="1" x14ac:dyDescent="0.2">
      <c r="B1600" s="39" t="s">
        <v>8780</v>
      </c>
      <c r="C1600" s="39" t="s">
        <v>897</v>
      </c>
      <c r="D1600" s="39" t="s">
        <v>1873</v>
      </c>
      <c r="E1600" s="40">
        <v>10</v>
      </c>
      <c r="F1600" s="41">
        <f>$E1600*3600/(Input!$H$4*1000)</f>
        <v>1.2</v>
      </c>
      <c r="G1600" s="42" t="str">
        <f t="shared" si="24"/>
        <v>1601</v>
      </c>
    </row>
    <row r="1601" spans="2:7" s="38" customFormat="1" x14ac:dyDescent="0.2">
      <c r="B1601" s="39" t="s">
        <v>8781</v>
      </c>
      <c r="C1601" s="39" t="s">
        <v>168</v>
      </c>
      <c r="D1601" s="39" t="s">
        <v>587</v>
      </c>
      <c r="E1601" s="40">
        <v>10</v>
      </c>
      <c r="F1601" s="41">
        <f>$E1601*3600/(Input!$H$4*1000)</f>
        <v>1.2</v>
      </c>
      <c r="G1601" s="42" t="str">
        <f t="shared" si="24"/>
        <v>1602</v>
      </c>
    </row>
    <row r="1602" spans="2:7" s="38" customFormat="1" x14ac:dyDescent="0.2">
      <c r="B1602" s="39" t="s">
        <v>8782</v>
      </c>
      <c r="C1602" s="39" t="s">
        <v>587</v>
      </c>
      <c r="D1602" s="39" t="s">
        <v>1311</v>
      </c>
      <c r="E1602" s="40">
        <v>10</v>
      </c>
      <c r="F1602" s="41">
        <f>$E1602*3600/(Input!$H$4*1000)</f>
        <v>1.2</v>
      </c>
      <c r="G1602" s="42" t="str">
        <f t="shared" ref="G1602:G1665" si="25">MID(B1602,7,LEN(B1602)-6)</f>
        <v>1603</v>
      </c>
    </row>
    <row r="1603" spans="2:7" s="38" customFormat="1" x14ac:dyDescent="0.2">
      <c r="B1603" s="39" t="s">
        <v>8783</v>
      </c>
      <c r="C1603" s="39" t="s">
        <v>1515</v>
      </c>
      <c r="D1603" s="39" t="s">
        <v>1346</v>
      </c>
      <c r="E1603" s="40">
        <v>10</v>
      </c>
      <c r="F1603" s="41">
        <f>$E1603*3600/(Input!$H$4*1000)</f>
        <v>1.2</v>
      </c>
      <c r="G1603" s="42" t="str">
        <f t="shared" si="25"/>
        <v>1604</v>
      </c>
    </row>
    <row r="1604" spans="2:7" s="38" customFormat="1" x14ac:dyDescent="0.2">
      <c r="B1604" s="39" t="s">
        <v>8784</v>
      </c>
      <c r="C1604" s="39" t="s">
        <v>56</v>
      </c>
      <c r="D1604" s="39" t="s">
        <v>1874</v>
      </c>
      <c r="E1604" s="40">
        <v>10</v>
      </c>
      <c r="F1604" s="41">
        <f>$E1604*3600/(Input!$H$4*1000)</f>
        <v>1.2</v>
      </c>
      <c r="G1604" s="42" t="str">
        <f t="shared" si="25"/>
        <v>1605</v>
      </c>
    </row>
    <row r="1605" spans="2:7" s="38" customFormat="1" x14ac:dyDescent="0.2">
      <c r="B1605" s="39" t="s">
        <v>8785</v>
      </c>
      <c r="C1605" s="39" t="s">
        <v>1132</v>
      </c>
      <c r="D1605" s="39" t="s">
        <v>1067</v>
      </c>
      <c r="E1605" s="40">
        <v>10</v>
      </c>
      <c r="F1605" s="41">
        <f>$E1605*3600/(Input!$H$4*1000)</f>
        <v>1.2</v>
      </c>
      <c r="G1605" s="42" t="str">
        <f t="shared" si="25"/>
        <v>1606</v>
      </c>
    </row>
    <row r="1606" spans="2:7" s="38" customFormat="1" x14ac:dyDescent="0.2">
      <c r="B1606" s="39" t="s">
        <v>8786</v>
      </c>
      <c r="C1606" s="39" t="s">
        <v>623</v>
      </c>
      <c r="D1606" s="39" t="s">
        <v>1875</v>
      </c>
      <c r="E1606" s="40">
        <v>10</v>
      </c>
      <c r="F1606" s="41">
        <f>$E1606*3600/(Input!$H$4*1000)</f>
        <v>1.2</v>
      </c>
      <c r="G1606" s="42" t="str">
        <f t="shared" si="25"/>
        <v>1607</v>
      </c>
    </row>
    <row r="1607" spans="2:7" s="38" customFormat="1" x14ac:dyDescent="0.2">
      <c r="B1607" s="39" t="s">
        <v>8787</v>
      </c>
      <c r="C1607" s="39" t="s">
        <v>1528</v>
      </c>
      <c r="D1607" s="39" t="s">
        <v>594</v>
      </c>
      <c r="E1607" s="40">
        <v>10</v>
      </c>
      <c r="F1607" s="41">
        <f>$E1607*3600/(Input!$H$4*1000)</f>
        <v>1.2</v>
      </c>
      <c r="G1607" s="42" t="str">
        <f t="shared" si="25"/>
        <v>1608</v>
      </c>
    </row>
    <row r="1608" spans="2:7" s="38" customFormat="1" x14ac:dyDescent="0.2">
      <c r="B1608" s="39" t="s">
        <v>8788</v>
      </c>
      <c r="C1608" s="39" t="s">
        <v>594</v>
      </c>
      <c r="D1608" s="39" t="s">
        <v>162</v>
      </c>
      <c r="E1608" s="40">
        <v>10</v>
      </c>
      <c r="F1608" s="41">
        <f>$E1608*3600/(Input!$H$4*1000)</f>
        <v>1.2</v>
      </c>
      <c r="G1608" s="42" t="str">
        <f t="shared" si="25"/>
        <v>1609</v>
      </c>
    </row>
    <row r="1609" spans="2:7" s="38" customFormat="1" x14ac:dyDescent="0.2">
      <c r="B1609" s="39" t="s">
        <v>8789</v>
      </c>
      <c r="C1609" s="39" t="s">
        <v>162</v>
      </c>
      <c r="D1609" s="39" t="s">
        <v>1876</v>
      </c>
      <c r="E1609" s="40">
        <v>10</v>
      </c>
      <c r="F1609" s="41">
        <f>$E1609*3600/(Input!$H$4*1000)</f>
        <v>1.2</v>
      </c>
      <c r="G1609" s="42" t="str">
        <f t="shared" si="25"/>
        <v>1610</v>
      </c>
    </row>
    <row r="1610" spans="2:7" s="38" customFormat="1" x14ac:dyDescent="0.2">
      <c r="B1610" s="39" t="s">
        <v>8790</v>
      </c>
      <c r="C1610" s="39" t="s">
        <v>918</v>
      </c>
      <c r="D1610" s="39" t="s">
        <v>1877</v>
      </c>
      <c r="E1610" s="40">
        <v>10</v>
      </c>
      <c r="F1610" s="41">
        <f>$E1610*3600/(Input!$H$4*1000)</f>
        <v>1.2</v>
      </c>
      <c r="G1610" s="42" t="str">
        <f t="shared" si="25"/>
        <v>1611</v>
      </c>
    </row>
    <row r="1611" spans="2:7" s="38" customFormat="1" x14ac:dyDescent="0.2">
      <c r="B1611" s="39" t="s">
        <v>8791</v>
      </c>
      <c r="C1611" s="39" t="s">
        <v>721</v>
      </c>
      <c r="D1611" s="39" t="s">
        <v>1878</v>
      </c>
      <c r="E1611" s="40">
        <v>10</v>
      </c>
      <c r="F1611" s="41">
        <f>$E1611*3600/(Input!$H$4*1000)</f>
        <v>1.2</v>
      </c>
      <c r="G1611" s="42" t="str">
        <f t="shared" si="25"/>
        <v>1612</v>
      </c>
    </row>
    <row r="1612" spans="2:7" s="38" customFormat="1" x14ac:dyDescent="0.2">
      <c r="B1612" s="39" t="s">
        <v>8792</v>
      </c>
      <c r="C1612" s="39" t="s">
        <v>1044</v>
      </c>
      <c r="D1612" s="39" t="s">
        <v>924</v>
      </c>
      <c r="E1612" s="40">
        <v>10</v>
      </c>
      <c r="F1612" s="41">
        <f>$E1612*3600/(Input!$H$4*1000)</f>
        <v>1.2</v>
      </c>
      <c r="G1612" s="42" t="str">
        <f t="shared" si="25"/>
        <v>1613</v>
      </c>
    </row>
    <row r="1613" spans="2:7" s="38" customFormat="1" x14ac:dyDescent="0.2">
      <c r="B1613" s="39" t="s">
        <v>8793</v>
      </c>
      <c r="C1613" s="39" t="s">
        <v>244</v>
      </c>
      <c r="D1613" s="39" t="s">
        <v>1879</v>
      </c>
      <c r="E1613" s="40">
        <v>10</v>
      </c>
      <c r="F1613" s="41">
        <f>$E1613*3600/(Input!$H$4*1000)</f>
        <v>1.2</v>
      </c>
      <c r="G1613" s="42" t="str">
        <f t="shared" si="25"/>
        <v>1614</v>
      </c>
    </row>
    <row r="1614" spans="2:7" s="38" customFormat="1" x14ac:dyDescent="0.2">
      <c r="B1614" s="39" t="s">
        <v>8794</v>
      </c>
      <c r="C1614" s="39" t="s">
        <v>775</v>
      </c>
      <c r="D1614" s="39" t="s">
        <v>888</v>
      </c>
      <c r="E1614" s="40">
        <v>10</v>
      </c>
      <c r="F1614" s="41">
        <f>$E1614*3600/(Input!$H$4*1000)</f>
        <v>1.2</v>
      </c>
      <c r="G1614" s="42" t="str">
        <f t="shared" si="25"/>
        <v>1615</v>
      </c>
    </row>
    <row r="1615" spans="2:7" s="38" customFormat="1" x14ac:dyDescent="0.2">
      <c r="B1615" s="39" t="s">
        <v>8795</v>
      </c>
      <c r="C1615" s="39" t="s">
        <v>484</v>
      </c>
      <c r="D1615" s="39" t="s">
        <v>1880</v>
      </c>
      <c r="E1615" s="40">
        <v>10</v>
      </c>
      <c r="F1615" s="41">
        <f>$E1615*3600/(Input!$H$4*1000)</f>
        <v>1.2</v>
      </c>
      <c r="G1615" s="42" t="str">
        <f t="shared" si="25"/>
        <v>1616</v>
      </c>
    </row>
    <row r="1616" spans="2:7" s="38" customFormat="1" x14ac:dyDescent="0.2">
      <c r="B1616" s="39" t="s">
        <v>8796</v>
      </c>
      <c r="C1616" s="39" t="s">
        <v>94</v>
      </c>
      <c r="D1616" s="39" t="s">
        <v>648</v>
      </c>
      <c r="E1616" s="40">
        <v>10</v>
      </c>
      <c r="F1616" s="41">
        <f>$E1616*3600/(Input!$H$4*1000)</f>
        <v>1.2</v>
      </c>
      <c r="G1616" s="42" t="str">
        <f t="shared" si="25"/>
        <v>1617</v>
      </c>
    </row>
    <row r="1617" spans="2:7" s="38" customFormat="1" x14ac:dyDescent="0.2">
      <c r="B1617" s="39" t="s">
        <v>8797</v>
      </c>
      <c r="C1617" s="39" t="s">
        <v>1488</v>
      </c>
      <c r="D1617" s="39" t="s">
        <v>1881</v>
      </c>
      <c r="E1617" s="40">
        <v>10</v>
      </c>
      <c r="F1617" s="41">
        <f>$E1617*3600/(Input!$H$4*1000)</f>
        <v>1.2</v>
      </c>
      <c r="G1617" s="42" t="str">
        <f t="shared" si="25"/>
        <v>1618</v>
      </c>
    </row>
    <row r="1618" spans="2:7" s="38" customFormat="1" x14ac:dyDescent="0.2">
      <c r="B1618" s="39" t="s">
        <v>8798</v>
      </c>
      <c r="C1618" s="39" t="s">
        <v>1882</v>
      </c>
      <c r="D1618" s="39" t="s">
        <v>319</v>
      </c>
      <c r="E1618" s="40">
        <v>10</v>
      </c>
      <c r="F1618" s="41">
        <f>$E1618*3600/(Input!$H$4*1000)</f>
        <v>1.2</v>
      </c>
      <c r="G1618" s="42" t="str">
        <f t="shared" si="25"/>
        <v>1619</v>
      </c>
    </row>
    <row r="1619" spans="2:7" s="38" customFormat="1" x14ac:dyDescent="0.2">
      <c r="B1619" s="39" t="s">
        <v>8799</v>
      </c>
      <c r="C1619" s="39" t="s">
        <v>1883</v>
      </c>
      <c r="D1619" s="39" t="s">
        <v>377</v>
      </c>
      <c r="E1619" s="40">
        <v>10</v>
      </c>
      <c r="F1619" s="41">
        <f>$E1619*3600/(Input!$H$4*1000)</f>
        <v>1.2</v>
      </c>
      <c r="G1619" s="42" t="str">
        <f t="shared" si="25"/>
        <v>1620</v>
      </c>
    </row>
    <row r="1620" spans="2:7" s="38" customFormat="1" x14ac:dyDescent="0.2">
      <c r="B1620" s="39" t="s">
        <v>8800</v>
      </c>
      <c r="C1620" s="39" t="s">
        <v>1884</v>
      </c>
      <c r="D1620" s="39" t="s">
        <v>326</v>
      </c>
      <c r="E1620" s="40">
        <v>10</v>
      </c>
      <c r="F1620" s="41">
        <f>$E1620*3600/(Input!$H$4*1000)</f>
        <v>1.2</v>
      </c>
      <c r="G1620" s="42" t="str">
        <f t="shared" si="25"/>
        <v>1621</v>
      </c>
    </row>
    <row r="1621" spans="2:7" s="38" customFormat="1" x14ac:dyDescent="0.2">
      <c r="B1621" s="39" t="s">
        <v>8801</v>
      </c>
      <c r="C1621" s="39" t="s">
        <v>1885</v>
      </c>
      <c r="D1621" s="39" t="s">
        <v>343</v>
      </c>
      <c r="E1621" s="40">
        <v>10</v>
      </c>
      <c r="F1621" s="41">
        <f>$E1621*3600/(Input!$H$4*1000)</f>
        <v>1.2</v>
      </c>
      <c r="G1621" s="42" t="str">
        <f t="shared" si="25"/>
        <v>1622</v>
      </c>
    </row>
    <row r="1622" spans="2:7" s="38" customFormat="1" x14ac:dyDescent="0.2">
      <c r="B1622" s="39" t="s">
        <v>8802</v>
      </c>
      <c r="C1622" s="39" t="s">
        <v>1400</v>
      </c>
      <c r="D1622" s="39" t="s">
        <v>330</v>
      </c>
      <c r="E1622" s="40">
        <v>10</v>
      </c>
      <c r="F1622" s="41">
        <f>$E1622*3600/(Input!$H$4*1000)</f>
        <v>1.2</v>
      </c>
      <c r="G1622" s="42" t="str">
        <f t="shared" si="25"/>
        <v>1623</v>
      </c>
    </row>
    <row r="1623" spans="2:7" s="38" customFormat="1" x14ac:dyDescent="0.2">
      <c r="B1623" s="39" t="s">
        <v>8803</v>
      </c>
      <c r="C1623" s="39" t="s">
        <v>348</v>
      </c>
      <c r="D1623" s="39" t="s">
        <v>351</v>
      </c>
      <c r="E1623" s="40">
        <v>10</v>
      </c>
      <c r="F1623" s="41">
        <f>$E1623*3600/(Input!$H$4*1000)</f>
        <v>1.2</v>
      </c>
      <c r="G1623" s="42" t="str">
        <f t="shared" si="25"/>
        <v>1624</v>
      </c>
    </row>
    <row r="1624" spans="2:7" s="38" customFormat="1" x14ac:dyDescent="0.2">
      <c r="B1624" s="39" t="s">
        <v>8804</v>
      </c>
      <c r="C1624" s="39" t="s">
        <v>877</v>
      </c>
      <c r="D1624" s="39" t="s">
        <v>1886</v>
      </c>
      <c r="E1624" s="40">
        <v>10</v>
      </c>
      <c r="F1624" s="41">
        <f>$E1624*3600/(Input!$H$4*1000)</f>
        <v>1.2</v>
      </c>
      <c r="G1624" s="42" t="str">
        <f t="shared" si="25"/>
        <v>1625</v>
      </c>
    </row>
    <row r="1625" spans="2:7" s="38" customFormat="1" x14ac:dyDescent="0.2">
      <c r="B1625" s="39" t="s">
        <v>8805</v>
      </c>
      <c r="C1625" s="39" t="s">
        <v>1130</v>
      </c>
      <c r="D1625" s="39" t="s">
        <v>1303</v>
      </c>
      <c r="E1625" s="40">
        <v>10</v>
      </c>
      <c r="F1625" s="41">
        <f>$E1625*3600/(Input!$H$4*1000)</f>
        <v>1.2</v>
      </c>
      <c r="G1625" s="42" t="str">
        <f t="shared" si="25"/>
        <v>1626</v>
      </c>
    </row>
    <row r="1626" spans="2:7" s="38" customFormat="1" x14ac:dyDescent="0.2">
      <c r="B1626" s="39" t="s">
        <v>8806</v>
      </c>
      <c r="C1626" s="39" t="s">
        <v>742</v>
      </c>
      <c r="D1626" s="39" t="s">
        <v>1534</v>
      </c>
      <c r="E1626" s="40">
        <v>10</v>
      </c>
      <c r="F1626" s="41">
        <f>$E1626*3600/(Input!$H$4*1000)</f>
        <v>1.2</v>
      </c>
      <c r="G1626" s="42" t="str">
        <f t="shared" si="25"/>
        <v>1627</v>
      </c>
    </row>
    <row r="1627" spans="2:7" s="38" customFormat="1" x14ac:dyDescent="0.2">
      <c r="B1627" s="39" t="s">
        <v>8807</v>
      </c>
      <c r="C1627" s="39" t="s">
        <v>601</v>
      </c>
      <c r="D1627" s="39" t="s">
        <v>927</v>
      </c>
      <c r="E1627" s="40">
        <v>10</v>
      </c>
      <c r="F1627" s="41">
        <f>$E1627*3600/(Input!$H$4*1000)</f>
        <v>1.2</v>
      </c>
      <c r="G1627" s="42" t="str">
        <f t="shared" si="25"/>
        <v>1628</v>
      </c>
    </row>
    <row r="1628" spans="2:7" s="38" customFormat="1" x14ac:dyDescent="0.2">
      <c r="B1628" s="39" t="s">
        <v>8808</v>
      </c>
      <c r="C1628" s="39" t="s">
        <v>1800</v>
      </c>
      <c r="D1628" s="39" t="s">
        <v>1520</v>
      </c>
      <c r="E1628" s="40">
        <v>10</v>
      </c>
      <c r="F1628" s="41">
        <f>$E1628*3600/(Input!$H$4*1000)</f>
        <v>1.2</v>
      </c>
      <c r="G1628" s="42" t="str">
        <f t="shared" si="25"/>
        <v>1629</v>
      </c>
    </row>
    <row r="1629" spans="2:7" s="38" customFormat="1" x14ac:dyDescent="0.2">
      <c r="B1629" s="39" t="s">
        <v>8809</v>
      </c>
      <c r="C1629" s="39" t="s">
        <v>1887</v>
      </c>
      <c r="D1629" s="39" t="s">
        <v>1518</v>
      </c>
      <c r="E1629" s="40">
        <v>10</v>
      </c>
      <c r="F1629" s="41">
        <f>$E1629*3600/(Input!$H$4*1000)</f>
        <v>1.2</v>
      </c>
      <c r="G1629" s="42" t="str">
        <f t="shared" si="25"/>
        <v>1630</v>
      </c>
    </row>
    <row r="1630" spans="2:7" s="38" customFormat="1" x14ac:dyDescent="0.2">
      <c r="B1630" s="39" t="s">
        <v>8810</v>
      </c>
      <c r="C1630" s="39" t="s">
        <v>212</v>
      </c>
      <c r="D1630" s="39" t="s">
        <v>1536</v>
      </c>
      <c r="E1630" s="40">
        <v>10</v>
      </c>
      <c r="F1630" s="41">
        <f>$E1630*3600/(Input!$H$4*1000)</f>
        <v>1.2</v>
      </c>
      <c r="G1630" s="42" t="str">
        <f t="shared" si="25"/>
        <v>1631</v>
      </c>
    </row>
    <row r="1631" spans="2:7" s="38" customFormat="1" x14ac:dyDescent="0.2">
      <c r="B1631" s="39" t="s">
        <v>8811</v>
      </c>
      <c r="C1631" s="39" t="s">
        <v>130</v>
      </c>
      <c r="D1631" s="39" t="s">
        <v>708</v>
      </c>
      <c r="E1631" s="40">
        <v>10</v>
      </c>
      <c r="F1631" s="41">
        <f>$E1631*3600/(Input!$H$4*1000)</f>
        <v>1.2</v>
      </c>
      <c r="G1631" s="42" t="str">
        <f t="shared" si="25"/>
        <v>1632</v>
      </c>
    </row>
    <row r="1632" spans="2:7" s="38" customFormat="1" x14ac:dyDescent="0.2">
      <c r="B1632" s="39" t="s">
        <v>8812</v>
      </c>
      <c r="C1632" s="39" t="s">
        <v>708</v>
      </c>
      <c r="D1632" s="39" t="s">
        <v>1526</v>
      </c>
      <c r="E1632" s="40">
        <v>10</v>
      </c>
      <c r="F1632" s="41">
        <f>$E1632*3600/(Input!$H$4*1000)</f>
        <v>1.2</v>
      </c>
      <c r="G1632" s="42" t="str">
        <f t="shared" si="25"/>
        <v>1633</v>
      </c>
    </row>
    <row r="1633" spans="2:7" s="38" customFormat="1" x14ac:dyDescent="0.2">
      <c r="B1633" s="39" t="s">
        <v>8813</v>
      </c>
      <c r="C1633" s="39" t="s">
        <v>708</v>
      </c>
      <c r="D1633" s="39" t="s">
        <v>130</v>
      </c>
      <c r="E1633" s="40">
        <v>10</v>
      </c>
      <c r="F1633" s="41">
        <f>$E1633*3600/(Input!$H$4*1000)</f>
        <v>1.2</v>
      </c>
      <c r="G1633" s="42" t="str">
        <f t="shared" si="25"/>
        <v>1634</v>
      </c>
    </row>
    <row r="1634" spans="2:7" s="38" customFormat="1" x14ac:dyDescent="0.2">
      <c r="B1634" s="39" t="s">
        <v>8814</v>
      </c>
      <c r="C1634" s="39" t="s">
        <v>1531</v>
      </c>
      <c r="D1634" s="39" t="s">
        <v>1888</v>
      </c>
      <c r="E1634" s="40">
        <v>10</v>
      </c>
      <c r="F1634" s="41">
        <f>$E1634*3600/(Input!$H$4*1000)</f>
        <v>1.2</v>
      </c>
      <c r="G1634" s="42" t="str">
        <f t="shared" si="25"/>
        <v>1635</v>
      </c>
    </row>
    <row r="1635" spans="2:7" s="38" customFormat="1" x14ac:dyDescent="0.2">
      <c r="B1635" s="39" t="s">
        <v>8815</v>
      </c>
      <c r="C1635" s="39" t="s">
        <v>1531</v>
      </c>
      <c r="D1635" s="39" t="s">
        <v>1889</v>
      </c>
      <c r="E1635" s="40">
        <v>10</v>
      </c>
      <c r="F1635" s="41">
        <f>$E1635*3600/(Input!$H$4*1000)</f>
        <v>1.2</v>
      </c>
      <c r="G1635" s="42" t="str">
        <f t="shared" si="25"/>
        <v>1636</v>
      </c>
    </row>
    <row r="1636" spans="2:7" s="38" customFormat="1" x14ac:dyDescent="0.2">
      <c r="B1636" s="39" t="s">
        <v>8816</v>
      </c>
      <c r="C1636" s="39" t="s">
        <v>703</v>
      </c>
      <c r="D1636" s="39" t="s">
        <v>1581</v>
      </c>
      <c r="E1636" s="40">
        <v>10</v>
      </c>
      <c r="F1636" s="41">
        <f>$E1636*3600/(Input!$H$4*1000)</f>
        <v>1.2</v>
      </c>
      <c r="G1636" s="42" t="str">
        <f t="shared" si="25"/>
        <v>1637</v>
      </c>
    </row>
    <row r="1637" spans="2:7" s="38" customFormat="1" x14ac:dyDescent="0.2">
      <c r="B1637" s="39" t="s">
        <v>8817</v>
      </c>
      <c r="C1637" s="39" t="s">
        <v>1503</v>
      </c>
      <c r="D1637" s="39" t="s">
        <v>984</v>
      </c>
      <c r="E1637" s="40">
        <v>10</v>
      </c>
      <c r="F1637" s="41">
        <f>$E1637*3600/(Input!$H$4*1000)</f>
        <v>1.2</v>
      </c>
      <c r="G1637" s="42" t="str">
        <f t="shared" si="25"/>
        <v>1638</v>
      </c>
    </row>
    <row r="1638" spans="2:7" s="38" customFormat="1" x14ac:dyDescent="0.2">
      <c r="B1638" s="39" t="s">
        <v>8818</v>
      </c>
      <c r="C1638" s="39" t="s">
        <v>1230</v>
      </c>
      <c r="D1638" s="39" t="s">
        <v>953</v>
      </c>
      <c r="E1638" s="40">
        <v>10</v>
      </c>
      <c r="F1638" s="41">
        <f>$E1638*3600/(Input!$H$4*1000)</f>
        <v>1.2</v>
      </c>
      <c r="G1638" s="42" t="str">
        <f t="shared" si="25"/>
        <v>1639</v>
      </c>
    </row>
    <row r="1639" spans="2:7" s="38" customFormat="1" x14ac:dyDescent="0.2">
      <c r="B1639" s="39" t="s">
        <v>8819</v>
      </c>
      <c r="C1639" s="39" t="s">
        <v>1610</v>
      </c>
      <c r="D1639" s="39" t="s">
        <v>1498</v>
      </c>
      <c r="E1639" s="40">
        <v>10</v>
      </c>
      <c r="F1639" s="41">
        <f>$E1639*3600/(Input!$H$4*1000)</f>
        <v>1.2</v>
      </c>
      <c r="G1639" s="42" t="str">
        <f t="shared" si="25"/>
        <v>1640</v>
      </c>
    </row>
    <row r="1640" spans="2:7" s="38" customFormat="1" x14ac:dyDescent="0.2">
      <c r="B1640" s="39" t="s">
        <v>8820</v>
      </c>
      <c r="C1640" s="39" t="s">
        <v>986</v>
      </c>
      <c r="D1640" s="39" t="s">
        <v>796</v>
      </c>
      <c r="E1640" s="40">
        <v>10</v>
      </c>
      <c r="F1640" s="41">
        <f>$E1640*3600/(Input!$H$4*1000)</f>
        <v>1.2</v>
      </c>
      <c r="G1640" s="42" t="str">
        <f t="shared" si="25"/>
        <v>1641</v>
      </c>
    </row>
    <row r="1641" spans="2:7" s="38" customFormat="1" x14ac:dyDescent="0.2">
      <c r="B1641" s="39" t="s">
        <v>8821</v>
      </c>
      <c r="C1641" s="39" t="s">
        <v>796</v>
      </c>
      <c r="D1641" s="39" t="s">
        <v>913</v>
      </c>
      <c r="E1641" s="40">
        <v>10</v>
      </c>
      <c r="F1641" s="41">
        <f>$E1641*3600/(Input!$H$4*1000)</f>
        <v>1.2</v>
      </c>
      <c r="G1641" s="42" t="str">
        <f t="shared" si="25"/>
        <v>1642</v>
      </c>
    </row>
    <row r="1642" spans="2:7" s="38" customFormat="1" x14ac:dyDescent="0.2">
      <c r="B1642" s="39" t="s">
        <v>8822</v>
      </c>
      <c r="C1642" s="39" t="s">
        <v>1890</v>
      </c>
      <c r="D1642" s="39" t="s">
        <v>578</v>
      </c>
      <c r="E1642" s="40">
        <v>10</v>
      </c>
      <c r="F1642" s="41">
        <f>$E1642*3600/(Input!$H$4*1000)</f>
        <v>1.2</v>
      </c>
      <c r="G1642" s="42" t="str">
        <f t="shared" si="25"/>
        <v>1643</v>
      </c>
    </row>
    <row r="1643" spans="2:7" s="38" customFormat="1" x14ac:dyDescent="0.2">
      <c r="B1643" s="39" t="s">
        <v>8823</v>
      </c>
      <c r="C1643" s="39" t="s">
        <v>744</v>
      </c>
      <c r="D1643" s="39" t="s">
        <v>584</v>
      </c>
      <c r="E1643" s="40">
        <v>10</v>
      </c>
      <c r="F1643" s="41">
        <f>$E1643*3600/(Input!$H$4*1000)</f>
        <v>1.2</v>
      </c>
      <c r="G1643" s="42" t="str">
        <f t="shared" si="25"/>
        <v>1644</v>
      </c>
    </row>
    <row r="1644" spans="2:7" s="38" customFormat="1" x14ac:dyDescent="0.2">
      <c r="B1644" s="39" t="s">
        <v>8824</v>
      </c>
      <c r="C1644" s="39" t="s">
        <v>386</v>
      </c>
      <c r="D1644" s="39" t="s">
        <v>1427</v>
      </c>
      <c r="E1644" s="40">
        <v>10</v>
      </c>
      <c r="F1644" s="41">
        <f>$E1644*3600/(Input!$H$4*1000)</f>
        <v>1.2</v>
      </c>
      <c r="G1644" s="42" t="str">
        <f t="shared" si="25"/>
        <v>1645</v>
      </c>
    </row>
    <row r="1645" spans="2:7" s="38" customFormat="1" x14ac:dyDescent="0.2">
      <c r="B1645" s="39" t="s">
        <v>8825</v>
      </c>
      <c r="C1645" s="39" t="s">
        <v>1322</v>
      </c>
      <c r="D1645" s="39" t="s">
        <v>118</v>
      </c>
      <c r="E1645" s="40">
        <v>10</v>
      </c>
      <c r="F1645" s="41">
        <f>$E1645*3600/(Input!$H$4*1000)</f>
        <v>1.2</v>
      </c>
      <c r="G1645" s="42" t="str">
        <f t="shared" si="25"/>
        <v>1646</v>
      </c>
    </row>
    <row r="1646" spans="2:7" s="38" customFormat="1" x14ac:dyDescent="0.2">
      <c r="B1646" s="39" t="s">
        <v>8826</v>
      </c>
      <c r="C1646" s="39" t="s">
        <v>1660</v>
      </c>
      <c r="D1646" s="39" t="s">
        <v>1317</v>
      </c>
      <c r="E1646" s="40">
        <v>10</v>
      </c>
      <c r="F1646" s="41">
        <f>$E1646*3600/(Input!$H$4*1000)</f>
        <v>1.2</v>
      </c>
      <c r="G1646" s="42" t="str">
        <f t="shared" si="25"/>
        <v>1647</v>
      </c>
    </row>
    <row r="1647" spans="2:7" s="38" customFormat="1" x14ac:dyDescent="0.2">
      <c r="B1647" s="39" t="s">
        <v>8827</v>
      </c>
      <c r="C1647" s="39" t="s">
        <v>1317</v>
      </c>
      <c r="D1647" s="39" t="s">
        <v>1660</v>
      </c>
      <c r="E1647" s="40">
        <v>10</v>
      </c>
      <c r="F1647" s="41">
        <f>$E1647*3600/(Input!$H$4*1000)</f>
        <v>1.2</v>
      </c>
      <c r="G1647" s="42" t="str">
        <f t="shared" si="25"/>
        <v>1648</v>
      </c>
    </row>
    <row r="1648" spans="2:7" s="38" customFormat="1" x14ac:dyDescent="0.2">
      <c r="B1648" s="39" t="s">
        <v>8828</v>
      </c>
      <c r="C1648" s="39" t="s">
        <v>118</v>
      </c>
      <c r="D1648" s="39" t="s">
        <v>1322</v>
      </c>
      <c r="E1648" s="40">
        <v>10</v>
      </c>
      <c r="F1648" s="41">
        <f>$E1648*3600/(Input!$H$4*1000)</f>
        <v>1.2</v>
      </c>
      <c r="G1648" s="42" t="str">
        <f t="shared" si="25"/>
        <v>1649</v>
      </c>
    </row>
    <row r="1649" spans="2:7" s="38" customFormat="1" x14ac:dyDescent="0.2">
      <c r="B1649" s="39" t="s">
        <v>8829</v>
      </c>
      <c r="C1649" s="39" t="s">
        <v>779</v>
      </c>
      <c r="D1649" s="39" t="s">
        <v>1583</v>
      </c>
      <c r="E1649" s="40">
        <v>10</v>
      </c>
      <c r="F1649" s="41">
        <f>$E1649*3600/(Input!$H$4*1000)</f>
        <v>1.2</v>
      </c>
      <c r="G1649" s="42" t="str">
        <f t="shared" si="25"/>
        <v>1650</v>
      </c>
    </row>
    <row r="1650" spans="2:7" s="46" customFormat="1" x14ac:dyDescent="0.2">
      <c r="B1650" s="39" t="s">
        <v>8830</v>
      </c>
      <c r="C1650" s="39" t="s">
        <v>1583</v>
      </c>
      <c r="D1650" s="39" t="s">
        <v>779</v>
      </c>
      <c r="E1650" s="40">
        <v>10</v>
      </c>
      <c r="F1650" s="41">
        <f>$E1650*3600/(Input!$H$4*1000)</f>
        <v>1.2</v>
      </c>
      <c r="G1650" s="42" t="str">
        <f t="shared" si="25"/>
        <v>1651</v>
      </c>
    </row>
    <row r="1651" spans="2:7" s="38" customFormat="1" x14ac:dyDescent="0.2">
      <c r="B1651" s="39" t="s">
        <v>8831</v>
      </c>
      <c r="C1651" s="39" t="s">
        <v>1726</v>
      </c>
      <c r="D1651" s="39" t="s">
        <v>1891</v>
      </c>
      <c r="E1651" s="40">
        <v>10</v>
      </c>
      <c r="F1651" s="41">
        <f>$E1651*3600/(Input!$H$4*1000)</f>
        <v>1.2</v>
      </c>
      <c r="G1651" s="42" t="str">
        <f t="shared" si="25"/>
        <v>1652</v>
      </c>
    </row>
    <row r="1652" spans="2:7" s="38" customFormat="1" x14ac:dyDescent="0.2">
      <c r="B1652" s="39" t="s">
        <v>8832</v>
      </c>
      <c r="C1652" s="39" t="s">
        <v>1886</v>
      </c>
      <c r="D1652" s="39" t="s">
        <v>877</v>
      </c>
      <c r="E1652" s="40">
        <v>10</v>
      </c>
      <c r="F1652" s="41">
        <f>$E1652*3600/(Input!$H$4*1000)</f>
        <v>1.2</v>
      </c>
      <c r="G1652" s="42" t="str">
        <f t="shared" si="25"/>
        <v>1653</v>
      </c>
    </row>
    <row r="1653" spans="2:7" s="38" customFormat="1" x14ac:dyDescent="0.2">
      <c r="B1653" s="39" t="s">
        <v>8833</v>
      </c>
      <c r="C1653" s="39" t="s">
        <v>1258</v>
      </c>
      <c r="D1653" s="39" t="s">
        <v>1621</v>
      </c>
      <c r="E1653" s="40">
        <v>10</v>
      </c>
      <c r="F1653" s="41">
        <f>$E1653*3600/(Input!$H$4*1000)</f>
        <v>1.2</v>
      </c>
      <c r="G1653" s="42" t="str">
        <f t="shared" si="25"/>
        <v>1654</v>
      </c>
    </row>
    <row r="1654" spans="2:7" s="38" customFormat="1" x14ac:dyDescent="0.2">
      <c r="B1654" s="39" t="s">
        <v>8834</v>
      </c>
      <c r="C1654" s="39" t="s">
        <v>494</v>
      </c>
      <c r="D1654" s="39" t="s">
        <v>1892</v>
      </c>
      <c r="E1654" s="40">
        <v>10</v>
      </c>
      <c r="F1654" s="41">
        <f>$E1654*3600/(Input!$H$4*1000)</f>
        <v>1.2</v>
      </c>
      <c r="G1654" s="42" t="str">
        <f t="shared" si="25"/>
        <v>1655</v>
      </c>
    </row>
    <row r="1655" spans="2:7" s="38" customFormat="1" x14ac:dyDescent="0.2">
      <c r="B1655" s="39" t="s">
        <v>8835</v>
      </c>
      <c r="C1655" s="39" t="s">
        <v>762</v>
      </c>
      <c r="D1655" s="39" t="s">
        <v>1893</v>
      </c>
      <c r="E1655" s="40">
        <v>10</v>
      </c>
      <c r="F1655" s="41">
        <f>$E1655*3600/(Input!$H$4*1000)</f>
        <v>1.2</v>
      </c>
      <c r="G1655" s="42" t="str">
        <f t="shared" si="25"/>
        <v>1656</v>
      </c>
    </row>
    <row r="1656" spans="2:7" s="38" customFormat="1" x14ac:dyDescent="0.2">
      <c r="B1656" s="39" t="s">
        <v>8836</v>
      </c>
      <c r="C1656" s="39" t="s">
        <v>1491</v>
      </c>
      <c r="D1656" s="39" t="s">
        <v>1894</v>
      </c>
      <c r="E1656" s="40">
        <v>10</v>
      </c>
      <c r="F1656" s="41">
        <f>$E1656*3600/(Input!$H$4*1000)</f>
        <v>1.2</v>
      </c>
      <c r="G1656" s="42" t="str">
        <f t="shared" si="25"/>
        <v>1657</v>
      </c>
    </row>
    <row r="1657" spans="2:7" s="38" customFormat="1" x14ac:dyDescent="0.2">
      <c r="B1657" s="39" t="s">
        <v>8837</v>
      </c>
      <c r="C1657" s="39" t="s">
        <v>1452</v>
      </c>
      <c r="D1657" s="39" t="s">
        <v>265</v>
      </c>
      <c r="E1657" s="40">
        <v>10</v>
      </c>
      <c r="F1657" s="41">
        <f>$E1657*3600/(Input!$H$4*1000)</f>
        <v>1.2</v>
      </c>
      <c r="G1657" s="42" t="str">
        <f t="shared" si="25"/>
        <v>1658</v>
      </c>
    </row>
    <row r="1658" spans="2:7" s="38" customFormat="1" x14ac:dyDescent="0.2">
      <c r="B1658" s="39" t="s">
        <v>8838</v>
      </c>
      <c r="C1658" s="39" t="s">
        <v>1708</v>
      </c>
      <c r="D1658" s="39" t="s">
        <v>87</v>
      </c>
      <c r="E1658" s="40">
        <v>10</v>
      </c>
      <c r="F1658" s="41">
        <f>$E1658*3600/(Input!$H$4*1000)</f>
        <v>1.2</v>
      </c>
      <c r="G1658" s="42" t="str">
        <f t="shared" si="25"/>
        <v>1659</v>
      </c>
    </row>
    <row r="1659" spans="2:7" s="38" customFormat="1" x14ac:dyDescent="0.2">
      <c r="B1659" s="39" t="s">
        <v>8839</v>
      </c>
      <c r="C1659" s="39" t="s">
        <v>1895</v>
      </c>
      <c r="D1659" s="39" t="s">
        <v>1724</v>
      </c>
      <c r="E1659" s="40">
        <v>10</v>
      </c>
      <c r="F1659" s="41">
        <f>$E1659*3600/(Input!$H$4*1000)</f>
        <v>1.2</v>
      </c>
      <c r="G1659" s="42" t="str">
        <f t="shared" si="25"/>
        <v>1660</v>
      </c>
    </row>
    <row r="1660" spans="2:7" s="38" customFormat="1" x14ac:dyDescent="0.2">
      <c r="B1660" s="39" t="s">
        <v>8840</v>
      </c>
      <c r="C1660" s="39" t="s">
        <v>1219</v>
      </c>
      <c r="D1660" s="39" t="s">
        <v>1691</v>
      </c>
      <c r="E1660" s="40">
        <v>10</v>
      </c>
      <c r="F1660" s="41">
        <f>$E1660*3600/(Input!$H$4*1000)</f>
        <v>1.2</v>
      </c>
      <c r="G1660" s="42" t="str">
        <f t="shared" si="25"/>
        <v>1661</v>
      </c>
    </row>
    <row r="1661" spans="2:7" s="38" customFormat="1" x14ac:dyDescent="0.2">
      <c r="B1661" s="39" t="s">
        <v>8841</v>
      </c>
      <c r="C1661" s="39" t="s">
        <v>86</v>
      </c>
      <c r="D1661" s="39" t="s">
        <v>1295</v>
      </c>
      <c r="E1661" s="40">
        <v>10</v>
      </c>
      <c r="F1661" s="41">
        <f>$E1661*3600/(Input!$H$4*1000)</f>
        <v>1.2</v>
      </c>
      <c r="G1661" s="42" t="str">
        <f t="shared" si="25"/>
        <v>1662</v>
      </c>
    </row>
    <row r="1662" spans="2:7" s="38" customFormat="1" x14ac:dyDescent="0.2">
      <c r="B1662" s="39" t="s">
        <v>8842</v>
      </c>
      <c r="C1662" s="39" t="s">
        <v>786</v>
      </c>
      <c r="D1662" s="39" t="s">
        <v>785</v>
      </c>
      <c r="E1662" s="40">
        <v>10</v>
      </c>
      <c r="F1662" s="41">
        <f>$E1662*3600/(Input!$H$4*1000)</f>
        <v>1.2</v>
      </c>
      <c r="G1662" s="42" t="str">
        <f t="shared" si="25"/>
        <v>1663</v>
      </c>
    </row>
    <row r="1663" spans="2:7" s="38" customFormat="1" x14ac:dyDescent="0.2">
      <c r="B1663" s="39" t="s">
        <v>8843</v>
      </c>
      <c r="C1663" s="39" t="s">
        <v>1287</v>
      </c>
      <c r="D1663" s="39" t="s">
        <v>75</v>
      </c>
      <c r="E1663" s="40">
        <v>10</v>
      </c>
      <c r="F1663" s="41">
        <f>$E1663*3600/(Input!$H$4*1000)</f>
        <v>1.2</v>
      </c>
      <c r="G1663" s="42" t="str">
        <f t="shared" si="25"/>
        <v>1664</v>
      </c>
    </row>
    <row r="1664" spans="2:7" s="38" customFormat="1" x14ac:dyDescent="0.2">
      <c r="B1664" s="39" t="s">
        <v>8844</v>
      </c>
      <c r="C1664" s="39" t="s">
        <v>75</v>
      </c>
      <c r="D1664" s="39" t="s">
        <v>1023</v>
      </c>
      <c r="E1664" s="40">
        <v>10</v>
      </c>
      <c r="F1664" s="41">
        <f>$E1664*3600/(Input!$H$4*1000)</f>
        <v>1.2</v>
      </c>
      <c r="G1664" s="42" t="str">
        <f t="shared" si="25"/>
        <v>1665</v>
      </c>
    </row>
    <row r="1665" spans="2:7" s="38" customFormat="1" x14ac:dyDescent="0.2">
      <c r="B1665" s="39" t="s">
        <v>8845</v>
      </c>
      <c r="C1665" s="39" t="s">
        <v>1692</v>
      </c>
      <c r="D1665" s="39" t="s">
        <v>1216</v>
      </c>
      <c r="E1665" s="40">
        <v>10</v>
      </c>
      <c r="F1665" s="41">
        <f>$E1665*3600/(Input!$H$4*1000)</f>
        <v>1.2</v>
      </c>
      <c r="G1665" s="42" t="str">
        <f t="shared" si="25"/>
        <v>1666</v>
      </c>
    </row>
    <row r="1666" spans="2:7" s="38" customFormat="1" x14ac:dyDescent="0.2">
      <c r="B1666" s="39" t="s">
        <v>8846</v>
      </c>
      <c r="C1666" s="39" t="s">
        <v>646</v>
      </c>
      <c r="D1666" s="39" t="s">
        <v>1359</v>
      </c>
      <c r="E1666" s="40">
        <v>10</v>
      </c>
      <c r="F1666" s="41">
        <f>$E1666*3600/(Input!$H$4*1000)</f>
        <v>1.2</v>
      </c>
      <c r="G1666" s="42" t="str">
        <f t="shared" ref="G1666:G1729" si="26">MID(B1666,7,LEN(B1666)-6)</f>
        <v>1667</v>
      </c>
    </row>
    <row r="1667" spans="2:7" s="38" customFormat="1" x14ac:dyDescent="0.2">
      <c r="B1667" s="39" t="s">
        <v>8847</v>
      </c>
      <c r="C1667" s="39" t="s">
        <v>1179</v>
      </c>
      <c r="D1667" s="39" t="s">
        <v>1365</v>
      </c>
      <c r="E1667" s="40">
        <v>10</v>
      </c>
      <c r="F1667" s="41">
        <f>$E1667*3600/(Input!$H$4*1000)</f>
        <v>1.2</v>
      </c>
      <c r="G1667" s="42" t="str">
        <f t="shared" si="26"/>
        <v>1668</v>
      </c>
    </row>
    <row r="1668" spans="2:7" s="38" customFormat="1" x14ac:dyDescent="0.2">
      <c r="B1668" s="39" t="s">
        <v>8848</v>
      </c>
      <c r="C1668" s="39" t="s">
        <v>1896</v>
      </c>
      <c r="D1668" s="39" t="s">
        <v>655</v>
      </c>
      <c r="E1668" s="40">
        <v>10</v>
      </c>
      <c r="F1668" s="41">
        <f>$E1668*3600/(Input!$H$4*1000)</f>
        <v>1.2</v>
      </c>
      <c r="G1668" s="42" t="str">
        <f t="shared" si="26"/>
        <v>1669</v>
      </c>
    </row>
    <row r="1669" spans="2:7" s="38" customFormat="1" x14ac:dyDescent="0.2">
      <c r="B1669" s="39" t="s">
        <v>8849</v>
      </c>
      <c r="C1669" s="39" t="s">
        <v>1216</v>
      </c>
      <c r="D1669" s="39" t="s">
        <v>1692</v>
      </c>
      <c r="E1669" s="40">
        <v>10</v>
      </c>
      <c r="F1669" s="41">
        <f>$E1669*3600/(Input!$H$4*1000)</f>
        <v>1.2</v>
      </c>
      <c r="G1669" s="42" t="str">
        <f t="shared" si="26"/>
        <v>1670</v>
      </c>
    </row>
    <row r="1670" spans="2:7" s="38" customFormat="1" x14ac:dyDescent="0.2">
      <c r="B1670" s="39" t="s">
        <v>8850</v>
      </c>
      <c r="C1670" s="39" t="s">
        <v>1287</v>
      </c>
      <c r="D1670" s="39" t="s">
        <v>1023</v>
      </c>
      <c r="E1670" s="40">
        <v>10</v>
      </c>
      <c r="F1670" s="41">
        <f>$E1670*3600/(Input!$H$4*1000)</f>
        <v>1.2</v>
      </c>
      <c r="G1670" s="42" t="str">
        <f t="shared" si="26"/>
        <v>1672</v>
      </c>
    </row>
    <row r="1671" spans="2:7" s="38" customFormat="1" x14ac:dyDescent="0.2">
      <c r="B1671" s="39" t="s">
        <v>8851</v>
      </c>
      <c r="C1671" s="44" t="s">
        <v>1305</v>
      </c>
      <c r="D1671" s="44" t="s">
        <v>1271</v>
      </c>
      <c r="E1671" s="45">
        <v>10</v>
      </c>
      <c r="F1671" s="41">
        <f>$E1671*3600/(Input!$H$4*1000)</f>
        <v>1.2</v>
      </c>
      <c r="G1671" s="42" t="str">
        <f t="shared" si="26"/>
        <v>1673</v>
      </c>
    </row>
    <row r="1672" spans="2:7" s="38" customFormat="1" x14ac:dyDescent="0.2">
      <c r="B1672" s="39" t="s">
        <v>8852</v>
      </c>
      <c r="C1672" s="39" t="s">
        <v>1215</v>
      </c>
      <c r="D1672" s="39" t="s">
        <v>1285</v>
      </c>
      <c r="E1672" s="40">
        <v>10</v>
      </c>
      <c r="F1672" s="41">
        <f>$E1672*3600/(Input!$H$4*1000)</f>
        <v>1.2</v>
      </c>
      <c r="G1672" s="42" t="str">
        <f t="shared" si="26"/>
        <v>1674</v>
      </c>
    </row>
    <row r="1673" spans="2:7" s="38" customFormat="1" x14ac:dyDescent="0.2">
      <c r="B1673" s="39" t="s">
        <v>8853</v>
      </c>
      <c r="C1673" s="39" t="s">
        <v>1285</v>
      </c>
      <c r="D1673" s="39" t="s">
        <v>740</v>
      </c>
      <c r="E1673" s="40">
        <v>10</v>
      </c>
      <c r="F1673" s="41">
        <f>$E1673*3600/(Input!$H$4*1000)</f>
        <v>1.2</v>
      </c>
      <c r="G1673" s="42" t="str">
        <f t="shared" si="26"/>
        <v>1675</v>
      </c>
    </row>
    <row r="1674" spans="2:7" s="38" customFormat="1" x14ac:dyDescent="0.2">
      <c r="B1674" s="39" t="s">
        <v>8854</v>
      </c>
      <c r="C1674" s="39" t="s">
        <v>1365</v>
      </c>
      <c r="D1674" s="39" t="s">
        <v>1179</v>
      </c>
      <c r="E1674" s="40">
        <v>10</v>
      </c>
      <c r="F1674" s="41">
        <f>$E1674*3600/(Input!$H$4*1000)</f>
        <v>1.2</v>
      </c>
      <c r="G1674" s="42" t="str">
        <f t="shared" si="26"/>
        <v>1676</v>
      </c>
    </row>
    <row r="1675" spans="2:7" s="38" customFormat="1" x14ac:dyDescent="0.2">
      <c r="B1675" s="39" t="s">
        <v>8855</v>
      </c>
      <c r="C1675" s="39" t="s">
        <v>673</v>
      </c>
      <c r="D1675" s="39" t="s">
        <v>1897</v>
      </c>
      <c r="E1675" s="40">
        <v>10</v>
      </c>
      <c r="F1675" s="41">
        <f>$E1675*3600/(Input!$H$4*1000)</f>
        <v>1.2</v>
      </c>
      <c r="G1675" s="42" t="str">
        <f t="shared" si="26"/>
        <v>1677</v>
      </c>
    </row>
    <row r="1676" spans="2:7" s="38" customFormat="1" x14ac:dyDescent="0.2">
      <c r="B1676" s="39" t="s">
        <v>8856</v>
      </c>
      <c r="C1676" s="39" t="s">
        <v>795</v>
      </c>
      <c r="D1676" s="39" t="s">
        <v>821</v>
      </c>
      <c r="E1676" s="40">
        <v>10</v>
      </c>
      <c r="F1676" s="41">
        <f>$E1676*3600/(Input!$H$4*1000)</f>
        <v>1.2</v>
      </c>
      <c r="G1676" s="42" t="str">
        <f t="shared" si="26"/>
        <v>1678</v>
      </c>
    </row>
    <row r="1677" spans="2:7" s="38" customFormat="1" x14ac:dyDescent="0.2">
      <c r="B1677" s="39" t="s">
        <v>8857</v>
      </c>
      <c r="C1677" s="39" t="s">
        <v>882</v>
      </c>
      <c r="D1677" s="39" t="s">
        <v>171</v>
      </c>
      <c r="E1677" s="40">
        <v>10</v>
      </c>
      <c r="F1677" s="41">
        <f>$E1677*3600/(Input!$H$4*1000)</f>
        <v>1.2</v>
      </c>
      <c r="G1677" s="42" t="str">
        <f t="shared" si="26"/>
        <v>1679</v>
      </c>
    </row>
    <row r="1678" spans="2:7" s="38" customFormat="1" x14ac:dyDescent="0.2">
      <c r="B1678" s="39" t="s">
        <v>8858</v>
      </c>
      <c r="C1678" s="39" t="s">
        <v>1082</v>
      </c>
      <c r="D1678" s="39" t="s">
        <v>1898</v>
      </c>
      <c r="E1678" s="40">
        <v>10</v>
      </c>
      <c r="F1678" s="41">
        <f>$E1678*3600/(Input!$H$4*1000)</f>
        <v>1.2</v>
      </c>
      <c r="G1678" s="42" t="str">
        <f t="shared" si="26"/>
        <v>1680</v>
      </c>
    </row>
    <row r="1679" spans="2:7" s="38" customFormat="1" x14ac:dyDescent="0.2">
      <c r="B1679" s="39" t="s">
        <v>8859</v>
      </c>
      <c r="C1679" s="39" t="s">
        <v>1082</v>
      </c>
      <c r="D1679" s="39" t="s">
        <v>1461</v>
      </c>
      <c r="E1679" s="40">
        <v>10</v>
      </c>
      <c r="F1679" s="41">
        <f>$E1679*3600/(Input!$H$4*1000)</f>
        <v>1.2</v>
      </c>
      <c r="G1679" s="42" t="str">
        <f t="shared" si="26"/>
        <v>1681</v>
      </c>
    </row>
    <row r="1680" spans="2:7" s="38" customFormat="1" x14ac:dyDescent="0.2">
      <c r="B1680" s="39" t="s">
        <v>8860</v>
      </c>
      <c r="C1680" s="39" t="s">
        <v>492</v>
      </c>
      <c r="D1680" s="39" t="s">
        <v>1899</v>
      </c>
      <c r="E1680" s="40">
        <v>10</v>
      </c>
      <c r="F1680" s="41">
        <f>$E1680*3600/(Input!$H$4*1000)</f>
        <v>1.2</v>
      </c>
      <c r="G1680" s="42" t="str">
        <f t="shared" si="26"/>
        <v>1682</v>
      </c>
    </row>
    <row r="1681" spans="2:7" s="38" customFormat="1" x14ac:dyDescent="0.2">
      <c r="B1681" s="39" t="s">
        <v>8861</v>
      </c>
      <c r="C1681" s="39" t="s">
        <v>492</v>
      </c>
      <c r="D1681" s="39" t="s">
        <v>560</v>
      </c>
      <c r="E1681" s="40">
        <v>10</v>
      </c>
      <c r="F1681" s="41">
        <f>$E1681*3600/(Input!$H$4*1000)</f>
        <v>1.2</v>
      </c>
      <c r="G1681" s="42" t="str">
        <f t="shared" si="26"/>
        <v>1683</v>
      </c>
    </row>
    <row r="1682" spans="2:7" s="38" customFormat="1" x14ac:dyDescent="0.2">
      <c r="B1682" s="39" t="s">
        <v>8862</v>
      </c>
      <c r="C1682" s="39" t="s">
        <v>1282</v>
      </c>
      <c r="D1682" s="39" t="s">
        <v>1900</v>
      </c>
      <c r="E1682" s="40">
        <v>10</v>
      </c>
      <c r="F1682" s="41">
        <f>$E1682*3600/(Input!$H$4*1000)</f>
        <v>1.2</v>
      </c>
      <c r="G1682" s="42" t="str">
        <f t="shared" si="26"/>
        <v>1684</v>
      </c>
    </row>
    <row r="1683" spans="2:7" s="38" customFormat="1" x14ac:dyDescent="0.2">
      <c r="B1683" s="39" t="s">
        <v>8863</v>
      </c>
      <c r="C1683" s="39" t="s">
        <v>116</v>
      </c>
      <c r="D1683" s="39" t="s">
        <v>123</v>
      </c>
      <c r="E1683" s="40">
        <v>10</v>
      </c>
      <c r="F1683" s="41">
        <f>$E1683*3600/(Input!$H$4*1000)</f>
        <v>1.2</v>
      </c>
      <c r="G1683" s="42" t="str">
        <f t="shared" si="26"/>
        <v>1685</v>
      </c>
    </row>
    <row r="1684" spans="2:7" s="38" customFormat="1" x14ac:dyDescent="0.2">
      <c r="B1684" s="39" t="s">
        <v>8864</v>
      </c>
      <c r="C1684" s="39" t="s">
        <v>123</v>
      </c>
      <c r="D1684" s="39" t="s">
        <v>1464</v>
      </c>
      <c r="E1684" s="40">
        <v>10</v>
      </c>
      <c r="F1684" s="41">
        <f>$E1684*3600/(Input!$H$4*1000)</f>
        <v>1.2</v>
      </c>
      <c r="G1684" s="42" t="str">
        <f t="shared" si="26"/>
        <v>1686</v>
      </c>
    </row>
    <row r="1685" spans="2:7" s="38" customFormat="1" x14ac:dyDescent="0.2">
      <c r="B1685" s="39" t="s">
        <v>8865</v>
      </c>
      <c r="C1685" s="39" t="s">
        <v>1901</v>
      </c>
      <c r="D1685" s="39" t="s">
        <v>1729</v>
      </c>
      <c r="E1685" s="40">
        <v>10</v>
      </c>
      <c r="F1685" s="41">
        <f>$E1685*3600/(Input!$H$4*1000)</f>
        <v>1.2</v>
      </c>
      <c r="G1685" s="42" t="str">
        <f t="shared" si="26"/>
        <v>1687</v>
      </c>
    </row>
    <row r="1686" spans="2:7" s="38" customFormat="1" x14ac:dyDescent="0.2">
      <c r="B1686" s="39" t="s">
        <v>8866</v>
      </c>
      <c r="C1686" s="39" t="s">
        <v>38</v>
      </c>
      <c r="D1686" s="39" t="s">
        <v>140</v>
      </c>
      <c r="E1686" s="40">
        <v>10</v>
      </c>
      <c r="F1686" s="41">
        <f>$E1686*3600/(Input!$H$4*1000)</f>
        <v>1.2</v>
      </c>
      <c r="G1686" s="42" t="str">
        <f t="shared" si="26"/>
        <v>1688</v>
      </c>
    </row>
    <row r="1687" spans="2:7" s="38" customFormat="1" x14ac:dyDescent="0.2">
      <c r="B1687" s="39" t="s">
        <v>8867</v>
      </c>
      <c r="C1687" s="39" t="s">
        <v>1265</v>
      </c>
      <c r="D1687" s="39" t="s">
        <v>1411</v>
      </c>
      <c r="E1687" s="40">
        <v>10</v>
      </c>
      <c r="F1687" s="41">
        <f>$E1687*3600/(Input!$H$4*1000)</f>
        <v>1.2</v>
      </c>
      <c r="G1687" s="42" t="str">
        <f t="shared" si="26"/>
        <v>1689</v>
      </c>
    </row>
    <row r="1688" spans="2:7" s="38" customFormat="1" x14ac:dyDescent="0.2">
      <c r="B1688" s="39" t="s">
        <v>8868</v>
      </c>
      <c r="C1688" s="39" t="s">
        <v>794</v>
      </c>
      <c r="D1688" s="39" t="s">
        <v>765</v>
      </c>
      <c r="E1688" s="40">
        <v>10</v>
      </c>
      <c r="F1688" s="41">
        <f>$E1688*3600/(Input!$H$4*1000)</f>
        <v>1.2</v>
      </c>
      <c r="G1688" s="42" t="str">
        <f t="shared" si="26"/>
        <v>1690</v>
      </c>
    </row>
    <row r="1689" spans="2:7" s="38" customFormat="1" x14ac:dyDescent="0.2">
      <c r="B1689" s="39" t="s">
        <v>8869</v>
      </c>
      <c r="C1689" s="39" t="s">
        <v>83</v>
      </c>
      <c r="D1689" s="39" t="s">
        <v>1378</v>
      </c>
      <c r="E1689" s="40">
        <v>10</v>
      </c>
      <c r="F1689" s="41">
        <f>$E1689*3600/(Input!$H$4*1000)</f>
        <v>1.2</v>
      </c>
      <c r="G1689" s="42" t="str">
        <f t="shared" si="26"/>
        <v>1691</v>
      </c>
    </row>
    <row r="1690" spans="2:7" s="38" customFormat="1" x14ac:dyDescent="0.2">
      <c r="B1690" s="39" t="s">
        <v>8870</v>
      </c>
      <c r="C1690" s="39" t="s">
        <v>1493</v>
      </c>
      <c r="D1690" s="39" t="s">
        <v>1277</v>
      </c>
      <c r="E1690" s="40">
        <v>10</v>
      </c>
      <c r="F1690" s="41">
        <f>$E1690*3600/(Input!$H$4*1000)</f>
        <v>1.2</v>
      </c>
      <c r="G1690" s="42" t="str">
        <f t="shared" si="26"/>
        <v>1692</v>
      </c>
    </row>
    <row r="1691" spans="2:7" s="38" customFormat="1" x14ac:dyDescent="0.2">
      <c r="B1691" s="39" t="s">
        <v>8871</v>
      </c>
      <c r="C1691" s="39" t="s">
        <v>1070</v>
      </c>
      <c r="D1691" s="39" t="s">
        <v>1902</v>
      </c>
      <c r="E1691" s="40">
        <v>10</v>
      </c>
      <c r="F1691" s="41">
        <f>$E1691*3600/(Input!$H$4*1000)</f>
        <v>1.2</v>
      </c>
      <c r="G1691" s="42" t="str">
        <f t="shared" si="26"/>
        <v>1693</v>
      </c>
    </row>
    <row r="1692" spans="2:7" s="38" customFormat="1" x14ac:dyDescent="0.2">
      <c r="B1692" s="39" t="s">
        <v>8872</v>
      </c>
      <c r="C1692" s="39" t="s">
        <v>254</v>
      </c>
      <c r="D1692" s="39" t="s">
        <v>236</v>
      </c>
      <c r="E1692" s="40">
        <v>10</v>
      </c>
      <c r="F1692" s="41">
        <f>$E1692*3600/(Input!$H$4*1000)</f>
        <v>1.2</v>
      </c>
      <c r="G1692" s="42" t="str">
        <f t="shared" si="26"/>
        <v>1694</v>
      </c>
    </row>
    <row r="1693" spans="2:7" s="38" customFormat="1" x14ac:dyDescent="0.2">
      <c r="B1693" s="39" t="s">
        <v>8873</v>
      </c>
      <c r="C1693" s="39" t="s">
        <v>95</v>
      </c>
      <c r="D1693" s="39" t="s">
        <v>987</v>
      </c>
      <c r="E1693" s="40">
        <v>10</v>
      </c>
      <c r="F1693" s="41">
        <f>$E1693*3600/(Input!$H$4*1000)</f>
        <v>1.2</v>
      </c>
      <c r="G1693" s="42" t="str">
        <f t="shared" si="26"/>
        <v>1695</v>
      </c>
    </row>
    <row r="1694" spans="2:7" s="38" customFormat="1" x14ac:dyDescent="0.2">
      <c r="B1694" s="39" t="s">
        <v>8874</v>
      </c>
      <c r="C1694" s="39" t="s">
        <v>968</v>
      </c>
      <c r="D1694" s="39" t="s">
        <v>1903</v>
      </c>
      <c r="E1694" s="40">
        <v>10</v>
      </c>
      <c r="F1694" s="41">
        <f>$E1694*3600/(Input!$H$4*1000)</f>
        <v>1.2</v>
      </c>
      <c r="G1694" s="42" t="str">
        <f t="shared" si="26"/>
        <v>1696</v>
      </c>
    </row>
    <row r="1695" spans="2:7" s="38" customFormat="1" x14ac:dyDescent="0.2">
      <c r="B1695" s="39" t="s">
        <v>8875</v>
      </c>
      <c r="C1695" s="39" t="s">
        <v>382</v>
      </c>
      <c r="D1695" s="39" t="s">
        <v>1904</v>
      </c>
      <c r="E1695" s="40">
        <v>10</v>
      </c>
      <c r="F1695" s="41">
        <f>$E1695*3600/(Input!$H$4*1000)</f>
        <v>1.2</v>
      </c>
      <c r="G1695" s="42" t="str">
        <f t="shared" si="26"/>
        <v>1697</v>
      </c>
    </row>
    <row r="1696" spans="2:7" s="38" customFormat="1" x14ac:dyDescent="0.2">
      <c r="B1696" s="39" t="s">
        <v>8876</v>
      </c>
      <c r="C1696" s="39" t="s">
        <v>1288</v>
      </c>
      <c r="D1696" s="39" t="s">
        <v>1544</v>
      </c>
      <c r="E1696" s="40">
        <v>10</v>
      </c>
      <c r="F1696" s="41">
        <f>$E1696*3600/(Input!$H$4*1000)</f>
        <v>1.2</v>
      </c>
      <c r="G1696" s="42" t="str">
        <f t="shared" si="26"/>
        <v>1698</v>
      </c>
    </row>
    <row r="1697" spans="2:7" s="38" customFormat="1" x14ac:dyDescent="0.2">
      <c r="B1697" s="39" t="s">
        <v>8877</v>
      </c>
      <c r="C1697" s="39" t="s">
        <v>967</v>
      </c>
      <c r="D1697" s="39" t="s">
        <v>581</v>
      </c>
      <c r="E1697" s="40">
        <v>10</v>
      </c>
      <c r="F1697" s="41">
        <f>$E1697*3600/(Input!$H$4*1000)</f>
        <v>1.2</v>
      </c>
      <c r="G1697" s="42" t="str">
        <f t="shared" si="26"/>
        <v>1699</v>
      </c>
    </row>
    <row r="1698" spans="2:7" s="38" customFormat="1" x14ac:dyDescent="0.2">
      <c r="B1698" s="39" t="s">
        <v>8878</v>
      </c>
      <c r="C1698" s="39" t="s">
        <v>967</v>
      </c>
      <c r="D1698" s="39" t="s">
        <v>1905</v>
      </c>
      <c r="E1698" s="40">
        <v>10</v>
      </c>
      <c r="F1698" s="41">
        <f>$E1698*3600/(Input!$H$4*1000)</f>
        <v>1.2</v>
      </c>
      <c r="G1698" s="42" t="str">
        <f t="shared" si="26"/>
        <v>1700</v>
      </c>
    </row>
    <row r="1699" spans="2:7" s="38" customFormat="1" x14ac:dyDescent="0.2">
      <c r="B1699" s="39" t="s">
        <v>8879</v>
      </c>
      <c r="C1699" s="39" t="s">
        <v>659</v>
      </c>
      <c r="D1699" s="39" t="s">
        <v>186</v>
      </c>
      <c r="E1699" s="40">
        <v>10</v>
      </c>
      <c r="F1699" s="41">
        <f>$E1699*3600/(Input!$H$4*1000)</f>
        <v>1.2</v>
      </c>
      <c r="G1699" s="42" t="str">
        <f t="shared" si="26"/>
        <v>1701</v>
      </c>
    </row>
    <row r="1700" spans="2:7" s="38" customFormat="1" x14ac:dyDescent="0.2">
      <c r="B1700" s="39" t="s">
        <v>8880</v>
      </c>
      <c r="C1700" s="39" t="s">
        <v>186</v>
      </c>
      <c r="D1700" s="39" t="s">
        <v>985</v>
      </c>
      <c r="E1700" s="40">
        <v>10</v>
      </c>
      <c r="F1700" s="41">
        <f>$E1700*3600/(Input!$H$4*1000)</f>
        <v>1.2</v>
      </c>
      <c r="G1700" s="42" t="str">
        <f t="shared" si="26"/>
        <v>1702</v>
      </c>
    </row>
    <row r="1701" spans="2:7" s="38" customFormat="1" x14ac:dyDescent="0.2">
      <c r="B1701" s="39" t="s">
        <v>8881</v>
      </c>
      <c r="C1701" s="39" t="s">
        <v>984</v>
      </c>
      <c r="D1701" s="39" t="s">
        <v>1503</v>
      </c>
      <c r="E1701" s="40">
        <v>10</v>
      </c>
      <c r="F1701" s="41">
        <f>$E1701*3600/(Input!$H$4*1000)</f>
        <v>1.2</v>
      </c>
      <c r="G1701" s="42" t="str">
        <f t="shared" si="26"/>
        <v>1703</v>
      </c>
    </row>
    <row r="1702" spans="2:7" s="38" customFormat="1" x14ac:dyDescent="0.2">
      <c r="B1702" s="39" t="s">
        <v>8882</v>
      </c>
      <c r="C1702" s="39" t="s">
        <v>1621</v>
      </c>
      <c r="D1702" s="39" t="s">
        <v>1258</v>
      </c>
      <c r="E1702" s="40">
        <v>10</v>
      </c>
      <c r="F1702" s="41">
        <f>$E1702*3600/(Input!$H$4*1000)</f>
        <v>1.2</v>
      </c>
      <c r="G1702" s="42" t="str">
        <f t="shared" si="26"/>
        <v>1704</v>
      </c>
    </row>
    <row r="1703" spans="2:7" s="38" customFormat="1" x14ac:dyDescent="0.2">
      <c r="B1703" s="39" t="s">
        <v>8883</v>
      </c>
      <c r="C1703" s="39" t="s">
        <v>1568</v>
      </c>
      <c r="D1703" s="39" t="s">
        <v>624</v>
      </c>
      <c r="E1703" s="40">
        <v>10</v>
      </c>
      <c r="F1703" s="41">
        <f>$E1703*3600/(Input!$H$4*1000)</f>
        <v>1.2</v>
      </c>
      <c r="G1703" s="42" t="str">
        <f t="shared" si="26"/>
        <v>1705</v>
      </c>
    </row>
    <row r="1704" spans="2:7" s="38" customFormat="1" x14ac:dyDescent="0.2">
      <c r="B1704" s="39" t="s">
        <v>8884</v>
      </c>
      <c r="C1704" s="39" t="s">
        <v>1906</v>
      </c>
      <c r="D1704" s="39" t="s">
        <v>972</v>
      </c>
      <c r="E1704" s="40">
        <v>10</v>
      </c>
      <c r="F1704" s="41">
        <f>$E1704*3600/(Input!$H$4*1000)</f>
        <v>1.2</v>
      </c>
      <c r="G1704" s="42" t="str">
        <f t="shared" si="26"/>
        <v>1706</v>
      </c>
    </row>
    <row r="1705" spans="2:7" s="38" customFormat="1" x14ac:dyDescent="0.2">
      <c r="B1705" s="39" t="s">
        <v>8885</v>
      </c>
      <c r="C1705" s="39" t="s">
        <v>615</v>
      </c>
      <c r="D1705" s="39" t="s">
        <v>205</v>
      </c>
      <c r="E1705" s="40">
        <v>10</v>
      </c>
      <c r="F1705" s="41">
        <f>$E1705*3600/(Input!$H$4*1000)</f>
        <v>1.2</v>
      </c>
      <c r="G1705" s="42" t="str">
        <f t="shared" si="26"/>
        <v>1707</v>
      </c>
    </row>
    <row r="1706" spans="2:7" s="38" customFormat="1" x14ac:dyDescent="0.2">
      <c r="B1706" s="39" t="s">
        <v>8886</v>
      </c>
      <c r="C1706" s="39" t="s">
        <v>205</v>
      </c>
      <c r="D1706" s="39" t="s">
        <v>110</v>
      </c>
      <c r="E1706" s="40">
        <v>10</v>
      </c>
      <c r="F1706" s="41">
        <f>$E1706*3600/(Input!$H$4*1000)</f>
        <v>1.2</v>
      </c>
      <c r="G1706" s="42" t="str">
        <f t="shared" si="26"/>
        <v>1708</v>
      </c>
    </row>
    <row r="1707" spans="2:7" s="38" customFormat="1" x14ac:dyDescent="0.2">
      <c r="B1707" s="39" t="s">
        <v>8887</v>
      </c>
      <c r="C1707" s="39" t="s">
        <v>1577</v>
      </c>
      <c r="D1707" s="39" t="s">
        <v>442</v>
      </c>
      <c r="E1707" s="40">
        <v>10</v>
      </c>
      <c r="F1707" s="41">
        <f>$E1707*3600/(Input!$H$4*1000)</f>
        <v>1.2</v>
      </c>
      <c r="G1707" s="42" t="str">
        <f t="shared" si="26"/>
        <v>1709</v>
      </c>
    </row>
    <row r="1708" spans="2:7" s="38" customFormat="1" x14ac:dyDescent="0.2">
      <c r="B1708" s="39" t="s">
        <v>8888</v>
      </c>
      <c r="C1708" s="39" t="s">
        <v>1272</v>
      </c>
      <c r="D1708" s="39" t="s">
        <v>1907</v>
      </c>
      <c r="E1708" s="40">
        <v>10</v>
      </c>
      <c r="F1708" s="41">
        <f>$E1708*3600/(Input!$H$4*1000)</f>
        <v>1.2</v>
      </c>
      <c r="G1708" s="42" t="str">
        <f t="shared" si="26"/>
        <v>1710</v>
      </c>
    </row>
    <row r="1709" spans="2:7" s="38" customFormat="1" x14ac:dyDescent="0.2">
      <c r="B1709" s="39" t="s">
        <v>8889</v>
      </c>
      <c r="C1709" s="39" t="s">
        <v>613</v>
      </c>
      <c r="D1709" s="39" t="s">
        <v>1444</v>
      </c>
      <c r="E1709" s="40">
        <v>10</v>
      </c>
      <c r="F1709" s="41">
        <f>$E1709*3600/(Input!$H$4*1000)</f>
        <v>1.2</v>
      </c>
      <c r="G1709" s="42" t="str">
        <f t="shared" si="26"/>
        <v>1711</v>
      </c>
    </row>
    <row r="1710" spans="2:7" s="46" customFormat="1" x14ac:dyDescent="0.2">
      <c r="B1710" s="39" t="s">
        <v>8890</v>
      </c>
      <c r="C1710" s="39" t="s">
        <v>313</v>
      </c>
      <c r="D1710" s="39" t="s">
        <v>1908</v>
      </c>
      <c r="E1710" s="40">
        <v>10</v>
      </c>
      <c r="F1710" s="41">
        <f>$E1710*3600/(Input!$H$4*1000)</f>
        <v>1.2</v>
      </c>
      <c r="G1710" s="42" t="str">
        <f t="shared" si="26"/>
        <v>1712</v>
      </c>
    </row>
    <row r="1711" spans="2:7" s="46" customFormat="1" x14ac:dyDescent="0.2">
      <c r="B1711" s="39" t="s">
        <v>8891</v>
      </c>
      <c r="C1711" s="39" t="s">
        <v>1909</v>
      </c>
      <c r="D1711" s="39" t="s">
        <v>891</v>
      </c>
      <c r="E1711" s="40">
        <v>10</v>
      </c>
      <c r="F1711" s="41">
        <f>$E1711*3600/(Input!$H$4*1000)</f>
        <v>1.2</v>
      </c>
      <c r="G1711" s="42" t="str">
        <f t="shared" si="26"/>
        <v>1713</v>
      </c>
    </row>
    <row r="1712" spans="2:7" s="38" customFormat="1" x14ac:dyDescent="0.2">
      <c r="B1712" s="39" t="s">
        <v>8892</v>
      </c>
      <c r="C1712" s="39" t="s">
        <v>224</v>
      </c>
      <c r="D1712" s="39" t="s">
        <v>1910</v>
      </c>
      <c r="E1712" s="40">
        <v>10</v>
      </c>
      <c r="F1712" s="41">
        <f>$E1712*3600/(Input!$H$4*1000)</f>
        <v>1.2</v>
      </c>
      <c r="G1712" s="42" t="str">
        <f t="shared" si="26"/>
        <v>1714</v>
      </c>
    </row>
    <row r="1713" spans="2:7" s="38" customFormat="1" x14ac:dyDescent="0.2">
      <c r="B1713" s="39" t="s">
        <v>8893</v>
      </c>
      <c r="C1713" s="39" t="s">
        <v>224</v>
      </c>
      <c r="D1713" s="39" t="s">
        <v>1565</v>
      </c>
      <c r="E1713" s="40">
        <v>10</v>
      </c>
      <c r="F1713" s="41">
        <f>$E1713*3600/(Input!$H$4*1000)</f>
        <v>1.2</v>
      </c>
      <c r="G1713" s="42" t="str">
        <f t="shared" si="26"/>
        <v>1715</v>
      </c>
    </row>
    <row r="1714" spans="2:7" s="38" customFormat="1" x14ac:dyDescent="0.2">
      <c r="B1714" s="39" t="s">
        <v>8894</v>
      </c>
      <c r="C1714" s="39" t="s">
        <v>595</v>
      </c>
      <c r="D1714" s="39" t="s">
        <v>1911</v>
      </c>
      <c r="E1714" s="40">
        <v>10</v>
      </c>
      <c r="F1714" s="41">
        <f>$E1714*3600/(Input!$H$4*1000)</f>
        <v>1.2</v>
      </c>
      <c r="G1714" s="42" t="str">
        <f t="shared" si="26"/>
        <v>1716</v>
      </c>
    </row>
    <row r="1715" spans="2:7" s="38" customFormat="1" x14ac:dyDescent="0.2">
      <c r="B1715" s="39" t="s">
        <v>8895</v>
      </c>
      <c r="C1715" s="39" t="s">
        <v>1911</v>
      </c>
      <c r="D1715" s="39" t="s">
        <v>759</v>
      </c>
      <c r="E1715" s="40">
        <v>10</v>
      </c>
      <c r="F1715" s="41">
        <f>$E1715*3600/(Input!$H$4*1000)</f>
        <v>1.2</v>
      </c>
      <c r="G1715" s="42" t="str">
        <f t="shared" si="26"/>
        <v>1717</v>
      </c>
    </row>
    <row r="1716" spans="2:7" s="38" customFormat="1" x14ac:dyDescent="0.2">
      <c r="B1716" s="39" t="s">
        <v>8896</v>
      </c>
      <c r="C1716" s="39" t="s">
        <v>101</v>
      </c>
      <c r="D1716" s="39" t="s">
        <v>1142</v>
      </c>
      <c r="E1716" s="40">
        <v>10</v>
      </c>
      <c r="F1716" s="41">
        <f>$E1716*3600/(Input!$H$4*1000)</f>
        <v>1.2</v>
      </c>
      <c r="G1716" s="42" t="str">
        <f t="shared" si="26"/>
        <v>1718</v>
      </c>
    </row>
    <row r="1717" spans="2:7" s="38" customFormat="1" x14ac:dyDescent="0.2">
      <c r="B1717" s="39" t="s">
        <v>8897</v>
      </c>
      <c r="C1717" s="39" t="s">
        <v>1142</v>
      </c>
      <c r="D1717" s="39" t="s">
        <v>495</v>
      </c>
      <c r="E1717" s="40">
        <v>10</v>
      </c>
      <c r="F1717" s="41">
        <f>$E1717*3600/(Input!$H$4*1000)</f>
        <v>1.2</v>
      </c>
      <c r="G1717" s="42" t="str">
        <f t="shared" si="26"/>
        <v>1719</v>
      </c>
    </row>
    <row r="1718" spans="2:7" s="38" customFormat="1" x14ac:dyDescent="0.2">
      <c r="B1718" s="39" t="s">
        <v>8898</v>
      </c>
      <c r="C1718" s="39" t="s">
        <v>1912</v>
      </c>
      <c r="D1718" s="39" t="s">
        <v>778</v>
      </c>
      <c r="E1718" s="40">
        <v>10</v>
      </c>
      <c r="F1718" s="41">
        <f>$E1718*3600/(Input!$H$4*1000)</f>
        <v>1.2</v>
      </c>
      <c r="G1718" s="42" t="str">
        <f t="shared" si="26"/>
        <v>1721</v>
      </c>
    </row>
    <row r="1719" spans="2:7" s="38" customFormat="1" x14ac:dyDescent="0.2">
      <c r="B1719" s="39" t="s">
        <v>8899</v>
      </c>
      <c r="C1719" s="39" t="s">
        <v>1457</v>
      </c>
      <c r="D1719" s="39" t="s">
        <v>1913</v>
      </c>
      <c r="E1719" s="40">
        <v>10</v>
      </c>
      <c r="F1719" s="41">
        <f>$E1719*3600/(Input!$H$4*1000)</f>
        <v>1.2</v>
      </c>
      <c r="G1719" s="42" t="str">
        <f t="shared" si="26"/>
        <v>1722</v>
      </c>
    </row>
    <row r="1720" spans="2:7" s="38" customFormat="1" x14ac:dyDescent="0.2">
      <c r="B1720" s="39" t="s">
        <v>8900</v>
      </c>
      <c r="C1720" s="39" t="s">
        <v>829</v>
      </c>
      <c r="D1720" s="39" t="s">
        <v>1914</v>
      </c>
      <c r="E1720" s="40">
        <v>10</v>
      </c>
      <c r="F1720" s="41">
        <f>$E1720*3600/(Input!$H$4*1000)</f>
        <v>1.2</v>
      </c>
      <c r="G1720" s="42" t="str">
        <f t="shared" si="26"/>
        <v>1723</v>
      </c>
    </row>
    <row r="1721" spans="2:7" s="38" customFormat="1" x14ac:dyDescent="0.2">
      <c r="B1721" s="39" t="s">
        <v>8901</v>
      </c>
      <c r="C1721" s="44" t="s">
        <v>1444</v>
      </c>
      <c r="D1721" s="44" t="s">
        <v>613</v>
      </c>
      <c r="E1721" s="45">
        <v>10</v>
      </c>
      <c r="F1721" s="41">
        <f>$E1721*3600/(Input!$H$4*1000)</f>
        <v>1.2</v>
      </c>
      <c r="G1721" s="42" t="str">
        <f t="shared" si="26"/>
        <v>1724</v>
      </c>
    </row>
    <row r="1722" spans="2:7" s="38" customFormat="1" x14ac:dyDescent="0.2">
      <c r="B1722" s="39" t="s">
        <v>8902</v>
      </c>
      <c r="C1722" s="44" t="s">
        <v>1639</v>
      </c>
      <c r="D1722" s="44" t="s">
        <v>596</v>
      </c>
      <c r="E1722" s="45">
        <v>10</v>
      </c>
      <c r="F1722" s="41">
        <f>$E1722*3600/(Input!$H$4*1000)</f>
        <v>1.2</v>
      </c>
      <c r="G1722" s="42" t="str">
        <f t="shared" si="26"/>
        <v>1725</v>
      </c>
    </row>
    <row r="1723" spans="2:7" s="38" customFormat="1" x14ac:dyDescent="0.2">
      <c r="B1723" s="39" t="s">
        <v>8903</v>
      </c>
      <c r="C1723" s="39" t="s">
        <v>215</v>
      </c>
      <c r="D1723" s="39" t="s">
        <v>1915</v>
      </c>
      <c r="E1723" s="40">
        <v>10</v>
      </c>
      <c r="F1723" s="41">
        <f>$E1723*3600/(Input!$H$4*1000)</f>
        <v>1.2</v>
      </c>
      <c r="G1723" s="42" t="str">
        <f t="shared" si="26"/>
        <v>1726</v>
      </c>
    </row>
    <row r="1724" spans="2:7" s="38" customFormat="1" x14ac:dyDescent="0.2">
      <c r="B1724" s="39" t="s">
        <v>8904</v>
      </c>
      <c r="C1724" s="39" t="s">
        <v>1584</v>
      </c>
      <c r="D1724" s="39" t="s">
        <v>481</v>
      </c>
      <c r="E1724" s="40">
        <v>10</v>
      </c>
      <c r="F1724" s="41">
        <f>$E1724*3600/(Input!$H$4*1000)</f>
        <v>1.2</v>
      </c>
      <c r="G1724" s="42" t="str">
        <f t="shared" si="26"/>
        <v>1727</v>
      </c>
    </row>
    <row r="1725" spans="2:7" s="38" customFormat="1" x14ac:dyDescent="0.2">
      <c r="B1725" s="39" t="s">
        <v>8905</v>
      </c>
      <c r="C1725" s="39" t="s">
        <v>1379</v>
      </c>
      <c r="D1725" s="39" t="s">
        <v>1336</v>
      </c>
      <c r="E1725" s="40">
        <v>10</v>
      </c>
      <c r="F1725" s="41">
        <f>$E1725*3600/(Input!$H$4*1000)</f>
        <v>1.2</v>
      </c>
      <c r="G1725" s="42" t="str">
        <f t="shared" si="26"/>
        <v>1728</v>
      </c>
    </row>
    <row r="1726" spans="2:7" s="38" customFormat="1" x14ac:dyDescent="0.2">
      <c r="B1726" s="39" t="s">
        <v>8906</v>
      </c>
      <c r="C1726" s="39" t="s">
        <v>1054</v>
      </c>
      <c r="D1726" s="39" t="s">
        <v>1916</v>
      </c>
      <c r="E1726" s="40">
        <v>10</v>
      </c>
      <c r="F1726" s="41">
        <f>$E1726*3600/(Input!$H$4*1000)</f>
        <v>1.2</v>
      </c>
      <c r="G1726" s="42" t="str">
        <f t="shared" si="26"/>
        <v>1729</v>
      </c>
    </row>
    <row r="1727" spans="2:7" s="38" customFormat="1" x14ac:dyDescent="0.2">
      <c r="B1727" s="39" t="s">
        <v>8907</v>
      </c>
      <c r="C1727" s="39" t="s">
        <v>1917</v>
      </c>
      <c r="D1727" s="39" t="s">
        <v>1020</v>
      </c>
      <c r="E1727" s="40">
        <v>10</v>
      </c>
      <c r="F1727" s="41">
        <f>$E1727*3600/(Input!$H$4*1000)</f>
        <v>1.2</v>
      </c>
      <c r="G1727" s="42" t="str">
        <f t="shared" si="26"/>
        <v>1730</v>
      </c>
    </row>
    <row r="1728" spans="2:7" s="38" customFormat="1" x14ac:dyDescent="0.2">
      <c r="B1728" s="39" t="s">
        <v>8908</v>
      </c>
      <c r="C1728" s="39" t="s">
        <v>405</v>
      </c>
      <c r="D1728" s="39" t="s">
        <v>1918</v>
      </c>
      <c r="E1728" s="40">
        <v>10</v>
      </c>
      <c r="F1728" s="41">
        <f>$E1728*3600/(Input!$H$4*1000)</f>
        <v>1.2</v>
      </c>
      <c r="G1728" s="42" t="str">
        <f t="shared" si="26"/>
        <v>1731</v>
      </c>
    </row>
    <row r="1729" spans="2:7" s="38" customFormat="1" x14ac:dyDescent="0.2">
      <c r="B1729" s="39" t="s">
        <v>8909</v>
      </c>
      <c r="C1729" s="39" t="s">
        <v>1919</v>
      </c>
      <c r="D1729" s="39" t="s">
        <v>961</v>
      </c>
      <c r="E1729" s="40">
        <v>10</v>
      </c>
      <c r="F1729" s="41">
        <f>$E1729*3600/(Input!$H$4*1000)</f>
        <v>1.2</v>
      </c>
      <c r="G1729" s="42" t="str">
        <f t="shared" si="26"/>
        <v>1732</v>
      </c>
    </row>
    <row r="1730" spans="2:7" s="38" customFormat="1" x14ac:dyDescent="0.2">
      <c r="B1730" s="39" t="s">
        <v>8910</v>
      </c>
      <c r="C1730" s="39" t="s">
        <v>1157</v>
      </c>
      <c r="D1730" s="39" t="s">
        <v>1719</v>
      </c>
      <c r="E1730" s="40">
        <v>10</v>
      </c>
      <c r="F1730" s="41">
        <f>$E1730*3600/(Input!$H$4*1000)</f>
        <v>1.2</v>
      </c>
      <c r="G1730" s="42" t="str">
        <f t="shared" ref="G1730:G1793" si="27">MID(B1730,7,LEN(B1730)-6)</f>
        <v>1733</v>
      </c>
    </row>
    <row r="1731" spans="2:7" s="38" customFormat="1" x14ac:dyDescent="0.2">
      <c r="B1731" s="39" t="s">
        <v>8911</v>
      </c>
      <c r="C1731" s="39" t="s">
        <v>1159</v>
      </c>
      <c r="D1731" s="39" t="s">
        <v>1672</v>
      </c>
      <c r="E1731" s="40">
        <v>10</v>
      </c>
      <c r="F1731" s="41">
        <f>$E1731*3600/(Input!$H$4*1000)</f>
        <v>1.2</v>
      </c>
      <c r="G1731" s="42" t="str">
        <f t="shared" si="27"/>
        <v>1734</v>
      </c>
    </row>
    <row r="1732" spans="2:7" s="38" customFormat="1" x14ac:dyDescent="0.2">
      <c r="B1732" s="39" t="s">
        <v>8912</v>
      </c>
      <c r="C1732" s="39" t="s">
        <v>104</v>
      </c>
      <c r="D1732" s="39" t="s">
        <v>1017</v>
      </c>
      <c r="E1732" s="40">
        <v>10</v>
      </c>
      <c r="F1732" s="41">
        <f>$E1732*3600/(Input!$H$4*1000)</f>
        <v>1.2</v>
      </c>
      <c r="G1732" s="42" t="str">
        <f t="shared" si="27"/>
        <v>1735</v>
      </c>
    </row>
    <row r="1733" spans="2:7" s="38" customFormat="1" x14ac:dyDescent="0.2">
      <c r="B1733" s="39" t="s">
        <v>8913</v>
      </c>
      <c r="C1733" s="39" t="s">
        <v>1920</v>
      </c>
      <c r="D1733" s="39" t="s">
        <v>1025</v>
      </c>
      <c r="E1733" s="40">
        <v>10</v>
      </c>
      <c r="F1733" s="41">
        <f>$E1733*3600/(Input!$H$4*1000)</f>
        <v>1.2</v>
      </c>
      <c r="G1733" s="42" t="str">
        <f t="shared" si="27"/>
        <v>1736</v>
      </c>
    </row>
    <row r="1734" spans="2:7" s="38" customFormat="1" x14ac:dyDescent="0.2">
      <c r="B1734" s="39" t="s">
        <v>8914</v>
      </c>
      <c r="C1734" s="39" t="s">
        <v>1921</v>
      </c>
      <c r="D1734" s="39" t="s">
        <v>1683</v>
      </c>
      <c r="E1734" s="40">
        <v>10</v>
      </c>
      <c r="F1734" s="41">
        <f>$E1734*3600/(Input!$H$4*1000)</f>
        <v>1.2</v>
      </c>
      <c r="G1734" s="42" t="str">
        <f t="shared" si="27"/>
        <v>1737</v>
      </c>
    </row>
    <row r="1735" spans="2:7" s="38" customFormat="1" x14ac:dyDescent="0.2">
      <c r="B1735" s="39" t="s">
        <v>8915</v>
      </c>
      <c r="C1735" s="39" t="s">
        <v>462</v>
      </c>
      <c r="D1735" s="39" t="s">
        <v>1922</v>
      </c>
      <c r="E1735" s="40">
        <v>10</v>
      </c>
      <c r="F1735" s="41">
        <f>$E1735*3600/(Input!$H$4*1000)</f>
        <v>1.2</v>
      </c>
      <c r="G1735" s="42" t="str">
        <f t="shared" si="27"/>
        <v>1738</v>
      </c>
    </row>
    <row r="1736" spans="2:7" s="38" customFormat="1" x14ac:dyDescent="0.2">
      <c r="B1736" s="39" t="s">
        <v>8916</v>
      </c>
      <c r="C1736" s="39" t="s">
        <v>1923</v>
      </c>
      <c r="D1736" s="39" t="s">
        <v>428</v>
      </c>
      <c r="E1736" s="40">
        <v>10</v>
      </c>
      <c r="F1736" s="41">
        <f>$E1736*3600/(Input!$H$4*1000)</f>
        <v>1.2</v>
      </c>
      <c r="G1736" s="42" t="str">
        <f t="shared" si="27"/>
        <v>1739</v>
      </c>
    </row>
    <row r="1737" spans="2:7" s="38" customFormat="1" x14ac:dyDescent="0.2">
      <c r="B1737" s="39" t="s">
        <v>8917</v>
      </c>
      <c r="C1737" s="39" t="s">
        <v>1674</v>
      </c>
      <c r="D1737" s="39" t="s">
        <v>443</v>
      </c>
      <c r="E1737" s="40">
        <v>10</v>
      </c>
      <c r="F1737" s="41">
        <f>$E1737*3600/(Input!$H$4*1000)</f>
        <v>1.2</v>
      </c>
      <c r="G1737" s="42" t="str">
        <f t="shared" si="27"/>
        <v>1740</v>
      </c>
    </row>
    <row r="1738" spans="2:7" s="38" customFormat="1" x14ac:dyDescent="0.2">
      <c r="B1738" s="39" t="s">
        <v>8918</v>
      </c>
      <c r="C1738" s="39" t="s">
        <v>251</v>
      </c>
      <c r="D1738" s="39" t="s">
        <v>1819</v>
      </c>
      <c r="E1738" s="40">
        <v>10</v>
      </c>
      <c r="F1738" s="41">
        <f>$E1738*3600/(Input!$H$4*1000)</f>
        <v>1.2</v>
      </c>
      <c r="G1738" s="42" t="str">
        <f t="shared" si="27"/>
        <v>1741</v>
      </c>
    </row>
    <row r="1739" spans="2:7" s="38" customFormat="1" x14ac:dyDescent="0.2">
      <c r="B1739" s="39" t="s">
        <v>8919</v>
      </c>
      <c r="C1739" s="39" t="s">
        <v>1669</v>
      </c>
      <c r="D1739" s="39" t="s">
        <v>614</v>
      </c>
      <c r="E1739" s="40">
        <v>10</v>
      </c>
      <c r="F1739" s="41">
        <f>$E1739*3600/(Input!$H$4*1000)</f>
        <v>1.2</v>
      </c>
      <c r="G1739" s="42" t="str">
        <f t="shared" si="27"/>
        <v>1742</v>
      </c>
    </row>
    <row r="1740" spans="2:7" s="38" customFormat="1" x14ac:dyDescent="0.2">
      <c r="B1740" s="39" t="s">
        <v>8920</v>
      </c>
      <c r="C1740" s="39" t="s">
        <v>614</v>
      </c>
      <c r="D1740" s="39" t="s">
        <v>1669</v>
      </c>
      <c r="E1740" s="40">
        <v>10</v>
      </c>
      <c r="F1740" s="41">
        <f>$E1740*3600/(Input!$H$4*1000)</f>
        <v>1.2</v>
      </c>
      <c r="G1740" s="42" t="str">
        <f t="shared" si="27"/>
        <v>1743</v>
      </c>
    </row>
    <row r="1741" spans="2:7" s="38" customFormat="1" x14ac:dyDescent="0.2">
      <c r="B1741" s="39" t="s">
        <v>8921</v>
      </c>
      <c r="C1741" s="39" t="s">
        <v>636</v>
      </c>
      <c r="D1741" s="39" t="s">
        <v>1300</v>
      </c>
      <c r="E1741" s="40">
        <v>10</v>
      </c>
      <c r="F1741" s="41">
        <f>$E1741*3600/(Input!$H$4*1000)</f>
        <v>1.2</v>
      </c>
      <c r="G1741" s="42" t="str">
        <f t="shared" si="27"/>
        <v>1744</v>
      </c>
    </row>
    <row r="1742" spans="2:7" s="38" customFormat="1" x14ac:dyDescent="0.2">
      <c r="B1742" s="39" t="s">
        <v>8922</v>
      </c>
      <c r="C1742" s="39" t="s">
        <v>1924</v>
      </c>
      <c r="D1742" s="39" t="s">
        <v>1301</v>
      </c>
      <c r="E1742" s="40">
        <v>10</v>
      </c>
      <c r="F1742" s="41">
        <f>$E1742*3600/(Input!$H$4*1000)</f>
        <v>1.2</v>
      </c>
      <c r="G1742" s="42" t="str">
        <f t="shared" si="27"/>
        <v>1745</v>
      </c>
    </row>
    <row r="1743" spans="2:7" s="38" customFormat="1" x14ac:dyDescent="0.2">
      <c r="B1743" s="39" t="s">
        <v>8923</v>
      </c>
      <c r="C1743" s="39" t="s">
        <v>1301</v>
      </c>
      <c r="D1743" s="39" t="s">
        <v>1925</v>
      </c>
      <c r="E1743" s="40">
        <v>10</v>
      </c>
      <c r="F1743" s="41">
        <f>$E1743*3600/(Input!$H$4*1000)</f>
        <v>1.2</v>
      </c>
      <c r="G1743" s="42" t="str">
        <f t="shared" si="27"/>
        <v>1746</v>
      </c>
    </row>
    <row r="1744" spans="2:7" s="38" customFormat="1" x14ac:dyDescent="0.2">
      <c r="B1744" s="39" t="s">
        <v>8924</v>
      </c>
      <c r="C1744" s="39" t="s">
        <v>788</v>
      </c>
      <c r="D1744" s="39" t="s">
        <v>789</v>
      </c>
      <c r="E1744" s="40">
        <v>10</v>
      </c>
      <c r="F1744" s="41">
        <f>$E1744*3600/(Input!$H$4*1000)</f>
        <v>1.2</v>
      </c>
      <c r="G1744" s="42" t="str">
        <f t="shared" si="27"/>
        <v>1747</v>
      </c>
    </row>
    <row r="1745" spans="2:7" s="38" customFormat="1" x14ac:dyDescent="0.2">
      <c r="B1745" s="39" t="s">
        <v>8925</v>
      </c>
      <c r="C1745" s="44" t="s">
        <v>580</v>
      </c>
      <c r="D1745" s="44" t="s">
        <v>84</v>
      </c>
      <c r="E1745" s="45">
        <v>10</v>
      </c>
      <c r="F1745" s="41">
        <f>$E1745*3600/(Input!$H$4*1000)</f>
        <v>1.2</v>
      </c>
      <c r="G1745" s="42" t="str">
        <f t="shared" si="27"/>
        <v>1748</v>
      </c>
    </row>
    <row r="1746" spans="2:7" s="46" customFormat="1" x14ac:dyDescent="0.2">
      <c r="B1746" s="39" t="s">
        <v>8926</v>
      </c>
      <c r="C1746" s="39" t="s">
        <v>1218</v>
      </c>
      <c r="D1746" s="39" t="s">
        <v>1926</v>
      </c>
      <c r="E1746" s="40">
        <v>10</v>
      </c>
      <c r="F1746" s="41">
        <f>$E1746*3600/(Input!$H$4*1000)</f>
        <v>1.2</v>
      </c>
      <c r="G1746" s="42" t="str">
        <f t="shared" si="27"/>
        <v>1749</v>
      </c>
    </row>
    <row r="1747" spans="2:7" s="38" customFormat="1" x14ac:dyDescent="0.2">
      <c r="B1747" s="39" t="s">
        <v>8927</v>
      </c>
      <c r="C1747" s="39" t="s">
        <v>1377</v>
      </c>
      <c r="D1747" s="39" t="s">
        <v>840</v>
      </c>
      <c r="E1747" s="40">
        <v>10</v>
      </c>
      <c r="F1747" s="41">
        <f>$E1747*3600/(Input!$H$4*1000)</f>
        <v>1.2</v>
      </c>
      <c r="G1747" s="42" t="str">
        <f t="shared" si="27"/>
        <v>1750</v>
      </c>
    </row>
    <row r="1748" spans="2:7" s="38" customFormat="1" x14ac:dyDescent="0.2">
      <c r="B1748" s="39" t="s">
        <v>8928</v>
      </c>
      <c r="C1748" s="39" t="s">
        <v>1169</v>
      </c>
      <c r="D1748" s="39" t="s">
        <v>208</v>
      </c>
      <c r="E1748" s="40">
        <v>10</v>
      </c>
      <c r="F1748" s="41">
        <f>$E1748*3600/(Input!$H$4*1000)</f>
        <v>1.2</v>
      </c>
      <c r="G1748" s="42" t="str">
        <f t="shared" si="27"/>
        <v>1751</v>
      </c>
    </row>
    <row r="1749" spans="2:7" s="38" customFormat="1" x14ac:dyDescent="0.2">
      <c r="B1749" s="39" t="s">
        <v>8929</v>
      </c>
      <c r="C1749" s="39" t="s">
        <v>668</v>
      </c>
      <c r="D1749" s="39" t="s">
        <v>658</v>
      </c>
      <c r="E1749" s="40">
        <v>10</v>
      </c>
      <c r="F1749" s="41">
        <f>$E1749*3600/(Input!$H$4*1000)</f>
        <v>1.2</v>
      </c>
      <c r="G1749" s="42" t="str">
        <f t="shared" si="27"/>
        <v>1752</v>
      </c>
    </row>
    <row r="1750" spans="2:7" s="38" customFormat="1" x14ac:dyDescent="0.2">
      <c r="B1750" s="39" t="s">
        <v>8930</v>
      </c>
      <c r="C1750" s="39" t="s">
        <v>1565</v>
      </c>
      <c r="D1750" s="39" t="s">
        <v>224</v>
      </c>
      <c r="E1750" s="40">
        <v>10</v>
      </c>
      <c r="F1750" s="41">
        <f>$E1750*3600/(Input!$H$4*1000)</f>
        <v>1.2</v>
      </c>
      <c r="G1750" s="42" t="str">
        <f t="shared" si="27"/>
        <v>1753</v>
      </c>
    </row>
    <row r="1751" spans="2:7" s="46" customFormat="1" x14ac:dyDescent="0.2">
      <c r="B1751" s="39" t="s">
        <v>8931</v>
      </c>
      <c r="C1751" s="39" t="s">
        <v>1719</v>
      </c>
      <c r="D1751" s="39" t="s">
        <v>1157</v>
      </c>
      <c r="E1751" s="40">
        <v>10</v>
      </c>
      <c r="F1751" s="41">
        <f>$E1751*3600/(Input!$H$4*1000)</f>
        <v>1.2</v>
      </c>
      <c r="G1751" s="42" t="str">
        <f t="shared" si="27"/>
        <v>1754</v>
      </c>
    </row>
    <row r="1752" spans="2:7" s="38" customFormat="1" x14ac:dyDescent="0.2">
      <c r="B1752" s="39" t="s">
        <v>8932</v>
      </c>
      <c r="C1752" s="39" t="s">
        <v>1355</v>
      </c>
      <c r="D1752" s="39" t="s">
        <v>7171</v>
      </c>
      <c r="E1752" s="40">
        <v>10</v>
      </c>
      <c r="F1752" s="41">
        <f>$E1752*3600/(Input!$H$4*1000)</f>
        <v>1.2</v>
      </c>
      <c r="G1752" s="42" t="str">
        <f t="shared" si="27"/>
        <v>1755</v>
      </c>
    </row>
    <row r="1753" spans="2:7" s="38" customFormat="1" x14ac:dyDescent="0.2">
      <c r="B1753" s="39" t="s">
        <v>8933</v>
      </c>
      <c r="C1753" s="39" t="s">
        <v>1653</v>
      </c>
      <c r="D1753" s="39" t="s">
        <v>1927</v>
      </c>
      <c r="E1753" s="40">
        <v>10</v>
      </c>
      <c r="F1753" s="41">
        <f>$E1753*3600/(Input!$H$4*1000)</f>
        <v>1.2</v>
      </c>
      <c r="G1753" s="42" t="str">
        <f t="shared" si="27"/>
        <v>1756</v>
      </c>
    </row>
    <row r="1754" spans="2:7" s="38" customFormat="1" x14ac:dyDescent="0.2">
      <c r="B1754" s="39" t="s">
        <v>8934</v>
      </c>
      <c r="C1754" s="39" t="s">
        <v>1928</v>
      </c>
      <c r="D1754" s="39" t="s">
        <v>1027</v>
      </c>
      <c r="E1754" s="40">
        <v>10</v>
      </c>
      <c r="F1754" s="41">
        <f>$E1754*3600/(Input!$H$4*1000)</f>
        <v>1.2</v>
      </c>
      <c r="G1754" s="42" t="str">
        <f t="shared" si="27"/>
        <v>1757</v>
      </c>
    </row>
    <row r="1755" spans="2:7" s="38" customFormat="1" x14ac:dyDescent="0.2">
      <c r="B1755" s="39" t="s">
        <v>8935</v>
      </c>
      <c r="C1755" s="44" t="s">
        <v>533</v>
      </c>
      <c r="D1755" s="44" t="s">
        <v>402</v>
      </c>
      <c r="E1755" s="45">
        <v>10</v>
      </c>
      <c r="F1755" s="41">
        <f>$E1755*3600/(Input!$H$4*1000)</f>
        <v>1.2</v>
      </c>
      <c r="G1755" s="42" t="str">
        <f t="shared" si="27"/>
        <v>1758</v>
      </c>
    </row>
    <row r="1756" spans="2:7" s="38" customFormat="1" x14ac:dyDescent="0.2">
      <c r="B1756" s="39" t="s">
        <v>8936</v>
      </c>
      <c r="C1756" s="39" t="s">
        <v>1929</v>
      </c>
      <c r="D1756" s="39" t="s">
        <v>292</v>
      </c>
      <c r="E1756" s="40">
        <v>10</v>
      </c>
      <c r="F1756" s="41">
        <f>$E1756*3600/(Input!$H$4*1000)</f>
        <v>1.2</v>
      </c>
      <c r="G1756" s="42" t="str">
        <f t="shared" si="27"/>
        <v>1759</v>
      </c>
    </row>
    <row r="1757" spans="2:7" s="38" customFormat="1" x14ac:dyDescent="0.2">
      <c r="B1757" s="39" t="s">
        <v>8937</v>
      </c>
      <c r="C1757" s="39" t="s">
        <v>1930</v>
      </c>
      <c r="D1757" s="39" t="s">
        <v>470</v>
      </c>
      <c r="E1757" s="40">
        <v>10</v>
      </c>
      <c r="F1757" s="41">
        <f>$E1757*3600/(Input!$H$4*1000)</f>
        <v>1.2</v>
      </c>
      <c r="G1757" s="42" t="str">
        <f t="shared" si="27"/>
        <v>1760</v>
      </c>
    </row>
    <row r="1758" spans="2:7" s="38" customFormat="1" x14ac:dyDescent="0.2">
      <c r="B1758" s="39" t="s">
        <v>8938</v>
      </c>
      <c r="C1758" s="39" t="s">
        <v>1931</v>
      </c>
      <c r="D1758" s="39" t="s">
        <v>1057</v>
      </c>
      <c r="E1758" s="40">
        <v>10</v>
      </c>
      <c r="F1758" s="41">
        <f>$E1758*3600/(Input!$H$4*1000)</f>
        <v>1.2</v>
      </c>
      <c r="G1758" s="42" t="str">
        <f t="shared" si="27"/>
        <v>1761</v>
      </c>
    </row>
    <row r="1759" spans="2:7" s="38" customFormat="1" x14ac:dyDescent="0.2">
      <c r="B1759" s="39" t="s">
        <v>8939</v>
      </c>
      <c r="C1759" s="39" t="s">
        <v>1649</v>
      </c>
      <c r="D1759" s="39" t="s">
        <v>720</v>
      </c>
      <c r="E1759" s="40">
        <v>10</v>
      </c>
      <c r="F1759" s="41">
        <f>$E1759*3600/(Input!$H$4*1000)</f>
        <v>1.2</v>
      </c>
      <c r="G1759" s="42" t="str">
        <f t="shared" si="27"/>
        <v>1762</v>
      </c>
    </row>
    <row r="1760" spans="2:7" s="38" customFormat="1" x14ac:dyDescent="0.2">
      <c r="B1760" s="39" t="s">
        <v>8940</v>
      </c>
      <c r="C1760" s="39" t="s">
        <v>1676</v>
      </c>
      <c r="D1760" s="39" t="s">
        <v>530</v>
      </c>
      <c r="E1760" s="40">
        <v>10</v>
      </c>
      <c r="F1760" s="41">
        <f>$E1760*3600/(Input!$H$4*1000)</f>
        <v>1.2</v>
      </c>
      <c r="G1760" s="42" t="str">
        <f t="shared" si="27"/>
        <v>1763</v>
      </c>
    </row>
    <row r="1761" spans="2:7" s="38" customFormat="1" x14ac:dyDescent="0.2">
      <c r="B1761" s="39" t="s">
        <v>8941</v>
      </c>
      <c r="C1761" s="39" t="s">
        <v>1260</v>
      </c>
      <c r="D1761" s="39" t="s">
        <v>1932</v>
      </c>
      <c r="E1761" s="40">
        <v>10</v>
      </c>
      <c r="F1761" s="41">
        <f>$E1761*3600/(Input!$H$4*1000)</f>
        <v>1.2</v>
      </c>
      <c r="G1761" s="42" t="str">
        <f t="shared" si="27"/>
        <v>1764</v>
      </c>
    </row>
    <row r="1762" spans="2:7" s="38" customFormat="1" x14ac:dyDescent="0.2">
      <c r="B1762" s="39" t="s">
        <v>8942</v>
      </c>
      <c r="C1762" s="39" t="s">
        <v>1260</v>
      </c>
      <c r="D1762" s="39" t="s">
        <v>1709</v>
      </c>
      <c r="E1762" s="40">
        <v>10</v>
      </c>
      <c r="F1762" s="41">
        <f>$E1762*3600/(Input!$H$4*1000)</f>
        <v>1.2</v>
      </c>
      <c r="G1762" s="42" t="str">
        <f t="shared" si="27"/>
        <v>1765</v>
      </c>
    </row>
    <row r="1763" spans="2:7" s="38" customFormat="1" x14ac:dyDescent="0.2">
      <c r="B1763" s="39" t="s">
        <v>8943</v>
      </c>
      <c r="C1763" s="39" t="s">
        <v>1823</v>
      </c>
      <c r="D1763" s="39" t="s">
        <v>626</v>
      </c>
      <c r="E1763" s="40">
        <v>10</v>
      </c>
      <c r="F1763" s="41">
        <f>$E1763*3600/(Input!$H$4*1000)</f>
        <v>1.2</v>
      </c>
      <c r="G1763" s="42" t="str">
        <f t="shared" si="27"/>
        <v>1766</v>
      </c>
    </row>
    <row r="1764" spans="2:7" s="38" customFormat="1" x14ac:dyDescent="0.2">
      <c r="B1764" s="39" t="s">
        <v>8944</v>
      </c>
      <c r="C1764" s="39" t="s">
        <v>626</v>
      </c>
      <c r="D1764" s="39" t="s">
        <v>1593</v>
      </c>
      <c r="E1764" s="40">
        <v>10</v>
      </c>
      <c r="F1764" s="41">
        <f>$E1764*3600/(Input!$H$4*1000)</f>
        <v>1.2</v>
      </c>
      <c r="G1764" s="42" t="str">
        <f t="shared" si="27"/>
        <v>1767</v>
      </c>
    </row>
    <row r="1765" spans="2:7" s="38" customFormat="1" x14ac:dyDescent="0.2">
      <c r="B1765" s="39" t="s">
        <v>8945</v>
      </c>
      <c r="C1765" s="39" t="s">
        <v>720</v>
      </c>
      <c r="D1765" s="39" t="s">
        <v>1649</v>
      </c>
      <c r="E1765" s="40">
        <v>10</v>
      </c>
      <c r="F1765" s="41">
        <f>$E1765*3600/(Input!$H$4*1000)</f>
        <v>1.2</v>
      </c>
      <c r="G1765" s="42" t="str">
        <f t="shared" si="27"/>
        <v>1768</v>
      </c>
    </row>
    <row r="1766" spans="2:7" s="38" customFormat="1" x14ac:dyDescent="0.2">
      <c r="B1766" s="39" t="s">
        <v>8946</v>
      </c>
      <c r="C1766" s="39" t="s">
        <v>1025</v>
      </c>
      <c r="D1766" s="39" t="s">
        <v>1920</v>
      </c>
      <c r="E1766" s="40">
        <v>10</v>
      </c>
      <c r="F1766" s="41">
        <f>$E1766*3600/(Input!$H$4*1000)</f>
        <v>1.2</v>
      </c>
      <c r="G1766" s="42" t="str">
        <f t="shared" si="27"/>
        <v>1769</v>
      </c>
    </row>
    <row r="1767" spans="2:7" s="38" customFormat="1" x14ac:dyDescent="0.2">
      <c r="B1767" s="39" t="s">
        <v>8947</v>
      </c>
      <c r="C1767" s="39" t="s">
        <v>1933</v>
      </c>
      <c r="D1767" s="39" t="s">
        <v>1641</v>
      </c>
      <c r="E1767" s="40">
        <v>10</v>
      </c>
      <c r="F1767" s="41">
        <f>$E1767*3600/(Input!$H$4*1000)</f>
        <v>1.2</v>
      </c>
      <c r="G1767" s="42" t="str">
        <f t="shared" si="27"/>
        <v>1770</v>
      </c>
    </row>
    <row r="1768" spans="2:7" s="38" customFormat="1" x14ac:dyDescent="0.2">
      <c r="B1768" s="39" t="s">
        <v>8948</v>
      </c>
      <c r="C1768" s="39" t="s">
        <v>401</v>
      </c>
      <c r="D1768" s="39" t="s">
        <v>1934</v>
      </c>
      <c r="E1768" s="40">
        <v>10</v>
      </c>
      <c r="F1768" s="41">
        <f>$E1768*3600/(Input!$H$4*1000)</f>
        <v>1.2</v>
      </c>
      <c r="G1768" s="42" t="str">
        <f t="shared" si="27"/>
        <v>1771</v>
      </c>
    </row>
    <row r="1769" spans="2:7" s="38" customFormat="1" x14ac:dyDescent="0.2">
      <c r="B1769" s="39" t="s">
        <v>8949</v>
      </c>
      <c r="C1769" s="39" t="s">
        <v>347</v>
      </c>
      <c r="D1769" s="39" t="s">
        <v>349</v>
      </c>
      <c r="E1769" s="40">
        <v>10</v>
      </c>
      <c r="F1769" s="41">
        <f>$E1769*3600/(Input!$H$4*1000)</f>
        <v>1.2</v>
      </c>
      <c r="G1769" s="42" t="str">
        <f t="shared" si="27"/>
        <v>1772</v>
      </c>
    </row>
    <row r="1770" spans="2:7" s="38" customFormat="1" x14ac:dyDescent="0.2">
      <c r="B1770" s="39" t="s">
        <v>8950</v>
      </c>
      <c r="C1770" s="39" t="s">
        <v>645</v>
      </c>
      <c r="D1770" s="39" t="s">
        <v>1302</v>
      </c>
      <c r="E1770" s="40">
        <v>10</v>
      </c>
      <c r="F1770" s="41">
        <f>$E1770*3600/(Input!$H$4*1000)</f>
        <v>1.2</v>
      </c>
      <c r="G1770" s="42" t="str">
        <f t="shared" si="27"/>
        <v>1773</v>
      </c>
    </row>
    <row r="1771" spans="2:7" s="38" customFormat="1" x14ac:dyDescent="0.2">
      <c r="B1771" s="39" t="s">
        <v>8951</v>
      </c>
      <c r="C1771" s="39" t="s">
        <v>1464</v>
      </c>
      <c r="D1771" s="39" t="s">
        <v>116</v>
      </c>
      <c r="E1771" s="40">
        <v>10</v>
      </c>
      <c r="F1771" s="41">
        <f>$E1771*3600/(Input!$H$4*1000)</f>
        <v>1.2</v>
      </c>
      <c r="G1771" s="42" t="str">
        <f t="shared" si="27"/>
        <v>1774</v>
      </c>
    </row>
    <row r="1772" spans="2:7" s="38" customFormat="1" x14ac:dyDescent="0.2">
      <c r="B1772" s="39" t="s">
        <v>8952</v>
      </c>
      <c r="C1772" s="39" t="s">
        <v>723</v>
      </c>
      <c r="D1772" s="39" t="s">
        <v>100</v>
      </c>
      <c r="E1772" s="40">
        <v>10</v>
      </c>
      <c r="F1772" s="41">
        <f>$E1772*3600/(Input!$H$4*1000)</f>
        <v>1.2</v>
      </c>
      <c r="G1772" s="42" t="str">
        <f t="shared" si="27"/>
        <v>1775</v>
      </c>
    </row>
    <row r="1773" spans="2:7" s="38" customFormat="1" x14ac:dyDescent="0.2">
      <c r="B1773" s="39" t="s">
        <v>8953</v>
      </c>
      <c r="C1773" s="39" t="s">
        <v>1419</v>
      </c>
      <c r="D1773" s="39" t="s">
        <v>1935</v>
      </c>
      <c r="E1773" s="40">
        <v>10</v>
      </c>
      <c r="F1773" s="41">
        <f>$E1773*3600/(Input!$H$4*1000)</f>
        <v>1.2</v>
      </c>
      <c r="G1773" s="42" t="str">
        <f t="shared" si="27"/>
        <v>1776</v>
      </c>
    </row>
    <row r="1774" spans="2:7" s="38" customFormat="1" x14ac:dyDescent="0.2">
      <c r="B1774" s="39" t="s">
        <v>8954</v>
      </c>
      <c r="C1774" s="39" t="s">
        <v>1251</v>
      </c>
      <c r="D1774" s="39" t="s">
        <v>93</v>
      </c>
      <c r="E1774" s="40">
        <v>10</v>
      </c>
      <c r="F1774" s="41">
        <f>$E1774*3600/(Input!$H$4*1000)</f>
        <v>1.2</v>
      </c>
      <c r="G1774" s="42" t="str">
        <f t="shared" si="27"/>
        <v>1777</v>
      </c>
    </row>
    <row r="1775" spans="2:7" s="38" customFormat="1" x14ac:dyDescent="0.2">
      <c r="B1775" s="39" t="s">
        <v>8955</v>
      </c>
      <c r="C1775" s="39" t="s">
        <v>68</v>
      </c>
      <c r="D1775" s="39" t="s">
        <v>1373</v>
      </c>
      <c r="E1775" s="40">
        <v>10</v>
      </c>
      <c r="F1775" s="41">
        <f>$E1775*3600/(Input!$H$4*1000)</f>
        <v>1.2</v>
      </c>
      <c r="G1775" s="42" t="str">
        <f t="shared" si="27"/>
        <v>1778</v>
      </c>
    </row>
    <row r="1776" spans="2:7" s="38" customFormat="1" x14ac:dyDescent="0.2">
      <c r="B1776" s="39" t="s">
        <v>8956</v>
      </c>
      <c r="C1776" s="39" t="s">
        <v>1936</v>
      </c>
      <c r="D1776" s="39" t="s">
        <v>607</v>
      </c>
      <c r="E1776" s="40">
        <v>10</v>
      </c>
      <c r="F1776" s="41">
        <f>$E1776*3600/(Input!$H$4*1000)</f>
        <v>1.2</v>
      </c>
      <c r="G1776" s="42" t="str">
        <f t="shared" si="27"/>
        <v>1779</v>
      </c>
    </row>
    <row r="1777" spans="2:7" s="38" customFormat="1" x14ac:dyDescent="0.2">
      <c r="B1777" s="39" t="s">
        <v>8957</v>
      </c>
      <c r="C1777" s="39" t="s">
        <v>1937</v>
      </c>
      <c r="D1777" s="39" t="s">
        <v>606</v>
      </c>
      <c r="E1777" s="40">
        <v>10</v>
      </c>
      <c r="F1777" s="41">
        <f>$E1777*3600/(Input!$H$4*1000)</f>
        <v>1.2</v>
      </c>
      <c r="G1777" s="42" t="str">
        <f t="shared" si="27"/>
        <v>1780</v>
      </c>
    </row>
    <row r="1778" spans="2:7" s="38" customFormat="1" x14ac:dyDescent="0.2">
      <c r="B1778" s="39" t="s">
        <v>8958</v>
      </c>
      <c r="C1778" s="39" t="s">
        <v>1342</v>
      </c>
      <c r="D1778" s="39" t="s">
        <v>1212</v>
      </c>
      <c r="E1778" s="40">
        <v>10</v>
      </c>
      <c r="F1778" s="41">
        <f>$E1778*3600/(Input!$H$4*1000)</f>
        <v>1.2</v>
      </c>
      <c r="G1778" s="42" t="str">
        <f t="shared" si="27"/>
        <v>1781</v>
      </c>
    </row>
    <row r="1779" spans="2:7" s="38" customFormat="1" x14ac:dyDescent="0.2">
      <c r="B1779" s="39" t="s">
        <v>8959</v>
      </c>
      <c r="C1779" s="39" t="s">
        <v>1938</v>
      </c>
      <c r="D1779" s="39" t="s">
        <v>630</v>
      </c>
      <c r="E1779" s="40">
        <v>10</v>
      </c>
      <c r="F1779" s="41">
        <f>$E1779*3600/(Input!$H$4*1000)</f>
        <v>1.2</v>
      </c>
      <c r="G1779" s="42" t="str">
        <f t="shared" si="27"/>
        <v>1782</v>
      </c>
    </row>
    <row r="1780" spans="2:7" s="38" customFormat="1" x14ac:dyDescent="0.2">
      <c r="B1780" s="39" t="s">
        <v>8960</v>
      </c>
      <c r="C1780" s="39" t="s">
        <v>1939</v>
      </c>
      <c r="D1780" s="39" t="s">
        <v>362</v>
      </c>
      <c r="E1780" s="40">
        <v>10</v>
      </c>
      <c r="F1780" s="41">
        <f>$E1780*3600/(Input!$H$4*1000)</f>
        <v>1.2</v>
      </c>
      <c r="G1780" s="42" t="str">
        <f t="shared" si="27"/>
        <v>1783</v>
      </c>
    </row>
    <row r="1781" spans="2:7" s="38" customFormat="1" x14ac:dyDescent="0.2">
      <c r="B1781" s="39" t="s">
        <v>8961</v>
      </c>
      <c r="C1781" s="39" t="s">
        <v>642</v>
      </c>
      <c r="D1781" s="39" t="s">
        <v>90</v>
      </c>
      <c r="E1781" s="40">
        <v>10</v>
      </c>
      <c r="F1781" s="41">
        <f>$E1781*3600/(Input!$H$4*1000)</f>
        <v>1.2</v>
      </c>
      <c r="G1781" s="42" t="str">
        <f t="shared" si="27"/>
        <v>1784</v>
      </c>
    </row>
    <row r="1782" spans="2:7" s="38" customFormat="1" x14ac:dyDescent="0.2">
      <c r="B1782" s="39" t="s">
        <v>8962</v>
      </c>
      <c r="C1782" s="39" t="s">
        <v>1426</v>
      </c>
      <c r="D1782" s="39" t="s">
        <v>643</v>
      </c>
      <c r="E1782" s="40">
        <v>10</v>
      </c>
      <c r="F1782" s="41">
        <f>$E1782*3600/(Input!$H$4*1000)</f>
        <v>1.2</v>
      </c>
      <c r="G1782" s="42" t="str">
        <f t="shared" si="27"/>
        <v>1785</v>
      </c>
    </row>
    <row r="1783" spans="2:7" s="38" customFormat="1" x14ac:dyDescent="0.2">
      <c r="B1783" s="39" t="s">
        <v>8963</v>
      </c>
      <c r="C1783" s="39" t="s">
        <v>1413</v>
      </c>
      <c r="D1783" s="39" t="s">
        <v>1940</v>
      </c>
      <c r="E1783" s="40">
        <v>10</v>
      </c>
      <c r="F1783" s="41">
        <f>$E1783*3600/(Input!$H$4*1000)</f>
        <v>1.2</v>
      </c>
      <c r="G1783" s="42" t="str">
        <f t="shared" si="27"/>
        <v>1786</v>
      </c>
    </row>
    <row r="1784" spans="2:7" s="38" customFormat="1" x14ac:dyDescent="0.2">
      <c r="B1784" s="39" t="s">
        <v>8964</v>
      </c>
      <c r="C1784" s="39" t="s">
        <v>1941</v>
      </c>
      <c r="D1784" s="39" t="s">
        <v>71</v>
      </c>
      <c r="E1784" s="40">
        <v>10</v>
      </c>
      <c r="F1784" s="41">
        <f>$E1784*3600/(Input!$H$4*1000)</f>
        <v>1.2</v>
      </c>
      <c r="G1784" s="42" t="str">
        <f t="shared" si="27"/>
        <v>1787</v>
      </c>
    </row>
    <row r="1785" spans="2:7" s="38" customFormat="1" x14ac:dyDescent="0.2">
      <c r="B1785" s="39" t="s">
        <v>8965</v>
      </c>
      <c r="C1785" s="39" t="s">
        <v>490</v>
      </c>
      <c r="D1785" s="39" t="s">
        <v>896</v>
      </c>
      <c r="E1785" s="40">
        <v>10</v>
      </c>
      <c r="F1785" s="41">
        <f>$E1785*3600/(Input!$H$4*1000)</f>
        <v>1.2</v>
      </c>
      <c r="G1785" s="42" t="str">
        <f t="shared" si="27"/>
        <v>1788</v>
      </c>
    </row>
    <row r="1786" spans="2:7" s="38" customFormat="1" x14ac:dyDescent="0.2">
      <c r="B1786" s="39" t="s">
        <v>8966</v>
      </c>
      <c r="C1786" s="39" t="s">
        <v>89</v>
      </c>
      <c r="D1786" s="39" t="s">
        <v>899</v>
      </c>
      <c r="E1786" s="40">
        <v>10</v>
      </c>
      <c r="F1786" s="41">
        <f>$E1786*3600/(Input!$H$4*1000)</f>
        <v>1.2</v>
      </c>
      <c r="G1786" s="42" t="str">
        <f t="shared" si="27"/>
        <v>1789</v>
      </c>
    </row>
    <row r="1787" spans="2:7" s="38" customFormat="1" x14ac:dyDescent="0.2">
      <c r="B1787" s="39" t="s">
        <v>8967</v>
      </c>
      <c r="C1787" s="39" t="s">
        <v>1942</v>
      </c>
      <c r="D1787" s="39" t="s">
        <v>599</v>
      </c>
      <c r="E1787" s="40">
        <v>10</v>
      </c>
      <c r="F1787" s="41">
        <f>$E1787*3600/(Input!$H$4*1000)</f>
        <v>1.2</v>
      </c>
      <c r="G1787" s="42" t="str">
        <f t="shared" si="27"/>
        <v>1790</v>
      </c>
    </row>
    <row r="1788" spans="2:7" s="38" customFormat="1" x14ac:dyDescent="0.2">
      <c r="B1788" s="39" t="s">
        <v>8968</v>
      </c>
      <c r="C1788" s="39" t="s">
        <v>612</v>
      </c>
      <c r="D1788" s="39" t="s">
        <v>1468</v>
      </c>
      <c r="E1788" s="40">
        <v>10</v>
      </c>
      <c r="F1788" s="41">
        <f>$E1788*3600/(Input!$H$4*1000)</f>
        <v>1.2</v>
      </c>
      <c r="G1788" s="42" t="str">
        <f t="shared" si="27"/>
        <v>1791</v>
      </c>
    </row>
    <row r="1789" spans="2:7" s="38" customFormat="1" x14ac:dyDescent="0.2">
      <c r="B1789" s="39" t="s">
        <v>8969</v>
      </c>
      <c r="C1789" s="39" t="s">
        <v>1943</v>
      </c>
      <c r="D1789" s="39" t="s">
        <v>1469</v>
      </c>
      <c r="E1789" s="40">
        <v>10</v>
      </c>
      <c r="F1789" s="41">
        <f>$E1789*3600/(Input!$H$4*1000)</f>
        <v>1.2</v>
      </c>
      <c r="G1789" s="42" t="str">
        <f t="shared" si="27"/>
        <v>1792</v>
      </c>
    </row>
    <row r="1790" spans="2:7" s="38" customFormat="1" x14ac:dyDescent="0.2">
      <c r="B1790" s="39" t="s">
        <v>8970</v>
      </c>
      <c r="C1790" s="39" t="s">
        <v>871</v>
      </c>
      <c r="D1790" s="39" t="s">
        <v>802</v>
      </c>
      <c r="E1790" s="40">
        <v>10</v>
      </c>
      <c r="F1790" s="41">
        <f>$E1790*3600/(Input!$H$4*1000)</f>
        <v>1.2</v>
      </c>
      <c r="G1790" s="42" t="str">
        <f t="shared" si="27"/>
        <v>1793</v>
      </c>
    </row>
    <row r="1791" spans="2:7" s="38" customFormat="1" x14ac:dyDescent="0.2">
      <c r="B1791" s="39" t="s">
        <v>8971</v>
      </c>
      <c r="C1791" s="39" t="s">
        <v>1367</v>
      </c>
      <c r="D1791" s="39" t="s">
        <v>634</v>
      </c>
      <c r="E1791" s="40">
        <v>10</v>
      </c>
      <c r="F1791" s="41">
        <f>$E1791*3600/(Input!$H$4*1000)</f>
        <v>1.2</v>
      </c>
      <c r="G1791" s="42" t="str">
        <f t="shared" si="27"/>
        <v>1794</v>
      </c>
    </row>
    <row r="1792" spans="2:7" s="38" customFormat="1" x14ac:dyDescent="0.2">
      <c r="B1792" s="39" t="s">
        <v>8972</v>
      </c>
      <c r="C1792" s="39" t="s">
        <v>813</v>
      </c>
      <c r="D1792" s="39" t="s">
        <v>1944</v>
      </c>
      <c r="E1792" s="40">
        <v>10</v>
      </c>
      <c r="F1792" s="41">
        <f>$E1792*3600/(Input!$H$4*1000)</f>
        <v>1.2</v>
      </c>
      <c r="G1792" s="42" t="str">
        <f t="shared" si="27"/>
        <v>1795</v>
      </c>
    </row>
    <row r="1793" spans="2:7" s="38" customFormat="1" x14ac:dyDescent="0.2">
      <c r="B1793" s="39" t="s">
        <v>8973</v>
      </c>
      <c r="C1793" s="39" t="s">
        <v>1306</v>
      </c>
      <c r="D1793" s="39" t="s">
        <v>1368</v>
      </c>
      <c r="E1793" s="40">
        <v>10</v>
      </c>
      <c r="F1793" s="41">
        <f>$E1793*3600/(Input!$H$4*1000)</f>
        <v>1.2</v>
      </c>
      <c r="G1793" s="42" t="str">
        <f t="shared" si="27"/>
        <v>1796</v>
      </c>
    </row>
    <row r="1794" spans="2:7" s="38" customFormat="1" x14ac:dyDescent="0.2">
      <c r="B1794" s="39" t="s">
        <v>8974</v>
      </c>
      <c r="C1794" s="39" t="s">
        <v>632</v>
      </c>
      <c r="D1794" s="39" t="s">
        <v>1363</v>
      </c>
      <c r="E1794" s="40">
        <v>10</v>
      </c>
      <c r="F1794" s="41">
        <f>$E1794*3600/(Input!$H$4*1000)</f>
        <v>1.2</v>
      </c>
      <c r="G1794" s="42" t="str">
        <f t="shared" ref="G1794:G1819" si="28">MID(B1794,7,LEN(B1794)-6)</f>
        <v>1797</v>
      </c>
    </row>
    <row r="1795" spans="2:7" s="38" customFormat="1" x14ac:dyDescent="0.2">
      <c r="B1795" s="39" t="s">
        <v>8975</v>
      </c>
      <c r="C1795" s="39" t="s">
        <v>1294</v>
      </c>
      <c r="D1795" s="39" t="s">
        <v>1307</v>
      </c>
      <c r="E1795" s="40">
        <v>10</v>
      </c>
      <c r="F1795" s="41">
        <f>$E1795*3600/(Input!$H$4*1000)</f>
        <v>1.2</v>
      </c>
      <c r="G1795" s="42" t="str">
        <f t="shared" si="28"/>
        <v>1798</v>
      </c>
    </row>
    <row r="1796" spans="2:7" s="38" customFormat="1" x14ac:dyDescent="0.2">
      <c r="B1796" s="39" t="s">
        <v>8976</v>
      </c>
      <c r="C1796" s="39" t="s">
        <v>1319</v>
      </c>
      <c r="D1796" s="39" t="s">
        <v>732</v>
      </c>
      <c r="E1796" s="40">
        <v>10</v>
      </c>
      <c r="F1796" s="41">
        <f>$E1796*3600/(Input!$H$4*1000)</f>
        <v>1.2</v>
      </c>
      <c r="G1796" s="42" t="str">
        <f t="shared" si="28"/>
        <v>1799</v>
      </c>
    </row>
    <row r="1797" spans="2:7" s="38" customFormat="1" x14ac:dyDescent="0.2">
      <c r="B1797" s="39" t="s">
        <v>8977</v>
      </c>
      <c r="C1797" s="39" t="s">
        <v>784</v>
      </c>
      <c r="D1797" s="39" t="s">
        <v>816</v>
      </c>
      <c r="E1797" s="40">
        <v>10</v>
      </c>
      <c r="F1797" s="41">
        <f>$E1797*3600/(Input!$H$4*1000)</f>
        <v>1.2</v>
      </c>
      <c r="G1797" s="42" t="str">
        <f t="shared" si="28"/>
        <v>1800</v>
      </c>
    </row>
    <row r="1798" spans="2:7" s="38" customFormat="1" x14ac:dyDescent="0.2">
      <c r="B1798" s="39" t="s">
        <v>8978</v>
      </c>
      <c r="C1798" s="39" t="s">
        <v>816</v>
      </c>
      <c r="D1798" s="39" t="s">
        <v>675</v>
      </c>
      <c r="E1798" s="40">
        <v>10</v>
      </c>
      <c r="F1798" s="41">
        <f>$E1798*3600/(Input!$H$4*1000)</f>
        <v>1.2</v>
      </c>
      <c r="G1798" s="42" t="str">
        <f t="shared" si="28"/>
        <v>1801</v>
      </c>
    </row>
    <row r="1799" spans="2:7" s="38" customFormat="1" x14ac:dyDescent="0.2">
      <c r="B1799" s="39" t="s">
        <v>8979</v>
      </c>
      <c r="C1799" s="39" t="s">
        <v>675</v>
      </c>
      <c r="D1799" s="39" t="s">
        <v>817</v>
      </c>
      <c r="E1799" s="40">
        <v>10</v>
      </c>
      <c r="F1799" s="41">
        <f>$E1799*3600/(Input!$H$4*1000)</f>
        <v>1.2</v>
      </c>
      <c r="G1799" s="42" t="str">
        <f t="shared" si="28"/>
        <v>1802</v>
      </c>
    </row>
    <row r="1800" spans="2:7" s="38" customFormat="1" x14ac:dyDescent="0.2">
      <c r="B1800" s="39" t="s">
        <v>8980</v>
      </c>
      <c r="C1800" s="39" t="s">
        <v>208</v>
      </c>
      <c r="D1800" s="39" t="s">
        <v>1169</v>
      </c>
      <c r="E1800" s="40">
        <v>10</v>
      </c>
      <c r="F1800" s="41">
        <f>$E1800*3600/(Input!$H$4*1000)</f>
        <v>1.2</v>
      </c>
      <c r="G1800" s="42" t="str">
        <f t="shared" si="28"/>
        <v>1803</v>
      </c>
    </row>
    <row r="1801" spans="2:7" s="38" customFormat="1" x14ac:dyDescent="0.2">
      <c r="B1801" s="39" t="s">
        <v>8981</v>
      </c>
      <c r="C1801" s="39" t="s">
        <v>605</v>
      </c>
      <c r="D1801" s="39" t="s">
        <v>1203</v>
      </c>
      <c r="E1801" s="40">
        <v>10</v>
      </c>
      <c r="F1801" s="41">
        <f>$E1801*3600/(Input!$H$4*1000)</f>
        <v>1.2</v>
      </c>
      <c r="G1801" s="42" t="str">
        <f t="shared" si="28"/>
        <v>1804</v>
      </c>
    </row>
    <row r="1802" spans="2:7" s="38" customFormat="1" x14ac:dyDescent="0.2">
      <c r="B1802" s="39" t="s">
        <v>8982</v>
      </c>
      <c r="C1802" s="39" t="s">
        <v>1203</v>
      </c>
      <c r="D1802" s="39" t="s">
        <v>741</v>
      </c>
      <c r="E1802" s="40">
        <v>10</v>
      </c>
      <c r="F1802" s="41">
        <f>$E1802*3600/(Input!$H$4*1000)</f>
        <v>1.2</v>
      </c>
      <c r="G1802" s="42" t="str">
        <f t="shared" si="28"/>
        <v>1805</v>
      </c>
    </row>
    <row r="1803" spans="2:7" s="38" customFormat="1" x14ac:dyDescent="0.2">
      <c r="B1803" s="39" t="s">
        <v>8983</v>
      </c>
      <c r="C1803" s="39" t="s">
        <v>1206</v>
      </c>
      <c r="D1803" s="39" t="s">
        <v>474</v>
      </c>
      <c r="E1803" s="40">
        <v>10</v>
      </c>
      <c r="F1803" s="41">
        <f>$E1803*3600/(Input!$H$4*1000)</f>
        <v>1.2</v>
      </c>
      <c r="G1803" s="42" t="str">
        <f t="shared" si="28"/>
        <v>1806</v>
      </c>
    </row>
    <row r="1804" spans="2:7" s="38" customFormat="1" x14ac:dyDescent="0.2">
      <c r="B1804" s="39" t="s">
        <v>8984</v>
      </c>
      <c r="C1804" s="39" t="s">
        <v>962</v>
      </c>
      <c r="D1804" s="39" t="s">
        <v>1945</v>
      </c>
      <c r="E1804" s="40">
        <v>10</v>
      </c>
      <c r="F1804" s="41">
        <f>$E1804*3600/(Input!$H$4*1000)</f>
        <v>1.2</v>
      </c>
      <c r="G1804" s="42" t="str">
        <f t="shared" si="28"/>
        <v>1807</v>
      </c>
    </row>
    <row r="1805" spans="2:7" s="38" customFormat="1" x14ac:dyDescent="0.2">
      <c r="B1805" s="39" t="s">
        <v>8985</v>
      </c>
      <c r="C1805" s="39" t="s">
        <v>1593</v>
      </c>
      <c r="D1805" s="39" t="s">
        <v>1823</v>
      </c>
      <c r="E1805" s="40">
        <v>10</v>
      </c>
      <c r="F1805" s="41">
        <f>$E1805*3600/(Input!$H$4*1000)</f>
        <v>1.2</v>
      </c>
      <c r="G1805" s="42" t="str">
        <f t="shared" si="28"/>
        <v>1808</v>
      </c>
    </row>
    <row r="1806" spans="2:7" s="38" customFormat="1" x14ac:dyDescent="0.2">
      <c r="B1806" s="39" t="s">
        <v>8986</v>
      </c>
      <c r="C1806" s="44" t="s">
        <v>920</v>
      </c>
      <c r="D1806" s="44" t="s">
        <v>733</v>
      </c>
      <c r="E1806" s="45">
        <v>10</v>
      </c>
      <c r="F1806" s="41">
        <f>$E1806*3600/(Input!$H$4*1000)</f>
        <v>1.2</v>
      </c>
      <c r="G1806" s="42" t="str">
        <f t="shared" si="28"/>
        <v>1809</v>
      </c>
    </row>
    <row r="1807" spans="2:7" s="38" customFormat="1" x14ac:dyDescent="0.2">
      <c r="B1807" s="39" t="s">
        <v>8987</v>
      </c>
      <c r="C1807" s="44" t="s">
        <v>1373</v>
      </c>
      <c r="D1807" s="44" t="s">
        <v>68</v>
      </c>
      <c r="E1807" s="45">
        <v>10</v>
      </c>
      <c r="F1807" s="41">
        <f>$E1807*3600/(Input!$H$4*1000)</f>
        <v>1.2</v>
      </c>
      <c r="G1807" s="42" t="str">
        <f t="shared" si="28"/>
        <v>1812</v>
      </c>
    </row>
    <row r="1808" spans="2:7" s="38" customFormat="1" x14ac:dyDescent="0.2">
      <c r="B1808" s="39" t="s">
        <v>8988</v>
      </c>
      <c r="C1808" s="44" t="s">
        <v>1480</v>
      </c>
      <c r="D1808" s="44" t="s">
        <v>71</v>
      </c>
      <c r="E1808" s="45">
        <v>10</v>
      </c>
      <c r="F1808" s="41">
        <f>$E1808*3600/(Input!$H$4*1000)</f>
        <v>1.2</v>
      </c>
      <c r="G1808" s="42" t="str">
        <f t="shared" si="28"/>
        <v>1813</v>
      </c>
    </row>
    <row r="1809" spans="2:7" s="38" customFormat="1" x14ac:dyDescent="0.2">
      <c r="B1809" s="39" t="s">
        <v>8989</v>
      </c>
      <c r="C1809" s="44" t="s">
        <v>634</v>
      </c>
      <c r="D1809" s="44" t="s">
        <v>1367</v>
      </c>
      <c r="E1809" s="45">
        <v>10</v>
      </c>
      <c r="F1809" s="41">
        <f>$E1809*3600/(Input!$H$4*1000)</f>
        <v>1.2</v>
      </c>
      <c r="G1809" s="42" t="str">
        <f t="shared" si="28"/>
        <v>1814</v>
      </c>
    </row>
    <row r="1810" spans="2:7" s="46" customFormat="1" x14ac:dyDescent="0.2">
      <c r="B1810" s="39" t="s">
        <v>8990</v>
      </c>
      <c r="C1810" s="39" t="s">
        <v>688</v>
      </c>
      <c r="D1810" s="39" t="s">
        <v>1338</v>
      </c>
      <c r="E1810" s="40">
        <v>10</v>
      </c>
      <c r="F1810" s="41">
        <f>$E1810*3600/(Input!$H$4*1000)</f>
        <v>1.2</v>
      </c>
      <c r="G1810" s="42" t="str">
        <f t="shared" si="28"/>
        <v>1816</v>
      </c>
    </row>
    <row r="1811" spans="2:7" s="38" customFormat="1" x14ac:dyDescent="0.2">
      <c r="B1811" s="39" t="s">
        <v>8991</v>
      </c>
      <c r="C1811" s="39" t="s">
        <v>559</v>
      </c>
      <c r="D1811" s="39" t="s">
        <v>1946</v>
      </c>
      <c r="E1811" s="40">
        <v>10</v>
      </c>
      <c r="F1811" s="41">
        <f>$E1811*3600/(Input!$H$4*1000)</f>
        <v>1.2</v>
      </c>
      <c r="G1811" s="42" t="str">
        <f t="shared" si="28"/>
        <v>1817</v>
      </c>
    </row>
    <row r="1812" spans="2:7" s="38" customFormat="1" x14ac:dyDescent="0.2">
      <c r="B1812" s="39" t="s">
        <v>8992</v>
      </c>
      <c r="C1812" s="39" t="s">
        <v>1947</v>
      </c>
      <c r="D1812" s="39" t="s">
        <v>216</v>
      </c>
      <c r="E1812" s="40">
        <v>10</v>
      </c>
      <c r="F1812" s="41">
        <f>$E1812*3600/(Input!$H$4*1000)</f>
        <v>1.2</v>
      </c>
      <c r="G1812" s="42" t="str">
        <f t="shared" si="28"/>
        <v>1818</v>
      </c>
    </row>
    <row r="1813" spans="2:7" s="38" customFormat="1" x14ac:dyDescent="0.2">
      <c r="B1813" s="39" t="s">
        <v>8993</v>
      </c>
      <c r="C1813" s="39" t="s">
        <v>625</v>
      </c>
      <c r="D1813" s="39" t="s">
        <v>932</v>
      </c>
      <c r="E1813" s="40">
        <v>10</v>
      </c>
      <c r="F1813" s="41">
        <f>$E1813*3600/(Input!$H$4*1000)</f>
        <v>1.2</v>
      </c>
      <c r="G1813" s="42" t="str">
        <f t="shared" si="28"/>
        <v>1819</v>
      </c>
    </row>
    <row r="1814" spans="2:7" s="38" customFormat="1" x14ac:dyDescent="0.2">
      <c r="B1814" s="39" t="s">
        <v>8994</v>
      </c>
      <c r="C1814" s="39" t="s">
        <v>913</v>
      </c>
      <c r="D1814" s="39" t="s">
        <v>796</v>
      </c>
      <c r="E1814" s="40">
        <v>10</v>
      </c>
      <c r="F1814" s="41">
        <f>$E1814*3600/(Input!$H$4*1000)</f>
        <v>1.2</v>
      </c>
      <c r="G1814" s="42" t="str">
        <f t="shared" si="28"/>
        <v>1820</v>
      </c>
    </row>
    <row r="1815" spans="2:7" s="38" customFormat="1" x14ac:dyDescent="0.2">
      <c r="B1815" s="39" t="s">
        <v>8995</v>
      </c>
      <c r="C1815" s="39" t="s">
        <v>277</v>
      </c>
      <c r="D1815" s="39" t="s">
        <v>1573</v>
      </c>
      <c r="E1815" s="40">
        <v>10</v>
      </c>
      <c r="F1815" s="41">
        <f>$E1815*3600/(Input!$H$4*1000)</f>
        <v>1.2</v>
      </c>
      <c r="G1815" s="46" t="str">
        <f t="shared" si="28"/>
        <v>1821</v>
      </c>
    </row>
    <row r="1816" spans="2:7" s="38" customFormat="1" x14ac:dyDescent="0.2">
      <c r="B1816" s="39" t="s">
        <v>8996</v>
      </c>
      <c r="C1816" s="39" t="s">
        <v>796</v>
      </c>
      <c r="D1816" s="39" t="s">
        <v>913</v>
      </c>
      <c r="E1816" s="40">
        <v>10</v>
      </c>
      <c r="F1816" s="41">
        <f>$E1816*3600/(Input!$H$4*1000)</f>
        <v>1.2</v>
      </c>
      <c r="G1816" s="46" t="str">
        <f t="shared" si="28"/>
        <v>1822</v>
      </c>
    </row>
    <row r="1817" spans="2:7" s="38" customFormat="1" x14ac:dyDescent="0.2">
      <c r="B1817" s="39" t="s">
        <v>8997</v>
      </c>
      <c r="C1817" s="39" t="s">
        <v>578</v>
      </c>
      <c r="D1817" s="39" t="s">
        <v>366</v>
      </c>
      <c r="E1817" s="40">
        <v>10</v>
      </c>
      <c r="F1817" s="41">
        <f>$E1817*3600/(Input!$H$4*1000)</f>
        <v>1.2</v>
      </c>
      <c r="G1817" s="46" t="str">
        <f t="shared" si="28"/>
        <v>1823</v>
      </c>
    </row>
    <row r="1818" spans="2:7" s="38" customFormat="1" x14ac:dyDescent="0.2">
      <c r="B1818" s="39" t="s">
        <v>8998</v>
      </c>
      <c r="C1818" s="39" t="s">
        <v>224</v>
      </c>
      <c r="D1818" s="39" t="s">
        <v>1565</v>
      </c>
      <c r="E1818" s="40">
        <v>10</v>
      </c>
      <c r="F1818" s="41">
        <f>$E1818*3600/(Input!$H$4*1000)</f>
        <v>1.2</v>
      </c>
      <c r="G1818" s="46" t="str">
        <f t="shared" si="28"/>
        <v>1824</v>
      </c>
    </row>
    <row r="1819" spans="2:7" s="38" customFormat="1" x14ac:dyDescent="0.2">
      <c r="B1819" s="39" t="s">
        <v>8999</v>
      </c>
      <c r="C1819" s="39" t="s">
        <v>790</v>
      </c>
      <c r="D1819" s="39" t="s">
        <v>73</v>
      </c>
      <c r="E1819" s="40">
        <v>584</v>
      </c>
      <c r="F1819" s="41">
        <f>$E1819*3600/(Input!$H$4*1000)</f>
        <v>70.08</v>
      </c>
      <c r="G1819" s="46" t="str">
        <f t="shared" si="28"/>
        <v>1825</v>
      </c>
    </row>
    <row r="1820" spans="2:7" s="38" customFormat="1" x14ac:dyDescent="0.2">
      <c r="B1820" s="39" t="s">
        <v>9000</v>
      </c>
      <c r="C1820" s="39" t="s">
        <v>1208</v>
      </c>
      <c r="D1820" s="39" t="s">
        <v>1201</v>
      </c>
      <c r="E1820" s="40">
        <v>722</v>
      </c>
      <c r="F1820" s="41">
        <f>$E1820*3600/(Input!$H$4*1000)</f>
        <v>86.64</v>
      </c>
      <c r="G1820" s="46"/>
    </row>
    <row r="1821" spans="2:7" s="38" customFormat="1" x14ac:dyDescent="0.2">
      <c r="B1821" s="39" t="s">
        <v>9001</v>
      </c>
      <c r="C1821" s="39" t="s">
        <v>73</v>
      </c>
      <c r="D1821" s="39" t="s">
        <v>1210</v>
      </c>
      <c r="E1821" s="40">
        <v>202</v>
      </c>
      <c r="F1821" s="41">
        <f>$E1821*3600/(Input!$H$4*1000)</f>
        <v>24.24</v>
      </c>
      <c r="G1821" s="46"/>
    </row>
    <row r="1822" spans="2:7" s="38" customFormat="1" x14ac:dyDescent="0.2">
      <c r="B1822" s="39" t="s">
        <v>9002</v>
      </c>
      <c r="C1822" s="39" t="s">
        <v>73</v>
      </c>
      <c r="D1822" s="39" t="s">
        <v>1219</v>
      </c>
      <c r="E1822" s="40">
        <v>861</v>
      </c>
      <c r="F1822" s="41">
        <f>$E1822*3600/(Input!$H$4*1000)</f>
        <v>103.32</v>
      </c>
      <c r="G1822" s="46"/>
    </row>
    <row r="1823" spans="2:7" s="38" customFormat="1" x14ac:dyDescent="0.2">
      <c r="B1823" s="39" t="s">
        <v>9003</v>
      </c>
      <c r="C1823" s="39" t="s">
        <v>634</v>
      </c>
      <c r="D1823" s="39" t="s">
        <v>1202</v>
      </c>
      <c r="E1823" s="40">
        <v>488</v>
      </c>
      <c r="F1823" s="41">
        <f>$E1823*3600/(Input!$H$4*1000)</f>
        <v>58.56</v>
      </c>
      <c r="G1823" s="46"/>
    </row>
    <row r="1824" spans="2:7" s="38" customFormat="1" x14ac:dyDescent="0.2">
      <c r="B1824" s="39" t="s">
        <v>9004</v>
      </c>
      <c r="C1824" s="39" t="s">
        <v>851</v>
      </c>
      <c r="D1824" s="39" t="s">
        <v>158</v>
      </c>
      <c r="E1824" s="40">
        <v>1030</v>
      </c>
      <c r="F1824" s="41">
        <f>$E1824*3600/(Input!$H$4*1000)</f>
        <v>123.6</v>
      </c>
      <c r="G1824" s="46"/>
    </row>
    <row r="1825" spans="2:6" s="38" customFormat="1" x14ac:dyDescent="0.2">
      <c r="B1825" s="39" t="s">
        <v>9005</v>
      </c>
      <c r="C1825" s="39" t="s">
        <v>1216</v>
      </c>
      <c r="D1825" s="39" t="s">
        <v>682</v>
      </c>
      <c r="E1825" s="40">
        <v>195</v>
      </c>
      <c r="F1825" s="41">
        <f>$E1825*3600/(Input!$H$4*1000)</f>
        <v>23.4</v>
      </c>
    </row>
    <row r="1826" spans="2:6" s="38" customFormat="1" x14ac:dyDescent="0.2">
      <c r="B1826" s="39" t="s">
        <v>9006</v>
      </c>
      <c r="C1826" s="39" t="s">
        <v>189</v>
      </c>
      <c r="D1826" s="39" t="s">
        <v>872</v>
      </c>
      <c r="E1826" s="40">
        <v>524</v>
      </c>
      <c r="F1826" s="41">
        <f>$E1826*3600/(Input!$H$4*1000)</f>
        <v>62.88</v>
      </c>
    </row>
    <row r="1827" spans="2:6" s="38" customFormat="1" x14ac:dyDescent="0.2">
      <c r="B1827" s="39" t="s">
        <v>9007</v>
      </c>
      <c r="C1827" s="39" t="s">
        <v>821</v>
      </c>
      <c r="D1827" s="39" t="s">
        <v>1449</v>
      </c>
      <c r="E1827" s="40">
        <v>677</v>
      </c>
      <c r="F1827" s="41">
        <f>$E1827*3600/(Input!$H$4*1000)</f>
        <v>81.239999999999995</v>
      </c>
    </row>
    <row r="1828" spans="2:6" s="38" customFormat="1" x14ac:dyDescent="0.2">
      <c r="B1828" s="39" t="s">
        <v>9008</v>
      </c>
      <c r="C1828" s="39" t="s">
        <v>882</v>
      </c>
      <c r="D1828" s="39" t="s">
        <v>1449</v>
      </c>
      <c r="E1828" s="40">
        <v>467</v>
      </c>
      <c r="F1828" s="41">
        <f>$E1828*3600/(Input!$H$4*1000)</f>
        <v>56.04</v>
      </c>
    </row>
    <row r="1829" spans="2:6" s="38" customFormat="1" x14ac:dyDescent="0.2">
      <c r="B1829" s="39" t="s">
        <v>9009</v>
      </c>
      <c r="C1829" s="39" t="s">
        <v>158</v>
      </c>
      <c r="D1829" s="39" t="s">
        <v>611</v>
      </c>
      <c r="E1829" s="40">
        <v>1310</v>
      </c>
      <c r="F1829" s="41">
        <f>$E1829*3600/(Input!$H$4*1000)</f>
        <v>157.19999999999999</v>
      </c>
    </row>
    <row r="1830" spans="2:6" s="38" customFormat="1" x14ac:dyDescent="0.2">
      <c r="B1830" s="39" t="s">
        <v>9010</v>
      </c>
      <c r="C1830" s="39" t="s">
        <v>1082</v>
      </c>
      <c r="D1830" s="39" t="s">
        <v>363</v>
      </c>
      <c r="E1830" s="40">
        <v>712</v>
      </c>
      <c r="F1830" s="41">
        <f>$E1830*3600/(Input!$H$4*1000)</f>
        <v>85.44</v>
      </c>
    </row>
    <row r="1831" spans="2:6" s="38" customFormat="1" x14ac:dyDescent="0.2">
      <c r="B1831" s="39" t="s">
        <v>9011</v>
      </c>
      <c r="C1831" s="39" t="s">
        <v>50</v>
      </c>
      <c r="D1831" s="39" t="s">
        <v>271</v>
      </c>
      <c r="E1831" s="40">
        <v>391</v>
      </c>
      <c r="F1831" s="41">
        <f>$E1831*3600/(Input!$H$4*1000)</f>
        <v>46.92</v>
      </c>
    </row>
    <row r="1832" spans="2:6" s="38" customFormat="1" x14ac:dyDescent="0.2">
      <c r="B1832" s="39" t="s">
        <v>9012</v>
      </c>
      <c r="C1832" s="39" t="s">
        <v>1425</v>
      </c>
      <c r="D1832" s="39" t="s">
        <v>868</v>
      </c>
      <c r="E1832" s="40">
        <v>531</v>
      </c>
      <c r="F1832" s="41">
        <f>$E1832*3600/(Input!$H$4*1000)</f>
        <v>63.72</v>
      </c>
    </row>
    <row r="1833" spans="2:6" s="38" customFormat="1" x14ac:dyDescent="0.2">
      <c r="B1833" s="39" t="s">
        <v>9013</v>
      </c>
      <c r="C1833" s="39" t="s">
        <v>1806</v>
      </c>
      <c r="D1833" s="39" t="s">
        <v>1948</v>
      </c>
      <c r="E1833" s="40">
        <v>533</v>
      </c>
      <c r="F1833" s="41">
        <f>$E1833*3600/(Input!$H$4*1000)</f>
        <v>63.96</v>
      </c>
    </row>
    <row r="1834" spans="2:6" s="38" customFormat="1" x14ac:dyDescent="0.2">
      <c r="B1834" s="39" t="s">
        <v>9014</v>
      </c>
      <c r="C1834" s="39" t="s">
        <v>1179</v>
      </c>
      <c r="D1834" s="39" t="s">
        <v>817</v>
      </c>
      <c r="E1834" s="40">
        <v>609</v>
      </c>
      <c r="F1834" s="41">
        <f>$E1834*3600/(Input!$H$4*1000)</f>
        <v>73.08</v>
      </c>
    </row>
    <row r="1835" spans="2:6" s="38" customFormat="1" x14ac:dyDescent="0.2">
      <c r="B1835" s="39" t="s">
        <v>9015</v>
      </c>
      <c r="C1835" s="39" t="s">
        <v>1218</v>
      </c>
      <c r="D1835" s="39" t="s">
        <v>1175</v>
      </c>
      <c r="E1835" s="40">
        <v>409</v>
      </c>
      <c r="F1835" s="41">
        <f>$E1835*3600/(Input!$H$4*1000)</f>
        <v>49.08</v>
      </c>
    </row>
    <row r="1836" spans="2:6" s="38" customFormat="1" x14ac:dyDescent="0.2">
      <c r="B1836" s="39" t="s">
        <v>9016</v>
      </c>
      <c r="C1836" s="39" t="s">
        <v>1344</v>
      </c>
      <c r="D1836" s="39" t="s">
        <v>893</v>
      </c>
      <c r="E1836" s="40">
        <v>195</v>
      </c>
      <c r="F1836" s="41">
        <f>$E1836*3600/(Input!$H$4*1000)</f>
        <v>23.4</v>
      </c>
    </row>
    <row r="1837" spans="2:6" s="38" customFormat="1" x14ac:dyDescent="0.2">
      <c r="B1837" s="39" t="s">
        <v>9017</v>
      </c>
      <c r="C1837" s="39" t="s">
        <v>893</v>
      </c>
      <c r="D1837" s="39" t="s">
        <v>1337</v>
      </c>
      <c r="E1837" s="40">
        <v>400</v>
      </c>
      <c r="F1837" s="41">
        <f>$E1837*3600/(Input!$H$4*1000)</f>
        <v>48</v>
      </c>
    </row>
    <row r="1838" spans="2:6" s="38" customFormat="1" x14ac:dyDescent="0.2">
      <c r="B1838" s="39" t="s">
        <v>9018</v>
      </c>
      <c r="C1838" s="39" t="s">
        <v>782</v>
      </c>
      <c r="D1838" s="39" t="s">
        <v>1491</v>
      </c>
      <c r="E1838" s="40">
        <v>196</v>
      </c>
      <c r="F1838" s="41">
        <f>$E1838*3600/(Input!$H$4*1000)</f>
        <v>23.52</v>
      </c>
    </row>
    <row r="1839" spans="2:6" s="38" customFormat="1" x14ac:dyDescent="0.2">
      <c r="B1839" s="39" t="s">
        <v>9019</v>
      </c>
      <c r="C1839" s="39" t="s">
        <v>1491</v>
      </c>
      <c r="D1839" s="39" t="s">
        <v>701</v>
      </c>
      <c r="E1839" s="40">
        <v>385</v>
      </c>
      <c r="F1839" s="41">
        <f>$E1839*3600/(Input!$H$4*1000)</f>
        <v>46.2</v>
      </c>
    </row>
    <row r="1840" spans="2:6" s="38" customFormat="1" x14ac:dyDescent="0.2">
      <c r="B1840" s="39" t="s">
        <v>9020</v>
      </c>
      <c r="C1840" s="39" t="s">
        <v>1467</v>
      </c>
      <c r="D1840" s="39" t="s">
        <v>1812</v>
      </c>
      <c r="E1840" s="40">
        <v>234</v>
      </c>
      <c r="F1840" s="41">
        <f>$E1840*3600/(Input!$H$4*1000)</f>
        <v>28.08</v>
      </c>
    </row>
    <row r="1841" spans="2:6" s="38" customFormat="1" x14ac:dyDescent="0.2">
      <c r="B1841" s="39" t="s">
        <v>9021</v>
      </c>
      <c r="C1841" s="39" t="s">
        <v>107</v>
      </c>
      <c r="D1841" s="39" t="s">
        <v>1292</v>
      </c>
      <c r="E1841" s="40">
        <v>325</v>
      </c>
      <c r="F1841" s="41">
        <f>$E1841*3600/(Input!$H$4*1000)</f>
        <v>39</v>
      </c>
    </row>
    <row r="1842" spans="2:6" s="38" customFormat="1" x14ac:dyDescent="0.2">
      <c r="B1842" s="39" t="s">
        <v>9022</v>
      </c>
      <c r="C1842" s="39" t="s">
        <v>28</v>
      </c>
      <c r="D1842" s="39" t="s">
        <v>1539</v>
      </c>
      <c r="E1842" s="40">
        <v>207</v>
      </c>
      <c r="F1842" s="41">
        <f>$E1842*3600/(Input!$H$4*1000)</f>
        <v>24.84</v>
      </c>
    </row>
    <row r="1843" spans="2:6" s="38" customFormat="1" x14ac:dyDescent="0.2">
      <c r="B1843" s="39" t="s">
        <v>9023</v>
      </c>
      <c r="C1843" s="39" t="s">
        <v>1539</v>
      </c>
      <c r="D1843" s="39" t="s">
        <v>31</v>
      </c>
      <c r="E1843" s="40">
        <v>435</v>
      </c>
      <c r="F1843" s="41">
        <f>$E1843*3600/(Input!$H$4*1000)</f>
        <v>52.2</v>
      </c>
    </row>
    <row r="1844" spans="2:6" s="38" customFormat="1" x14ac:dyDescent="0.2">
      <c r="B1844" s="39" t="s">
        <v>9024</v>
      </c>
      <c r="C1844" s="39" t="s">
        <v>1055</v>
      </c>
      <c r="D1844" s="39" t="s">
        <v>1676</v>
      </c>
      <c r="E1844" s="40">
        <v>354</v>
      </c>
      <c r="F1844" s="41">
        <f>$E1844*3600/(Input!$H$4*1000)</f>
        <v>42.48</v>
      </c>
    </row>
    <row r="1845" spans="2:6" s="38" customFormat="1" x14ac:dyDescent="0.2">
      <c r="B1845" s="39" t="s">
        <v>9025</v>
      </c>
      <c r="C1845" s="39" t="s">
        <v>1803</v>
      </c>
      <c r="D1845" s="39" t="s">
        <v>1259</v>
      </c>
      <c r="E1845" s="40">
        <v>847</v>
      </c>
      <c r="F1845" s="41">
        <f>$E1845*3600/(Input!$H$4*1000)</f>
        <v>101.64</v>
      </c>
    </row>
    <row r="1846" spans="2:6" s="38" customFormat="1" x14ac:dyDescent="0.2">
      <c r="B1846" s="39" t="s">
        <v>9026</v>
      </c>
      <c r="C1846" s="39" t="s">
        <v>1521</v>
      </c>
      <c r="D1846" s="39" t="s">
        <v>30</v>
      </c>
      <c r="E1846" s="40">
        <v>719</v>
      </c>
      <c r="F1846" s="41">
        <f>$E1846*3600/(Input!$H$4*1000)</f>
        <v>86.28</v>
      </c>
    </row>
    <row r="1847" spans="2:6" s="38" customFormat="1" x14ac:dyDescent="0.2">
      <c r="B1847" s="39" t="s">
        <v>9027</v>
      </c>
      <c r="C1847" s="39" t="s">
        <v>1817</v>
      </c>
      <c r="D1847" s="39" t="s">
        <v>1496</v>
      </c>
      <c r="E1847" s="40">
        <v>151</v>
      </c>
      <c r="F1847" s="41">
        <f>$E1847*3600/(Input!$H$4*1000)</f>
        <v>18.12</v>
      </c>
    </row>
    <row r="1848" spans="2:6" s="38" customFormat="1" x14ac:dyDescent="0.2">
      <c r="B1848" s="39" t="s">
        <v>9028</v>
      </c>
      <c r="C1848" s="39" t="s">
        <v>1613</v>
      </c>
      <c r="D1848" s="39" t="s">
        <v>565</v>
      </c>
      <c r="E1848" s="40">
        <v>515</v>
      </c>
      <c r="F1848" s="41">
        <f>$E1848*3600/(Input!$H$4*1000)</f>
        <v>61.8</v>
      </c>
    </row>
    <row r="1849" spans="2:6" s="38" customFormat="1" x14ac:dyDescent="0.2">
      <c r="B1849" s="39" t="s">
        <v>9029</v>
      </c>
      <c r="C1849" s="39" t="s">
        <v>1816</v>
      </c>
      <c r="D1849" s="39" t="s">
        <v>1450</v>
      </c>
      <c r="E1849" s="40">
        <v>278</v>
      </c>
      <c r="F1849" s="41">
        <f>$E1849*3600/(Input!$H$4*1000)</f>
        <v>33.36</v>
      </c>
    </row>
    <row r="1850" spans="2:6" s="38" customFormat="1" x14ac:dyDescent="0.2">
      <c r="B1850" s="39" t="s">
        <v>9030</v>
      </c>
      <c r="C1850" s="39" t="s">
        <v>1496</v>
      </c>
      <c r="D1850" s="39" t="s">
        <v>1816</v>
      </c>
      <c r="E1850" s="40">
        <v>245</v>
      </c>
      <c r="F1850" s="41">
        <f>$E1850*3600/(Input!$H$4*1000)</f>
        <v>29.4</v>
      </c>
    </row>
    <row r="1851" spans="2:6" s="38" customFormat="1" x14ac:dyDescent="0.2">
      <c r="B1851" s="39" t="s">
        <v>9031</v>
      </c>
      <c r="C1851" s="39" t="s">
        <v>1604</v>
      </c>
      <c r="D1851" s="39" t="s">
        <v>1273</v>
      </c>
      <c r="E1851" s="40">
        <v>330</v>
      </c>
      <c r="F1851" s="41">
        <f>$E1851*3600/(Input!$H$4*1000)</f>
        <v>39.6</v>
      </c>
    </row>
    <row r="1852" spans="2:6" s="38" customFormat="1" x14ac:dyDescent="0.2">
      <c r="B1852" s="39" t="s">
        <v>9032</v>
      </c>
      <c r="C1852" s="39" t="s">
        <v>962</v>
      </c>
      <c r="D1852" s="39" t="s">
        <v>1613</v>
      </c>
      <c r="E1852" s="40">
        <v>759</v>
      </c>
      <c r="F1852" s="41">
        <f>$E1852*3600/(Input!$H$4*1000)</f>
        <v>91.08</v>
      </c>
    </row>
    <row r="1853" spans="2:6" s="38" customFormat="1" x14ac:dyDescent="0.2">
      <c r="B1853" s="39" t="s">
        <v>9033</v>
      </c>
      <c r="C1853" s="39" t="s">
        <v>1535</v>
      </c>
      <c r="D1853" s="39" t="s">
        <v>188</v>
      </c>
      <c r="E1853" s="40">
        <v>10</v>
      </c>
      <c r="F1853" s="41">
        <f>$E1853*3600/(Input!$H$4*1000)</f>
        <v>1.2</v>
      </c>
    </row>
    <row r="1854" spans="2:6" s="38" customFormat="1" x14ac:dyDescent="0.2">
      <c r="B1854" s="39" t="s">
        <v>9034</v>
      </c>
      <c r="C1854" s="39" t="s">
        <v>1535</v>
      </c>
      <c r="D1854" s="39" t="s">
        <v>1333</v>
      </c>
      <c r="E1854" s="40">
        <v>10</v>
      </c>
      <c r="F1854" s="41">
        <f>$E1854*3600/(Input!$H$4*1000)</f>
        <v>1.2</v>
      </c>
    </row>
    <row r="1855" spans="2:6" s="38" customFormat="1" x14ac:dyDescent="0.2">
      <c r="B1855" s="39" t="s">
        <v>9035</v>
      </c>
      <c r="C1855" s="39" t="s">
        <v>256</v>
      </c>
      <c r="D1855" s="39" t="s">
        <v>308</v>
      </c>
      <c r="E1855" s="40">
        <v>236</v>
      </c>
      <c r="F1855" s="41">
        <f>$E1855*3600/(Input!$H$4*1000)</f>
        <v>28.32</v>
      </c>
    </row>
    <row r="1856" spans="2:6" s="38" customFormat="1" x14ac:dyDescent="0.2">
      <c r="B1856" s="39" t="s">
        <v>9036</v>
      </c>
      <c r="C1856" s="39" t="s">
        <v>444</v>
      </c>
      <c r="D1856" s="39" t="s">
        <v>1479</v>
      </c>
      <c r="E1856" s="40">
        <v>10</v>
      </c>
      <c r="F1856" s="41">
        <f>$E1856*3600/(Input!$H$4*1000)</f>
        <v>1.2</v>
      </c>
    </row>
    <row r="1857" spans="2:6" s="38" customFormat="1" x14ac:dyDescent="0.2">
      <c r="B1857" s="39" t="s">
        <v>9037</v>
      </c>
      <c r="C1857" s="39" t="s">
        <v>323</v>
      </c>
      <c r="D1857" s="39" t="s">
        <v>317</v>
      </c>
      <c r="E1857" s="40">
        <v>498</v>
      </c>
      <c r="F1857" s="41">
        <f>$E1857*3600/(Input!$H$4*1000)</f>
        <v>59.76</v>
      </c>
    </row>
    <row r="1858" spans="2:6" s="38" customFormat="1" x14ac:dyDescent="0.2">
      <c r="B1858" s="39" t="s">
        <v>9038</v>
      </c>
      <c r="C1858" s="39" t="s">
        <v>323</v>
      </c>
      <c r="D1858" s="39" t="s">
        <v>309</v>
      </c>
      <c r="E1858" s="40">
        <v>448</v>
      </c>
      <c r="F1858" s="41">
        <f>$E1858*3600/(Input!$H$4*1000)</f>
        <v>53.76</v>
      </c>
    </row>
    <row r="1859" spans="2:6" s="38" customFormat="1" x14ac:dyDescent="0.2">
      <c r="B1859" s="39" t="s">
        <v>9039</v>
      </c>
      <c r="C1859" s="39" t="s">
        <v>1710</v>
      </c>
      <c r="D1859" s="39" t="s">
        <v>331</v>
      </c>
      <c r="E1859" s="40">
        <v>358</v>
      </c>
      <c r="F1859" s="41">
        <f>$E1859*3600/(Input!$H$4*1000)</f>
        <v>42.96</v>
      </c>
    </row>
    <row r="1860" spans="2:6" s="38" customFormat="1" x14ac:dyDescent="0.2">
      <c r="B1860" s="39" t="s">
        <v>9040</v>
      </c>
      <c r="C1860" s="39" t="s">
        <v>326</v>
      </c>
      <c r="D1860" s="39" t="s">
        <v>334</v>
      </c>
      <c r="E1860" s="40">
        <v>338</v>
      </c>
      <c r="F1860" s="41">
        <f>$E1860*3600/(Input!$H$4*1000)</f>
        <v>40.56</v>
      </c>
    </row>
    <row r="1861" spans="2:6" s="38" customFormat="1" x14ac:dyDescent="0.2">
      <c r="B1861" s="39" t="s">
        <v>9041</v>
      </c>
      <c r="C1861" s="39" t="s">
        <v>336</v>
      </c>
      <c r="D1861" s="39" t="s">
        <v>377</v>
      </c>
      <c r="E1861" s="40">
        <v>399</v>
      </c>
      <c r="F1861" s="41">
        <f>$E1861*3600/(Input!$H$4*1000)</f>
        <v>47.88</v>
      </c>
    </row>
    <row r="1862" spans="2:6" s="38" customFormat="1" x14ac:dyDescent="0.2">
      <c r="B1862" s="39" t="s">
        <v>9042</v>
      </c>
      <c r="C1862" s="39" t="s">
        <v>334</v>
      </c>
      <c r="D1862" s="39" t="s">
        <v>866</v>
      </c>
      <c r="E1862" s="40">
        <v>351</v>
      </c>
      <c r="F1862" s="41">
        <f>$E1862*3600/(Input!$H$4*1000)</f>
        <v>42.12</v>
      </c>
    </row>
    <row r="1863" spans="2:6" s="38" customFormat="1" x14ac:dyDescent="0.2">
      <c r="B1863" s="39" t="s">
        <v>9043</v>
      </c>
      <c r="C1863" s="39" t="s">
        <v>342</v>
      </c>
      <c r="D1863" s="39" t="s">
        <v>338</v>
      </c>
      <c r="E1863" s="40">
        <v>315</v>
      </c>
      <c r="F1863" s="41">
        <f>$E1863*3600/(Input!$H$4*1000)</f>
        <v>37.799999999999997</v>
      </c>
    </row>
    <row r="1864" spans="2:6" s="38" customFormat="1" x14ac:dyDescent="0.2">
      <c r="B1864" s="39" t="s">
        <v>9044</v>
      </c>
      <c r="C1864" s="39" t="s">
        <v>350</v>
      </c>
      <c r="D1864" s="39" t="s">
        <v>342</v>
      </c>
      <c r="E1864" s="40">
        <v>316</v>
      </c>
      <c r="F1864" s="41">
        <f>$E1864*3600/(Input!$H$4*1000)</f>
        <v>37.92</v>
      </c>
    </row>
    <row r="1865" spans="2:6" s="38" customFormat="1" x14ac:dyDescent="0.2">
      <c r="B1865" s="39" t="s">
        <v>9045</v>
      </c>
      <c r="C1865" s="39" t="s">
        <v>342</v>
      </c>
      <c r="D1865" s="39" t="s">
        <v>352</v>
      </c>
      <c r="E1865" s="40">
        <v>303</v>
      </c>
      <c r="F1865" s="41">
        <f>$E1865*3600/(Input!$H$4*1000)</f>
        <v>36.36</v>
      </c>
    </row>
    <row r="1866" spans="2:6" s="38" customFormat="1" x14ac:dyDescent="0.2">
      <c r="B1866" s="39" t="s">
        <v>9046</v>
      </c>
      <c r="C1866" s="39" t="s">
        <v>357</v>
      </c>
      <c r="D1866" s="39" t="s">
        <v>350</v>
      </c>
      <c r="E1866" s="40">
        <v>295</v>
      </c>
      <c r="F1866" s="41">
        <f>$E1866*3600/(Input!$H$4*1000)</f>
        <v>35.4</v>
      </c>
    </row>
    <row r="1867" spans="2:6" s="38" customFormat="1" x14ac:dyDescent="0.2">
      <c r="B1867" s="39" t="s">
        <v>9047</v>
      </c>
      <c r="C1867" s="39" t="s">
        <v>358</v>
      </c>
      <c r="D1867" s="39" t="s">
        <v>350</v>
      </c>
      <c r="E1867" s="40">
        <v>338</v>
      </c>
      <c r="F1867" s="41">
        <f>$E1867*3600/(Input!$H$4*1000)</f>
        <v>40.56</v>
      </c>
    </row>
    <row r="1868" spans="2:6" s="38" customFormat="1" x14ac:dyDescent="0.2">
      <c r="B1868" s="39" t="s">
        <v>9048</v>
      </c>
      <c r="C1868" s="39" t="s">
        <v>358</v>
      </c>
      <c r="D1868" s="39" t="s">
        <v>356</v>
      </c>
      <c r="E1868" s="40">
        <v>176</v>
      </c>
      <c r="F1868" s="41">
        <f>$E1868*3600/(Input!$H$4*1000)</f>
        <v>21.12</v>
      </c>
    </row>
    <row r="1869" spans="2:6" s="38" customFormat="1" x14ac:dyDescent="0.2">
      <c r="B1869" s="39" t="s">
        <v>9049</v>
      </c>
      <c r="C1869" s="39" t="s">
        <v>718</v>
      </c>
      <c r="D1869" s="39" t="s">
        <v>46</v>
      </c>
      <c r="E1869" s="40">
        <v>242</v>
      </c>
      <c r="F1869" s="41">
        <f>$E1869*3600/(Input!$H$4*1000)</f>
        <v>29.04</v>
      </c>
    </row>
    <row r="1870" spans="2:6" s="38" customFormat="1" x14ac:dyDescent="0.2">
      <c r="B1870" s="39" t="s">
        <v>9050</v>
      </c>
      <c r="C1870" s="39" t="s">
        <v>1253</v>
      </c>
      <c r="D1870" s="39" t="s">
        <v>113</v>
      </c>
      <c r="E1870" s="40">
        <v>305</v>
      </c>
      <c r="F1870" s="41">
        <f>$E1870*3600/(Input!$H$4*1000)</f>
        <v>36.6</v>
      </c>
    </row>
    <row r="1871" spans="2:6" s="38" customFormat="1" x14ac:dyDescent="0.2">
      <c r="B1871" s="39" t="s">
        <v>9051</v>
      </c>
      <c r="C1871" s="39" t="s">
        <v>193</v>
      </c>
      <c r="D1871" s="39" t="s">
        <v>113</v>
      </c>
      <c r="E1871" s="40">
        <v>533</v>
      </c>
      <c r="F1871" s="41">
        <f>$E1871*3600/(Input!$H$4*1000)</f>
        <v>63.96</v>
      </c>
    </row>
    <row r="1872" spans="2:6" s="38" customFormat="1" x14ac:dyDescent="0.2">
      <c r="B1872" s="39" t="s">
        <v>9052</v>
      </c>
      <c r="C1872" s="39" t="s">
        <v>193</v>
      </c>
      <c r="D1872" s="39" t="s">
        <v>878</v>
      </c>
      <c r="E1872" s="40">
        <v>451</v>
      </c>
      <c r="F1872" s="41">
        <f>$E1872*3600/(Input!$H$4*1000)</f>
        <v>54.12</v>
      </c>
    </row>
    <row r="1873" spans="2:6" s="38" customFormat="1" x14ac:dyDescent="0.2">
      <c r="B1873" s="39" t="s">
        <v>9053</v>
      </c>
      <c r="C1873" s="39" t="s">
        <v>1622</v>
      </c>
      <c r="D1873" s="39" t="s">
        <v>193</v>
      </c>
      <c r="E1873" s="40">
        <v>503</v>
      </c>
      <c r="F1873" s="41">
        <f>$E1873*3600/(Input!$H$4*1000)</f>
        <v>60.36</v>
      </c>
    </row>
    <row r="1874" spans="2:6" s="38" customFormat="1" x14ac:dyDescent="0.2">
      <c r="B1874" s="39" t="s">
        <v>9054</v>
      </c>
      <c r="C1874" s="39" t="s">
        <v>1689</v>
      </c>
      <c r="D1874" s="39" t="s">
        <v>1133</v>
      </c>
      <c r="E1874" s="40">
        <v>368</v>
      </c>
      <c r="F1874" s="41">
        <f>$E1874*3600/(Input!$H$4*1000)</f>
        <v>44.16</v>
      </c>
    </row>
    <row r="1875" spans="2:6" s="38" customFormat="1" x14ac:dyDescent="0.2">
      <c r="B1875" s="39" t="s">
        <v>9055</v>
      </c>
      <c r="C1875" s="39" t="s">
        <v>13</v>
      </c>
      <c r="D1875" s="39" t="s">
        <v>456</v>
      </c>
      <c r="E1875" s="40">
        <v>621</v>
      </c>
      <c r="F1875" s="41">
        <f>$E1875*3600/(Input!$H$4*1000)</f>
        <v>74.52</v>
      </c>
    </row>
    <row r="1876" spans="2:6" s="38" customFormat="1" x14ac:dyDescent="0.2">
      <c r="B1876" s="39" t="s">
        <v>9056</v>
      </c>
      <c r="C1876" s="39" t="s">
        <v>1001</v>
      </c>
      <c r="D1876" s="39" t="s">
        <v>997</v>
      </c>
      <c r="E1876" s="40">
        <v>649</v>
      </c>
      <c r="F1876" s="41">
        <f>$E1876*3600/(Input!$H$4*1000)</f>
        <v>77.88</v>
      </c>
    </row>
    <row r="1877" spans="2:6" s="38" customFormat="1" x14ac:dyDescent="0.2">
      <c r="B1877" s="39" t="s">
        <v>9057</v>
      </c>
      <c r="C1877" s="39" t="s">
        <v>576</v>
      </c>
      <c r="D1877" s="39" t="s">
        <v>1574</v>
      </c>
      <c r="E1877" s="40">
        <v>913</v>
      </c>
      <c r="F1877" s="41">
        <f>$E1877*3600/(Input!$H$4*1000)</f>
        <v>109.56</v>
      </c>
    </row>
    <row r="1878" spans="2:6" s="38" customFormat="1" x14ac:dyDescent="0.2">
      <c r="B1878" s="39" t="s">
        <v>9058</v>
      </c>
      <c r="C1878" s="39" t="s">
        <v>404</v>
      </c>
      <c r="D1878" s="39" t="s">
        <v>1028</v>
      </c>
      <c r="E1878" s="40">
        <v>235</v>
      </c>
      <c r="F1878" s="41">
        <f>$E1878*3600/(Input!$H$4*1000)</f>
        <v>28.2</v>
      </c>
    </row>
    <row r="1879" spans="2:6" s="38" customFormat="1" x14ac:dyDescent="0.2">
      <c r="B1879" s="39" t="s">
        <v>9059</v>
      </c>
      <c r="C1879" s="39" t="s">
        <v>1539</v>
      </c>
      <c r="D1879" s="39" t="s">
        <v>267</v>
      </c>
      <c r="E1879" s="40">
        <v>147</v>
      </c>
      <c r="F1879" s="41">
        <f>$E1879*3600/(Input!$H$4*1000)</f>
        <v>17.64</v>
      </c>
    </row>
    <row r="1880" spans="2:6" s="38" customFormat="1" x14ac:dyDescent="0.2">
      <c r="B1880" s="39" t="s">
        <v>9060</v>
      </c>
      <c r="C1880" s="39" t="s">
        <v>1221</v>
      </c>
      <c r="D1880" s="39" t="s">
        <v>1163</v>
      </c>
      <c r="E1880" s="40">
        <v>328</v>
      </c>
      <c r="F1880" s="41">
        <f>$E1880*3600/(Input!$H$4*1000)</f>
        <v>39.36</v>
      </c>
    </row>
    <row r="1881" spans="2:6" s="38" customFormat="1" x14ac:dyDescent="0.2">
      <c r="B1881" s="39" t="s">
        <v>9061</v>
      </c>
      <c r="C1881" s="39" t="s">
        <v>1163</v>
      </c>
      <c r="D1881" s="39" t="s">
        <v>810</v>
      </c>
      <c r="E1881" s="40">
        <v>448</v>
      </c>
      <c r="F1881" s="41">
        <f>$E1881*3600/(Input!$H$4*1000)</f>
        <v>53.76</v>
      </c>
    </row>
    <row r="1882" spans="2:6" s="38" customFormat="1" x14ac:dyDescent="0.2">
      <c r="B1882" s="39" t="s">
        <v>9062</v>
      </c>
      <c r="C1882" s="39" t="s">
        <v>810</v>
      </c>
      <c r="D1882" s="39" t="s">
        <v>848</v>
      </c>
      <c r="E1882" s="40">
        <v>790</v>
      </c>
      <c r="F1882" s="41">
        <f>$E1882*3600/(Input!$H$4*1000)</f>
        <v>94.8</v>
      </c>
    </row>
    <row r="1883" spans="2:6" s="38" customFormat="1" x14ac:dyDescent="0.2">
      <c r="B1883" s="39" t="s">
        <v>9063</v>
      </c>
      <c r="C1883" s="39" t="s">
        <v>345</v>
      </c>
      <c r="D1883" s="39" t="s">
        <v>358</v>
      </c>
      <c r="E1883" s="40">
        <v>345</v>
      </c>
      <c r="F1883" s="41">
        <f>$E1883*3600/(Input!$H$4*1000)</f>
        <v>41.4</v>
      </c>
    </row>
    <row r="1884" spans="2:6" s="38" customFormat="1" x14ac:dyDescent="0.2">
      <c r="B1884" s="39" t="s">
        <v>9064</v>
      </c>
      <c r="C1884" s="39" t="s">
        <v>346</v>
      </c>
      <c r="D1884" s="39" t="s">
        <v>865</v>
      </c>
      <c r="E1884" s="40">
        <v>218</v>
      </c>
      <c r="F1884" s="41">
        <f>$E1884*3600/(Input!$H$4*1000)</f>
        <v>26.16</v>
      </c>
    </row>
    <row r="1885" spans="2:6" s="38" customFormat="1" x14ac:dyDescent="0.2">
      <c r="B1885" s="39" t="s">
        <v>9065</v>
      </c>
      <c r="C1885" s="39" t="s">
        <v>1340</v>
      </c>
      <c r="D1885" s="39" t="s">
        <v>125</v>
      </c>
      <c r="E1885" s="40">
        <v>10</v>
      </c>
      <c r="F1885" s="41">
        <f>$E1885*3600/(Input!$H$4*1000)</f>
        <v>1.2</v>
      </c>
    </row>
    <row r="1886" spans="2:6" s="38" customFormat="1" x14ac:dyDescent="0.2">
      <c r="B1886" s="39" t="s">
        <v>9066</v>
      </c>
      <c r="C1886" s="39" t="s">
        <v>337</v>
      </c>
      <c r="D1886" s="39" t="s">
        <v>1404</v>
      </c>
      <c r="E1886" s="40">
        <v>332</v>
      </c>
      <c r="F1886" s="41">
        <f>$E1886*3600/(Input!$H$4*1000)</f>
        <v>39.840000000000003</v>
      </c>
    </row>
    <row r="1887" spans="2:6" s="38" customFormat="1" x14ac:dyDescent="0.2">
      <c r="B1887" s="39" t="s">
        <v>9067</v>
      </c>
      <c r="C1887" s="39" t="s">
        <v>355</v>
      </c>
      <c r="D1887" s="39" t="s">
        <v>347</v>
      </c>
      <c r="E1887" s="40">
        <v>451</v>
      </c>
      <c r="F1887" s="41">
        <f>$E1887*3600/(Input!$H$4*1000)</f>
        <v>54.12</v>
      </c>
    </row>
    <row r="1888" spans="2:6" x14ac:dyDescent="0.2">
      <c r="B1888" s="39" t="s">
        <v>9068</v>
      </c>
      <c r="C1888" s="39" t="s">
        <v>1310</v>
      </c>
      <c r="D1888" s="39" t="s">
        <v>3868</v>
      </c>
      <c r="E1888" s="40">
        <v>267</v>
      </c>
      <c r="F1888" s="41">
        <f>$E1888*3600/(Input!$H$4*1000)</f>
        <v>32.04</v>
      </c>
    </row>
    <row r="1889" spans="2:6" x14ac:dyDescent="0.2">
      <c r="B1889" s="39" t="s">
        <v>9069</v>
      </c>
      <c r="C1889" s="39" t="s">
        <v>577</v>
      </c>
      <c r="D1889" s="39" t="s">
        <v>1446</v>
      </c>
      <c r="E1889" s="40">
        <v>125</v>
      </c>
      <c r="F1889" s="41">
        <f>$E1889*3600/(Input!$H$4*1000)</f>
        <v>15</v>
      </c>
    </row>
    <row r="1890" spans="2:6" x14ac:dyDescent="0.2">
      <c r="B1890" s="39" t="s">
        <v>9070</v>
      </c>
      <c r="C1890" s="39" t="s">
        <v>577</v>
      </c>
      <c r="D1890" s="39" t="s">
        <v>3867</v>
      </c>
      <c r="E1890" s="40">
        <v>489</v>
      </c>
      <c r="F1890" s="41">
        <f>$E1890*3600/(Input!$H$4*1000)</f>
        <v>58.68</v>
      </c>
    </row>
    <row r="1891" spans="2:6" x14ac:dyDescent="0.2">
      <c r="B1891" s="39" t="s">
        <v>9071</v>
      </c>
      <c r="C1891" s="39" t="s">
        <v>1457</v>
      </c>
      <c r="D1891" s="39" t="s">
        <v>3867</v>
      </c>
      <c r="E1891" s="40">
        <v>165</v>
      </c>
      <c r="F1891" s="41">
        <f>$E1891*3600/(Input!$H$4*1000)</f>
        <v>19.8</v>
      </c>
    </row>
    <row r="1892" spans="2:6" x14ac:dyDescent="0.2">
      <c r="B1892" s="39" t="s">
        <v>9072</v>
      </c>
      <c r="C1892" s="39" t="s">
        <v>676</v>
      </c>
      <c r="D1892" s="39" t="s">
        <v>3867</v>
      </c>
      <c r="E1892" s="40">
        <v>311</v>
      </c>
      <c r="F1892" s="41">
        <f>$E1892*3600/(Input!$H$4*1000)</f>
        <v>37.32</v>
      </c>
    </row>
    <row r="1893" spans="2:6" x14ac:dyDescent="0.2">
      <c r="B1893" s="39" t="s">
        <v>9073</v>
      </c>
      <c r="C1893" s="39" t="s">
        <v>122</v>
      </c>
      <c r="D1893" s="39" t="s">
        <v>1809</v>
      </c>
      <c r="E1893" s="40">
        <v>513</v>
      </c>
      <c r="F1893" s="41">
        <f>$E1893*3600/(Input!$H$4*1000)</f>
        <v>61.56</v>
      </c>
    </row>
    <row r="1894" spans="2:6" x14ac:dyDescent="0.2">
      <c r="B1894" s="39" t="s">
        <v>9074</v>
      </c>
      <c r="C1894" s="39" t="s">
        <v>934</v>
      </c>
      <c r="D1894" s="39" t="s">
        <v>1809</v>
      </c>
      <c r="E1894" s="40">
        <v>569</v>
      </c>
      <c r="F1894" s="41">
        <f>$E1894*3600/(Input!$H$4*1000)</f>
        <v>68.28</v>
      </c>
    </row>
    <row r="1895" spans="2:6" x14ac:dyDescent="0.2">
      <c r="B1895" s="39" t="s">
        <v>9075</v>
      </c>
      <c r="C1895" s="39" t="s">
        <v>1033</v>
      </c>
      <c r="D1895" s="39" t="s">
        <v>3866</v>
      </c>
      <c r="E1895" s="40">
        <v>343</v>
      </c>
      <c r="F1895" s="41">
        <f>$E1895*3600/(Input!$H$4*1000)</f>
        <v>41.16</v>
      </c>
    </row>
    <row r="1896" spans="2:6" x14ac:dyDescent="0.2">
      <c r="B1896" s="39" t="s">
        <v>9076</v>
      </c>
      <c r="C1896" s="39" t="s">
        <v>407</v>
      </c>
      <c r="D1896" s="39" t="s">
        <v>3866</v>
      </c>
      <c r="E1896" s="40">
        <v>1100</v>
      </c>
      <c r="F1896" s="41">
        <f>$E1896*3600/(Input!$H$4*1000)</f>
        <v>132</v>
      </c>
    </row>
  </sheetData>
  <autoFilter ref="B1:F1887"/>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 enableFormatConditionsCalculation="0">
    <tabColor theme="0" tint="-0.14999847407452621"/>
    <outlinePr summaryBelow="0"/>
    <pageSetUpPr fitToPage="1"/>
  </sheetPr>
  <dimension ref="B1:Y1218"/>
  <sheetViews>
    <sheetView showGridLines="0" zoomScale="90" zoomScaleNormal="90" zoomScalePageLayoutView="90" workbookViewId="0">
      <selection activeCell="F495" sqref="F495"/>
    </sheetView>
  </sheetViews>
  <sheetFormatPr baseColWidth="10" defaultRowHeight="15" x14ac:dyDescent="0.2"/>
  <cols>
    <col min="1" max="1" customWidth="true" style="149" width="4.83203125" collapsed="true"/>
    <col min="2" max="2" style="149" width="10.83203125" collapsed="true"/>
    <col min="3" max="3" bestFit="true" customWidth="true" style="149" width="11.83203125" collapsed="true"/>
    <col min="4" max="4" customWidth="true" style="149" width="23.33203125" collapsed="true"/>
    <col min="5" max="5" customWidth="true" style="149" width="12.83203125" collapsed="true"/>
    <col min="6" max="6" bestFit="true" customWidth="true" style="149" width="14.5" collapsed="true"/>
    <col min="7" max="7" bestFit="true" customWidth="true" style="149" width="11.5" collapsed="true"/>
    <col min="8" max="8" bestFit="true" customWidth="true" style="149" width="11.83203125" collapsed="true"/>
    <col min="9" max="9" bestFit="true" customWidth="true" style="149" width="15.33203125" collapsed="true"/>
    <col min="10" max="10" bestFit="true" customWidth="true" style="149" width="71.5" collapsed="true"/>
    <col min="11" max="11" bestFit="true" customWidth="true" style="149" width="13.83203125" collapsed="true"/>
    <col min="12" max="12" bestFit="true" customWidth="true" style="149" width="11.0" collapsed="true"/>
    <col min="13" max="13" bestFit="true" customWidth="true" style="149" width="10.5" collapsed="true"/>
    <col min="14" max="14" bestFit="true" customWidth="true" style="149" width="13.33203125" collapsed="true"/>
    <col min="15" max="15" bestFit="true" customWidth="true" style="153" width="13.33203125" collapsed="true"/>
    <col min="16" max="17" bestFit="true" customWidth="true" style="153" width="19.33203125" collapsed="true"/>
    <col min="18" max="18" bestFit="true" customWidth="true" style="153" width="15.5" collapsed="true"/>
    <col min="19" max="19" bestFit="true" customWidth="true" style="153" width="20.0" collapsed="true"/>
    <col min="20" max="20" bestFit="true" customWidth="true" style="149" width="16.5" collapsed="true"/>
    <col min="21" max="21" bestFit="true" customWidth="true" style="149" width="14.0" collapsed="true"/>
    <col min="22" max="22" bestFit="true" customWidth="true" style="149" width="11.1640625" collapsed="true"/>
    <col min="23" max="23" bestFit="true" customWidth="true" style="149" width="13.33203125" collapsed="true"/>
    <col min="24" max="24" bestFit="true" customWidth="true" style="149" width="11.5" collapsed="true"/>
    <col min="25" max="25" bestFit="true" customWidth="true" style="149" width="13.33203125" collapsed="true"/>
    <col min="26" max="16384" style="149" width="10.83203125" collapsed="true"/>
  </cols>
  <sheetData>
    <row r="1" spans="2:25" x14ac:dyDescent="0.2">
      <c r="B1" s="36" t="s">
        <v>1958</v>
      </c>
      <c r="C1" s="36" t="s">
        <v>1959</v>
      </c>
      <c r="D1" s="36" t="s">
        <v>9091</v>
      </c>
      <c r="E1" s="36" t="s">
        <v>9090</v>
      </c>
      <c r="F1" s="36" t="s">
        <v>1960</v>
      </c>
      <c r="G1" s="36" t="s">
        <v>526</v>
      </c>
      <c r="H1" s="36" t="s">
        <v>1949</v>
      </c>
      <c r="I1" s="36" t="s">
        <v>1961</v>
      </c>
      <c r="J1" s="36" t="s">
        <v>7144</v>
      </c>
      <c r="K1" s="36" t="s">
        <v>7145</v>
      </c>
      <c r="L1" s="36" t="s">
        <v>7146</v>
      </c>
      <c r="M1" s="36" t="s">
        <v>7147</v>
      </c>
      <c r="N1" s="36" t="s">
        <v>7148</v>
      </c>
      <c r="O1" s="36" t="s">
        <v>7149</v>
      </c>
      <c r="P1" s="36" t="s">
        <v>7150</v>
      </c>
      <c r="Q1" s="36" t="s">
        <v>7151</v>
      </c>
      <c r="R1" s="36" t="s">
        <v>7152</v>
      </c>
      <c r="S1" s="36" t="s">
        <v>7153</v>
      </c>
      <c r="T1" s="36" t="s">
        <v>7154</v>
      </c>
      <c r="U1" s="36" t="s">
        <v>9089</v>
      </c>
      <c r="V1" s="36" t="s">
        <v>7155</v>
      </c>
      <c r="W1" s="36" t="s">
        <v>9088</v>
      </c>
      <c r="X1" s="36" t="s">
        <v>7156</v>
      </c>
      <c r="Y1" s="36" t="s">
        <v>7157</v>
      </c>
    </row>
    <row r="2" spans="2:25" x14ac:dyDescent="0.2">
      <c r="B2" s="50" t="s">
        <v>9</v>
      </c>
      <c r="C2" s="50" t="s">
        <v>1826</v>
      </c>
      <c r="D2" s="50"/>
      <c r="E2" s="50"/>
      <c r="F2" s="50" t="s">
        <v>11</v>
      </c>
      <c r="G2" s="50" t="s">
        <v>1962</v>
      </c>
      <c r="H2" s="51" t="s">
        <v>32</v>
      </c>
      <c r="I2" s="50" t="s">
        <v>1123</v>
      </c>
      <c r="J2" s="50" t="s">
        <v>33</v>
      </c>
      <c r="K2" s="50" t="s">
        <v>7158</v>
      </c>
      <c r="L2" s="50">
        <v>41</v>
      </c>
      <c r="M2" s="50">
        <v>40.590000000000003</v>
      </c>
      <c r="N2" s="50">
        <v>0.86</v>
      </c>
      <c r="O2" s="50">
        <v>3180369.0163100623</v>
      </c>
      <c r="P2" s="50">
        <v>117785.02550000002</v>
      </c>
      <c r="Q2" s="50">
        <v>3062583.9908100623</v>
      </c>
      <c r="R2" s="50">
        <v>59070</v>
      </c>
      <c r="S2" s="50">
        <v>3003513.9908100623</v>
      </c>
      <c r="T2" s="50">
        <v>3003513.9908100623</v>
      </c>
      <c r="U2" s="50">
        <v>2.8853850377614673E-2</v>
      </c>
      <c r="V2" s="50">
        <v>9.9999999999999169E-3</v>
      </c>
      <c r="W2" s="50">
        <v>2.8853850377614673E-2</v>
      </c>
      <c r="X2" s="50" t="s">
        <v>7159</v>
      </c>
      <c r="Y2" s="50">
        <v>0.32</v>
      </c>
    </row>
    <row r="3" spans="2:25" x14ac:dyDescent="0.2">
      <c r="B3" s="50" t="s">
        <v>9</v>
      </c>
      <c r="C3" s="50" t="s">
        <v>308</v>
      </c>
      <c r="D3" s="50"/>
      <c r="E3" s="50"/>
      <c r="F3" s="50" t="s">
        <v>11</v>
      </c>
      <c r="G3" s="50" t="s">
        <v>1962</v>
      </c>
      <c r="H3" s="50" t="s">
        <v>32</v>
      </c>
      <c r="I3" s="50" t="s">
        <v>1120</v>
      </c>
      <c r="J3" s="50" t="s">
        <v>33</v>
      </c>
      <c r="K3" s="50" t="s">
        <v>7158</v>
      </c>
      <c r="L3" s="50">
        <v>42</v>
      </c>
      <c r="M3" s="50">
        <v>35.28</v>
      </c>
      <c r="N3" s="50">
        <v>0.98737601442741219</v>
      </c>
      <c r="O3" s="50">
        <v>2764311.8722695</v>
      </c>
      <c r="P3" s="50">
        <v>107021.796</v>
      </c>
      <c r="Q3" s="50">
        <v>2657290.0762695</v>
      </c>
      <c r="R3" s="50">
        <v>60402.153626774605</v>
      </c>
      <c r="S3" s="50">
        <v>2596887.9226427255</v>
      </c>
      <c r="T3" s="50">
        <v>5600401.9134527873</v>
      </c>
      <c r="U3" s="50">
        <v>2.4947516740935424E-2</v>
      </c>
      <c r="V3" s="50">
        <v>0.15999999999999998</v>
      </c>
      <c r="W3" s="50">
        <v>5.3801367118550096E-2</v>
      </c>
      <c r="X3" s="50" t="s">
        <v>7160</v>
      </c>
      <c r="Y3" s="50">
        <v>0.32</v>
      </c>
    </row>
    <row r="4" spans="2:25" x14ac:dyDescent="0.2">
      <c r="B4" s="50" t="s">
        <v>9</v>
      </c>
      <c r="C4" s="50" t="s">
        <v>331</v>
      </c>
      <c r="D4" s="50"/>
      <c r="E4" s="50"/>
      <c r="F4" s="50" t="s">
        <v>11</v>
      </c>
      <c r="G4" s="50" t="s">
        <v>1962</v>
      </c>
      <c r="H4" s="50" t="s">
        <v>15</v>
      </c>
      <c r="I4" s="50" t="s">
        <v>1120</v>
      </c>
      <c r="J4" s="50" t="s">
        <v>16</v>
      </c>
      <c r="K4" s="50" t="s">
        <v>7158</v>
      </c>
      <c r="L4" s="50">
        <v>31</v>
      </c>
      <c r="M4" s="50">
        <v>27.9</v>
      </c>
      <c r="N4" s="50">
        <v>0.86</v>
      </c>
      <c r="O4" s="50">
        <v>2186062.9602131248</v>
      </c>
      <c r="P4" s="50">
        <v>83018.154999999984</v>
      </c>
      <c r="Q4" s="50">
        <v>2103044.805213125</v>
      </c>
      <c r="R4" s="50">
        <v>52610</v>
      </c>
      <c r="S4" s="50">
        <v>2050434.805213125</v>
      </c>
      <c r="T4" s="50">
        <v>7650836.7186659127</v>
      </c>
      <c r="U4" s="50">
        <v>1.9697906938238186E-2</v>
      </c>
      <c r="V4" s="50">
        <v>0.10000000000000005</v>
      </c>
      <c r="W4" s="50">
        <v>7.3499274056788286E-2</v>
      </c>
      <c r="X4" s="50" t="s">
        <v>7160</v>
      </c>
      <c r="Y4" s="50">
        <v>0.32</v>
      </c>
    </row>
    <row r="5" spans="2:25" x14ac:dyDescent="0.2">
      <c r="B5" s="50" t="s">
        <v>9</v>
      </c>
      <c r="C5" s="50" t="s">
        <v>344</v>
      </c>
      <c r="D5" s="50"/>
      <c r="E5" s="50"/>
      <c r="F5" s="50" t="s">
        <v>11</v>
      </c>
      <c r="G5" s="50" t="s">
        <v>1962</v>
      </c>
      <c r="H5" s="50" t="s">
        <v>32</v>
      </c>
      <c r="I5" s="50" t="s">
        <v>1120</v>
      </c>
      <c r="J5" s="50" t="s">
        <v>33</v>
      </c>
      <c r="K5" s="50" t="s">
        <v>7158</v>
      </c>
      <c r="L5" s="50">
        <v>27</v>
      </c>
      <c r="M5" s="50">
        <v>24.84</v>
      </c>
      <c r="N5" s="50">
        <v>0.86</v>
      </c>
      <c r="O5" s="50">
        <v>1946301.2161897498</v>
      </c>
      <c r="P5" s="50">
        <v>73474.937999999995</v>
      </c>
      <c r="Q5" s="50">
        <v>1872826.2781897497</v>
      </c>
      <c r="R5" s="50">
        <v>52610</v>
      </c>
      <c r="S5" s="50">
        <v>1820216.2781897497</v>
      </c>
      <c r="T5" s="50">
        <v>9471052.9968556631</v>
      </c>
      <c r="U5" s="50">
        <v>1.7486267187861747E-2</v>
      </c>
      <c r="V5" s="50">
        <v>0.08</v>
      </c>
      <c r="W5" s="50">
        <v>9.0985541244650026E-2</v>
      </c>
      <c r="X5" s="50" t="s">
        <v>7160</v>
      </c>
      <c r="Y5" s="50">
        <v>0.32</v>
      </c>
    </row>
    <row r="6" spans="2:25" x14ac:dyDescent="0.2">
      <c r="B6" s="50" t="s">
        <v>9</v>
      </c>
      <c r="C6" s="50" t="s">
        <v>340</v>
      </c>
      <c r="D6" s="50"/>
      <c r="E6" s="50"/>
      <c r="F6" s="50" t="s">
        <v>11</v>
      </c>
      <c r="G6" s="50" t="s">
        <v>1962</v>
      </c>
      <c r="H6" s="50" t="s">
        <v>32</v>
      </c>
      <c r="I6" s="50" t="s">
        <v>1120</v>
      </c>
      <c r="J6" s="50" t="s">
        <v>33</v>
      </c>
      <c r="K6" s="50" t="s">
        <v>7158</v>
      </c>
      <c r="L6" s="50">
        <v>22</v>
      </c>
      <c r="M6" s="50">
        <v>21.56</v>
      </c>
      <c r="N6" s="50">
        <v>0.86</v>
      </c>
      <c r="O6" s="50">
        <v>1689301.6997202497</v>
      </c>
      <c r="P6" s="50">
        <v>62725.541999999994</v>
      </c>
      <c r="Q6" s="50">
        <v>1626576.1577202498</v>
      </c>
      <c r="R6" s="50">
        <v>52610</v>
      </c>
      <c r="S6" s="50">
        <v>1573966.1577202498</v>
      </c>
      <c r="T6" s="50">
        <v>11045019.154575912</v>
      </c>
      <c r="U6" s="50">
        <v>1.5120616768640557E-2</v>
      </c>
      <c r="V6" s="50">
        <v>2.0000000000000059E-2</v>
      </c>
      <c r="W6" s="50">
        <v>0.10610615801329058</v>
      </c>
      <c r="X6" s="50" t="s">
        <v>7159</v>
      </c>
      <c r="Y6" s="50">
        <v>0.32</v>
      </c>
    </row>
    <row r="7" spans="2:25" x14ac:dyDescent="0.2">
      <c r="B7" s="50" t="s">
        <v>9</v>
      </c>
      <c r="C7" s="50" t="s">
        <v>353</v>
      </c>
      <c r="D7" s="50"/>
      <c r="E7" s="50"/>
      <c r="F7" s="50" t="s">
        <v>11</v>
      </c>
      <c r="G7" s="50" t="s">
        <v>1962</v>
      </c>
      <c r="H7" s="50" t="s">
        <v>32</v>
      </c>
      <c r="I7" s="50" t="s">
        <v>1123</v>
      </c>
      <c r="J7" s="50" t="s">
        <v>33</v>
      </c>
      <c r="K7" s="50" t="s">
        <v>7158</v>
      </c>
      <c r="L7" s="50">
        <v>22</v>
      </c>
      <c r="M7" s="50">
        <v>21.12</v>
      </c>
      <c r="N7" s="50">
        <v>0.86</v>
      </c>
      <c r="O7" s="50">
        <v>1654826.1548280001</v>
      </c>
      <c r="P7" s="50">
        <v>61773.184000000001</v>
      </c>
      <c r="Q7" s="50">
        <v>1593052.9708280002</v>
      </c>
      <c r="R7" s="50">
        <v>59070</v>
      </c>
      <c r="S7" s="50">
        <v>1533982.9708280002</v>
      </c>
      <c r="T7" s="50">
        <v>12579002.125403913</v>
      </c>
      <c r="U7" s="50">
        <v>1.4736510386669609E-2</v>
      </c>
      <c r="V7" s="50">
        <v>3.9999999999999952E-2</v>
      </c>
      <c r="W7" s="50">
        <v>0.12084266839996019</v>
      </c>
      <c r="X7" s="50" t="s">
        <v>7160</v>
      </c>
      <c r="Y7" s="50">
        <v>0.32</v>
      </c>
    </row>
    <row r="8" spans="2:25" x14ac:dyDescent="0.2">
      <c r="B8" s="50" t="s">
        <v>9</v>
      </c>
      <c r="C8" s="50" t="s">
        <v>293</v>
      </c>
      <c r="D8" s="50"/>
      <c r="E8" s="50"/>
      <c r="F8" s="50" t="s">
        <v>11</v>
      </c>
      <c r="G8" s="50" t="s">
        <v>1962</v>
      </c>
      <c r="H8" s="50" t="s">
        <v>32</v>
      </c>
      <c r="I8" s="50" t="s">
        <v>1120</v>
      </c>
      <c r="J8" s="50" t="s">
        <v>33</v>
      </c>
      <c r="K8" s="50" t="s">
        <v>7158</v>
      </c>
      <c r="L8" s="50">
        <v>22</v>
      </c>
      <c r="M8" s="50">
        <v>18.920000000000002</v>
      </c>
      <c r="N8" s="50">
        <v>0.86</v>
      </c>
      <c r="O8" s="50">
        <v>1482448.4303667501</v>
      </c>
      <c r="P8" s="50">
        <v>57011.394000000008</v>
      </c>
      <c r="Q8" s="50">
        <v>1425437.03636675</v>
      </c>
      <c r="R8" s="50">
        <v>52610</v>
      </c>
      <c r="S8" s="50">
        <v>1372827.03636675</v>
      </c>
      <c r="T8" s="50">
        <v>13951829.161770662</v>
      </c>
      <c r="U8" s="50">
        <v>1.3188334072313413E-2</v>
      </c>
      <c r="V8" s="50">
        <v>0.13999999999999993</v>
      </c>
      <c r="W8" s="50">
        <v>0.13403100247227359</v>
      </c>
      <c r="X8" s="50" t="s">
        <v>7160</v>
      </c>
      <c r="Y8" s="50">
        <v>0.32</v>
      </c>
    </row>
    <row r="9" spans="2:25" x14ac:dyDescent="0.2">
      <c r="B9" s="50" t="s">
        <v>9</v>
      </c>
      <c r="C9" s="50" t="s">
        <v>336</v>
      </c>
      <c r="D9" s="50"/>
      <c r="E9" s="50"/>
      <c r="F9" s="50" t="s">
        <v>11</v>
      </c>
      <c r="G9" s="50" t="s">
        <v>1962</v>
      </c>
      <c r="H9" s="50" t="s">
        <v>32</v>
      </c>
      <c r="I9" s="50" t="s">
        <v>1120</v>
      </c>
      <c r="J9" s="50" t="s">
        <v>33</v>
      </c>
      <c r="K9" s="50" t="s">
        <v>7158</v>
      </c>
      <c r="L9" s="50">
        <v>19</v>
      </c>
      <c r="M9" s="50">
        <v>18.239999999999998</v>
      </c>
      <c r="N9" s="50">
        <v>0.42590431738623102</v>
      </c>
      <c r="O9" s="50">
        <v>1429168.0428059998</v>
      </c>
      <c r="P9" s="50">
        <v>53349.567999999999</v>
      </c>
      <c r="Q9" s="50">
        <v>1375818.4748059998</v>
      </c>
      <c r="R9" s="50">
        <v>26054.448997313506</v>
      </c>
      <c r="S9" s="50">
        <v>1349764.0258086864</v>
      </c>
      <c r="T9" s="50">
        <v>15301593.187579349</v>
      </c>
      <c r="U9" s="50">
        <v>1.2966774706205638E-2</v>
      </c>
      <c r="V9" s="50">
        <v>4.0000000000000084E-2</v>
      </c>
      <c r="W9" s="50">
        <v>0.14699777717847923</v>
      </c>
      <c r="X9" s="50" t="s">
        <v>7159</v>
      </c>
      <c r="Y9" s="50">
        <v>0.32</v>
      </c>
    </row>
    <row r="10" spans="2:25" x14ac:dyDescent="0.2">
      <c r="B10" s="50" t="s">
        <v>9</v>
      </c>
      <c r="C10" s="50" t="s">
        <v>352</v>
      </c>
      <c r="D10" s="50"/>
      <c r="E10" s="50"/>
      <c r="F10" s="50" t="s">
        <v>11</v>
      </c>
      <c r="G10" s="50" t="s">
        <v>1962</v>
      </c>
      <c r="H10" s="50" t="s">
        <v>32</v>
      </c>
      <c r="I10" s="50" t="s">
        <v>1120</v>
      </c>
      <c r="J10" s="50" t="s">
        <v>33</v>
      </c>
      <c r="K10" s="50" t="s">
        <v>7158</v>
      </c>
      <c r="L10" s="50">
        <v>51</v>
      </c>
      <c r="M10" s="50">
        <v>18.87</v>
      </c>
      <c r="N10" s="50">
        <v>0.86</v>
      </c>
      <c r="O10" s="50">
        <v>1478530.7548108124</v>
      </c>
      <c r="P10" s="50">
        <v>78073.171499999997</v>
      </c>
      <c r="Q10" s="50">
        <v>1400457.5833108125</v>
      </c>
      <c r="R10" s="50">
        <v>52610</v>
      </c>
      <c r="S10" s="50">
        <v>1347847.5833108125</v>
      </c>
      <c r="T10" s="50">
        <v>16649440.770890161</v>
      </c>
      <c r="U10" s="50">
        <v>1.2948364022832712E-2</v>
      </c>
      <c r="V10" s="50">
        <v>0.62999999999999989</v>
      </c>
      <c r="W10" s="50">
        <v>0.15994614120131195</v>
      </c>
      <c r="X10" s="50" t="s">
        <v>7161</v>
      </c>
      <c r="Y10" s="50">
        <v>0.32</v>
      </c>
    </row>
    <row r="11" spans="2:25" x14ac:dyDescent="0.2">
      <c r="B11" s="50" t="s">
        <v>9</v>
      </c>
      <c r="C11" s="50" t="s">
        <v>195</v>
      </c>
      <c r="D11" s="50"/>
      <c r="E11" s="50"/>
      <c r="F11" s="50" t="s">
        <v>11</v>
      </c>
      <c r="G11" s="50" t="s">
        <v>1962</v>
      </c>
      <c r="H11" s="50" t="s">
        <v>15</v>
      </c>
      <c r="I11" s="50" t="s">
        <v>1120</v>
      </c>
      <c r="J11" s="50" t="s">
        <v>16</v>
      </c>
      <c r="K11" s="50" t="s">
        <v>7158</v>
      </c>
      <c r="L11" s="50">
        <v>76</v>
      </c>
      <c r="M11" s="50">
        <v>19</v>
      </c>
      <c r="N11" s="50">
        <v>0.92132940681531339</v>
      </c>
      <c r="O11" s="50">
        <v>1488716.7112562498</v>
      </c>
      <c r="P11" s="50">
        <v>96604.549999999988</v>
      </c>
      <c r="Q11" s="50">
        <v>1392112.1612562498</v>
      </c>
      <c r="R11" s="50">
        <v>56361.790805294928</v>
      </c>
      <c r="S11" s="50">
        <v>1335750.3704509549</v>
      </c>
      <c r="T11" s="50">
        <v>17985191.141341116</v>
      </c>
      <c r="U11" s="50">
        <v>1.2832149758170557E-2</v>
      </c>
      <c r="V11" s="50">
        <v>0.75</v>
      </c>
      <c r="W11" s="50">
        <v>0.17277829095948252</v>
      </c>
      <c r="X11" s="50" t="s">
        <v>7159</v>
      </c>
      <c r="Y11" s="50">
        <v>0.32</v>
      </c>
    </row>
    <row r="12" spans="2:25" x14ac:dyDescent="0.2">
      <c r="B12" s="50" t="s">
        <v>9</v>
      </c>
      <c r="C12" s="50" t="s">
        <v>317</v>
      </c>
      <c r="D12" s="50"/>
      <c r="E12" s="50"/>
      <c r="F12" s="50" t="s">
        <v>11</v>
      </c>
      <c r="G12" s="50" t="s">
        <v>1962</v>
      </c>
      <c r="H12" s="50" t="s">
        <v>15</v>
      </c>
      <c r="I12" s="50" t="s">
        <v>1120</v>
      </c>
      <c r="J12" s="50" t="s">
        <v>16</v>
      </c>
      <c r="K12" s="50" t="s">
        <v>7158</v>
      </c>
      <c r="L12" s="50">
        <v>20</v>
      </c>
      <c r="M12" s="50">
        <v>18</v>
      </c>
      <c r="N12" s="50">
        <v>0.86</v>
      </c>
      <c r="O12" s="50">
        <v>1410363.2001375</v>
      </c>
      <c r="P12" s="50">
        <v>53560.100000000006</v>
      </c>
      <c r="Q12" s="50">
        <v>1356803.1001374999</v>
      </c>
      <c r="R12" s="50">
        <v>52610</v>
      </c>
      <c r="S12" s="50">
        <v>1304193.1001374999</v>
      </c>
      <c r="T12" s="50">
        <v>19289384.241478615</v>
      </c>
      <c r="U12" s="50">
        <v>1.2528988608018966E-2</v>
      </c>
      <c r="V12" s="50">
        <v>0.1</v>
      </c>
      <c r="W12" s="50">
        <v>0.18530727956750148</v>
      </c>
      <c r="X12" s="50" t="s">
        <v>7161</v>
      </c>
      <c r="Y12" s="50">
        <v>0.32</v>
      </c>
    </row>
    <row r="13" spans="2:25" x14ac:dyDescent="0.2">
      <c r="B13" s="50" t="s">
        <v>9</v>
      </c>
      <c r="C13" s="50" t="s">
        <v>354</v>
      </c>
      <c r="D13" s="50"/>
      <c r="E13" s="50"/>
      <c r="F13" s="50" t="s">
        <v>11</v>
      </c>
      <c r="G13" s="50" t="s">
        <v>1962</v>
      </c>
      <c r="H13" s="50" t="s">
        <v>32</v>
      </c>
      <c r="I13" s="50" t="s">
        <v>1123</v>
      </c>
      <c r="J13" s="50" t="s">
        <v>33</v>
      </c>
      <c r="K13" s="50" t="s">
        <v>7158</v>
      </c>
      <c r="L13" s="50">
        <v>18</v>
      </c>
      <c r="M13" s="50">
        <v>17.28</v>
      </c>
      <c r="N13" s="50">
        <v>0.86</v>
      </c>
      <c r="O13" s="50">
        <v>1353948.6721320001</v>
      </c>
      <c r="P13" s="50">
        <v>50541.695999999996</v>
      </c>
      <c r="Q13" s="50">
        <v>1303406.9761320001</v>
      </c>
      <c r="R13" s="50">
        <v>59070</v>
      </c>
      <c r="S13" s="50">
        <v>1244336.9761320001</v>
      </c>
      <c r="T13" s="50">
        <v>20533721.217610616</v>
      </c>
      <c r="U13" s="50">
        <v>1.195396893056015E-2</v>
      </c>
      <c r="V13" s="50">
        <v>3.9999999999999938E-2</v>
      </c>
      <c r="W13" s="50">
        <v>0.19726124849806162</v>
      </c>
      <c r="X13" s="50" t="s">
        <v>7160</v>
      </c>
      <c r="Y13" s="50">
        <v>0.32</v>
      </c>
    </row>
    <row r="14" spans="2:25" x14ac:dyDescent="0.2">
      <c r="B14" s="50" t="s">
        <v>9</v>
      </c>
      <c r="C14" s="50" t="s">
        <v>298</v>
      </c>
      <c r="D14" s="50"/>
      <c r="E14" s="50"/>
      <c r="F14" s="50" t="s">
        <v>11</v>
      </c>
      <c r="G14" s="50" t="s">
        <v>1962</v>
      </c>
      <c r="H14" s="50" t="s">
        <v>15</v>
      </c>
      <c r="I14" s="50" t="s">
        <v>1120</v>
      </c>
      <c r="J14" s="50" t="s">
        <v>16</v>
      </c>
      <c r="K14" s="50" t="s">
        <v>7158</v>
      </c>
      <c r="L14" s="50">
        <v>20</v>
      </c>
      <c r="M14" s="50">
        <v>17</v>
      </c>
      <c r="N14" s="50">
        <v>0.86</v>
      </c>
      <c r="O14" s="50">
        <v>1332009.6890187499</v>
      </c>
      <c r="P14" s="50">
        <v>51395.65</v>
      </c>
      <c r="Q14" s="50">
        <v>1280614.03901875</v>
      </c>
      <c r="R14" s="50">
        <v>52610</v>
      </c>
      <c r="S14" s="50">
        <v>1228004.03901875</v>
      </c>
      <c r="T14" s="50">
        <v>21761725.256629366</v>
      </c>
      <c r="U14" s="50">
        <v>1.1797063344258684E-2</v>
      </c>
      <c r="V14" s="50">
        <v>0.15</v>
      </c>
      <c r="W14" s="50">
        <v>0.20905831184232029</v>
      </c>
      <c r="X14" s="50" t="s">
        <v>7161</v>
      </c>
      <c r="Y14" s="50">
        <v>0.32</v>
      </c>
    </row>
    <row r="15" spans="2:25" x14ac:dyDescent="0.2">
      <c r="B15" s="50" t="s">
        <v>9</v>
      </c>
      <c r="C15" s="50" t="s">
        <v>350</v>
      </c>
      <c r="D15" s="50"/>
      <c r="E15" s="50"/>
      <c r="F15" s="50" t="s">
        <v>11</v>
      </c>
      <c r="G15" s="50" t="s">
        <v>1962</v>
      </c>
      <c r="H15" s="50" t="s">
        <v>32</v>
      </c>
      <c r="I15" s="50" t="s">
        <v>1120</v>
      </c>
      <c r="J15" s="50" t="s">
        <v>33</v>
      </c>
      <c r="K15" s="50" t="s">
        <v>7158</v>
      </c>
      <c r="L15" s="50">
        <v>19</v>
      </c>
      <c r="M15" s="50">
        <v>16.53</v>
      </c>
      <c r="N15" s="50">
        <v>0.86</v>
      </c>
      <c r="O15" s="50">
        <v>1295183.5387929373</v>
      </c>
      <c r="P15" s="50">
        <v>49648.358499999995</v>
      </c>
      <c r="Q15" s="50">
        <v>1245535.1802929372</v>
      </c>
      <c r="R15" s="50">
        <v>52610</v>
      </c>
      <c r="S15" s="50">
        <v>1192925.1802929372</v>
      </c>
      <c r="T15" s="50">
        <v>22954650.436922304</v>
      </c>
      <c r="U15" s="50">
        <v>1.1460071359473856E-2</v>
      </c>
      <c r="V15" s="50">
        <v>0.12999999999999995</v>
      </c>
      <c r="W15" s="50">
        <v>0.22051838320179415</v>
      </c>
      <c r="X15" s="50" t="s">
        <v>7159</v>
      </c>
      <c r="Y15" s="50">
        <v>0.32</v>
      </c>
    </row>
    <row r="16" spans="2:25" x14ac:dyDescent="0.2">
      <c r="B16" s="50" t="s">
        <v>9</v>
      </c>
      <c r="C16" s="50" t="s">
        <v>453</v>
      </c>
      <c r="D16" s="50"/>
      <c r="E16" s="50"/>
      <c r="F16" s="50" t="s">
        <v>11</v>
      </c>
      <c r="G16" s="50" t="s">
        <v>1962</v>
      </c>
      <c r="H16" s="50" t="s">
        <v>32</v>
      </c>
      <c r="I16" s="50" t="s">
        <v>1120</v>
      </c>
      <c r="J16" s="50" t="s">
        <v>33</v>
      </c>
      <c r="K16" s="50" t="s">
        <v>7158</v>
      </c>
      <c r="L16" s="50">
        <v>19</v>
      </c>
      <c r="M16" s="50">
        <v>16.149999999999999</v>
      </c>
      <c r="N16" s="50">
        <v>1.0039292730844793</v>
      </c>
      <c r="O16" s="50">
        <v>1265409.2045678122</v>
      </c>
      <c r="P16" s="50">
        <v>48825.8675</v>
      </c>
      <c r="Q16" s="50">
        <v>1216583.3370678122</v>
      </c>
      <c r="R16" s="50">
        <v>61414.789601133096</v>
      </c>
      <c r="S16" s="50">
        <v>1155168.547466679</v>
      </c>
      <c r="T16" s="50">
        <v>24109818.984388985</v>
      </c>
      <c r="U16" s="50">
        <v>1.1097354808905179E-2</v>
      </c>
      <c r="V16" s="50">
        <v>0.15000000000000008</v>
      </c>
      <c r="W16" s="50">
        <v>0.23161573801069932</v>
      </c>
      <c r="X16" s="50" t="s">
        <v>7161</v>
      </c>
      <c r="Y16" s="50">
        <v>0.32</v>
      </c>
    </row>
    <row r="17" spans="2:25" x14ac:dyDescent="0.2">
      <c r="B17" s="50" t="s">
        <v>9</v>
      </c>
      <c r="C17" s="50" t="s">
        <v>431</v>
      </c>
      <c r="D17" s="50"/>
      <c r="E17" s="50"/>
      <c r="F17" s="50" t="s">
        <v>11</v>
      </c>
      <c r="G17" s="50" t="s">
        <v>1962</v>
      </c>
      <c r="H17" s="50" t="s">
        <v>15</v>
      </c>
      <c r="I17" s="50" t="s">
        <v>1120</v>
      </c>
      <c r="J17" s="50" t="s">
        <v>16</v>
      </c>
      <c r="K17" s="50" t="s">
        <v>7158</v>
      </c>
      <c r="L17" s="50">
        <v>45</v>
      </c>
      <c r="M17" s="50">
        <v>15.3</v>
      </c>
      <c r="N17" s="50">
        <v>0.78382247673586258</v>
      </c>
      <c r="O17" s="50">
        <v>1198808.7201168751</v>
      </c>
      <c r="P17" s="50">
        <v>65966.084999999992</v>
      </c>
      <c r="Q17" s="50">
        <v>1132842.6351168752</v>
      </c>
      <c r="R17" s="50">
        <v>47949.884303574108</v>
      </c>
      <c r="S17" s="50">
        <v>1084892.750813301</v>
      </c>
      <c r="T17" s="50">
        <v>25194711.735202286</v>
      </c>
      <c r="U17" s="50">
        <v>1.042223648816203E-2</v>
      </c>
      <c r="V17" s="50">
        <v>0.66</v>
      </c>
      <c r="W17" s="50">
        <v>0.24203797449886136</v>
      </c>
      <c r="X17" s="50" t="s">
        <v>7160</v>
      </c>
      <c r="Y17" s="50">
        <v>0.32</v>
      </c>
    </row>
    <row r="18" spans="2:25" x14ac:dyDescent="0.2">
      <c r="B18" s="50" t="s">
        <v>9</v>
      </c>
      <c r="C18" s="50" t="s">
        <v>339</v>
      </c>
      <c r="D18" s="50"/>
      <c r="E18" s="50"/>
      <c r="F18" s="50" t="s">
        <v>11</v>
      </c>
      <c r="G18" s="50" t="s">
        <v>1962</v>
      </c>
      <c r="H18" s="50" t="s">
        <v>32</v>
      </c>
      <c r="I18" s="50" t="s">
        <v>1120</v>
      </c>
      <c r="J18" s="50" t="s">
        <v>33</v>
      </c>
      <c r="K18" s="50" t="s">
        <v>7158</v>
      </c>
      <c r="L18" s="50">
        <v>17</v>
      </c>
      <c r="M18" s="50">
        <v>14.62</v>
      </c>
      <c r="N18" s="50">
        <v>0.86</v>
      </c>
      <c r="O18" s="50">
        <v>1145528.3325561248</v>
      </c>
      <c r="P18" s="50">
        <v>44054.258999999998</v>
      </c>
      <c r="Q18" s="50">
        <v>1101474.0735561247</v>
      </c>
      <c r="R18" s="50">
        <v>52610</v>
      </c>
      <c r="S18" s="50">
        <v>1048864.0735561247</v>
      </c>
      <c r="T18" s="50">
        <v>26243575.808758412</v>
      </c>
      <c r="U18" s="50">
        <v>1.007611988405673E-2</v>
      </c>
      <c r="V18" s="50">
        <v>0.14000000000000004</v>
      </c>
      <c r="W18" s="50">
        <v>0.2521140943829181</v>
      </c>
      <c r="X18" s="50" t="s">
        <v>7161</v>
      </c>
      <c r="Y18" s="50">
        <v>0.32</v>
      </c>
    </row>
    <row r="19" spans="2:25" x14ac:dyDescent="0.2">
      <c r="B19" s="50" t="s">
        <v>9</v>
      </c>
      <c r="C19" s="50" t="s">
        <v>54</v>
      </c>
      <c r="D19" s="50"/>
      <c r="E19" s="50"/>
      <c r="F19" s="50" t="s">
        <v>11</v>
      </c>
      <c r="G19" s="50" t="s">
        <v>1962</v>
      </c>
      <c r="H19" s="50" t="s">
        <v>32</v>
      </c>
      <c r="I19" s="50" t="s">
        <v>1120</v>
      </c>
      <c r="J19" s="50" t="s">
        <v>33</v>
      </c>
      <c r="K19" s="50" t="s">
        <v>7158</v>
      </c>
      <c r="L19" s="50">
        <v>44</v>
      </c>
      <c r="M19" s="50">
        <v>14.08</v>
      </c>
      <c r="N19" s="50">
        <v>0.23701298701298701</v>
      </c>
      <c r="O19" s="50">
        <v>1103217.436552</v>
      </c>
      <c r="P19" s="50">
        <v>62595.455999999991</v>
      </c>
      <c r="Q19" s="50">
        <v>1040621.980552</v>
      </c>
      <c r="R19" s="50">
        <v>14499.131682271216</v>
      </c>
      <c r="S19" s="50">
        <v>1026122.8488697287</v>
      </c>
      <c r="T19" s="50">
        <v>27269698.657628141</v>
      </c>
      <c r="U19" s="50">
        <v>9.8576518174811473E-3</v>
      </c>
      <c r="V19" s="50">
        <v>0.68</v>
      </c>
      <c r="W19" s="50">
        <v>0.26197174620039926</v>
      </c>
      <c r="X19" s="50" t="s">
        <v>7162</v>
      </c>
      <c r="Y19" s="50">
        <v>0.32</v>
      </c>
    </row>
    <row r="20" spans="2:25" x14ac:dyDescent="0.2">
      <c r="B20" s="50" t="s">
        <v>9</v>
      </c>
      <c r="C20" s="50" t="s">
        <v>326</v>
      </c>
      <c r="D20" s="50"/>
      <c r="E20" s="50"/>
      <c r="F20" s="50" t="s">
        <v>11</v>
      </c>
      <c r="G20" s="50" t="s">
        <v>1962</v>
      </c>
      <c r="H20" s="50" t="s">
        <v>15</v>
      </c>
      <c r="I20" s="50" t="s">
        <v>1120</v>
      </c>
      <c r="J20" s="50" t="s">
        <v>16</v>
      </c>
      <c r="K20" s="50" t="s">
        <v>7158</v>
      </c>
      <c r="L20" s="50">
        <v>14</v>
      </c>
      <c r="M20" s="50">
        <v>13.58</v>
      </c>
      <c r="N20" s="50">
        <v>0.32473309608540923</v>
      </c>
      <c r="O20" s="50">
        <v>1064040.680992625</v>
      </c>
      <c r="P20" s="50">
        <v>39613.231</v>
      </c>
      <c r="Q20" s="50">
        <v>1024427.4499926249</v>
      </c>
      <c r="R20" s="50">
        <v>19865.358354713229</v>
      </c>
      <c r="S20" s="50">
        <v>1004562.0916379117</v>
      </c>
      <c r="T20" s="50">
        <v>28274260.749266054</v>
      </c>
      <c r="U20" s="50">
        <v>9.6505241446624389E-3</v>
      </c>
      <c r="V20" s="50">
        <v>2.9999999999999995E-2</v>
      </c>
      <c r="W20" s="50">
        <v>0.2716222703450617</v>
      </c>
      <c r="X20" s="50" t="s">
        <v>7159</v>
      </c>
      <c r="Y20" s="50">
        <v>0.32</v>
      </c>
    </row>
    <row r="21" spans="2:25" x14ac:dyDescent="0.2">
      <c r="B21" s="50" t="s">
        <v>9</v>
      </c>
      <c r="C21" s="50" t="s">
        <v>303</v>
      </c>
      <c r="D21" s="50"/>
      <c r="E21" s="50"/>
      <c r="F21" s="50" t="s">
        <v>11</v>
      </c>
      <c r="G21" s="50" t="s">
        <v>1962</v>
      </c>
      <c r="H21" s="50" t="s">
        <v>32</v>
      </c>
      <c r="I21" s="50" t="s">
        <v>1120</v>
      </c>
      <c r="J21" s="50" t="s">
        <v>33</v>
      </c>
      <c r="K21" s="50" t="s">
        <v>7158</v>
      </c>
      <c r="L21" s="50">
        <v>18</v>
      </c>
      <c r="M21" s="50">
        <v>12.96</v>
      </c>
      <c r="N21" s="50">
        <v>0.71115440818314668</v>
      </c>
      <c r="O21" s="50">
        <v>1015461.5040989999</v>
      </c>
      <c r="P21" s="50">
        <v>41191.271999999997</v>
      </c>
      <c r="Q21" s="50">
        <v>974270.2320989999</v>
      </c>
      <c r="R21" s="50">
        <v>43504.457458738769</v>
      </c>
      <c r="S21" s="50">
        <v>930765.77464026108</v>
      </c>
      <c r="T21" s="50">
        <v>29205026.523906317</v>
      </c>
      <c r="U21" s="50">
        <v>8.9415852498930665E-3</v>
      </c>
      <c r="V21" s="50">
        <v>0.27999999999999997</v>
      </c>
      <c r="W21" s="50">
        <v>0.28056385559495478</v>
      </c>
      <c r="X21" s="50" t="s">
        <v>7160</v>
      </c>
      <c r="Y21" s="50">
        <v>0.32</v>
      </c>
    </row>
    <row r="22" spans="2:25" x14ac:dyDescent="0.2">
      <c r="B22" s="50" t="s">
        <v>9</v>
      </c>
      <c r="C22" s="50" t="s">
        <v>335</v>
      </c>
      <c r="D22" s="50"/>
      <c r="E22" s="50"/>
      <c r="F22" s="50" t="s">
        <v>11</v>
      </c>
      <c r="G22" s="50" t="s">
        <v>1962</v>
      </c>
      <c r="H22" s="50" t="s">
        <v>32</v>
      </c>
      <c r="I22" s="50" t="s">
        <v>1120</v>
      </c>
      <c r="J22" s="50" t="s">
        <v>33</v>
      </c>
      <c r="K22" s="50" t="s">
        <v>7158</v>
      </c>
      <c r="L22" s="50">
        <v>14</v>
      </c>
      <c r="M22" s="50">
        <v>12.6</v>
      </c>
      <c r="N22" s="50">
        <v>0.4673495518565941</v>
      </c>
      <c r="O22" s="50">
        <v>987254.24009624985</v>
      </c>
      <c r="P22" s="50">
        <v>37492.07</v>
      </c>
      <c r="Q22" s="50">
        <v>949762.1700962499</v>
      </c>
      <c r="R22" s="50">
        <v>28589.837119971413</v>
      </c>
      <c r="S22" s="50">
        <v>921172.3329762785</v>
      </c>
      <c r="T22" s="50">
        <v>30126198.856882595</v>
      </c>
      <c r="U22" s="50">
        <v>8.8494239577446409E-3</v>
      </c>
      <c r="V22" s="50">
        <v>0.10000000000000002</v>
      </c>
      <c r="W22" s="50">
        <v>0.28941327955269941</v>
      </c>
      <c r="X22" s="50" t="s">
        <v>7161</v>
      </c>
      <c r="Y22" s="50">
        <v>0.32</v>
      </c>
    </row>
    <row r="23" spans="2:25" x14ac:dyDescent="0.2">
      <c r="B23" s="50" t="s">
        <v>9</v>
      </c>
      <c r="C23" s="50" t="s">
        <v>338</v>
      </c>
      <c r="D23" s="50"/>
      <c r="E23" s="50"/>
      <c r="F23" s="50" t="s">
        <v>11</v>
      </c>
      <c r="G23" s="50" t="s">
        <v>1962</v>
      </c>
      <c r="H23" s="50" t="s">
        <v>32</v>
      </c>
      <c r="I23" s="50" t="s">
        <v>1123</v>
      </c>
      <c r="J23" s="50" t="s">
        <v>33</v>
      </c>
      <c r="K23" s="50" t="s">
        <v>7158</v>
      </c>
      <c r="L23" s="50">
        <v>14</v>
      </c>
      <c r="M23" s="50">
        <v>12.74</v>
      </c>
      <c r="N23" s="50">
        <v>0.86</v>
      </c>
      <c r="O23" s="50">
        <v>998223.73165287497</v>
      </c>
      <c r="P23" s="50">
        <v>37795.093000000001</v>
      </c>
      <c r="Q23" s="50">
        <v>960428.63865287497</v>
      </c>
      <c r="R23" s="50">
        <v>59070</v>
      </c>
      <c r="S23" s="50">
        <v>901358.63865287497</v>
      </c>
      <c r="T23" s="50">
        <v>31027557.495535471</v>
      </c>
      <c r="U23" s="50">
        <v>8.6590797898184954E-3</v>
      </c>
      <c r="V23" s="50">
        <v>8.9999999999999983E-2</v>
      </c>
      <c r="W23" s="50">
        <v>0.29807235934251791</v>
      </c>
      <c r="X23" s="50" t="s">
        <v>7161</v>
      </c>
      <c r="Y23" s="50">
        <v>0.32</v>
      </c>
    </row>
    <row r="24" spans="2:25" x14ac:dyDescent="0.2">
      <c r="B24" s="50" t="s">
        <v>9</v>
      </c>
      <c r="C24" s="50" t="s">
        <v>218</v>
      </c>
      <c r="D24" s="50"/>
      <c r="E24" s="50"/>
      <c r="F24" s="50" t="s">
        <v>11</v>
      </c>
      <c r="G24" s="50" t="s">
        <v>1962</v>
      </c>
      <c r="H24" s="50" t="s">
        <v>15</v>
      </c>
      <c r="I24" s="50" t="s">
        <v>1121</v>
      </c>
      <c r="J24" s="50" t="s">
        <v>16</v>
      </c>
      <c r="K24" s="50" t="s">
        <v>7158</v>
      </c>
      <c r="L24" s="50">
        <v>65</v>
      </c>
      <c r="M24" s="50">
        <v>12.35</v>
      </c>
      <c r="N24" s="50">
        <v>0.25</v>
      </c>
      <c r="O24" s="50">
        <v>967665.86231656244</v>
      </c>
      <c r="P24" s="50">
        <v>74180.957500000004</v>
      </c>
      <c r="Q24" s="50">
        <v>893484.90481656243</v>
      </c>
      <c r="R24" s="50">
        <v>46148.4375</v>
      </c>
      <c r="S24" s="50">
        <v>847336.46731656243</v>
      </c>
      <c r="T24" s="50">
        <v>31874893.962852035</v>
      </c>
      <c r="U24" s="50">
        <v>8.1401051309418684E-3</v>
      </c>
      <c r="V24" s="50">
        <v>0.80999999999999994</v>
      </c>
      <c r="W24" s="50">
        <v>0.30621246447345979</v>
      </c>
      <c r="X24" s="50" t="s">
        <v>7161</v>
      </c>
      <c r="Y24" s="50">
        <v>0.25</v>
      </c>
    </row>
    <row r="25" spans="2:25" x14ac:dyDescent="0.2">
      <c r="B25" s="50" t="s">
        <v>9</v>
      </c>
      <c r="C25" s="50" t="s">
        <v>464</v>
      </c>
      <c r="D25" s="50"/>
      <c r="E25" s="50"/>
      <c r="F25" s="50" t="s">
        <v>11</v>
      </c>
      <c r="G25" s="50" t="s">
        <v>1962</v>
      </c>
      <c r="H25" s="50" t="s">
        <v>32</v>
      </c>
      <c r="I25" s="50" t="s">
        <v>1120</v>
      </c>
      <c r="J25" s="50" t="s">
        <v>33</v>
      </c>
      <c r="K25" s="50" t="s">
        <v>7158</v>
      </c>
      <c r="L25" s="50">
        <v>12</v>
      </c>
      <c r="M25" s="50">
        <v>11.76</v>
      </c>
      <c r="N25" s="50">
        <v>0.91511461318051579</v>
      </c>
      <c r="O25" s="50">
        <v>921437.29075649986</v>
      </c>
      <c r="P25" s="50">
        <v>34213.932000000001</v>
      </c>
      <c r="Q25" s="50">
        <v>887223.35875649983</v>
      </c>
      <c r="R25" s="50">
        <v>55981.604417938295</v>
      </c>
      <c r="S25" s="50">
        <v>831241.75433856156</v>
      </c>
      <c r="T25" s="50">
        <v>32706135.717190597</v>
      </c>
      <c r="U25" s="50">
        <v>7.9854880918473915E-3</v>
      </c>
      <c r="V25" s="50">
        <v>2.0000000000000018E-2</v>
      </c>
      <c r="W25" s="50">
        <v>0.31419795256530719</v>
      </c>
      <c r="X25" s="50" t="s">
        <v>7160</v>
      </c>
      <c r="Y25" s="50">
        <v>0.32</v>
      </c>
    </row>
    <row r="26" spans="2:25" x14ac:dyDescent="0.2">
      <c r="B26" s="50" t="s">
        <v>9</v>
      </c>
      <c r="C26" s="50" t="s">
        <v>323</v>
      </c>
      <c r="D26" s="50"/>
      <c r="E26" s="50"/>
      <c r="F26" s="50" t="s">
        <v>11</v>
      </c>
      <c r="G26" s="50" t="s">
        <v>1962</v>
      </c>
      <c r="H26" s="50" t="s">
        <v>15</v>
      </c>
      <c r="I26" s="50" t="s">
        <v>1120</v>
      </c>
      <c r="J26" s="50" t="s">
        <v>16</v>
      </c>
      <c r="K26" s="50" t="s">
        <v>7158</v>
      </c>
      <c r="L26" s="50">
        <v>13</v>
      </c>
      <c r="M26" s="50">
        <v>11.44</v>
      </c>
      <c r="N26" s="50">
        <v>0.86</v>
      </c>
      <c r="O26" s="50">
        <v>896364.1671984999</v>
      </c>
      <c r="P26" s="50">
        <v>34251.307999999997</v>
      </c>
      <c r="Q26" s="50">
        <v>862112.85919849994</v>
      </c>
      <c r="R26" s="50">
        <v>52610</v>
      </c>
      <c r="S26" s="50">
        <v>809502.85919849994</v>
      </c>
      <c r="T26" s="50">
        <v>33515638.576389097</v>
      </c>
      <c r="U26" s="50">
        <v>7.7766491020290615E-3</v>
      </c>
      <c r="V26" s="50">
        <v>0.12000000000000004</v>
      </c>
      <c r="W26" s="50">
        <v>0.32197460166733627</v>
      </c>
      <c r="X26" s="50" t="s">
        <v>7161</v>
      </c>
      <c r="Y26" s="50">
        <v>0.32</v>
      </c>
    </row>
    <row r="27" spans="2:25" x14ac:dyDescent="0.2">
      <c r="B27" s="50" t="s">
        <v>9</v>
      </c>
      <c r="C27" s="50" t="s">
        <v>266</v>
      </c>
      <c r="D27" s="50"/>
      <c r="E27" s="50"/>
      <c r="F27" s="50" t="s">
        <v>11</v>
      </c>
      <c r="G27" s="50" t="s">
        <v>1962</v>
      </c>
      <c r="H27" s="50" t="s">
        <v>32</v>
      </c>
      <c r="I27" s="50" t="s">
        <v>1120</v>
      </c>
      <c r="J27" s="50" t="s">
        <v>33</v>
      </c>
      <c r="K27" s="50" t="s">
        <v>7158</v>
      </c>
      <c r="L27" s="50">
        <v>14</v>
      </c>
      <c r="M27" s="50">
        <v>10.64</v>
      </c>
      <c r="N27" s="50">
        <v>0.2496580027359781</v>
      </c>
      <c r="O27" s="50">
        <v>833681.35830349999</v>
      </c>
      <c r="P27" s="50">
        <v>33249.748</v>
      </c>
      <c r="Q27" s="50">
        <v>800431.61030349997</v>
      </c>
      <c r="R27" s="50">
        <v>15272.68316737187</v>
      </c>
      <c r="S27" s="50">
        <v>785158.92713612807</v>
      </c>
      <c r="T27" s="50">
        <v>34300797.503525227</v>
      </c>
      <c r="U27" s="50">
        <v>7.5427843104949798E-3</v>
      </c>
      <c r="V27" s="50">
        <v>0.23999999999999996</v>
      </c>
      <c r="W27" s="50">
        <v>0.32951738597783126</v>
      </c>
      <c r="X27" s="50" t="s">
        <v>7160</v>
      </c>
      <c r="Y27" s="50">
        <v>0.32</v>
      </c>
    </row>
    <row r="28" spans="2:25" x14ac:dyDescent="0.2">
      <c r="B28" s="50" t="s">
        <v>9</v>
      </c>
      <c r="C28" s="50" t="s">
        <v>461</v>
      </c>
      <c r="D28" s="50"/>
      <c r="E28" s="50"/>
      <c r="F28" s="50" t="s">
        <v>11</v>
      </c>
      <c r="G28" s="51" t="s">
        <v>1962</v>
      </c>
      <c r="H28" s="50" t="s">
        <v>32</v>
      </c>
      <c r="I28" s="50" t="s">
        <v>1120</v>
      </c>
      <c r="J28" s="50" t="s">
        <v>33</v>
      </c>
      <c r="K28" s="50" t="s">
        <v>7158</v>
      </c>
      <c r="L28" s="50">
        <v>28</v>
      </c>
      <c r="M28" s="50">
        <v>11.48</v>
      </c>
      <c r="N28" s="50">
        <v>1.4750183688464364</v>
      </c>
      <c r="O28" s="50">
        <v>899498.3076432501</v>
      </c>
      <c r="P28" s="50">
        <v>45287.885999999999</v>
      </c>
      <c r="Q28" s="50">
        <v>854210.42164325016</v>
      </c>
      <c r="R28" s="50">
        <v>90233.391145361646</v>
      </c>
      <c r="S28" s="50">
        <v>763977.03049788857</v>
      </c>
      <c r="T28" s="50">
        <v>35064774.534023114</v>
      </c>
      <c r="U28" s="50">
        <v>7.3392962367973364E-3</v>
      </c>
      <c r="V28" s="50">
        <v>0.59</v>
      </c>
      <c r="W28" s="50">
        <v>0.33685668221462861</v>
      </c>
      <c r="X28" s="50" t="s">
        <v>7160</v>
      </c>
      <c r="Y28" s="50">
        <v>0.32</v>
      </c>
    </row>
    <row r="29" spans="2:25" x14ac:dyDescent="0.2">
      <c r="B29" s="50" t="s">
        <v>9</v>
      </c>
      <c r="C29" s="50" t="s">
        <v>343</v>
      </c>
      <c r="D29" s="50"/>
      <c r="E29" s="50"/>
      <c r="F29" s="50" t="s">
        <v>11</v>
      </c>
      <c r="G29" s="50" t="s">
        <v>1962</v>
      </c>
      <c r="H29" s="50" t="s">
        <v>32</v>
      </c>
      <c r="I29" s="50" t="s">
        <v>1120</v>
      </c>
      <c r="J29" s="50" t="s">
        <v>33</v>
      </c>
      <c r="K29" s="50" t="s">
        <v>7158</v>
      </c>
      <c r="L29" s="50">
        <v>11</v>
      </c>
      <c r="M29" s="50">
        <v>10.67</v>
      </c>
      <c r="N29" s="50">
        <v>0.86</v>
      </c>
      <c r="O29" s="50">
        <v>836031.96363706246</v>
      </c>
      <c r="P29" s="50">
        <v>31124.681499999999</v>
      </c>
      <c r="Q29" s="50">
        <v>804907.28213706252</v>
      </c>
      <c r="R29" s="50">
        <v>52610</v>
      </c>
      <c r="S29" s="50">
        <v>752297.28213706252</v>
      </c>
      <c r="T29" s="50">
        <v>35817071.81616018</v>
      </c>
      <c r="U29" s="50">
        <v>7.2270924272986583E-3</v>
      </c>
      <c r="V29" s="50">
        <v>3.0000000000000006E-2</v>
      </c>
      <c r="W29" s="50">
        <v>0.34408377464192724</v>
      </c>
      <c r="X29" s="50" t="s">
        <v>7159</v>
      </c>
      <c r="Y29" s="50">
        <v>0.32</v>
      </c>
    </row>
    <row r="30" spans="2:25" x14ac:dyDescent="0.2">
      <c r="B30" s="50" t="s">
        <v>9</v>
      </c>
      <c r="C30" s="50" t="s">
        <v>334</v>
      </c>
      <c r="D30" s="50"/>
      <c r="E30" s="50"/>
      <c r="F30" s="50" t="s">
        <v>11</v>
      </c>
      <c r="G30" s="50" t="s">
        <v>1962</v>
      </c>
      <c r="H30" s="50" t="s">
        <v>15</v>
      </c>
      <c r="I30" s="50" t="s">
        <v>1120</v>
      </c>
      <c r="J30" s="50" t="s">
        <v>16</v>
      </c>
      <c r="K30" s="50" t="s">
        <v>7158</v>
      </c>
      <c r="L30" s="50">
        <v>11</v>
      </c>
      <c r="M30" s="50">
        <v>10.56</v>
      </c>
      <c r="N30" s="50">
        <v>0.86</v>
      </c>
      <c r="O30" s="50">
        <v>827413.07741400006</v>
      </c>
      <c r="P30" s="50">
        <v>30886.592000000001</v>
      </c>
      <c r="Q30" s="50">
        <v>796526.48541400011</v>
      </c>
      <c r="R30" s="50">
        <v>52610</v>
      </c>
      <c r="S30" s="50">
        <v>743916.48541400011</v>
      </c>
      <c r="T30" s="50">
        <v>36560988.301574178</v>
      </c>
      <c r="U30" s="50">
        <v>7.1465806482850286E-3</v>
      </c>
      <c r="V30" s="50">
        <v>3.9999999999999952E-2</v>
      </c>
      <c r="W30" s="50">
        <v>0.35123035529021229</v>
      </c>
      <c r="X30" s="50" t="s">
        <v>7159</v>
      </c>
      <c r="Y30" s="50">
        <v>0.32</v>
      </c>
    </row>
    <row r="31" spans="2:25" x14ac:dyDescent="0.2">
      <c r="B31" s="50" t="s">
        <v>9</v>
      </c>
      <c r="C31" s="50" t="s">
        <v>158</v>
      </c>
      <c r="D31" s="50"/>
      <c r="E31" s="50"/>
      <c r="F31" s="50" t="s">
        <v>11</v>
      </c>
      <c r="G31" s="50" t="s">
        <v>1962</v>
      </c>
      <c r="H31" s="50" t="s">
        <v>15</v>
      </c>
      <c r="I31" s="50" t="s">
        <v>1120</v>
      </c>
      <c r="J31" s="50" t="s">
        <v>16</v>
      </c>
      <c r="K31" s="50" t="s">
        <v>7158</v>
      </c>
      <c r="L31" s="50">
        <v>113</v>
      </c>
      <c r="M31" s="50">
        <v>11.3</v>
      </c>
      <c r="N31" s="50">
        <v>0.86</v>
      </c>
      <c r="O31" s="50">
        <v>885394.67564187502</v>
      </c>
      <c r="P31" s="50">
        <v>106948.285</v>
      </c>
      <c r="Q31" s="50">
        <v>778446.39064187498</v>
      </c>
      <c r="R31" s="50">
        <v>52610</v>
      </c>
      <c r="S31" s="50">
        <v>725836.39064187498</v>
      </c>
      <c r="T31" s="50">
        <v>37286824.692216054</v>
      </c>
      <c r="U31" s="50">
        <v>6.9728906468519763E-3</v>
      </c>
      <c r="V31" s="50">
        <v>0.9</v>
      </c>
      <c r="W31" s="50">
        <v>0.35820324593706426</v>
      </c>
      <c r="X31" s="50" t="s">
        <v>7162</v>
      </c>
      <c r="Y31" s="50">
        <v>0.32</v>
      </c>
    </row>
    <row r="32" spans="2:25" x14ac:dyDescent="0.2">
      <c r="B32" s="50" t="s">
        <v>9</v>
      </c>
      <c r="C32" s="50" t="s">
        <v>480</v>
      </c>
      <c r="D32" s="50"/>
      <c r="E32" s="50"/>
      <c r="F32" s="50" t="s">
        <v>11</v>
      </c>
      <c r="G32" s="50" t="s">
        <v>1962</v>
      </c>
      <c r="H32" s="50" t="s">
        <v>15</v>
      </c>
      <c r="I32" s="50" t="s">
        <v>1120</v>
      </c>
      <c r="J32" s="50" t="s">
        <v>16</v>
      </c>
      <c r="K32" s="50" t="s">
        <v>7158</v>
      </c>
      <c r="L32" s="50">
        <v>10</v>
      </c>
      <c r="M32" s="50">
        <v>9.6999999999999993</v>
      </c>
      <c r="N32" s="50">
        <v>0.13941940412528647</v>
      </c>
      <c r="O32" s="50">
        <v>760029.05785187485</v>
      </c>
      <c r="P32" s="50">
        <v>28295.164999999994</v>
      </c>
      <c r="Q32" s="50">
        <v>731733.89285187481</v>
      </c>
      <c r="R32" s="50">
        <v>8528.9009895713025</v>
      </c>
      <c r="S32" s="50">
        <v>723204.99186230346</v>
      </c>
      <c r="T32" s="50">
        <v>38010029.684078358</v>
      </c>
      <c r="U32" s="50">
        <v>6.9476115947477053E-3</v>
      </c>
      <c r="V32" s="50">
        <v>3.0000000000000072E-2</v>
      </c>
      <c r="W32" s="50">
        <v>0.36515085753181198</v>
      </c>
      <c r="X32" s="50" t="s">
        <v>7160</v>
      </c>
      <c r="Y32" s="50">
        <v>0.32</v>
      </c>
    </row>
    <row r="33" spans="2:25" x14ac:dyDescent="0.2">
      <c r="B33" s="50" t="s">
        <v>9</v>
      </c>
      <c r="C33" s="50" t="s">
        <v>325</v>
      </c>
      <c r="D33" s="50"/>
      <c r="E33" s="50"/>
      <c r="F33" s="50" t="s">
        <v>11</v>
      </c>
      <c r="G33" s="50" t="s">
        <v>1962</v>
      </c>
      <c r="H33" s="50" t="s">
        <v>15</v>
      </c>
      <c r="I33" s="50" t="s">
        <v>1120</v>
      </c>
      <c r="J33" s="50" t="s">
        <v>16</v>
      </c>
      <c r="K33" s="50" t="s">
        <v>7158</v>
      </c>
      <c r="L33" s="50">
        <v>20</v>
      </c>
      <c r="M33" s="50">
        <v>9.8000000000000007</v>
      </c>
      <c r="N33" s="50">
        <v>0.3408029878618114</v>
      </c>
      <c r="O33" s="50">
        <v>767864.40896375012</v>
      </c>
      <c r="P33" s="50">
        <v>35811.61</v>
      </c>
      <c r="Q33" s="50">
        <v>732052.79896375013</v>
      </c>
      <c r="R33" s="50">
        <v>20848.424641174301</v>
      </c>
      <c r="S33" s="50">
        <v>711204.37432257587</v>
      </c>
      <c r="T33" s="50">
        <v>38721234.058400936</v>
      </c>
      <c r="U33" s="50">
        <v>6.8323252921069473E-3</v>
      </c>
      <c r="V33" s="50">
        <v>0.51</v>
      </c>
      <c r="W33" s="50">
        <v>0.3719831828239189</v>
      </c>
      <c r="X33" s="50" t="s">
        <v>7159</v>
      </c>
      <c r="Y33" s="50">
        <v>0.32</v>
      </c>
    </row>
    <row r="34" spans="2:25" x14ac:dyDescent="0.2">
      <c r="B34" s="50" t="s">
        <v>9</v>
      </c>
      <c r="C34" s="50" t="s">
        <v>322</v>
      </c>
      <c r="D34" s="50"/>
      <c r="E34" s="50"/>
      <c r="F34" s="50" t="s">
        <v>11</v>
      </c>
      <c r="G34" s="50" t="s">
        <v>1962</v>
      </c>
      <c r="H34" s="50" t="s">
        <v>15</v>
      </c>
      <c r="I34" s="50" t="s">
        <v>1121</v>
      </c>
      <c r="J34" s="50" t="s">
        <v>16</v>
      </c>
      <c r="K34" s="50" t="s">
        <v>7158</v>
      </c>
      <c r="L34" s="50">
        <v>250</v>
      </c>
      <c r="M34" s="50">
        <v>12.5</v>
      </c>
      <c r="N34" s="50">
        <v>0.5</v>
      </c>
      <c r="O34" s="50">
        <v>979418.88898437493</v>
      </c>
      <c r="P34" s="50">
        <v>209555.625</v>
      </c>
      <c r="Q34" s="50">
        <v>769863.26398437493</v>
      </c>
      <c r="R34" s="50">
        <v>92296.875</v>
      </c>
      <c r="S34" s="50">
        <v>677566.38898437493</v>
      </c>
      <c r="T34" s="50">
        <v>39398800.447385311</v>
      </c>
      <c r="U34" s="50">
        <v>6.5091753421075227E-3</v>
      </c>
      <c r="V34" s="50">
        <v>0.95</v>
      </c>
      <c r="W34" s="50">
        <v>0.37849235816602644</v>
      </c>
      <c r="X34" s="50" t="s">
        <v>7161</v>
      </c>
      <c r="Y34" s="50">
        <v>0.5</v>
      </c>
    </row>
    <row r="35" spans="2:25" x14ac:dyDescent="0.2">
      <c r="B35" s="50" t="s">
        <v>9</v>
      </c>
      <c r="C35" s="50" t="s">
        <v>333</v>
      </c>
      <c r="D35" s="50"/>
      <c r="E35" s="50"/>
      <c r="F35" s="50" t="s">
        <v>11</v>
      </c>
      <c r="G35" s="50" t="s">
        <v>1962</v>
      </c>
      <c r="H35" s="50" t="s">
        <v>15</v>
      </c>
      <c r="I35" s="50" t="s">
        <v>1120</v>
      </c>
      <c r="J35" s="50" t="s">
        <v>16</v>
      </c>
      <c r="K35" s="50" t="s">
        <v>7158</v>
      </c>
      <c r="L35" s="50">
        <v>12</v>
      </c>
      <c r="M35" s="50">
        <v>9.6</v>
      </c>
      <c r="N35" s="50">
        <v>0.86</v>
      </c>
      <c r="O35" s="50">
        <v>752193.70673999994</v>
      </c>
      <c r="P35" s="50">
        <v>29538.719999999998</v>
      </c>
      <c r="Q35" s="50">
        <v>722654.98673999996</v>
      </c>
      <c r="R35" s="50">
        <v>52610</v>
      </c>
      <c r="S35" s="50">
        <v>670044.98673999996</v>
      </c>
      <c r="T35" s="50">
        <v>40068845.434125312</v>
      </c>
      <c r="U35" s="50">
        <v>6.43691950589265E-3</v>
      </c>
      <c r="V35" s="50">
        <v>0.20000000000000004</v>
      </c>
      <c r="W35" s="50">
        <v>0.38492927767191909</v>
      </c>
      <c r="X35" s="50" t="s">
        <v>7160</v>
      </c>
      <c r="Y35" s="50">
        <v>0.32</v>
      </c>
    </row>
    <row r="36" spans="2:25" x14ac:dyDescent="0.2">
      <c r="B36" s="50" t="s">
        <v>9</v>
      </c>
      <c r="C36" s="50" t="s">
        <v>300</v>
      </c>
      <c r="D36" s="50"/>
      <c r="E36" s="50"/>
      <c r="F36" s="50" t="s">
        <v>11</v>
      </c>
      <c r="G36" s="50" t="s">
        <v>1962</v>
      </c>
      <c r="H36" s="50" t="s">
        <v>15</v>
      </c>
      <c r="I36" s="50" t="s">
        <v>1120</v>
      </c>
      <c r="J36" s="50" t="s">
        <v>16</v>
      </c>
      <c r="K36" s="50" t="s">
        <v>7158</v>
      </c>
      <c r="L36" s="50">
        <v>13</v>
      </c>
      <c r="M36" s="50">
        <v>9.6199999999999992</v>
      </c>
      <c r="N36" s="50">
        <v>1.1889250814332248</v>
      </c>
      <c r="O36" s="50">
        <v>753760.77696237492</v>
      </c>
      <c r="P36" s="50">
        <v>30312.008999999995</v>
      </c>
      <c r="Q36" s="50">
        <v>723448.76796237496</v>
      </c>
      <c r="R36" s="50">
        <v>72731.800621165065</v>
      </c>
      <c r="S36" s="50">
        <v>650716.96734120988</v>
      </c>
      <c r="T36" s="50">
        <v>40719562.401466519</v>
      </c>
      <c r="U36" s="50">
        <v>6.2512410700555944E-3</v>
      </c>
      <c r="V36" s="50">
        <v>0.26000000000000006</v>
      </c>
      <c r="W36" s="50">
        <v>0.39118051874197468</v>
      </c>
      <c r="X36" s="50" t="s">
        <v>7160</v>
      </c>
      <c r="Y36" s="50">
        <v>0.32</v>
      </c>
    </row>
    <row r="37" spans="2:25" x14ac:dyDescent="0.2">
      <c r="B37" s="50" t="s">
        <v>9</v>
      </c>
      <c r="C37" s="50" t="s">
        <v>313</v>
      </c>
      <c r="D37" s="50"/>
      <c r="E37" s="50"/>
      <c r="F37" s="50" t="s">
        <v>11</v>
      </c>
      <c r="G37" s="50" t="s">
        <v>1962</v>
      </c>
      <c r="H37" s="50" t="s">
        <v>32</v>
      </c>
      <c r="I37" s="50" t="s">
        <v>1120</v>
      </c>
      <c r="J37" s="50" t="s">
        <v>33</v>
      </c>
      <c r="K37" s="50" t="s">
        <v>7158</v>
      </c>
      <c r="L37" s="50">
        <v>10</v>
      </c>
      <c r="M37" s="50">
        <v>9.1999999999999993</v>
      </c>
      <c r="N37" s="50">
        <v>0.86</v>
      </c>
      <c r="O37" s="50">
        <v>720852.30229249992</v>
      </c>
      <c r="P37" s="50">
        <v>27212.939999999995</v>
      </c>
      <c r="Q37" s="50">
        <v>693639.36229249998</v>
      </c>
      <c r="R37" s="50">
        <v>52610</v>
      </c>
      <c r="S37" s="50">
        <v>641029.36229249998</v>
      </c>
      <c r="T37" s="50">
        <v>41360591.763759017</v>
      </c>
      <c r="U37" s="50">
        <v>6.1581751787535503E-3</v>
      </c>
      <c r="V37" s="50">
        <v>8.0000000000000071E-2</v>
      </c>
      <c r="W37" s="50">
        <v>0.39733869392072824</v>
      </c>
      <c r="X37" s="50" t="s">
        <v>7160</v>
      </c>
      <c r="Y37" s="50">
        <v>0.32</v>
      </c>
    </row>
    <row r="38" spans="2:25" x14ac:dyDescent="0.2">
      <c r="B38" s="50" t="s">
        <v>9</v>
      </c>
      <c r="C38" s="50" t="s">
        <v>61</v>
      </c>
      <c r="D38" s="50"/>
      <c r="E38" s="50"/>
      <c r="F38" s="50" t="s">
        <v>11</v>
      </c>
      <c r="G38" s="50" t="s">
        <v>1962</v>
      </c>
      <c r="H38" s="50" t="s">
        <v>15</v>
      </c>
      <c r="I38" s="50" t="s">
        <v>1121</v>
      </c>
      <c r="J38" s="50" t="s">
        <v>16</v>
      </c>
      <c r="K38" s="50" t="s">
        <v>7158</v>
      </c>
      <c r="L38" s="50">
        <v>109</v>
      </c>
      <c r="M38" s="50">
        <v>9.81</v>
      </c>
      <c r="N38" s="50">
        <v>0.2</v>
      </c>
      <c r="O38" s="50">
        <v>768647.94407493738</v>
      </c>
      <c r="P38" s="50">
        <v>100803.2545</v>
      </c>
      <c r="Q38" s="50">
        <v>667844.68957493734</v>
      </c>
      <c r="R38" s="50">
        <v>36918.75</v>
      </c>
      <c r="S38" s="50">
        <v>630925.93957493734</v>
      </c>
      <c r="T38" s="50">
        <v>41991517.703333952</v>
      </c>
      <c r="U38" s="50">
        <v>6.0611146528874059E-3</v>
      </c>
      <c r="V38" s="50">
        <v>0.91</v>
      </c>
      <c r="W38" s="50">
        <v>0.40339980857361563</v>
      </c>
      <c r="X38" s="50" t="s">
        <v>7162</v>
      </c>
      <c r="Y38" s="50">
        <v>0.2</v>
      </c>
    </row>
    <row r="39" spans="2:25" x14ac:dyDescent="0.2">
      <c r="B39" s="50" t="s">
        <v>9</v>
      </c>
      <c r="C39" s="50" t="s">
        <v>465</v>
      </c>
      <c r="D39" s="50"/>
      <c r="E39" s="50"/>
      <c r="F39" s="50" t="s">
        <v>11</v>
      </c>
      <c r="G39" s="50" t="s">
        <v>1962</v>
      </c>
      <c r="H39" s="50" t="s">
        <v>15</v>
      </c>
      <c r="I39" s="50" t="s">
        <v>1120</v>
      </c>
      <c r="J39" s="50" t="s">
        <v>16</v>
      </c>
      <c r="K39" s="50" t="s">
        <v>7158</v>
      </c>
      <c r="L39" s="50">
        <v>16</v>
      </c>
      <c r="M39" s="50">
        <v>8.8000000000000007</v>
      </c>
      <c r="N39" s="50">
        <v>0.47259387138541215</v>
      </c>
      <c r="O39" s="50">
        <v>689510.89784500003</v>
      </c>
      <c r="P39" s="50">
        <v>30727.16</v>
      </c>
      <c r="Q39" s="50">
        <v>658783.737845</v>
      </c>
      <c r="R39" s="50">
        <v>28910.655318123878</v>
      </c>
      <c r="S39" s="50">
        <v>629873.08252687613</v>
      </c>
      <c r="T39" s="50">
        <v>42621390.785860829</v>
      </c>
      <c r="U39" s="50">
        <v>6.0510001737051127E-3</v>
      </c>
      <c r="V39" s="50">
        <v>0.44999999999999996</v>
      </c>
      <c r="W39" s="50">
        <v>0.40945080874732076</v>
      </c>
      <c r="X39" s="50" t="s">
        <v>7160</v>
      </c>
      <c r="Y39" s="50">
        <v>0.32</v>
      </c>
    </row>
    <row r="40" spans="2:25" x14ac:dyDescent="0.2">
      <c r="B40" s="50" t="s">
        <v>9</v>
      </c>
      <c r="C40" s="50" t="s">
        <v>101</v>
      </c>
      <c r="D40" s="50"/>
      <c r="E40" s="50"/>
      <c r="F40" s="50" t="s">
        <v>11</v>
      </c>
      <c r="G40" s="50" t="s">
        <v>1962</v>
      </c>
      <c r="H40" s="50" t="s">
        <v>15</v>
      </c>
      <c r="I40" s="50" t="s">
        <v>1120</v>
      </c>
      <c r="J40" s="50" t="s">
        <v>16</v>
      </c>
      <c r="K40" s="50" t="s">
        <v>7158</v>
      </c>
      <c r="L40" s="50">
        <v>24</v>
      </c>
      <c r="M40" s="50">
        <v>9.1199999999999992</v>
      </c>
      <c r="N40" s="50">
        <v>0.86</v>
      </c>
      <c r="O40" s="50">
        <v>714584.02140299988</v>
      </c>
      <c r="P40" s="50">
        <v>37259.784</v>
      </c>
      <c r="Q40" s="50">
        <v>677324.23740299989</v>
      </c>
      <c r="R40" s="50">
        <v>52610</v>
      </c>
      <c r="S40" s="50">
        <v>624714.23740299989</v>
      </c>
      <c r="T40" s="50">
        <v>43246105.023263827</v>
      </c>
      <c r="U40" s="50">
        <v>6.0014407090976359E-3</v>
      </c>
      <c r="V40" s="50">
        <v>0.62</v>
      </c>
      <c r="W40" s="50">
        <v>0.4154522494564184</v>
      </c>
      <c r="X40" s="50" t="s">
        <v>7159</v>
      </c>
      <c r="Y40" s="50">
        <v>0.32</v>
      </c>
    </row>
    <row r="41" spans="2:25" x14ac:dyDescent="0.2">
      <c r="B41" s="50" t="s">
        <v>9</v>
      </c>
      <c r="C41" s="50" t="s">
        <v>358</v>
      </c>
      <c r="D41" s="50"/>
      <c r="E41" s="50"/>
      <c r="F41" s="50" t="s">
        <v>11</v>
      </c>
      <c r="G41" s="50" t="s">
        <v>1962</v>
      </c>
      <c r="H41" s="50" t="s">
        <v>32</v>
      </c>
      <c r="I41" s="50" t="s">
        <v>1120</v>
      </c>
      <c r="J41" s="50" t="s">
        <v>33</v>
      </c>
      <c r="K41" s="50" t="s">
        <v>7158</v>
      </c>
      <c r="L41" s="50">
        <v>12</v>
      </c>
      <c r="M41" s="50">
        <v>9</v>
      </c>
      <c r="N41" s="50">
        <v>0.86</v>
      </c>
      <c r="O41" s="50">
        <v>705181.60006874998</v>
      </c>
      <c r="P41" s="50">
        <v>28240.050000000003</v>
      </c>
      <c r="Q41" s="50">
        <v>676941.55006874993</v>
      </c>
      <c r="R41" s="50">
        <v>52610</v>
      </c>
      <c r="S41" s="50">
        <v>624331.55006874993</v>
      </c>
      <c r="T41" s="50">
        <v>43870436.573332578</v>
      </c>
      <c r="U41" s="50">
        <v>5.9977643476364804E-3</v>
      </c>
      <c r="V41" s="50">
        <v>0.25</v>
      </c>
      <c r="W41" s="50">
        <v>0.42145001380405489</v>
      </c>
      <c r="X41" s="50" t="s">
        <v>7159</v>
      </c>
      <c r="Y41" s="50">
        <v>0.32</v>
      </c>
    </row>
    <row r="42" spans="2:25" x14ac:dyDescent="0.2">
      <c r="B42" s="50" t="s">
        <v>9</v>
      </c>
      <c r="C42" s="50" t="s">
        <v>104</v>
      </c>
      <c r="D42" s="50"/>
      <c r="E42" s="50"/>
      <c r="F42" s="50" t="s">
        <v>11</v>
      </c>
      <c r="G42" s="50" t="s">
        <v>1962</v>
      </c>
      <c r="H42" s="50" t="s">
        <v>15</v>
      </c>
      <c r="I42" s="50" t="s">
        <v>1120</v>
      </c>
      <c r="J42" s="50" t="s">
        <v>16</v>
      </c>
      <c r="K42" s="50" t="s">
        <v>7158</v>
      </c>
      <c r="L42" s="50">
        <v>35</v>
      </c>
      <c r="M42" s="50">
        <v>9.1</v>
      </c>
      <c r="N42" s="50">
        <v>0.78731665228645387</v>
      </c>
      <c r="O42" s="50">
        <v>713016.95118062501</v>
      </c>
      <c r="P42" s="50">
        <v>45246.494999999995</v>
      </c>
      <c r="Q42" s="50">
        <v>667770.45618062501</v>
      </c>
      <c r="R42" s="50">
        <v>48163.638461384115</v>
      </c>
      <c r="S42" s="50">
        <v>619606.81771924091</v>
      </c>
      <c r="T42" s="50">
        <v>44490043.391051821</v>
      </c>
      <c r="U42" s="50">
        <v>5.9523752731376993E-3</v>
      </c>
      <c r="V42" s="50">
        <v>0.74</v>
      </c>
      <c r="W42" s="50">
        <v>0.42740238907719258</v>
      </c>
      <c r="X42" s="50" t="s">
        <v>7160</v>
      </c>
      <c r="Y42" s="50">
        <v>0.32</v>
      </c>
    </row>
    <row r="43" spans="2:25" x14ac:dyDescent="0.2">
      <c r="B43" s="50" t="s">
        <v>9</v>
      </c>
      <c r="C43" s="50" t="s">
        <v>346</v>
      </c>
      <c r="D43" s="50"/>
      <c r="E43" s="50"/>
      <c r="F43" s="50" t="s">
        <v>11</v>
      </c>
      <c r="G43" s="50" t="s">
        <v>1962</v>
      </c>
      <c r="H43" s="50" t="s">
        <v>32</v>
      </c>
      <c r="I43" s="50" t="s">
        <v>1120</v>
      </c>
      <c r="J43" s="50" t="s">
        <v>33</v>
      </c>
      <c r="K43" s="50" t="s">
        <v>7158</v>
      </c>
      <c r="L43" s="50">
        <v>10</v>
      </c>
      <c r="M43" s="50">
        <v>8.9</v>
      </c>
      <c r="N43" s="50">
        <v>0.86</v>
      </c>
      <c r="O43" s="50">
        <v>697346.24895687494</v>
      </c>
      <c r="P43" s="50">
        <v>26563.605</v>
      </c>
      <c r="Q43" s="50">
        <v>670782.64395687496</v>
      </c>
      <c r="R43" s="50">
        <v>52610</v>
      </c>
      <c r="S43" s="50">
        <v>618172.64395687496</v>
      </c>
      <c r="T43" s="50">
        <v>45108216.035008699</v>
      </c>
      <c r="U43" s="50">
        <v>5.9385975996254651E-3</v>
      </c>
      <c r="V43" s="50">
        <v>0.10999999999999996</v>
      </c>
      <c r="W43" s="50">
        <v>0.43334098667681803</v>
      </c>
      <c r="X43" s="50" t="s">
        <v>7159</v>
      </c>
      <c r="Y43" s="50">
        <v>0.32</v>
      </c>
    </row>
    <row r="44" spans="2:25" x14ac:dyDescent="0.2">
      <c r="B44" s="50" t="s">
        <v>9</v>
      </c>
      <c r="C44" s="50" t="s">
        <v>114</v>
      </c>
      <c r="D44" s="50"/>
      <c r="E44" s="50"/>
      <c r="F44" s="50" t="s">
        <v>11</v>
      </c>
      <c r="G44" s="50" t="s">
        <v>1962</v>
      </c>
      <c r="H44" s="50" t="s">
        <v>15</v>
      </c>
      <c r="I44" s="50" t="s">
        <v>1120</v>
      </c>
      <c r="J44" s="50" t="s">
        <v>16</v>
      </c>
      <c r="K44" s="50" t="s">
        <v>7158</v>
      </c>
      <c r="L44" s="50">
        <v>16</v>
      </c>
      <c r="M44" s="50">
        <v>8.8000000000000007</v>
      </c>
      <c r="N44" s="50">
        <v>0.69286256643887623</v>
      </c>
      <c r="O44" s="50">
        <v>689510.89784500003</v>
      </c>
      <c r="P44" s="50">
        <v>30727.16</v>
      </c>
      <c r="Q44" s="50">
        <v>658783.737845</v>
      </c>
      <c r="R44" s="50">
        <v>42385.464674824747</v>
      </c>
      <c r="S44" s="50">
        <v>616398.27317017526</v>
      </c>
      <c r="T44" s="50">
        <v>45724614.308178872</v>
      </c>
      <c r="U44" s="50">
        <v>5.9215517562065589E-3</v>
      </c>
      <c r="V44" s="50">
        <v>0.44999999999999996</v>
      </c>
      <c r="W44" s="50">
        <v>0.4392625384330246</v>
      </c>
      <c r="X44" s="50" t="s">
        <v>7160</v>
      </c>
      <c r="Y44" s="50">
        <v>0.32</v>
      </c>
    </row>
    <row r="45" spans="2:25" x14ac:dyDescent="0.2">
      <c r="B45" s="50" t="s">
        <v>9</v>
      </c>
      <c r="C45" s="50" t="s">
        <v>264</v>
      </c>
      <c r="D45" s="50"/>
      <c r="E45" s="50"/>
      <c r="F45" s="50" t="s">
        <v>11</v>
      </c>
      <c r="G45" s="50" t="s">
        <v>1962</v>
      </c>
      <c r="H45" s="50" t="s">
        <v>15</v>
      </c>
      <c r="I45" s="50" t="s">
        <v>1120</v>
      </c>
      <c r="J45" s="50" t="s">
        <v>16</v>
      </c>
      <c r="K45" s="50" t="s">
        <v>7158</v>
      </c>
      <c r="L45" s="50">
        <v>64</v>
      </c>
      <c r="M45" s="50">
        <v>8.9600000000000009</v>
      </c>
      <c r="N45" s="50">
        <v>0.34112149532710284</v>
      </c>
      <c r="O45" s="50">
        <v>702047.45962400013</v>
      </c>
      <c r="P45" s="50">
        <v>66113.471999999994</v>
      </c>
      <c r="Q45" s="50">
        <v>635933.98762400018</v>
      </c>
      <c r="R45" s="50">
        <v>20867.909150184747</v>
      </c>
      <c r="S45" s="50">
        <v>615066.07847381546</v>
      </c>
      <c r="T45" s="50">
        <v>46339680.386652686</v>
      </c>
      <c r="U45" s="50">
        <v>5.9087537647338267E-3</v>
      </c>
      <c r="V45" s="50">
        <v>0.86</v>
      </c>
      <c r="W45" s="50">
        <v>0.44517129219775842</v>
      </c>
      <c r="X45" s="50" t="s">
        <v>7163</v>
      </c>
      <c r="Y45" s="50">
        <v>0.32</v>
      </c>
    </row>
    <row r="46" spans="2:25" x14ac:dyDescent="0.2">
      <c r="B46" s="50" t="s">
        <v>9</v>
      </c>
      <c r="C46" s="50" t="s">
        <v>288</v>
      </c>
      <c r="D46" s="50"/>
      <c r="E46" s="50"/>
      <c r="F46" s="50" t="s">
        <v>11</v>
      </c>
      <c r="G46" s="50" t="s">
        <v>1962</v>
      </c>
      <c r="H46" s="50" t="s">
        <v>15</v>
      </c>
      <c r="I46" s="50" t="s">
        <v>1120</v>
      </c>
      <c r="J46" s="50" t="s">
        <v>16</v>
      </c>
      <c r="K46" s="50" t="s">
        <v>7158</v>
      </c>
      <c r="L46" s="50">
        <v>16</v>
      </c>
      <c r="M46" s="50">
        <v>8.48</v>
      </c>
      <c r="N46" s="50">
        <v>0.34861509073543456</v>
      </c>
      <c r="O46" s="50">
        <v>664437.77428700007</v>
      </c>
      <c r="P46" s="50">
        <v>30034.536</v>
      </c>
      <c r="Q46" s="50">
        <v>634403.2382870001</v>
      </c>
      <c r="R46" s="50">
        <v>21326.32549254792</v>
      </c>
      <c r="S46" s="50">
        <v>613076.91279445216</v>
      </c>
      <c r="T46" s="50">
        <v>46952757.299447134</v>
      </c>
      <c r="U46" s="50">
        <v>5.8896444517543478E-3</v>
      </c>
      <c r="V46" s="50">
        <v>0.47</v>
      </c>
      <c r="W46" s="50">
        <v>0.45106093664951274</v>
      </c>
      <c r="X46" s="50" t="s">
        <v>7161</v>
      </c>
      <c r="Y46" s="50">
        <v>0.32</v>
      </c>
    </row>
    <row r="47" spans="2:25" x14ac:dyDescent="0.2">
      <c r="B47" s="50" t="s">
        <v>9</v>
      </c>
      <c r="C47" s="50" t="s">
        <v>167</v>
      </c>
      <c r="D47" s="50"/>
      <c r="E47" s="50"/>
      <c r="F47" s="50" t="s">
        <v>11</v>
      </c>
      <c r="G47" s="50" t="s">
        <v>1962</v>
      </c>
      <c r="H47" s="50" t="s">
        <v>15</v>
      </c>
      <c r="I47" s="50" t="s">
        <v>1120</v>
      </c>
      <c r="J47" s="50" t="s">
        <v>16</v>
      </c>
      <c r="K47" s="50" t="s">
        <v>7158</v>
      </c>
      <c r="L47" s="50">
        <v>56</v>
      </c>
      <c r="M47" s="50">
        <v>8.9600000000000009</v>
      </c>
      <c r="N47" s="50">
        <v>0.64351198871650217</v>
      </c>
      <c r="O47" s="50">
        <v>702047.45962400013</v>
      </c>
      <c r="P47" s="50">
        <v>60273.472000000002</v>
      </c>
      <c r="Q47" s="50">
        <v>641773.98762400018</v>
      </c>
      <c r="R47" s="50">
        <v>39366.471774854865</v>
      </c>
      <c r="S47" s="50">
        <v>602407.51584914536</v>
      </c>
      <c r="T47" s="50">
        <v>47555164.815296277</v>
      </c>
      <c r="U47" s="50">
        <v>5.7871467826836496E-3</v>
      </c>
      <c r="V47" s="50">
        <v>0.84</v>
      </c>
      <c r="W47" s="50">
        <v>0.45684808343219641</v>
      </c>
      <c r="X47" s="50" t="s">
        <v>7160</v>
      </c>
      <c r="Y47" s="50">
        <v>0.32</v>
      </c>
    </row>
    <row r="48" spans="2:25" x14ac:dyDescent="0.2">
      <c r="B48" s="50" t="s">
        <v>9</v>
      </c>
      <c r="C48" s="50" t="s">
        <v>247</v>
      </c>
      <c r="D48" s="50"/>
      <c r="E48" s="50"/>
      <c r="F48" s="50" t="s">
        <v>11</v>
      </c>
      <c r="G48" s="50" t="s">
        <v>1962</v>
      </c>
      <c r="H48" s="50" t="s">
        <v>15</v>
      </c>
      <c r="I48" s="50" t="s">
        <v>1120</v>
      </c>
      <c r="J48" s="50" t="s">
        <v>16</v>
      </c>
      <c r="K48" s="50" t="s">
        <v>7158</v>
      </c>
      <c r="L48" s="50">
        <v>18</v>
      </c>
      <c r="M48" s="50">
        <v>9</v>
      </c>
      <c r="N48" s="50">
        <v>1.279885240675805</v>
      </c>
      <c r="O48" s="50">
        <v>705181.60006874998</v>
      </c>
      <c r="P48" s="50">
        <v>32620.050000000003</v>
      </c>
      <c r="Q48" s="50">
        <v>672561.55006874993</v>
      </c>
      <c r="R48" s="50">
        <v>78296.235479016395</v>
      </c>
      <c r="S48" s="50">
        <v>594265.31458973349</v>
      </c>
      <c r="T48" s="50">
        <v>48149430.129886009</v>
      </c>
      <c r="U48" s="50">
        <v>5.7089271181166353E-3</v>
      </c>
      <c r="V48" s="50">
        <v>0.5</v>
      </c>
      <c r="W48" s="50">
        <v>0.46255701055031306</v>
      </c>
      <c r="X48" s="50" t="s">
        <v>7160</v>
      </c>
      <c r="Y48" s="50">
        <v>0.32</v>
      </c>
    </row>
    <row r="49" spans="2:25" x14ac:dyDescent="0.2">
      <c r="B49" s="50" t="s">
        <v>9</v>
      </c>
      <c r="C49" s="50" t="s">
        <v>347</v>
      </c>
      <c r="D49" s="50"/>
      <c r="E49" s="50"/>
      <c r="F49" s="50" t="s">
        <v>11</v>
      </c>
      <c r="G49" s="50" t="s">
        <v>1962</v>
      </c>
      <c r="H49" s="50" t="s">
        <v>32</v>
      </c>
      <c r="I49" s="50" t="s">
        <v>1120</v>
      </c>
      <c r="J49" s="50" t="s">
        <v>33</v>
      </c>
      <c r="K49" s="50" t="s">
        <v>7158</v>
      </c>
      <c r="L49" s="50">
        <v>9</v>
      </c>
      <c r="M49" s="50">
        <v>8.5500000000000007</v>
      </c>
      <c r="N49" s="50">
        <v>0.86</v>
      </c>
      <c r="O49" s="50">
        <v>669922.52006531251</v>
      </c>
      <c r="P49" s="50">
        <v>25076.047500000004</v>
      </c>
      <c r="Q49" s="50">
        <v>644846.47256531252</v>
      </c>
      <c r="R49" s="50">
        <v>52610</v>
      </c>
      <c r="S49" s="50">
        <v>592236.47256531252</v>
      </c>
      <c r="T49" s="50">
        <v>48741666.602451324</v>
      </c>
      <c r="U49" s="50">
        <v>5.6894366464918739E-3</v>
      </c>
      <c r="V49" s="50">
        <v>4.999999999999992E-2</v>
      </c>
      <c r="W49" s="50">
        <v>0.46824644719680492</v>
      </c>
      <c r="X49" s="50" t="s">
        <v>7159</v>
      </c>
      <c r="Y49" s="50">
        <v>0.32</v>
      </c>
    </row>
    <row r="50" spans="2:25" x14ac:dyDescent="0.2">
      <c r="B50" s="50" t="s">
        <v>9</v>
      </c>
      <c r="C50" s="50" t="s">
        <v>137</v>
      </c>
      <c r="D50" s="50"/>
      <c r="E50" s="50"/>
      <c r="F50" s="50" t="s">
        <v>11</v>
      </c>
      <c r="G50" s="50" t="s">
        <v>1962</v>
      </c>
      <c r="H50" s="50" t="s">
        <v>15</v>
      </c>
      <c r="I50" s="50" t="s">
        <v>1120</v>
      </c>
      <c r="J50" s="50" t="s">
        <v>16</v>
      </c>
      <c r="K50" s="50" t="s">
        <v>7158</v>
      </c>
      <c r="L50" s="50">
        <v>44</v>
      </c>
      <c r="M50" s="50">
        <v>8.8000000000000007</v>
      </c>
      <c r="N50" s="50">
        <v>0.86</v>
      </c>
      <c r="O50" s="50">
        <v>689510.89784500003</v>
      </c>
      <c r="P50" s="50">
        <v>51167.159999999996</v>
      </c>
      <c r="Q50" s="50">
        <v>638343.737845</v>
      </c>
      <c r="R50" s="50">
        <v>52610</v>
      </c>
      <c r="S50" s="50">
        <v>585733.737845</v>
      </c>
      <c r="T50" s="50">
        <v>49327400.340296328</v>
      </c>
      <c r="U50" s="50">
        <v>5.6269668410442175E-3</v>
      </c>
      <c r="V50" s="50">
        <v>0.8</v>
      </c>
      <c r="W50" s="50">
        <v>0.47387341403784911</v>
      </c>
      <c r="X50" s="50" t="s">
        <v>7162</v>
      </c>
      <c r="Y50" s="50">
        <v>0.32</v>
      </c>
    </row>
    <row r="51" spans="2:25" x14ac:dyDescent="0.2">
      <c r="B51" s="50" t="s">
        <v>9</v>
      </c>
      <c r="C51" s="50" t="s">
        <v>7164</v>
      </c>
      <c r="D51" s="50"/>
      <c r="E51" s="50"/>
      <c r="F51" s="50" t="s">
        <v>11</v>
      </c>
      <c r="G51" s="51" t="s">
        <v>527</v>
      </c>
      <c r="H51" s="50" t="s">
        <v>32</v>
      </c>
      <c r="I51" s="50" t="s">
        <v>1120</v>
      </c>
      <c r="J51" s="50" t="s">
        <v>33</v>
      </c>
      <c r="K51" s="50" t="s">
        <v>7158</v>
      </c>
      <c r="L51" s="50">
        <v>17</v>
      </c>
      <c r="M51" s="50">
        <v>8.33</v>
      </c>
      <c r="N51" s="50">
        <v>0.86</v>
      </c>
      <c r="O51" s="50">
        <v>652684.74761918746</v>
      </c>
      <c r="P51" s="50">
        <v>30439.868499999997</v>
      </c>
      <c r="Q51" s="50">
        <v>622244.87911918748</v>
      </c>
      <c r="R51" s="50">
        <v>52610</v>
      </c>
      <c r="S51" s="50">
        <v>569634.87911918748</v>
      </c>
      <c r="T51" s="50">
        <v>49897035.219415516</v>
      </c>
      <c r="U51" s="50">
        <v>5.4723099750045596E-3</v>
      </c>
      <c r="V51" s="50">
        <v>0.51</v>
      </c>
      <c r="W51" s="50">
        <v>0.47934572401285369</v>
      </c>
      <c r="X51" s="50" t="s">
        <v>7160</v>
      </c>
      <c r="Y51" s="50">
        <v>0.32</v>
      </c>
    </row>
    <row r="52" spans="2:25" x14ac:dyDescent="0.2">
      <c r="B52" s="50" t="s">
        <v>9</v>
      </c>
      <c r="C52" s="50" t="s">
        <v>351</v>
      </c>
      <c r="D52" s="50"/>
      <c r="E52" s="50"/>
      <c r="F52" s="50" t="s">
        <v>11</v>
      </c>
      <c r="G52" s="50" t="s">
        <v>1962</v>
      </c>
      <c r="H52" s="50" t="s">
        <v>32</v>
      </c>
      <c r="I52" s="50" t="s">
        <v>1120</v>
      </c>
      <c r="J52" s="50" t="s">
        <v>33</v>
      </c>
      <c r="K52" s="50" t="s">
        <v>7158</v>
      </c>
      <c r="L52" s="50">
        <v>9</v>
      </c>
      <c r="M52" s="50">
        <v>8.19</v>
      </c>
      <c r="N52" s="50">
        <v>0.86</v>
      </c>
      <c r="O52" s="50">
        <v>641715.25606256246</v>
      </c>
      <c r="P52" s="50">
        <v>24296.845499999999</v>
      </c>
      <c r="Q52" s="50">
        <v>617418.41056256241</v>
      </c>
      <c r="R52" s="50">
        <v>52610</v>
      </c>
      <c r="S52" s="50">
        <v>564808.41056256241</v>
      </c>
      <c r="T52" s="50">
        <v>50461843.629978076</v>
      </c>
      <c r="U52" s="50">
        <v>5.4259435515381709E-3</v>
      </c>
      <c r="V52" s="50">
        <v>9.0000000000000052E-2</v>
      </c>
      <c r="W52" s="50">
        <v>0.48477166756439188</v>
      </c>
      <c r="X52" s="50" t="s">
        <v>7161</v>
      </c>
      <c r="Y52" s="50">
        <v>0.32</v>
      </c>
    </row>
    <row r="53" spans="2:25" x14ac:dyDescent="0.2">
      <c r="B53" s="50" t="s">
        <v>9</v>
      </c>
      <c r="C53" s="50" t="s">
        <v>7165</v>
      </c>
      <c r="D53" s="50"/>
      <c r="E53" s="50"/>
      <c r="F53" s="50" t="s">
        <v>11</v>
      </c>
      <c r="G53" s="51" t="s">
        <v>527</v>
      </c>
      <c r="H53" s="50" t="s">
        <v>32</v>
      </c>
      <c r="I53" s="50" t="s">
        <v>1120</v>
      </c>
      <c r="J53" s="50" t="s">
        <v>33</v>
      </c>
      <c r="K53" s="50" t="s">
        <v>7158</v>
      </c>
      <c r="L53" s="50">
        <v>8</v>
      </c>
      <c r="M53" s="50">
        <v>7.92</v>
      </c>
      <c r="N53" s="50">
        <v>0.86</v>
      </c>
      <c r="O53" s="50">
        <v>620559.80806049996</v>
      </c>
      <c r="P53" s="50">
        <v>22982.444</v>
      </c>
      <c r="Q53" s="50">
        <v>597577.36406049994</v>
      </c>
      <c r="R53" s="50">
        <v>52610</v>
      </c>
      <c r="S53" s="50">
        <v>544967.36406049994</v>
      </c>
      <c r="T53" s="50">
        <v>51006810.994038574</v>
      </c>
      <c r="U53" s="50">
        <v>5.2353366195054011E-3</v>
      </c>
      <c r="V53" s="50">
        <v>1.0000000000000009E-2</v>
      </c>
      <c r="W53" s="50">
        <v>0.49000700418389731</v>
      </c>
      <c r="X53" s="50" t="s">
        <v>7160</v>
      </c>
      <c r="Y53" s="50">
        <v>0.32</v>
      </c>
    </row>
    <row r="54" spans="2:25" x14ac:dyDescent="0.2">
      <c r="B54" s="50" t="s">
        <v>9</v>
      </c>
      <c r="C54" s="50" t="s">
        <v>144</v>
      </c>
      <c r="D54" s="50"/>
      <c r="E54" s="50"/>
      <c r="F54" s="50" t="s">
        <v>11</v>
      </c>
      <c r="G54" s="50" t="s">
        <v>1962</v>
      </c>
      <c r="H54" s="50" t="s">
        <v>15</v>
      </c>
      <c r="I54" s="50" t="s">
        <v>1120</v>
      </c>
      <c r="J54" s="50" t="s">
        <v>16</v>
      </c>
      <c r="K54" s="50" t="s">
        <v>7158</v>
      </c>
      <c r="L54" s="50">
        <v>83</v>
      </c>
      <c r="M54" s="50">
        <v>9.1300000000000008</v>
      </c>
      <c r="N54" s="50">
        <v>1.4918256130790188</v>
      </c>
      <c r="O54" s="50">
        <v>715367.55651418748</v>
      </c>
      <c r="P54" s="50">
        <v>80351.428499999995</v>
      </c>
      <c r="Q54" s="50">
        <v>635016.12801418744</v>
      </c>
      <c r="R54" s="50">
        <v>91261.564539636267</v>
      </c>
      <c r="S54" s="50">
        <v>543754.56347455119</v>
      </c>
      <c r="T54" s="50">
        <v>51550565.557513125</v>
      </c>
      <c r="U54" s="50">
        <v>5.2236856111358984E-3</v>
      </c>
      <c r="V54" s="50">
        <v>0.89</v>
      </c>
      <c r="W54" s="50">
        <v>0.49523068979503321</v>
      </c>
      <c r="X54" s="50" t="s">
        <v>7161</v>
      </c>
      <c r="Y54" s="50">
        <v>0.32</v>
      </c>
    </row>
    <row r="55" spans="2:25" x14ac:dyDescent="0.2">
      <c r="B55" s="50" t="s">
        <v>9</v>
      </c>
      <c r="C55" s="50" t="s">
        <v>469</v>
      </c>
      <c r="D55" s="50"/>
      <c r="E55" s="50"/>
      <c r="F55" s="50" t="s">
        <v>11</v>
      </c>
      <c r="G55" s="50" t="s">
        <v>1962</v>
      </c>
      <c r="H55" s="50" t="s">
        <v>32</v>
      </c>
      <c r="I55" s="50" t="s">
        <v>1120</v>
      </c>
      <c r="J55" s="50" t="s">
        <v>33</v>
      </c>
      <c r="K55" s="50" t="s">
        <v>7158</v>
      </c>
      <c r="L55" s="50">
        <v>10</v>
      </c>
      <c r="M55" s="50">
        <v>7.5</v>
      </c>
      <c r="N55" s="50">
        <v>0.53343076360979169</v>
      </c>
      <c r="O55" s="50">
        <v>587651.33339062496</v>
      </c>
      <c r="P55" s="50">
        <v>23533.374999999996</v>
      </c>
      <c r="Q55" s="50">
        <v>564117.95839062496</v>
      </c>
      <c r="R55" s="50">
        <v>32632.316829664112</v>
      </c>
      <c r="S55" s="50">
        <v>531485.64156096079</v>
      </c>
      <c r="T55" s="50">
        <v>52082051.19907409</v>
      </c>
      <c r="U55" s="50">
        <v>5.1058217895347544E-3</v>
      </c>
      <c r="V55" s="50">
        <v>0.25</v>
      </c>
      <c r="W55" s="50">
        <v>0.50033651158456793</v>
      </c>
      <c r="X55" s="50" t="s">
        <v>7160</v>
      </c>
      <c r="Y55" s="50">
        <v>0.32</v>
      </c>
    </row>
    <row r="56" spans="2:25" x14ac:dyDescent="0.2">
      <c r="B56" s="50" t="s">
        <v>9</v>
      </c>
      <c r="C56" s="50" t="s">
        <v>223</v>
      </c>
      <c r="D56" s="50"/>
      <c r="E56" s="50"/>
      <c r="F56" s="50" t="s">
        <v>11</v>
      </c>
      <c r="G56" s="50" t="s">
        <v>1962</v>
      </c>
      <c r="H56" s="50" t="s">
        <v>15</v>
      </c>
      <c r="I56" s="50" t="s">
        <v>1120</v>
      </c>
      <c r="J56" s="50" t="s">
        <v>16</v>
      </c>
      <c r="K56" s="50" t="s">
        <v>7158</v>
      </c>
      <c r="L56" s="50">
        <v>15</v>
      </c>
      <c r="M56" s="50">
        <v>7.2</v>
      </c>
      <c r="N56" s="50">
        <v>0.26808666911494672</v>
      </c>
      <c r="O56" s="50">
        <v>564145.28005499998</v>
      </c>
      <c r="P56" s="50">
        <v>26534.04</v>
      </c>
      <c r="Q56" s="50">
        <v>537611.24005499994</v>
      </c>
      <c r="R56" s="50">
        <v>16400.04611876436</v>
      </c>
      <c r="S56" s="50">
        <v>521211.19393623556</v>
      </c>
      <c r="T56" s="50">
        <v>52603262.393010326</v>
      </c>
      <c r="U56" s="50">
        <v>5.0071182791187755E-3</v>
      </c>
      <c r="V56" s="50">
        <v>0.52</v>
      </c>
      <c r="W56" s="50">
        <v>0.50534362986368675</v>
      </c>
      <c r="X56" s="50" t="s">
        <v>7159</v>
      </c>
      <c r="Y56" s="50">
        <v>0.32</v>
      </c>
    </row>
    <row r="57" spans="2:25" x14ac:dyDescent="0.2">
      <c r="B57" s="50" t="s">
        <v>9</v>
      </c>
      <c r="C57" s="50" t="s">
        <v>345</v>
      </c>
      <c r="D57" s="50"/>
      <c r="E57" s="50"/>
      <c r="F57" s="50" t="s">
        <v>11</v>
      </c>
      <c r="G57" s="50" t="s">
        <v>1962</v>
      </c>
      <c r="H57" s="50" t="s">
        <v>32</v>
      </c>
      <c r="I57" s="50" t="s">
        <v>1120</v>
      </c>
      <c r="J57" s="50" t="s">
        <v>33</v>
      </c>
      <c r="K57" s="50" t="s">
        <v>7158</v>
      </c>
      <c r="L57" s="50">
        <v>8</v>
      </c>
      <c r="M57" s="50">
        <v>7.36</v>
      </c>
      <c r="N57" s="50">
        <v>0.6992337164750958</v>
      </c>
      <c r="O57" s="50">
        <v>576681.84183399996</v>
      </c>
      <c r="P57" s="50">
        <v>21770.351999999999</v>
      </c>
      <c r="Q57" s="50">
        <v>554911.48983400001</v>
      </c>
      <c r="R57" s="50">
        <v>42775.216074133481</v>
      </c>
      <c r="S57" s="50">
        <v>512136.27375986654</v>
      </c>
      <c r="T57" s="50">
        <v>53115398.66677019</v>
      </c>
      <c r="U57" s="50">
        <v>4.9199382660544359E-3</v>
      </c>
      <c r="V57" s="50">
        <v>7.999999999999996E-2</v>
      </c>
      <c r="W57" s="50">
        <v>0.51026356812974116</v>
      </c>
      <c r="X57" s="50" t="s">
        <v>7159</v>
      </c>
      <c r="Y57" s="50">
        <v>0.32</v>
      </c>
    </row>
    <row r="58" spans="2:25" x14ac:dyDescent="0.2">
      <c r="B58" s="50" t="s">
        <v>9</v>
      </c>
      <c r="C58" s="50" t="s">
        <v>483</v>
      </c>
      <c r="D58" s="50"/>
      <c r="E58" s="50"/>
      <c r="F58" s="50" t="s">
        <v>11</v>
      </c>
      <c r="G58" s="50" t="s">
        <v>1962</v>
      </c>
      <c r="H58" s="50" t="s">
        <v>15</v>
      </c>
      <c r="I58" s="50" t="s">
        <v>1121</v>
      </c>
      <c r="J58" s="50" t="s">
        <v>16</v>
      </c>
      <c r="K58" s="50" t="s">
        <v>7158</v>
      </c>
      <c r="L58" s="50">
        <v>69</v>
      </c>
      <c r="M58" s="50">
        <v>9.66</v>
      </c>
      <c r="N58" s="50">
        <v>1</v>
      </c>
      <c r="O58" s="50">
        <v>756894.917407125</v>
      </c>
      <c r="P58" s="50">
        <v>71278.587</v>
      </c>
      <c r="Q58" s="50">
        <v>685616.33040712494</v>
      </c>
      <c r="R58" s="50">
        <v>184593.75</v>
      </c>
      <c r="S58" s="50">
        <v>501022.58040712494</v>
      </c>
      <c r="T58" s="50">
        <v>53616421.247177318</v>
      </c>
      <c r="U58" s="50">
        <v>4.8131723757926063E-3</v>
      </c>
      <c r="V58" s="50">
        <v>0.8600000000000001</v>
      </c>
      <c r="W58" s="50">
        <v>0.51507674050553376</v>
      </c>
      <c r="X58" s="50" t="s">
        <v>7160</v>
      </c>
      <c r="Y58" s="50">
        <v>1</v>
      </c>
    </row>
    <row r="59" spans="2:25" x14ac:dyDescent="0.2">
      <c r="B59" s="50" t="s">
        <v>9</v>
      </c>
      <c r="C59" s="50" t="s">
        <v>312</v>
      </c>
      <c r="D59" s="50"/>
      <c r="E59" s="50"/>
      <c r="F59" s="50" t="s">
        <v>11</v>
      </c>
      <c r="G59" s="50" t="s">
        <v>1962</v>
      </c>
      <c r="H59" s="50" t="s">
        <v>32</v>
      </c>
      <c r="I59" s="50" t="s">
        <v>1120</v>
      </c>
      <c r="J59" s="50" t="s">
        <v>33</v>
      </c>
      <c r="K59" s="50" t="s">
        <v>7158</v>
      </c>
      <c r="L59" s="50">
        <v>17</v>
      </c>
      <c r="M59" s="50">
        <v>8.5</v>
      </c>
      <c r="N59" s="50">
        <v>2.3523093447905481</v>
      </c>
      <c r="O59" s="50">
        <v>666004.84450937493</v>
      </c>
      <c r="P59" s="50">
        <v>30807.825000000001</v>
      </c>
      <c r="Q59" s="50">
        <v>635197.01950937498</v>
      </c>
      <c r="R59" s="50">
        <v>143901.15654584969</v>
      </c>
      <c r="S59" s="50">
        <v>491295.86296352529</v>
      </c>
      <c r="T59" s="50">
        <v>54107717.110140845</v>
      </c>
      <c r="U59" s="50">
        <v>4.7197307435439531E-3</v>
      </c>
      <c r="V59" s="50">
        <v>0.5</v>
      </c>
      <c r="W59" s="50">
        <v>0.51979647124907769</v>
      </c>
      <c r="X59" s="50" t="s">
        <v>7161</v>
      </c>
      <c r="Y59" s="50">
        <v>0.32</v>
      </c>
    </row>
    <row r="60" spans="2:25" x14ac:dyDescent="0.2">
      <c r="B60" s="50" t="s">
        <v>9</v>
      </c>
      <c r="C60" s="50" t="s">
        <v>356</v>
      </c>
      <c r="D60" s="50"/>
      <c r="E60" s="50"/>
      <c r="F60" s="50" t="s">
        <v>11</v>
      </c>
      <c r="G60" s="50" t="s">
        <v>1962</v>
      </c>
      <c r="H60" s="50" t="s">
        <v>32</v>
      </c>
      <c r="I60" s="50" t="s">
        <v>1120</v>
      </c>
      <c r="J60" s="50" t="s">
        <v>33</v>
      </c>
      <c r="K60" s="50" t="s">
        <v>7158</v>
      </c>
      <c r="L60" s="50">
        <v>9</v>
      </c>
      <c r="M60" s="50">
        <v>7.2</v>
      </c>
      <c r="N60" s="50">
        <v>0.86</v>
      </c>
      <c r="O60" s="50">
        <v>564145.28005499998</v>
      </c>
      <c r="P60" s="50">
        <v>22154.04</v>
      </c>
      <c r="Q60" s="50">
        <v>541991.24005499994</v>
      </c>
      <c r="R60" s="50">
        <v>52610</v>
      </c>
      <c r="S60" s="50">
        <v>489381.24005499994</v>
      </c>
      <c r="T60" s="50">
        <v>54597098.350195847</v>
      </c>
      <c r="U60" s="50">
        <v>4.7013375404154917E-3</v>
      </c>
      <c r="V60" s="50">
        <v>0.19999999999999998</v>
      </c>
      <c r="W60" s="50">
        <v>0.52449780878949315</v>
      </c>
      <c r="X60" s="50" t="s">
        <v>7159</v>
      </c>
      <c r="Y60" s="50">
        <v>0.32</v>
      </c>
    </row>
    <row r="61" spans="2:25" x14ac:dyDescent="0.2">
      <c r="B61" s="50" t="s">
        <v>9</v>
      </c>
      <c r="C61" s="50" t="s">
        <v>332</v>
      </c>
      <c r="D61" s="50"/>
      <c r="E61" s="50"/>
      <c r="F61" s="50" t="s">
        <v>11</v>
      </c>
      <c r="G61" s="50" t="s">
        <v>1962</v>
      </c>
      <c r="H61" s="50" t="s">
        <v>15</v>
      </c>
      <c r="I61" s="50" t="s">
        <v>1120</v>
      </c>
      <c r="J61" s="50" t="s">
        <v>16</v>
      </c>
      <c r="K61" s="50" t="s">
        <v>7158</v>
      </c>
      <c r="L61" s="50">
        <v>12</v>
      </c>
      <c r="M61" s="50">
        <v>7.2</v>
      </c>
      <c r="N61" s="50">
        <v>0.86</v>
      </c>
      <c r="O61" s="50">
        <v>564145.28005499998</v>
      </c>
      <c r="P61" s="50">
        <v>24344.04</v>
      </c>
      <c r="Q61" s="50">
        <v>539801.24005499994</v>
      </c>
      <c r="R61" s="50">
        <v>52610</v>
      </c>
      <c r="S61" s="50">
        <v>487191.24005499994</v>
      </c>
      <c r="T61" s="50">
        <v>55084289.59025085</v>
      </c>
      <c r="U61" s="50">
        <v>4.6802988728679726E-3</v>
      </c>
      <c r="V61" s="50">
        <v>0.39999999999999997</v>
      </c>
      <c r="W61" s="50">
        <v>0.52917810766236117</v>
      </c>
      <c r="X61" s="50" t="s">
        <v>7160</v>
      </c>
      <c r="Y61" s="50">
        <v>0.32</v>
      </c>
    </row>
    <row r="62" spans="2:25" x14ac:dyDescent="0.2">
      <c r="B62" s="50" t="s">
        <v>9</v>
      </c>
      <c r="C62" s="50" t="s">
        <v>204</v>
      </c>
      <c r="D62" s="50"/>
      <c r="E62" s="50"/>
      <c r="F62" s="50" t="s">
        <v>11</v>
      </c>
      <c r="G62" s="50" t="s">
        <v>1962</v>
      </c>
      <c r="H62" s="50" t="s">
        <v>15</v>
      </c>
      <c r="I62" s="50" t="s">
        <v>1120</v>
      </c>
      <c r="J62" s="50" t="s">
        <v>16</v>
      </c>
      <c r="K62" s="50" t="s">
        <v>7158</v>
      </c>
      <c r="L62" s="50">
        <v>73</v>
      </c>
      <c r="M62" s="50">
        <v>8.0299999999999994</v>
      </c>
      <c r="N62" s="50">
        <v>1.3376087952359139</v>
      </c>
      <c r="O62" s="50">
        <v>629178.69428356236</v>
      </c>
      <c r="P62" s="50">
        <v>70670.53349999999</v>
      </c>
      <c r="Q62" s="50">
        <v>558508.16078356234</v>
      </c>
      <c r="R62" s="50">
        <v>81827.440369024931</v>
      </c>
      <c r="S62" s="50">
        <v>476680.72041453741</v>
      </c>
      <c r="T62" s="50">
        <v>55560970.310665384</v>
      </c>
      <c r="U62" s="50">
        <v>4.5793274900061626E-3</v>
      </c>
      <c r="V62" s="50">
        <v>0.89</v>
      </c>
      <c r="W62" s="50">
        <v>0.53375743515236729</v>
      </c>
      <c r="X62" s="50" t="s">
        <v>7160</v>
      </c>
      <c r="Y62" s="50">
        <v>0.32</v>
      </c>
    </row>
    <row r="63" spans="2:25" x14ac:dyDescent="0.2">
      <c r="B63" s="50" t="s">
        <v>9</v>
      </c>
      <c r="C63" s="50" t="s">
        <v>280</v>
      </c>
      <c r="D63" s="50"/>
      <c r="E63" s="50"/>
      <c r="F63" s="50" t="s">
        <v>11</v>
      </c>
      <c r="G63" s="50" t="s">
        <v>1962</v>
      </c>
      <c r="H63" s="50" t="s">
        <v>15</v>
      </c>
      <c r="I63" s="50" t="s">
        <v>1121</v>
      </c>
      <c r="J63" s="50" t="s">
        <v>16</v>
      </c>
      <c r="K63" s="50" t="s">
        <v>7158</v>
      </c>
      <c r="L63" s="50">
        <v>84</v>
      </c>
      <c r="M63" s="50">
        <v>7.56</v>
      </c>
      <c r="N63" s="50">
        <v>0.25</v>
      </c>
      <c r="O63" s="50">
        <v>592352.54405775003</v>
      </c>
      <c r="P63" s="50">
        <v>77683.241999999998</v>
      </c>
      <c r="Q63" s="50">
        <v>514669.30205775006</v>
      </c>
      <c r="R63" s="50">
        <v>46148.4375</v>
      </c>
      <c r="S63" s="50">
        <v>468520.86455775006</v>
      </c>
      <c r="T63" s="50">
        <v>56029491.175223134</v>
      </c>
      <c r="U63" s="50">
        <v>4.5009382230624968E-3</v>
      </c>
      <c r="V63" s="50">
        <v>0.90999999999999992</v>
      </c>
      <c r="W63" s="50">
        <v>0.53825837337542981</v>
      </c>
      <c r="X63" s="50" t="s">
        <v>7161</v>
      </c>
      <c r="Y63" s="50">
        <v>0.25</v>
      </c>
    </row>
    <row r="64" spans="2:25" x14ac:dyDescent="0.2">
      <c r="B64" s="50" t="s">
        <v>9</v>
      </c>
      <c r="C64" s="50" t="s">
        <v>305</v>
      </c>
      <c r="D64" s="50"/>
      <c r="E64" s="50"/>
      <c r="F64" s="50" t="s">
        <v>11</v>
      </c>
      <c r="G64" s="50" t="s">
        <v>1962</v>
      </c>
      <c r="H64" s="50" t="s">
        <v>15</v>
      </c>
      <c r="I64" s="50" t="s">
        <v>1120</v>
      </c>
      <c r="J64" s="50" t="s">
        <v>16</v>
      </c>
      <c r="K64" s="50" t="s">
        <v>7158</v>
      </c>
      <c r="L64" s="50">
        <v>22</v>
      </c>
      <c r="M64" s="50">
        <v>6.6</v>
      </c>
      <c r="N64" s="50">
        <v>0.32172763331864257</v>
      </c>
      <c r="O64" s="50">
        <v>517133.17338374996</v>
      </c>
      <c r="P64" s="50">
        <v>30345.370000000003</v>
      </c>
      <c r="Q64" s="50">
        <v>486787.80338374997</v>
      </c>
      <c r="R64" s="50">
        <v>19681.500917318357</v>
      </c>
      <c r="S64" s="50">
        <v>467106.30246643163</v>
      </c>
      <c r="T64" s="50">
        <v>56496597.477689564</v>
      </c>
      <c r="U64" s="50">
        <v>4.4873489529416877E-3</v>
      </c>
      <c r="V64" s="50">
        <v>0.70000000000000007</v>
      </c>
      <c r="W64" s="50">
        <v>0.54274572232837148</v>
      </c>
      <c r="X64" s="50" t="s">
        <v>7161</v>
      </c>
      <c r="Y64" s="50">
        <v>0.32</v>
      </c>
    </row>
    <row r="65" spans="2:25" x14ac:dyDescent="0.2">
      <c r="B65" s="50" t="s">
        <v>9</v>
      </c>
      <c r="C65" s="50" t="s">
        <v>415</v>
      </c>
      <c r="D65" s="50"/>
      <c r="E65" s="50"/>
      <c r="F65" s="50" t="s">
        <v>11</v>
      </c>
      <c r="G65" s="50" t="s">
        <v>1962</v>
      </c>
      <c r="H65" s="50" t="s">
        <v>15</v>
      </c>
      <c r="I65" s="50" t="s">
        <v>1120</v>
      </c>
      <c r="J65" s="50" t="s">
        <v>16</v>
      </c>
      <c r="K65" s="50" t="s">
        <v>7158</v>
      </c>
      <c r="L65" s="50">
        <v>53</v>
      </c>
      <c r="M65" s="50">
        <v>7.95</v>
      </c>
      <c r="N65" s="50">
        <v>1.6339531680440771</v>
      </c>
      <c r="O65" s="50">
        <v>622910.41339406255</v>
      </c>
      <c r="P65" s="50">
        <v>55897.377499999995</v>
      </c>
      <c r="Q65" s="50">
        <v>567013.0358940626</v>
      </c>
      <c r="R65" s="50">
        <v>99956.135082324297</v>
      </c>
      <c r="S65" s="50">
        <v>467056.90081173833</v>
      </c>
      <c r="T65" s="50">
        <v>56963654.378501303</v>
      </c>
      <c r="U65" s="50">
        <v>4.4868743661885414E-3</v>
      </c>
      <c r="V65" s="50">
        <v>0.85</v>
      </c>
      <c r="W65" s="50">
        <v>0.54723259669456004</v>
      </c>
      <c r="X65" s="50" t="s">
        <v>7160</v>
      </c>
      <c r="Y65" s="50">
        <v>0.32</v>
      </c>
    </row>
    <row r="66" spans="2:25" x14ac:dyDescent="0.2">
      <c r="B66" s="50" t="s">
        <v>9</v>
      </c>
      <c r="C66" s="50" t="s">
        <v>72</v>
      </c>
      <c r="D66" s="50"/>
      <c r="E66" s="50"/>
      <c r="F66" s="50" t="s">
        <v>11</v>
      </c>
      <c r="G66" s="50" t="s">
        <v>1962</v>
      </c>
      <c r="H66" s="50" t="s">
        <v>15</v>
      </c>
      <c r="I66" s="50" t="s">
        <v>1121</v>
      </c>
      <c r="J66" s="50" t="s">
        <v>16</v>
      </c>
      <c r="K66" s="50" t="s">
        <v>7158</v>
      </c>
      <c r="L66" s="50">
        <v>138</v>
      </c>
      <c r="M66" s="50">
        <v>9.66</v>
      </c>
      <c r="N66" s="50">
        <v>0.91249999999999998</v>
      </c>
      <c r="O66" s="50">
        <v>756894.917407125</v>
      </c>
      <c r="P66" s="50">
        <v>121648.587</v>
      </c>
      <c r="Q66" s="50">
        <v>635246.33040712494</v>
      </c>
      <c r="R66" s="50">
        <v>168441.796875</v>
      </c>
      <c r="S66" s="50">
        <v>466804.53353212494</v>
      </c>
      <c r="T66" s="50">
        <v>57430458.912033431</v>
      </c>
      <c r="U66" s="50">
        <v>4.4844499500718031E-3</v>
      </c>
      <c r="V66" s="50">
        <v>0.93</v>
      </c>
      <c r="W66" s="50">
        <v>0.55171704664463184</v>
      </c>
      <c r="X66" s="50" t="s">
        <v>7162</v>
      </c>
      <c r="Y66" s="50">
        <v>0.91249999999999998</v>
      </c>
    </row>
    <row r="67" spans="2:25" x14ac:dyDescent="0.2">
      <c r="B67" s="50" t="s">
        <v>9</v>
      </c>
      <c r="C67" s="50" t="s">
        <v>319</v>
      </c>
      <c r="D67" s="50"/>
      <c r="E67" s="50"/>
      <c r="F67" s="50" t="s">
        <v>11</v>
      </c>
      <c r="G67" s="50" t="s">
        <v>1962</v>
      </c>
      <c r="H67" s="50" t="s">
        <v>32</v>
      </c>
      <c r="I67" s="50" t="s">
        <v>1120</v>
      </c>
      <c r="J67" s="50" t="s">
        <v>33</v>
      </c>
      <c r="K67" s="50" t="s">
        <v>7158</v>
      </c>
      <c r="L67" s="50">
        <v>7</v>
      </c>
      <c r="M67" s="50">
        <v>6.51</v>
      </c>
      <c r="N67" s="50">
        <v>0.45825486503452606</v>
      </c>
      <c r="O67" s="50">
        <v>510081.35738306248</v>
      </c>
      <c r="P67" s="50">
        <v>19200.569499999998</v>
      </c>
      <c r="Q67" s="50">
        <v>490880.7878830625</v>
      </c>
      <c r="R67" s="50">
        <v>28033.47494124002</v>
      </c>
      <c r="S67" s="50">
        <v>462847.31294182246</v>
      </c>
      <c r="T67" s="50">
        <v>57893306.224975251</v>
      </c>
      <c r="U67" s="50">
        <v>4.4464341288793039E-3</v>
      </c>
      <c r="V67" s="50">
        <v>7.0000000000000034E-2</v>
      </c>
      <c r="W67" s="50">
        <v>0.55616348077351119</v>
      </c>
      <c r="X67" s="50" t="s">
        <v>7159</v>
      </c>
      <c r="Y67" s="50">
        <v>0.32</v>
      </c>
    </row>
    <row r="68" spans="2:25" x14ac:dyDescent="0.2">
      <c r="B68" s="50" t="s">
        <v>9</v>
      </c>
      <c r="C68" s="50" t="s">
        <v>434</v>
      </c>
      <c r="D68" s="50"/>
      <c r="E68" s="50"/>
      <c r="F68" s="50" t="s">
        <v>11</v>
      </c>
      <c r="G68" s="50" t="s">
        <v>1962</v>
      </c>
      <c r="H68" s="50" t="s">
        <v>15</v>
      </c>
      <c r="I68" s="50" t="s">
        <v>1120</v>
      </c>
      <c r="J68" s="50" t="s">
        <v>16</v>
      </c>
      <c r="K68" s="50" t="s">
        <v>7158</v>
      </c>
      <c r="L68" s="50">
        <v>28</v>
      </c>
      <c r="M68" s="50">
        <v>7.56</v>
      </c>
      <c r="N68" s="50">
        <v>1.608815426997245</v>
      </c>
      <c r="O68" s="50">
        <v>592352.54405775003</v>
      </c>
      <c r="P68" s="50">
        <v>36803.241999999998</v>
      </c>
      <c r="Q68" s="50">
        <v>555549.30205775006</v>
      </c>
      <c r="R68" s="50">
        <v>98418.348388750077</v>
      </c>
      <c r="S68" s="50">
        <v>457130.95366899995</v>
      </c>
      <c r="T68" s="50">
        <v>58350437.178644247</v>
      </c>
      <c r="U68" s="50">
        <v>4.3915187944851978E-3</v>
      </c>
      <c r="V68" s="50">
        <v>0.73000000000000009</v>
      </c>
      <c r="W68" s="50">
        <v>0.56055499956799637</v>
      </c>
      <c r="X68" s="50" t="s">
        <v>7159</v>
      </c>
      <c r="Y68" s="50">
        <v>0.32</v>
      </c>
    </row>
    <row r="69" spans="2:25" x14ac:dyDescent="0.2">
      <c r="B69" s="50" t="s">
        <v>9</v>
      </c>
      <c r="C69" s="50" t="s">
        <v>441</v>
      </c>
      <c r="D69" s="50"/>
      <c r="E69" s="50"/>
      <c r="F69" s="50" t="s">
        <v>11</v>
      </c>
      <c r="G69" s="50" t="s">
        <v>1962</v>
      </c>
      <c r="H69" s="50" t="s">
        <v>15</v>
      </c>
      <c r="I69" s="50" t="s">
        <v>1120</v>
      </c>
      <c r="J69" s="50" t="s">
        <v>16</v>
      </c>
      <c r="K69" s="50" t="s">
        <v>7158</v>
      </c>
      <c r="L69" s="50">
        <v>88</v>
      </c>
      <c r="M69" s="50">
        <v>7.04</v>
      </c>
      <c r="N69" s="50">
        <v>0.28066128412149172</v>
      </c>
      <c r="O69" s="50">
        <v>551608.718276</v>
      </c>
      <c r="P69" s="50">
        <v>79477.728000000003</v>
      </c>
      <c r="Q69" s="50">
        <v>472130.990276</v>
      </c>
      <c r="R69" s="50">
        <v>17169.29088096707</v>
      </c>
      <c r="S69" s="50">
        <v>454961.69939503295</v>
      </c>
      <c r="T69" s="50">
        <v>58805398.878039278</v>
      </c>
      <c r="U69" s="50">
        <v>4.3706794248523084E-3</v>
      </c>
      <c r="V69" s="50">
        <v>0.91999999999999993</v>
      </c>
      <c r="W69" s="50">
        <v>0.56492567899284873</v>
      </c>
      <c r="X69" s="50" t="s">
        <v>7161</v>
      </c>
      <c r="Y69" s="50">
        <v>0.32</v>
      </c>
    </row>
    <row r="70" spans="2:25" x14ac:dyDescent="0.2">
      <c r="B70" s="50" t="s">
        <v>9</v>
      </c>
      <c r="C70" s="50" t="s">
        <v>503</v>
      </c>
      <c r="D70" s="50"/>
      <c r="E70" s="50"/>
      <c r="F70" s="50" t="s">
        <v>11</v>
      </c>
      <c r="G70" s="50" t="s">
        <v>1962</v>
      </c>
      <c r="H70" s="50" t="s">
        <v>32</v>
      </c>
      <c r="I70" s="50" t="s">
        <v>1120</v>
      </c>
      <c r="J70" s="50" t="s">
        <v>33</v>
      </c>
      <c r="K70" s="50" t="s">
        <v>7158</v>
      </c>
      <c r="L70" s="50">
        <v>21</v>
      </c>
      <c r="M70" s="50">
        <v>6.72</v>
      </c>
      <c r="N70" s="50">
        <v>0.68249813014210914</v>
      </c>
      <c r="O70" s="50">
        <v>526535.59471799992</v>
      </c>
      <c r="P70" s="50">
        <v>29875.103999999999</v>
      </c>
      <c r="Q70" s="50">
        <v>496660.49071799993</v>
      </c>
      <c r="R70" s="50">
        <v>41751.426310205068</v>
      </c>
      <c r="S70" s="50">
        <v>454909.06440779485</v>
      </c>
      <c r="T70" s="50">
        <v>59260307.942447074</v>
      </c>
      <c r="U70" s="50">
        <v>4.3701737764514541E-3</v>
      </c>
      <c r="V70" s="50">
        <v>0.68</v>
      </c>
      <c r="W70" s="50">
        <v>0.56929585276930017</v>
      </c>
      <c r="X70" s="50" t="s">
        <v>7159</v>
      </c>
      <c r="Y70" s="50">
        <v>0.32</v>
      </c>
    </row>
    <row r="71" spans="2:25" x14ac:dyDescent="0.2">
      <c r="B71" s="50" t="s">
        <v>9</v>
      </c>
      <c r="C71" s="50" t="s">
        <v>36</v>
      </c>
      <c r="D71" s="50"/>
      <c r="E71" s="50"/>
      <c r="F71" s="50" t="s">
        <v>11</v>
      </c>
      <c r="G71" s="50" t="s">
        <v>1962</v>
      </c>
      <c r="H71" s="50" t="s">
        <v>15</v>
      </c>
      <c r="I71" s="50" t="s">
        <v>1121</v>
      </c>
      <c r="J71" s="50" t="s">
        <v>16</v>
      </c>
      <c r="K71" s="50" t="s">
        <v>7158</v>
      </c>
      <c r="L71" s="50">
        <v>84</v>
      </c>
      <c r="M71" s="50">
        <v>7.56</v>
      </c>
      <c r="N71" s="50">
        <v>0.35</v>
      </c>
      <c r="O71" s="50">
        <v>592352.54405775003</v>
      </c>
      <c r="P71" s="50">
        <v>77683.241999999998</v>
      </c>
      <c r="Q71" s="50">
        <v>514669.30205775006</v>
      </c>
      <c r="R71" s="50">
        <v>64607.812499999993</v>
      </c>
      <c r="S71" s="50">
        <v>450061.48955775006</v>
      </c>
      <c r="T71" s="50">
        <v>59710369.432004824</v>
      </c>
      <c r="U71" s="50">
        <v>4.3236045912086194E-3</v>
      </c>
      <c r="V71" s="50">
        <v>0.90999999999999992</v>
      </c>
      <c r="W71" s="50">
        <v>0.57361945736050879</v>
      </c>
      <c r="X71" s="50" t="s">
        <v>7163</v>
      </c>
      <c r="Y71" s="50">
        <v>0.35</v>
      </c>
    </row>
    <row r="72" spans="2:25" x14ac:dyDescent="0.2">
      <c r="B72" s="50" t="s">
        <v>9</v>
      </c>
      <c r="C72" s="50" t="s">
        <v>330</v>
      </c>
      <c r="D72" s="50"/>
      <c r="E72" s="50"/>
      <c r="F72" s="50" t="s">
        <v>11</v>
      </c>
      <c r="G72" s="50" t="s">
        <v>1962</v>
      </c>
      <c r="H72" s="50" t="s">
        <v>15</v>
      </c>
      <c r="I72" s="50" t="s">
        <v>1120</v>
      </c>
      <c r="J72" s="50" t="s">
        <v>16</v>
      </c>
      <c r="K72" s="50" t="s">
        <v>7158</v>
      </c>
      <c r="L72" s="50">
        <v>14</v>
      </c>
      <c r="M72" s="50">
        <v>6.44</v>
      </c>
      <c r="N72" s="50">
        <v>0.53914327917282134</v>
      </c>
      <c r="O72" s="50">
        <v>504596.61160474992</v>
      </c>
      <c r="P72" s="50">
        <v>24159.058000000001</v>
      </c>
      <c r="Q72" s="50">
        <v>480437.5536047499</v>
      </c>
      <c r="R72" s="50">
        <v>32981.77664800248</v>
      </c>
      <c r="S72" s="50">
        <v>447455.7769567474</v>
      </c>
      <c r="T72" s="50">
        <v>60157825.208961569</v>
      </c>
      <c r="U72" s="50">
        <v>4.2985722984520544E-3</v>
      </c>
      <c r="V72" s="50">
        <v>0.53999999999999992</v>
      </c>
      <c r="W72" s="50">
        <v>0.57791802965896089</v>
      </c>
      <c r="X72" s="50" t="s">
        <v>7161</v>
      </c>
      <c r="Y72" s="50">
        <v>0.32</v>
      </c>
    </row>
    <row r="73" spans="2:25" x14ac:dyDescent="0.2">
      <c r="B73" s="50" t="s">
        <v>9</v>
      </c>
      <c r="C73" s="50" t="s">
        <v>337</v>
      </c>
      <c r="D73" s="50"/>
      <c r="E73" s="50"/>
      <c r="F73" s="50" t="s">
        <v>11</v>
      </c>
      <c r="G73" s="50" t="s">
        <v>1962</v>
      </c>
      <c r="H73" s="50" t="s">
        <v>32</v>
      </c>
      <c r="I73" s="50" t="s">
        <v>1120</v>
      </c>
      <c r="J73" s="50" t="s">
        <v>33</v>
      </c>
      <c r="K73" s="50" t="s">
        <v>7158</v>
      </c>
      <c r="L73" s="50">
        <v>14</v>
      </c>
      <c r="M73" s="50">
        <v>6.58</v>
      </c>
      <c r="N73" s="50">
        <v>0.81655480984340045</v>
      </c>
      <c r="O73" s="50">
        <v>515566.10316137498</v>
      </c>
      <c r="P73" s="50">
        <v>24462.080999999995</v>
      </c>
      <c r="Q73" s="50">
        <v>491104.02216137497</v>
      </c>
      <c r="R73" s="50">
        <v>49952.265751001512</v>
      </c>
      <c r="S73" s="50">
        <v>441151.75641037349</v>
      </c>
      <c r="T73" s="50">
        <v>60598976.965371944</v>
      </c>
      <c r="U73" s="50">
        <v>4.2380114799644326E-3</v>
      </c>
      <c r="V73" s="50">
        <v>0.53</v>
      </c>
      <c r="W73" s="50">
        <v>0.58215604113892527</v>
      </c>
      <c r="X73" s="50" t="s">
        <v>7159</v>
      </c>
      <c r="Y73" s="50">
        <v>0.32</v>
      </c>
    </row>
    <row r="74" spans="2:25" x14ac:dyDescent="0.2">
      <c r="B74" s="50" t="s">
        <v>9</v>
      </c>
      <c r="C74" s="50" t="s">
        <v>435</v>
      </c>
      <c r="D74" s="50"/>
      <c r="E74" s="50"/>
      <c r="F74" s="50" t="s">
        <v>11</v>
      </c>
      <c r="G74" s="50" t="s">
        <v>1962</v>
      </c>
      <c r="H74" s="50" t="s">
        <v>15</v>
      </c>
      <c r="I74" s="50" t="s">
        <v>1121</v>
      </c>
      <c r="J74" s="50" t="s">
        <v>16</v>
      </c>
      <c r="K74" s="50" t="s">
        <v>7158</v>
      </c>
      <c r="L74" s="50">
        <v>92</v>
      </c>
      <c r="M74" s="50">
        <v>7.36</v>
      </c>
      <c r="N74" s="50">
        <v>0.3</v>
      </c>
      <c r="O74" s="50">
        <v>576681.84183399996</v>
      </c>
      <c r="P74" s="50">
        <v>83090.351999999999</v>
      </c>
      <c r="Q74" s="50">
        <v>493591.48983399995</v>
      </c>
      <c r="R74" s="50">
        <v>55378.125</v>
      </c>
      <c r="S74" s="50">
        <v>438213.36483399995</v>
      </c>
      <c r="T74" s="50">
        <v>61037190.330205947</v>
      </c>
      <c r="U74" s="50">
        <v>4.2097832409234487E-3</v>
      </c>
      <c r="V74" s="50">
        <v>0.92</v>
      </c>
      <c r="W74" s="50">
        <v>0.58636582437984874</v>
      </c>
      <c r="X74" s="50" t="s">
        <v>7160</v>
      </c>
      <c r="Y74" s="50">
        <v>0.3</v>
      </c>
    </row>
    <row r="75" spans="2:25" x14ac:dyDescent="0.2">
      <c r="B75" s="50" t="s">
        <v>9</v>
      </c>
      <c r="C75" s="50" t="s">
        <v>229</v>
      </c>
      <c r="D75" s="50"/>
      <c r="E75" s="50"/>
      <c r="F75" s="50" t="s">
        <v>11</v>
      </c>
      <c r="G75" s="50" t="s">
        <v>1962</v>
      </c>
      <c r="H75" s="50" t="s">
        <v>15</v>
      </c>
      <c r="I75" s="50" t="s">
        <v>1120</v>
      </c>
      <c r="J75" s="50" t="s">
        <v>16</v>
      </c>
      <c r="K75" s="50" t="s">
        <v>7158</v>
      </c>
      <c r="L75" s="50">
        <v>32</v>
      </c>
      <c r="M75" s="50">
        <v>6.08</v>
      </c>
      <c r="N75" s="50">
        <v>0.23918741808650065</v>
      </c>
      <c r="O75" s="50">
        <v>476389.34760199999</v>
      </c>
      <c r="P75" s="50">
        <v>36519.856</v>
      </c>
      <c r="Q75" s="50">
        <v>439869.49160199997</v>
      </c>
      <c r="R75" s="50">
        <v>14632.151238989301</v>
      </c>
      <c r="S75" s="50">
        <v>425237.34036301065</v>
      </c>
      <c r="T75" s="50">
        <v>61462427.670568958</v>
      </c>
      <c r="U75" s="50">
        <v>4.0851264989446266E-3</v>
      </c>
      <c r="V75" s="50">
        <v>0.81</v>
      </c>
      <c r="W75" s="50">
        <v>0.5904509508787934</v>
      </c>
      <c r="X75" s="50" t="s">
        <v>7159</v>
      </c>
      <c r="Y75" s="50">
        <v>0.32</v>
      </c>
    </row>
    <row r="76" spans="2:25" x14ac:dyDescent="0.2">
      <c r="B76" s="50" t="s">
        <v>9</v>
      </c>
      <c r="C76" s="50" t="s">
        <v>403</v>
      </c>
      <c r="D76" s="50"/>
      <c r="E76" s="50"/>
      <c r="F76" s="50" t="s">
        <v>11</v>
      </c>
      <c r="G76" s="50" t="s">
        <v>1962</v>
      </c>
      <c r="H76" s="50" t="s">
        <v>32</v>
      </c>
      <c r="I76" s="50" t="s">
        <v>1120</v>
      </c>
      <c r="J76" s="50" t="s">
        <v>33</v>
      </c>
      <c r="K76" s="50" t="s">
        <v>7158</v>
      </c>
      <c r="L76" s="50">
        <v>23</v>
      </c>
      <c r="M76" s="50">
        <v>5.98</v>
      </c>
      <c r="N76" s="50">
        <v>0.36439267886855242</v>
      </c>
      <c r="O76" s="50">
        <v>468553.99649012502</v>
      </c>
      <c r="P76" s="50">
        <v>29733.411</v>
      </c>
      <c r="Q76" s="50">
        <v>438820.585490125</v>
      </c>
      <c r="R76" s="50">
        <v>22291.510273575048</v>
      </c>
      <c r="S76" s="50">
        <v>416529.07521654997</v>
      </c>
      <c r="T76" s="50">
        <v>61878956.745785505</v>
      </c>
      <c r="U76" s="50">
        <v>4.0014688298432403E-3</v>
      </c>
      <c r="V76" s="50">
        <v>0.74</v>
      </c>
      <c r="W76" s="50">
        <v>0.5944524197086366</v>
      </c>
      <c r="X76" s="50" t="s">
        <v>7160</v>
      </c>
      <c r="Y76" s="50">
        <v>0.32</v>
      </c>
    </row>
    <row r="77" spans="2:25" x14ac:dyDescent="0.2">
      <c r="B77" s="50" t="s">
        <v>9</v>
      </c>
      <c r="C77" s="50" t="s">
        <v>373</v>
      </c>
      <c r="D77" s="50"/>
      <c r="E77" s="50"/>
      <c r="F77" s="50" t="s">
        <v>11</v>
      </c>
      <c r="G77" s="50" t="s">
        <v>1962</v>
      </c>
      <c r="H77" s="50" t="s">
        <v>32</v>
      </c>
      <c r="I77" s="50" t="s">
        <v>1120</v>
      </c>
      <c r="J77" s="50" t="s">
        <v>33</v>
      </c>
      <c r="K77" s="50" t="s">
        <v>7158</v>
      </c>
      <c r="L77" s="50">
        <v>6</v>
      </c>
      <c r="M77" s="50">
        <v>5.88</v>
      </c>
      <c r="N77" s="50">
        <v>0.54014058453570113</v>
      </c>
      <c r="O77" s="50">
        <v>460718.64537824993</v>
      </c>
      <c r="P77" s="50">
        <v>17106.966</v>
      </c>
      <c r="Q77" s="50">
        <v>443611.67937824992</v>
      </c>
      <c r="R77" s="50">
        <v>33042.786223747949</v>
      </c>
      <c r="S77" s="50">
        <v>410568.89315450197</v>
      </c>
      <c r="T77" s="50">
        <v>62289525.638940006</v>
      </c>
      <c r="U77" s="50">
        <v>3.9442111636669311E-3</v>
      </c>
      <c r="V77" s="50">
        <v>2.0000000000000018E-2</v>
      </c>
      <c r="W77" s="50">
        <v>0.59839663087230355</v>
      </c>
      <c r="X77" s="50" t="s">
        <v>7161</v>
      </c>
      <c r="Y77" s="50">
        <v>0.32</v>
      </c>
    </row>
    <row r="78" spans="2:25" x14ac:dyDescent="0.2">
      <c r="B78" s="50" t="s">
        <v>9</v>
      </c>
      <c r="C78" s="50" t="s">
        <v>146</v>
      </c>
      <c r="D78" s="50"/>
      <c r="E78" s="50"/>
      <c r="F78" s="50" t="s">
        <v>11</v>
      </c>
      <c r="G78" s="51" t="s">
        <v>1962</v>
      </c>
      <c r="H78" s="50" t="s">
        <v>15</v>
      </c>
      <c r="I78" s="50" t="s">
        <v>1120</v>
      </c>
      <c r="J78" s="50" t="s">
        <v>16</v>
      </c>
      <c r="K78" s="50" t="s">
        <v>7158</v>
      </c>
      <c r="L78" s="50">
        <v>73</v>
      </c>
      <c r="M78" s="50">
        <v>6.57</v>
      </c>
      <c r="N78" s="50">
        <v>0.74795081967213117</v>
      </c>
      <c r="O78" s="50">
        <v>514782.56805018749</v>
      </c>
      <c r="P78" s="50">
        <v>67510.436500000011</v>
      </c>
      <c r="Q78" s="50">
        <v>447272.13155018748</v>
      </c>
      <c r="R78" s="50">
        <v>45755.456538314902</v>
      </c>
      <c r="S78" s="50">
        <v>401516.67501187255</v>
      </c>
      <c r="T78" s="50">
        <v>62691042.31395188</v>
      </c>
      <c r="U78" s="50">
        <v>3.8572492421735964E-3</v>
      </c>
      <c r="V78" s="50">
        <v>0.91000000000000014</v>
      </c>
      <c r="W78" s="50">
        <v>0.60225388011447711</v>
      </c>
      <c r="X78" s="50" t="s">
        <v>7160</v>
      </c>
      <c r="Y78" s="50">
        <v>0.32</v>
      </c>
    </row>
    <row r="79" spans="2:25" x14ac:dyDescent="0.2">
      <c r="B79" s="50" t="s">
        <v>9</v>
      </c>
      <c r="C79" s="50" t="s">
        <v>7166</v>
      </c>
      <c r="D79" s="50"/>
      <c r="E79" s="50"/>
      <c r="F79" s="50" t="s">
        <v>11</v>
      </c>
      <c r="G79" s="51" t="s">
        <v>527</v>
      </c>
      <c r="H79" s="50" t="s">
        <v>32</v>
      </c>
      <c r="I79" s="50" t="s">
        <v>1120</v>
      </c>
      <c r="J79" s="50" t="s">
        <v>33</v>
      </c>
      <c r="K79" s="50" t="s">
        <v>7158</v>
      </c>
      <c r="L79" s="50">
        <v>30</v>
      </c>
      <c r="M79" s="50">
        <v>5.7</v>
      </c>
      <c r="N79" s="50">
        <v>0.27381845461365339</v>
      </c>
      <c r="O79" s="50">
        <v>446615.01337687497</v>
      </c>
      <c r="P79" s="50">
        <v>34237.364999999998</v>
      </c>
      <c r="Q79" s="50">
        <v>412377.64837687497</v>
      </c>
      <c r="R79" s="50">
        <v>16750.684764214308</v>
      </c>
      <c r="S79" s="50">
        <v>395626.96361266065</v>
      </c>
      <c r="T79" s="50">
        <v>63086669.277564541</v>
      </c>
      <c r="U79" s="50">
        <v>3.8006685663385031E-3</v>
      </c>
      <c r="V79" s="50">
        <v>0.81</v>
      </c>
      <c r="W79" s="50">
        <v>0.60605454868081565</v>
      </c>
      <c r="X79" s="50" t="s">
        <v>7160</v>
      </c>
      <c r="Y79" s="50">
        <v>0.32</v>
      </c>
    </row>
    <row r="80" spans="2:25" x14ac:dyDescent="0.2">
      <c r="B80" s="50" t="s">
        <v>9</v>
      </c>
      <c r="C80" s="50" t="s">
        <v>396</v>
      </c>
      <c r="D80" s="50"/>
      <c r="E80" s="50"/>
      <c r="F80" s="50" t="s">
        <v>11</v>
      </c>
      <c r="G80" s="50" t="s">
        <v>1962</v>
      </c>
      <c r="H80" s="50" t="s">
        <v>15</v>
      </c>
      <c r="I80" s="50" t="s">
        <v>1120</v>
      </c>
      <c r="J80" s="50" t="s">
        <v>16</v>
      </c>
      <c r="K80" s="50" t="s">
        <v>7158</v>
      </c>
      <c r="L80" s="50">
        <v>42</v>
      </c>
      <c r="M80" s="50">
        <v>6.3</v>
      </c>
      <c r="N80" s="50">
        <v>0.91152336782019272</v>
      </c>
      <c r="O80" s="50">
        <v>493627.12004812493</v>
      </c>
      <c r="P80" s="50">
        <v>44296.034999999996</v>
      </c>
      <c r="Q80" s="50">
        <v>449331.08504812495</v>
      </c>
      <c r="R80" s="50">
        <v>55761.912070953884</v>
      </c>
      <c r="S80" s="50">
        <v>393569.17297717108</v>
      </c>
      <c r="T80" s="50">
        <v>63480238.450541712</v>
      </c>
      <c r="U80" s="50">
        <v>3.7808999941638618E-3</v>
      </c>
      <c r="V80" s="50">
        <v>0.85000000000000009</v>
      </c>
      <c r="W80" s="50">
        <v>0.60983544867497952</v>
      </c>
      <c r="X80" s="50" t="s">
        <v>7160</v>
      </c>
      <c r="Y80" s="50">
        <v>0.32</v>
      </c>
    </row>
    <row r="81" spans="2:25" x14ac:dyDescent="0.2">
      <c r="B81" s="50" t="s">
        <v>9</v>
      </c>
      <c r="C81" s="50" t="s">
        <v>424</v>
      </c>
      <c r="D81" s="50"/>
      <c r="E81" s="50"/>
      <c r="F81" s="50" t="s">
        <v>11</v>
      </c>
      <c r="G81" s="50" t="s">
        <v>1962</v>
      </c>
      <c r="H81" s="50" t="s">
        <v>15</v>
      </c>
      <c r="I81" s="50" t="s">
        <v>1121</v>
      </c>
      <c r="J81" s="50" t="s">
        <v>16</v>
      </c>
      <c r="K81" s="50" t="s">
        <v>7158</v>
      </c>
      <c r="L81" s="50">
        <v>30</v>
      </c>
      <c r="M81" s="50">
        <v>6.3</v>
      </c>
      <c r="N81" s="50">
        <v>0.35</v>
      </c>
      <c r="O81" s="50">
        <v>493627.12004812493</v>
      </c>
      <c r="P81" s="50">
        <v>35536.034999999996</v>
      </c>
      <c r="Q81" s="50">
        <v>458091.08504812495</v>
      </c>
      <c r="R81" s="50">
        <v>64607.812499999993</v>
      </c>
      <c r="S81" s="50">
        <v>393483.27254812495</v>
      </c>
      <c r="T81" s="50">
        <v>63873721.723089837</v>
      </c>
      <c r="U81" s="50">
        <v>3.7800747747260121E-3</v>
      </c>
      <c r="V81" s="50">
        <v>0.78999999999999992</v>
      </c>
      <c r="W81" s="50">
        <v>0.61361552344970549</v>
      </c>
      <c r="X81" s="50" t="s">
        <v>7160</v>
      </c>
      <c r="Y81" s="50">
        <v>0.35</v>
      </c>
    </row>
    <row r="82" spans="2:25" x14ac:dyDescent="0.2">
      <c r="B82" s="50" t="s">
        <v>9</v>
      </c>
      <c r="C82" s="50" t="s">
        <v>428</v>
      </c>
      <c r="D82" s="50"/>
      <c r="E82" s="50"/>
      <c r="F82" s="50" t="s">
        <v>11</v>
      </c>
      <c r="G82" s="50" t="s">
        <v>1962</v>
      </c>
      <c r="H82" s="50" t="s">
        <v>15</v>
      </c>
      <c r="I82" s="50" t="s">
        <v>1120</v>
      </c>
      <c r="J82" s="50" t="s">
        <v>16</v>
      </c>
      <c r="K82" s="50" t="s">
        <v>7158</v>
      </c>
      <c r="L82" s="50">
        <v>6</v>
      </c>
      <c r="M82" s="50">
        <v>5.7</v>
      </c>
      <c r="N82" s="50">
        <v>0.64525633470830879</v>
      </c>
      <c r="O82" s="50">
        <v>446615.01337687497</v>
      </c>
      <c r="P82" s="50">
        <v>16717.365000000002</v>
      </c>
      <c r="Q82" s="50">
        <v>429897.64837687497</v>
      </c>
      <c r="R82" s="50">
        <v>39473.181126748983</v>
      </c>
      <c r="S82" s="50">
        <v>390424.46725012601</v>
      </c>
      <c r="T82" s="50">
        <v>64264146.19033996</v>
      </c>
      <c r="U82" s="50">
        <v>3.7506897574852861E-3</v>
      </c>
      <c r="V82" s="50">
        <v>4.9999999999999968E-2</v>
      </c>
      <c r="W82" s="50">
        <v>0.61736621320719076</v>
      </c>
      <c r="X82" s="50" t="s">
        <v>7159</v>
      </c>
      <c r="Y82" s="50">
        <v>0.32</v>
      </c>
    </row>
    <row r="83" spans="2:25" x14ac:dyDescent="0.2">
      <c r="B83" s="50" t="s">
        <v>9</v>
      </c>
      <c r="C83" s="50" t="s">
        <v>470</v>
      </c>
      <c r="D83" s="50"/>
      <c r="E83" s="50"/>
      <c r="F83" s="50" t="s">
        <v>11</v>
      </c>
      <c r="G83" s="50" t="s">
        <v>1962</v>
      </c>
      <c r="H83" s="50" t="s">
        <v>15</v>
      </c>
      <c r="I83" s="50" t="s">
        <v>1120</v>
      </c>
      <c r="J83" s="50" t="s">
        <v>16</v>
      </c>
      <c r="K83" s="50" t="s">
        <v>7158</v>
      </c>
      <c r="L83" s="50">
        <v>28</v>
      </c>
      <c r="M83" s="50">
        <v>6.16</v>
      </c>
      <c r="N83" s="50">
        <v>0.99107835531419708</v>
      </c>
      <c r="O83" s="50">
        <v>482657.62849149999</v>
      </c>
      <c r="P83" s="50">
        <v>33773.011999999995</v>
      </c>
      <c r="Q83" s="50">
        <v>448884.6164915</v>
      </c>
      <c r="R83" s="50">
        <v>60628.642177999893</v>
      </c>
      <c r="S83" s="50">
        <v>388255.9743135001</v>
      </c>
      <c r="T83" s="50">
        <v>64652402.164653458</v>
      </c>
      <c r="U83" s="50">
        <v>3.7298577017899361E-3</v>
      </c>
      <c r="V83" s="50">
        <v>0.78</v>
      </c>
      <c r="W83" s="50">
        <v>0.62109607090898067</v>
      </c>
      <c r="X83" s="50" t="s">
        <v>7160</v>
      </c>
      <c r="Y83" s="50">
        <v>0.32</v>
      </c>
    </row>
    <row r="84" spans="2:25" x14ac:dyDescent="0.2">
      <c r="B84" s="50" t="s">
        <v>9</v>
      </c>
      <c r="C84" s="50" t="s">
        <v>234</v>
      </c>
      <c r="D84" s="50"/>
      <c r="E84" s="50"/>
      <c r="F84" s="50" t="s">
        <v>11</v>
      </c>
      <c r="G84" s="50" t="s">
        <v>1962</v>
      </c>
      <c r="H84" s="50" t="s">
        <v>15</v>
      </c>
      <c r="I84" s="50" t="s">
        <v>1120</v>
      </c>
      <c r="J84" s="50" t="s">
        <v>16</v>
      </c>
      <c r="K84" s="50" t="s">
        <v>7158</v>
      </c>
      <c r="L84" s="50">
        <v>56</v>
      </c>
      <c r="M84" s="50">
        <v>6.16</v>
      </c>
      <c r="N84" s="50">
        <v>0.67070929805218671</v>
      </c>
      <c r="O84" s="50">
        <v>482657.62849149999</v>
      </c>
      <c r="P84" s="50">
        <v>54213.011999999995</v>
      </c>
      <c r="Q84" s="50">
        <v>428444.6164915</v>
      </c>
      <c r="R84" s="50">
        <v>41030.251361076218</v>
      </c>
      <c r="S84" s="50">
        <v>387414.3651304238</v>
      </c>
      <c r="T84" s="50">
        <v>65039816.529783882</v>
      </c>
      <c r="U84" s="50">
        <v>3.7217726169462458E-3</v>
      </c>
      <c r="V84" s="50">
        <v>0.89</v>
      </c>
      <c r="W84" s="50">
        <v>0.62481784352592695</v>
      </c>
      <c r="X84" s="50" t="s">
        <v>7159</v>
      </c>
      <c r="Y84" s="50">
        <v>0.32</v>
      </c>
    </row>
    <row r="85" spans="2:25" x14ac:dyDescent="0.2">
      <c r="B85" s="50" t="s">
        <v>9</v>
      </c>
      <c r="C85" s="50" t="s">
        <v>348</v>
      </c>
      <c r="D85" s="50"/>
      <c r="E85" s="50"/>
      <c r="F85" s="50" t="s">
        <v>11</v>
      </c>
      <c r="G85" s="50" t="s">
        <v>1962</v>
      </c>
      <c r="H85" s="50" t="s">
        <v>32</v>
      </c>
      <c r="I85" s="50" t="s">
        <v>1120</v>
      </c>
      <c r="J85" s="50" t="s">
        <v>33</v>
      </c>
      <c r="K85" s="50" t="s">
        <v>7158</v>
      </c>
      <c r="L85" s="50">
        <v>6</v>
      </c>
      <c r="M85" s="50">
        <v>5.82</v>
      </c>
      <c r="N85" s="50">
        <v>0.86</v>
      </c>
      <c r="O85" s="50">
        <v>456017.43471112498</v>
      </c>
      <c r="P85" s="50">
        <v>16977.098999999998</v>
      </c>
      <c r="Q85" s="50">
        <v>439040.33571112499</v>
      </c>
      <c r="R85" s="50">
        <v>52610</v>
      </c>
      <c r="S85" s="50">
        <v>386430.33571112499</v>
      </c>
      <c r="T85" s="50">
        <v>65426246.865495004</v>
      </c>
      <c r="U85" s="50">
        <v>3.7123193439738229E-3</v>
      </c>
      <c r="V85" s="50">
        <v>2.9999999999999954E-2</v>
      </c>
      <c r="W85" s="50">
        <v>0.62853016286990082</v>
      </c>
      <c r="X85" s="50" t="s">
        <v>7161</v>
      </c>
      <c r="Y85" s="50">
        <v>0.32</v>
      </c>
    </row>
    <row r="86" spans="2:25" x14ac:dyDescent="0.2">
      <c r="B86" s="50" t="s">
        <v>9</v>
      </c>
      <c r="C86" s="50" t="s">
        <v>349</v>
      </c>
      <c r="D86" s="50"/>
      <c r="E86" s="50"/>
      <c r="F86" s="50" t="s">
        <v>11</v>
      </c>
      <c r="G86" s="50" t="s">
        <v>1962</v>
      </c>
      <c r="H86" s="50" t="s">
        <v>32</v>
      </c>
      <c r="I86" s="50" t="s">
        <v>1120</v>
      </c>
      <c r="J86" s="50" t="s">
        <v>33</v>
      </c>
      <c r="K86" s="50" t="s">
        <v>7158</v>
      </c>
      <c r="L86" s="50">
        <v>6</v>
      </c>
      <c r="M86" s="50">
        <v>5.76</v>
      </c>
      <c r="N86" s="50">
        <v>0.86</v>
      </c>
      <c r="O86" s="50">
        <v>451316.22404399997</v>
      </c>
      <c r="P86" s="50">
        <v>16847.232</v>
      </c>
      <c r="Q86" s="50">
        <v>434468.99204399996</v>
      </c>
      <c r="R86" s="50">
        <v>52610</v>
      </c>
      <c r="S86" s="50">
        <v>381858.99204399996</v>
      </c>
      <c r="T86" s="50">
        <v>65808105.857539006</v>
      </c>
      <c r="U86" s="50">
        <v>3.6684038281482056E-3</v>
      </c>
      <c r="V86" s="50">
        <v>4.0000000000000036E-2</v>
      </c>
      <c r="W86" s="50">
        <v>0.63219856669804908</v>
      </c>
      <c r="X86" s="50" t="s">
        <v>7159</v>
      </c>
      <c r="Y86" s="50">
        <v>0.32</v>
      </c>
    </row>
    <row r="87" spans="2:25" x14ac:dyDescent="0.2">
      <c r="B87" s="50" t="s">
        <v>9</v>
      </c>
      <c r="C87" s="50" t="s">
        <v>1404</v>
      </c>
      <c r="D87" s="50"/>
      <c r="E87" s="50"/>
      <c r="F87" s="50" t="s">
        <v>11</v>
      </c>
      <c r="G87" s="50" t="s">
        <v>1962</v>
      </c>
      <c r="H87" s="50" t="s">
        <v>32</v>
      </c>
      <c r="I87" s="50" t="s">
        <v>1120</v>
      </c>
      <c r="J87" s="50" t="s">
        <v>33</v>
      </c>
      <c r="K87" s="50" t="s">
        <v>7158</v>
      </c>
      <c r="L87" s="50">
        <v>6</v>
      </c>
      <c r="M87" s="50">
        <v>5.7</v>
      </c>
      <c r="N87" s="50">
        <v>0.86</v>
      </c>
      <c r="O87" s="50">
        <v>446615.01337687497</v>
      </c>
      <c r="P87" s="50">
        <v>16717.365000000002</v>
      </c>
      <c r="Q87" s="50">
        <v>429897.64837687497</v>
      </c>
      <c r="R87" s="50">
        <v>52610</v>
      </c>
      <c r="S87" s="50">
        <v>377287.64837687497</v>
      </c>
      <c r="T87" s="50">
        <v>66185393.50591588</v>
      </c>
      <c r="U87" s="50">
        <v>3.6244883123225887E-3</v>
      </c>
      <c r="V87" s="50">
        <v>4.9999999999999968E-2</v>
      </c>
      <c r="W87" s="50">
        <v>0.63582305501037162</v>
      </c>
      <c r="X87" s="50" t="s">
        <v>7159</v>
      </c>
      <c r="Y87" s="50">
        <v>0.32</v>
      </c>
    </row>
    <row r="88" spans="2:25" x14ac:dyDescent="0.2">
      <c r="B88" s="50" t="s">
        <v>9</v>
      </c>
      <c r="C88" s="50" t="s">
        <v>157</v>
      </c>
      <c r="D88" s="50"/>
      <c r="E88" s="50"/>
      <c r="F88" s="50" t="s">
        <v>11</v>
      </c>
      <c r="G88" s="50" t="s">
        <v>1962</v>
      </c>
      <c r="H88" s="50" t="s">
        <v>15</v>
      </c>
      <c r="I88" s="50" t="s">
        <v>1120</v>
      </c>
      <c r="J88" s="50" t="s">
        <v>16</v>
      </c>
      <c r="K88" s="50" t="s">
        <v>7158</v>
      </c>
      <c r="L88" s="50">
        <v>35</v>
      </c>
      <c r="M88" s="50">
        <v>6.3</v>
      </c>
      <c r="N88" s="50">
        <v>1.3159619796787938</v>
      </c>
      <c r="O88" s="50">
        <v>493627.12004812493</v>
      </c>
      <c r="P88" s="50">
        <v>39186.034999999996</v>
      </c>
      <c r="Q88" s="50">
        <v>454441.08504812495</v>
      </c>
      <c r="R88" s="50">
        <v>80503.209012675987</v>
      </c>
      <c r="S88" s="50">
        <v>373937.87603544898</v>
      </c>
      <c r="T88" s="50">
        <v>66559331.381951332</v>
      </c>
      <c r="U88" s="50">
        <v>3.5923080627101975E-3</v>
      </c>
      <c r="V88" s="50">
        <v>0.82</v>
      </c>
      <c r="W88" s="50">
        <v>0.63941536307308178</v>
      </c>
      <c r="X88" s="50" t="s">
        <v>7163</v>
      </c>
      <c r="Y88" s="50">
        <v>0.32</v>
      </c>
    </row>
    <row r="89" spans="2:25" x14ac:dyDescent="0.2">
      <c r="B89" s="50" t="s">
        <v>9</v>
      </c>
      <c r="C89" s="50" t="s">
        <v>476</v>
      </c>
      <c r="D89" s="50"/>
      <c r="E89" s="50"/>
      <c r="F89" s="50" t="s">
        <v>11</v>
      </c>
      <c r="G89" s="50" t="s">
        <v>1962</v>
      </c>
      <c r="H89" s="50" t="s">
        <v>15</v>
      </c>
      <c r="I89" s="50" t="s">
        <v>1120</v>
      </c>
      <c r="J89" s="50" t="s">
        <v>16</v>
      </c>
      <c r="K89" s="50" t="s">
        <v>7158</v>
      </c>
      <c r="L89" s="50">
        <v>6</v>
      </c>
      <c r="M89" s="50">
        <v>5.22</v>
      </c>
      <c r="N89" s="50">
        <v>0.43504171632896305</v>
      </c>
      <c r="O89" s="50">
        <v>409005.32803987496</v>
      </c>
      <c r="P89" s="50">
        <v>15678.429</v>
      </c>
      <c r="Q89" s="50">
        <v>393326.89903987496</v>
      </c>
      <c r="R89" s="50">
        <v>26613.424065193889</v>
      </c>
      <c r="S89" s="50">
        <v>366713.47497468104</v>
      </c>
      <c r="T89" s="50">
        <v>66926044.856926017</v>
      </c>
      <c r="U89" s="50">
        <v>3.5229054270264335E-3</v>
      </c>
      <c r="V89" s="50">
        <v>0.13000000000000003</v>
      </c>
      <c r="W89" s="50">
        <v>0.64293826850010816</v>
      </c>
      <c r="X89" s="50" t="s">
        <v>7160</v>
      </c>
      <c r="Y89" s="50">
        <v>0.32</v>
      </c>
    </row>
    <row r="90" spans="2:25" x14ac:dyDescent="0.2">
      <c r="B90" s="50" t="s">
        <v>9</v>
      </c>
      <c r="C90" s="50" t="s">
        <v>310</v>
      </c>
      <c r="D90" s="50"/>
      <c r="E90" s="50"/>
      <c r="F90" s="50" t="s">
        <v>11</v>
      </c>
      <c r="G90" s="51" t="s">
        <v>1962</v>
      </c>
      <c r="H90" s="50" t="s">
        <v>15</v>
      </c>
      <c r="I90" s="50" t="s">
        <v>1120</v>
      </c>
      <c r="J90" s="50" t="s">
        <v>16</v>
      </c>
      <c r="K90" s="50" t="s">
        <v>7158</v>
      </c>
      <c r="L90" s="50">
        <v>38</v>
      </c>
      <c r="M90" s="50">
        <v>5.7</v>
      </c>
      <c r="N90" s="50">
        <v>0.70124879923150818</v>
      </c>
      <c r="O90" s="50">
        <v>446615.01337687497</v>
      </c>
      <c r="P90" s="50">
        <v>40077.364999999998</v>
      </c>
      <c r="Q90" s="50">
        <v>406537.64837687497</v>
      </c>
      <c r="R90" s="50">
        <v>42898.487590197263</v>
      </c>
      <c r="S90" s="50">
        <v>363639.16078667773</v>
      </c>
      <c r="T90" s="50">
        <v>67289684.017712697</v>
      </c>
      <c r="U90" s="50">
        <v>3.4933714205707149E-3</v>
      </c>
      <c r="V90" s="50">
        <v>0.85</v>
      </c>
      <c r="W90" s="50">
        <v>0.64643163992067887</v>
      </c>
      <c r="X90" s="50" t="s">
        <v>7161</v>
      </c>
      <c r="Y90" s="50">
        <v>0.32</v>
      </c>
    </row>
    <row r="91" spans="2:25" x14ac:dyDescent="0.2">
      <c r="B91" s="50" t="s">
        <v>9</v>
      </c>
      <c r="C91" s="50" t="s">
        <v>28</v>
      </c>
      <c r="D91" s="50"/>
      <c r="E91" s="50"/>
      <c r="F91" s="50" t="s">
        <v>11</v>
      </c>
      <c r="G91" s="50" t="s">
        <v>1962</v>
      </c>
      <c r="H91" s="50" t="s">
        <v>15</v>
      </c>
      <c r="I91" s="50" t="s">
        <v>1121</v>
      </c>
      <c r="J91" s="50" t="s">
        <v>16</v>
      </c>
      <c r="K91" s="50" t="s">
        <v>7158</v>
      </c>
      <c r="L91" s="50">
        <v>174</v>
      </c>
      <c r="M91" s="50">
        <v>6.96</v>
      </c>
      <c r="N91" s="50">
        <v>0.25</v>
      </c>
      <c r="O91" s="50">
        <v>545340.43738649995</v>
      </c>
      <c r="P91" s="50">
        <v>142084.57200000001</v>
      </c>
      <c r="Q91" s="50">
        <v>403255.86538649991</v>
      </c>
      <c r="R91" s="50">
        <v>46148.4375</v>
      </c>
      <c r="S91" s="50">
        <v>357107.42788649991</v>
      </c>
      <c r="T91" s="50">
        <v>67646791.445599198</v>
      </c>
      <c r="U91" s="50">
        <v>3.4306230383807442E-3</v>
      </c>
      <c r="V91" s="50">
        <v>0.96</v>
      </c>
      <c r="W91" s="50">
        <v>0.64986226295905958</v>
      </c>
      <c r="X91" s="50" t="s">
        <v>7161</v>
      </c>
      <c r="Y91" s="50">
        <v>0.25</v>
      </c>
    </row>
    <row r="92" spans="2:25" x14ac:dyDescent="0.2">
      <c r="B92" s="50" t="s">
        <v>9</v>
      </c>
      <c r="C92" s="50" t="s">
        <v>248</v>
      </c>
      <c r="D92" s="50"/>
      <c r="E92" s="50"/>
      <c r="F92" s="50" t="s">
        <v>11</v>
      </c>
      <c r="G92" s="51" t="s">
        <v>1962</v>
      </c>
      <c r="H92" s="50" t="s">
        <v>15</v>
      </c>
      <c r="I92" s="50" t="s">
        <v>1120</v>
      </c>
      <c r="J92" s="50" t="s">
        <v>16</v>
      </c>
      <c r="K92" s="50" t="s">
        <v>7158</v>
      </c>
      <c r="L92" s="50">
        <v>36</v>
      </c>
      <c r="M92" s="50">
        <v>5.76</v>
      </c>
      <c r="N92" s="50">
        <v>0.98707932692307687</v>
      </c>
      <c r="O92" s="50">
        <v>451316.22404399997</v>
      </c>
      <c r="P92" s="50">
        <v>38747.232000000004</v>
      </c>
      <c r="Q92" s="50">
        <v>412568.99204399996</v>
      </c>
      <c r="R92" s="50">
        <v>60384.003941189629</v>
      </c>
      <c r="S92" s="50">
        <v>352184.98810281034</v>
      </c>
      <c r="T92" s="50">
        <v>67998976.433702007</v>
      </c>
      <c r="U92" s="50">
        <v>3.3833346483662565E-3</v>
      </c>
      <c r="V92" s="50">
        <v>0.84000000000000008</v>
      </c>
      <c r="W92" s="50">
        <v>0.65324559760742584</v>
      </c>
      <c r="X92" s="50" t="s">
        <v>7159</v>
      </c>
      <c r="Y92" s="50">
        <v>0.32</v>
      </c>
    </row>
    <row r="93" spans="2:25" x14ac:dyDescent="0.2">
      <c r="B93" s="50" t="s">
        <v>9</v>
      </c>
      <c r="C93" s="50" t="s">
        <v>220</v>
      </c>
      <c r="D93" s="50"/>
      <c r="E93" s="50"/>
      <c r="F93" s="50" t="s">
        <v>11</v>
      </c>
      <c r="G93" s="50" t="s">
        <v>1962</v>
      </c>
      <c r="H93" s="50" t="s">
        <v>15</v>
      </c>
      <c r="I93" s="50" t="s">
        <v>1120</v>
      </c>
      <c r="J93" s="50" t="s">
        <v>16</v>
      </c>
      <c r="K93" s="50" t="s">
        <v>7158</v>
      </c>
      <c r="L93" s="50">
        <v>54</v>
      </c>
      <c r="M93" s="50">
        <v>5.94</v>
      </c>
      <c r="N93" s="50">
        <v>1.0770491803278688</v>
      </c>
      <c r="O93" s="50">
        <v>465419.856045375</v>
      </c>
      <c r="P93" s="50">
        <v>52276.832999999999</v>
      </c>
      <c r="Q93" s="50">
        <v>413143.02304537501</v>
      </c>
      <c r="R93" s="50">
        <v>65887.85741517345</v>
      </c>
      <c r="S93" s="50">
        <v>347255.16563020158</v>
      </c>
      <c r="T93" s="50">
        <v>68346231.599332213</v>
      </c>
      <c r="U93" s="50">
        <v>3.3359753350925094E-3</v>
      </c>
      <c r="V93" s="50">
        <v>0.89</v>
      </c>
      <c r="W93" s="50">
        <v>0.6565815729425184</v>
      </c>
      <c r="X93" s="50" t="s">
        <v>7159</v>
      </c>
      <c r="Y93" s="50">
        <v>0.32</v>
      </c>
    </row>
    <row r="94" spans="2:25" x14ac:dyDescent="0.2">
      <c r="B94" s="50" t="s">
        <v>9</v>
      </c>
      <c r="C94" s="50" t="s">
        <v>256</v>
      </c>
      <c r="D94" s="50"/>
      <c r="E94" s="50"/>
      <c r="F94" s="50" t="s">
        <v>11</v>
      </c>
      <c r="G94" s="50" t="s">
        <v>1962</v>
      </c>
      <c r="H94" s="50" t="s">
        <v>32</v>
      </c>
      <c r="I94" s="50" t="s">
        <v>1120</v>
      </c>
      <c r="J94" s="50" t="s">
        <v>33</v>
      </c>
      <c r="K94" s="50" t="s">
        <v>7158</v>
      </c>
      <c r="L94" s="50">
        <v>12</v>
      </c>
      <c r="M94" s="50">
        <v>5.64</v>
      </c>
      <c r="N94" s="50">
        <v>1.2089732008431195</v>
      </c>
      <c r="O94" s="50">
        <v>441913.8027097499</v>
      </c>
      <c r="P94" s="50">
        <v>20967.498</v>
      </c>
      <c r="Q94" s="50">
        <v>420946.30470974988</v>
      </c>
      <c r="R94" s="50">
        <v>73958.232670181998</v>
      </c>
      <c r="S94" s="50">
        <v>346988.07203956787</v>
      </c>
      <c r="T94" s="50">
        <v>68693219.671371788</v>
      </c>
      <c r="U94" s="50">
        <v>3.333409447760356E-3</v>
      </c>
      <c r="V94" s="50">
        <v>0.53</v>
      </c>
      <c r="W94" s="50">
        <v>0.65991498239027879</v>
      </c>
      <c r="X94" s="50" t="s">
        <v>7160</v>
      </c>
      <c r="Y94" s="50">
        <v>0.32</v>
      </c>
    </row>
    <row r="95" spans="2:25" x14ac:dyDescent="0.2">
      <c r="B95" s="50" t="s">
        <v>9</v>
      </c>
      <c r="C95" s="50" t="s">
        <v>329</v>
      </c>
      <c r="D95" s="50"/>
      <c r="E95" s="50"/>
      <c r="F95" s="50" t="s">
        <v>11</v>
      </c>
      <c r="G95" s="50" t="s">
        <v>1962</v>
      </c>
      <c r="H95" s="50" t="s">
        <v>15</v>
      </c>
      <c r="I95" s="50" t="s">
        <v>1120</v>
      </c>
      <c r="J95" s="50" t="s">
        <v>16</v>
      </c>
      <c r="K95" s="50" t="s">
        <v>7158</v>
      </c>
      <c r="L95" s="50">
        <v>5</v>
      </c>
      <c r="M95" s="50">
        <v>4.9000000000000004</v>
      </c>
      <c r="N95" s="50">
        <v>0.39037433155080214</v>
      </c>
      <c r="O95" s="50">
        <v>383932.20448187506</v>
      </c>
      <c r="P95" s="50">
        <v>14255.805</v>
      </c>
      <c r="Q95" s="50">
        <v>369676.39948187507</v>
      </c>
      <c r="R95" s="50">
        <v>23880.922770799654</v>
      </c>
      <c r="S95" s="50">
        <v>345795.4767110754</v>
      </c>
      <c r="T95" s="50">
        <v>69039015.148082867</v>
      </c>
      <c r="U95" s="50">
        <v>3.3219525451873527E-3</v>
      </c>
      <c r="V95" s="50">
        <v>1.9999999999999928E-2</v>
      </c>
      <c r="W95" s="50">
        <v>0.66323693493546609</v>
      </c>
      <c r="X95" s="50" t="s">
        <v>7161</v>
      </c>
      <c r="Y95" s="50">
        <v>0.32</v>
      </c>
    </row>
    <row r="96" spans="2:25" x14ac:dyDescent="0.2">
      <c r="B96" s="50" t="s">
        <v>9</v>
      </c>
      <c r="C96" s="50" t="s">
        <v>98</v>
      </c>
      <c r="D96" s="50"/>
      <c r="E96" s="50"/>
      <c r="F96" s="50" t="s">
        <v>11</v>
      </c>
      <c r="G96" s="50" t="s">
        <v>1962</v>
      </c>
      <c r="H96" s="50" t="s">
        <v>15</v>
      </c>
      <c r="I96" s="50" t="s">
        <v>1120</v>
      </c>
      <c r="J96" s="50" t="s">
        <v>16</v>
      </c>
      <c r="K96" s="50" t="s">
        <v>7158</v>
      </c>
      <c r="L96" s="50">
        <v>30</v>
      </c>
      <c r="M96" s="50">
        <v>5.4</v>
      </c>
      <c r="N96" s="50">
        <v>0.71822117276662734</v>
      </c>
      <c r="O96" s="50">
        <v>423108.96004124999</v>
      </c>
      <c r="P96" s="50">
        <v>33588.03</v>
      </c>
      <c r="Q96" s="50">
        <v>389520.93004124996</v>
      </c>
      <c r="R96" s="50">
        <v>43936.762673549143</v>
      </c>
      <c r="S96" s="50">
        <v>345584.16736770084</v>
      </c>
      <c r="T96" s="50">
        <v>69384599.315450564</v>
      </c>
      <c r="U96" s="50">
        <v>3.3199225602444566E-3</v>
      </c>
      <c r="V96" s="50">
        <v>0.82000000000000006</v>
      </c>
      <c r="W96" s="50">
        <v>0.66655685749571059</v>
      </c>
      <c r="X96" s="50" t="s">
        <v>7160</v>
      </c>
      <c r="Y96" s="50">
        <v>0.32</v>
      </c>
    </row>
    <row r="97" spans="2:25" x14ac:dyDescent="0.2">
      <c r="B97" s="50" t="s">
        <v>9</v>
      </c>
      <c r="C97" s="50" t="s">
        <v>487</v>
      </c>
      <c r="D97" s="50"/>
      <c r="E97" s="50"/>
      <c r="F97" s="50" t="s">
        <v>11</v>
      </c>
      <c r="G97" s="50" t="s">
        <v>1962</v>
      </c>
      <c r="H97" s="50" t="s">
        <v>15</v>
      </c>
      <c r="I97" s="50" t="s">
        <v>1120</v>
      </c>
      <c r="J97" s="50" t="s">
        <v>16</v>
      </c>
      <c r="K97" s="50" t="s">
        <v>7158</v>
      </c>
      <c r="L97" s="50">
        <v>122</v>
      </c>
      <c r="M97" s="50">
        <v>6.1</v>
      </c>
      <c r="N97" s="50">
        <v>0.61098091730833615</v>
      </c>
      <c r="O97" s="50">
        <v>477956.41782437498</v>
      </c>
      <c r="P97" s="50">
        <v>102263.145</v>
      </c>
      <c r="Q97" s="50">
        <v>375693.27282437496</v>
      </c>
      <c r="R97" s="50">
        <v>37376.402394873912</v>
      </c>
      <c r="S97" s="50">
        <v>338316.87042950105</v>
      </c>
      <c r="T97" s="50">
        <v>69722916.185880065</v>
      </c>
      <c r="U97" s="50">
        <v>3.2501078368417668E-3</v>
      </c>
      <c r="V97" s="50">
        <v>0.95000000000000007</v>
      </c>
      <c r="W97" s="50">
        <v>0.66980696533255235</v>
      </c>
      <c r="X97" s="50" t="s">
        <v>7159</v>
      </c>
      <c r="Y97" s="50">
        <v>0.32</v>
      </c>
    </row>
    <row r="98" spans="2:25" x14ac:dyDescent="0.2">
      <c r="B98" s="50" t="s">
        <v>9</v>
      </c>
      <c r="C98" s="50" t="s">
        <v>371</v>
      </c>
      <c r="D98" s="50"/>
      <c r="E98" s="50"/>
      <c r="F98" s="50" t="s">
        <v>11</v>
      </c>
      <c r="G98" s="50" t="s">
        <v>1962</v>
      </c>
      <c r="H98" s="50" t="s">
        <v>15</v>
      </c>
      <c r="I98" s="50" t="s">
        <v>1120</v>
      </c>
      <c r="J98" s="50" t="s">
        <v>16</v>
      </c>
      <c r="K98" s="50" t="s">
        <v>7158</v>
      </c>
      <c r="L98" s="50">
        <v>72</v>
      </c>
      <c r="M98" s="50">
        <v>5.76</v>
      </c>
      <c r="N98" s="50">
        <v>0.83496732026143794</v>
      </c>
      <c r="O98" s="50">
        <v>451316.22404399997</v>
      </c>
      <c r="P98" s="50">
        <v>65027.232000000004</v>
      </c>
      <c r="Q98" s="50">
        <v>386288.99204399996</v>
      </c>
      <c r="R98" s="50">
        <v>51078.64037087703</v>
      </c>
      <c r="S98" s="50">
        <v>335210.3516731229</v>
      </c>
      <c r="T98" s="50">
        <v>70058126.537553191</v>
      </c>
      <c r="U98" s="50">
        <v>3.2202644508392219E-3</v>
      </c>
      <c r="V98" s="50">
        <v>0.91999999999999993</v>
      </c>
      <c r="W98" s="50">
        <v>0.67302722978339158</v>
      </c>
      <c r="X98" s="50" t="s">
        <v>7163</v>
      </c>
      <c r="Y98" s="50">
        <v>0.32</v>
      </c>
    </row>
    <row r="99" spans="2:25" x14ac:dyDescent="0.2">
      <c r="B99" s="50" t="s">
        <v>9</v>
      </c>
      <c r="C99" s="50" t="s">
        <v>281</v>
      </c>
      <c r="D99" s="50"/>
      <c r="E99" s="50"/>
      <c r="F99" s="50" t="s">
        <v>11</v>
      </c>
      <c r="G99" s="50" t="s">
        <v>1962</v>
      </c>
      <c r="H99" s="50" t="s">
        <v>15</v>
      </c>
      <c r="I99" s="50" t="s">
        <v>1120</v>
      </c>
      <c r="J99" s="50" t="s">
        <v>16</v>
      </c>
      <c r="K99" s="50" t="s">
        <v>7158</v>
      </c>
      <c r="L99" s="50">
        <v>56</v>
      </c>
      <c r="M99" s="50">
        <v>6.72</v>
      </c>
      <c r="N99" s="50">
        <v>2.391633064516129</v>
      </c>
      <c r="O99" s="50">
        <v>526535.59471799992</v>
      </c>
      <c r="P99" s="50">
        <v>55425.104000000007</v>
      </c>
      <c r="Q99" s="50">
        <v>471110.49071799993</v>
      </c>
      <c r="R99" s="50">
        <v>146306.76223743436</v>
      </c>
      <c r="S99" s="50">
        <v>324803.72848056559</v>
      </c>
      <c r="T99" s="50">
        <v>70382930.266033754</v>
      </c>
      <c r="U99" s="50">
        <v>3.12029116972483E-3</v>
      </c>
      <c r="V99" s="50">
        <v>0.88</v>
      </c>
      <c r="W99" s="50">
        <v>0.67614752095311637</v>
      </c>
      <c r="X99" s="50" t="s">
        <v>7161</v>
      </c>
      <c r="Y99" s="50">
        <v>0.32</v>
      </c>
    </row>
    <row r="100" spans="2:25" x14ac:dyDescent="0.2">
      <c r="B100" s="50" t="s">
        <v>9</v>
      </c>
      <c r="C100" s="50" t="s">
        <v>588</v>
      </c>
      <c r="D100" s="50"/>
      <c r="E100" s="50"/>
      <c r="F100" s="50" t="s">
        <v>11</v>
      </c>
      <c r="G100" s="50" t="s">
        <v>1962</v>
      </c>
      <c r="H100" s="50" t="s">
        <v>589</v>
      </c>
      <c r="I100" s="50" t="s">
        <v>1120</v>
      </c>
      <c r="J100" s="50" t="s">
        <v>590</v>
      </c>
      <c r="K100" s="50" t="s">
        <v>7158</v>
      </c>
      <c r="L100" s="50">
        <v>11</v>
      </c>
      <c r="M100" s="50">
        <v>5.0599999999999996</v>
      </c>
      <c r="N100" s="50">
        <v>0.91022443890274307</v>
      </c>
      <c r="O100" s="50">
        <v>396468.76626087492</v>
      </c>
      <c r="P100" s="50">
        <v>18982.116999999998</v>
      </c>
      <c r="Q100" s="50">
        <v>377486.64926087495</v>
      </c>
      <c r="R100" s="50">
        <v>55682.450849620131</v>
      </c>
      <c r="S100" s="50">
        <v>321804.19841125479</v>
      </c>
      <c r="T100" s="50">
        <v>70704734.46444501</v>
      </c>
      <c r="U100" s="50">
        <v>3.0914755916759632E-3</v>
      </c>
      <c r="V100" s="50">
        <v>0.54</v>
      </c>
      <c r="W100" s="50">
        <v>0.67923899654479236</v>
      </c>
      <c r="X100" s="50" t="s">
        <v>7163</v>
      </c>
      <c r="Y100" s="50">
        <v>0.32</v>
      </c>
    </row>
    <row r="101" spans="2:25" x14ac:dyDescent="0.2">
      <c r="B101" s="50" t="s">
        <v>9</v>
      </c>
      <c r="C101" s="50" t="s">
        <v>460</v>
      </c>
      <c r="D101" s="50"/>
      <c r="E101" s="50"/>
      <c r="F101" s="50" t="s">
        <v>11</v>
      </c>
      <c r="G101" s="50" t="s">
        <v>1962</v>
      </c>
      <c r="H101" s="50" t="s">
        <v>32</v>
      </c>
      <c r="I101" s="50" t="s">
        <v>1120</v>
      </c>
      <c r="J101" s="50" t="s">
        <v>33</v>
      </c>
      <c r="K101" s="50" t="s">
        <v>7158</v>
      </c>
      <c r="L101" s="50">
        <v>5</v>
      </c>
      <c r="M101" s="50">
        <v>4.75</v>
      </c>
      <c r="N101" s="50">
        <v>0.61634582911178648</v>
      </c>
      <c r="O101" s="50">
        <v>372179.17781406245</v>
      </c>
      <c r="P101" s="50">
        <v>13931.137499999999</v>
      </c>
      <c r="Q101" s="50">
        <v>358248.04031406244</v>
      </c>
      <c r="R101" s="50">
        <v>37704.597755315219</v>
      </c>
      <c r="S101" s="50">
        <v>320543.44255874725</v>
      </c>
      <c r="T101" s="50">
        <v>71025277.90700376</v>
      </c>
      <c r="U101" s="50">
        <v>3.0793638915666047E-3</v>
      </c>
      <c r="V101" s="50">
        <v>0.05</v>
      </c>
      <c r="W101" s="50">
        <v>0.68231836043635896</v>
      </c>
      <c r="X101" s="50" t="s">
        <v>7160</v>
      </c>
      <c r="Y101" s="50">
        <v>0.32</v>
      </c>
    </row>
    <row r="102" spans="2:25" x14ac:dyDescent="0.2">
      <c r="B102" s="50" t="s">
        <v>9</v>
      </c>
      <c r="C102" s="50" t="s">
        <v>355</v>
      </c>
      <c r="D102" s="50"/>
      <c r="E102" s="50"/>
      <c r="F102" s="50" t="s">
        <v>11</v>
      </c>
      <c r="G102" s="50" t="s">
        <v>1962</v>
      </c>
      <c r="H102" s="50" t="s">
        <v>32</v>
      </c>
      <c r="I102" s="50" t="s">
        <v>1120</v>
      </c>
      <c r="J102" s="50" t="s">
        <v>33</v>
      </c>
      <c r="K102" s="50" t="s">
        <v>7158</v>
      </c>
      <c r="L102" s="50">
        <v>5</v>
      </c>
      <c r="M102" s="50">
        <v>4.9000000000000004</v>
      </c>
      <c r="N102" s="50">
        <v>0.86</v>
      </c>
      <c r="O102" s="50">
        <v>383932.20448187506</v>
      </c>
      <c r="P102" s="50">
        <v>14255.805</v>
      </c>
      <c r="Q102" s="50">
        <v>369676.39948187507</v>
      </c>
      <c r="R102" s="50">
        <v>52610</v>
      </c>
      <c r="S102" s="50">
        <v>317066.39948187507</v>
      </c>
      <c r="T102" s="50">
        <v>71342344.306485638</v>
      </c>
      <c r="U102" s="50">
        <v>3.0459609904968706E-3</v>
      </c>
      <c r="V102" s="50">
        <v>1.9999999999999928E-2</v>
      </c>
      <c r="W102" s="50">
        <v>0.68536432142685588</v>
      </c>
      <c r="X102" s="50" t="s">
        <v>7159</v>
      </c>
      <c r="Y102" s="50">
        <v>0.32</v>
      </c>
    </row>
    <row r="103" spans="2:25" x14ac:dyDescent="0.2">
      <c r="B103" s="50" t="s">
        <v>9</v>
      </c>
      <c r="C103" s="50" t="s">
        <v>341</v>
      </c>
      <c r="D103" s="50"/>
      <c r="E103" s="50"/>
      <c r="F103" s="50" t="s">
        <v>11</v>
      </c>
      <c r="G103" s="50" t="s">
        <v>1962</v>
      </c>
      <c r="H103" s="50" t="s">
        <v>32</v>
      </c>
      <c r="I103" s="50" t="s">
        <v>1120</v>
      </c>
      <c r="J103" s="50" t="s">
        <v>33</v>
      </c>
      <c r="K103" s="50" t="s">
        <v>7158</v>
      </c>
      <c r="L103" s="50">
        <v>10</v>
      </c>
      <c r="M103" s="50">
        <v>5.5</v>
      </c>
      <c r="N103" s="50">
        <v>1.5778097982708934</v>
      </c>
      <c r="O103" s="50">
        <v>430944.31115312502</v>
      </c>
      <c r="P103" s="50">
        <v>19204.474999999999</v>
      </c>
      <c r="Q103" s="50">
        <v>411739.83615312504</v>
      </c>
      <c r="R103" s="50">
        <v>96521.597077943836</v>
      </c>
      <c r="S103" s="50">
        <v>315218.23907518119</v>
      </c>
      <c r="T103" s="50">
        <v>71657562.545560822</v>
      </c>
      <c r="U103" s="50">
        <v>3.0282062725192813E-3</v>
      </c>
      <c r="V103" s="50">
        <v>0.45</v>
      </c>
      <c r="W103" s="50">
        <v>0.6883925276993752</v>
      </c>
      <c r="X103" s="50" t="s">
        <v>7160</v>
      </c>
      <c r="Y103" s="50">
        <v>0.32</v>
      </c>
    </row>
    <row r="104" spans="2:25" x14ac:dyDescent="0.2">
      <c r="B104" s="50" t="s">
        <v>9</v>
      </c>
      <c r="C104" s="50" t="s">
        <v>124</v>
      </c>
      <c r="D104" s="50"/>
      <c r="E104" s="50"/>
      <c r="F104" s="50" t="s">
        <v>11</v>
      </c>
      <c r="G104" s="50" t="s">
        <v>1962</v>
      </c>
      <c r="H104" s="50" t="s">
        <v>15</v>
      </c>
      <c r="I104" s="50" t="s">
        <v>1120</v>
      </c>
      <c r="J104" s="50" t="s">
        <v>16</v>
      </c>
      <c r="K104" s="50" t="s">
        <v>7158</v>
      </c>
      <c r="L104" s="50">
        <v>33</v>
      </c>
      <c r="M104" s="50">
        <v>5.28</v>
      </c>
      <c r="N104" s="50">
        <v>1.0830860534124629</v>
      </c>
      <c r="O104" s="50">
        <v>413706.53870700003</v>
      </c>
      <c r="P104" s="50">
        <v>35518.296000000002</v>
      </c>
      <c r="Q104" s="50">
        <v>378188.242707</v>
      </c>
      <c r="R104" s="50">
        <v>66257.159616313569</v>
      </c>
      <c r="S104" s="50">
        <v>311931.08309068641</v>
      </c>
      <c r="T104" s="50">
        <v>71969493.628651515</v>
      </c>
      <c r="U104" s="50">
        <v>2.996627559307124E-3</v>
      </c>
      <c r="V104" s="50">
        <v>0.84</v>
      </c>
      <c r="W104" s="50">
        <v>0.69138915525868228</v>
      </c>
      <c r="X104" s="50" t="s">
        <v>7161</v>
      </c>
      <c r="Y104" s="50">
        <v>0.32</v>
      </c>
    </row>
    <row r="105" spans="2:25" x14ac:dyDescent="0.2">
      <c r="B105" s="50" t="s">
        <v>9</v>
      </c>
      <c r="C105" s="50" t="s">
        <v>48</v>
      </c>
      <c r="D105" s="50"/>
      <c r="E105" s="50"/>
      <c r="F105" s="50" t="s">
        <v>11</v>
      </c>
      <c r="G105" s="50" t="s">
        <v>1962</v>
      </c>
      <c r="H105" s="50" t="s">
        <v>15</v>
      </c>
      <c r="I105" s="50" t="s">
        <v>1120</v>
      </c>
      <c r="J105" s="50" t="s">
        <v>16</v>
      </c>
      <c r="K105" s="50" t="s">
        <v>7158</v>
      </c>
      <c r="L105" s="50">
        <v>30</v>
      </c>
      <c r="M105" s="50">
        <v>5.0999999999999996</v>
      </c>
      <c r="N105" s="50">
        <v>0.95331374469474373</v>
      </c>
      <c r="O105" s="50">
        <v>399602.90670562495</v>
      </c>
      <c r="P105" s="50">
        <v>32938.695</v>
      </c>
      <c r="Q105" s="50">
        <v>366664.21170562494</v>
      </c>
      <c r="R105" s="50">
        <v>58318.414079523798</v>
      </c>
      <c r="S105" s="50">
        <v>308345.79762610112</v>
      </c>
      <c r="T105" s="50">
        <v>72277839.426277623</v>
      </c>
      <c r="U105" s="50">
        <v>2.9621848063608393E-3</v>
      </c>
      <c r="V105" s="50">
        <v>0.83</v>
      </c>
      <c r="W105" s="50">
        <v>0.69435134006504307</v>
      </c>
      <c r="X105" s="50" t="s">
        <v>7159</v>
      </c>
      <c r="Y105" s="50">
        <v>0.32</v>
      </c>
    </row>
    <row r="106" spans="2:25" x14ac:dyDescent="0.2">
      <c r="B106" s="50" t="s">
        <v>9</v>
      </c>
      <c r="C106" s="50" t="s">
        <v>7167</v>
      </c>
      <c r="D106" s="50"/>
      <c r="E106" s="50"/>
      <c r="F106" s="50" t="s">
        <v>11</v>
      </c>
      <c r="G106" s="51" t="s">
        <v>527</v>
      </c>
      <c r="H106" s="50" t="s">
        <v>32</v>
      </c>
      <c r="I106" s="50" t="s">
        <v>1120</v>
      </c>
      <c r="J106" s="50" t="s">
        <v>33</v>
      </c>
      <c r="K106" s="50" t="s">
        <v>7158</v>
      </c>
      <c r="L106" s="50">
        <v>22</v>
      </c>
      <c r="M106" s="50">
        <v>4.84</v>
      </c>
      <c r="N106" s="50">
        <v>0.73440643863179078</v>
      </c>
      <c r="O106" s="50">
        <v>379230.99381474999</v>
      </c>
      <c r="P106" s="50">
        <v>26535.937999999998</v>
      </c>
      <c r="Q106" s="50">
        <v>352695.05581474997</v>
      </c>
      <c r="R106" s="50">
        <v>44926.886902812221</v>
      </c>
      <c r="S106" s="50">
        <v>307768.16891193774</v>
      </c>
      <c r="T106" s="50">
        <v>72585607.595189556</v>
      </c>
      <c r="U106" s="50">
        <v>2.9566357020306177E-3</v>
      </c>
      <c r="V106" s="50">
        <v>0.78</v>
      </c>
      <c r="W106" s="50">
        <v>0.69730797576707371</v>
      </c>
      <c r="X106" s="50" t="s">
        <v>7160</v>
      </c>
      <c r="Y106" s="50">
        <v>0.32</v>
      </c>
    </row>
    <row r="107" spans="2:25" x14ac:dyDescent="0.2">
      <c r="B107" s="50" t="s">
        <v>9</v>
      </c>
      <c r="C107" s="50" t="s">
        <v>235</v>
      </c>
      <c r="D107" s="50"/>
      <c r="E107" s="50"/>
      <c r="F107" s="50" t="s">
        <v>11</v>
      </c>
      <c r="G107" s="50" t="s">
        <v>1962</v>
      </c>
      <c r="H107" s="50" t="s">
        <v>15</v>
      </c>
      <c r="I107" s="50" t="s">
        <v>1120</v>
      </c>
      <c r="J107" s="50" t="s">
        <v>16</v>
      </c>
      <c r="K107" s="50" t="s">
        <v>7158</v>
      </c>
      <c r="L107" s="50">
        <v>8</v>
      </c>
      <c r="M107" s="50">
        <v>4.8</v>
      </c>
      <c r="N107" s="50">
        <v>0.88771787596270779</v>
      </c>
      <c r="O107" s="50">
        <v>376096.85336999997</v>
      </c>
      <c r="P107" s="50">
        <v>16229.359999999999</v>
      </c>
      <c r="Q107" s="50">
        <v>359867.49336999998</v>
      </c>
      <c r="R107" s="50">
        <v>54305.624946974487</v>
      </c>
      <c r="S107" s="50">
        <v>305561.86842302547</v>
      </c>
      <c r="T107" s="50">
        <v>72891169.463612586</v>
      </c>
      <c r="U107" s="50">
        <v>2.9354404406168487E-3</v>
      </c>
      <c r="V107" s="50">
        <v>0.4</v>
      </c>
      <c r="W107" s="50">
        <v>0.70024341620769059</v>
      </c>
      <c r="X107" s="50" t="s">
        <v>7161</v>
      </c>
      <c r="Y107" s="50">
        <v>0.32</v>
      </c>
    </row>
    <row r="108" spans="2:25" x14ac:dyDescent="0.2">
      <c r="B108" s="50" t="s">
        <v>9</v>
      </c>
      <c r="C108" s="50" t="s">
        <v>245</v>
      </c>
      <c r="D108" s="50"/>
      <c r="E108" s="50"/>
      <c r="F108" s="50" t="s">
        <v>11</v>
      </c>
      <c r="G108" s="50" t="s">
        <v>1962</v>
      </c>
      <c r="H108" s="50" t="s">
        <v>15</v>
      </c>
      <c r="I108" s="50" t="s">
        <v>1120</v>
      </c>
      <c r="J108" s="50" t="s">
        <v>16</v>
      </c>
      <c r="K108" s="50" t="s">
        <v>7158</v>
      </c>
      <c r="L108" s="50">
        <v>45</v>
      </c>
      <c r="M108" s="50">
        <v>4.95</v>
      </c>
      <c r="N108" s="50">
        <v>0.68781407035175879</v>
      </c>
      <c r="O108" s="50">
        <v>387849.88003781252</v>
      </c>
      <c r="P108" s="50">
        <v>43564.027499999997</v>
      </c>
      <c r="Q108" s="50">
        <v>344285.85253781255</v>
      </c>
      <c r="R108" s="50">
        <v>42076.625861867476</v>
      </c>
      <c r="S108" s="50">
        <v>302209.2266759451</v>
      </c>
      <c r="T108" s="50">
        <v>73193378.690288529</v>
      </c>
      <c r="U108" s="50">
        <v>2.9032326254923011E-3</v>
      </c>
      <c r="V108" s="50">
        <v>0.8899999999999999</v>
      </c>
      <c r="W108" s="50">
        <v>0.7031466488331829</v>
      </c>
      <c r="X108" s="50" t="s">
        <v>7160</v>
      </c>
      <c r="Y108" s="50">
        <v>0.32</v>
      </c>
    </row>
    <row r="109" spans="2:25" x14ac:dyDescent="0.2">
      <c r="B109" s="50" t="s">
        <v>9</v>
      </c>
      <c r="C109" s="50" t="s">
        <v>26</v>
      </c>
      <c r="D109" s="50"/>
      <c r="E109" s="50"/>
      <c r="F109" s="50" t="s">
        <v>11</v>
      </c>
      <c r="G109" s="50" t="s">
        <v>1962</v>
      </c>
      <c r="H109" s="50" t="s">
        <v>15</v>
      </c>
      <c r="I109" s="50" t="s">
        <v>1120</v>
      </c>
      <c r="J109" s="50" t="s">
        <v>16</v>
      </c>
      <c r="K109" s="50" t="s">
        <v>7158</v>
      </c>
      <c r="L109" s="50">
        <v>32</v>
      </c>
      <c r="M109" s="50">
        <v>4.8</v>
      </c>
      <c r="N109" s="50">
        <v>0.7168576104746317</v>
      </c>
      <c r="O109" s="50">
        <v>376096.85336999997</v>
      </c>
      <c r="P109" s="50">
        <v>33749.360000000001</v>
      </c>
      <c r="Q109" s="50">
        <v>342347.49336999998</v>
      </c>
      <c r="R109" s="50">
        <v>43853.34754310509</v>
      </c>
      <c r="S109" s="50">
        <v>298494.14582689491</v>
      </c>
      <c r="T109" s="50">
        <v>73491872.83611542</v>
      </c>
      <c r="U109" s="50">
        <v>2.8675429675492315E-3</v>
      </c>
      <c r="V109" s="50">
        <v>0.85</v>
      </c>
      <c r="W109" s="50">
        <v>0.7060141918007321</v>
      </c>
      <c r="X109" s="50" t="s">
        <v>7161</v>
      </c>
      <c r="Y109" s="50">
        <v>0.32</v>
      </c>
    </row>
    <row r="110" spans="2:25" x14ac:dyDescent="0.2">
      <c r="B110" s="50" t="s">
        <v>9</v>
      </c>
      <c r="C110" s="50" t="s">
        <v>194</v>
      </c>
      <c r="D110" s="50"/>
      <c r="E110" s="50"/>
      <c r="F110" s="50" t="s">
        <v>11</v>
      </c>
      <c r="G110" s="50" t="s">
        <v>1962</v>
      </c>
      <c r="H110" s="50" t="s">
        <v>15</v>
      </c>
      <c r="I110" s="50" t="s">
        <v>1120</v>
      </c>
      <c r="J110" s="50" t="s">
        <v>16</v>
      </c>
      <c r="K110" s="50" t="s">
        <v>7158</v>
      </c>
      <c r="L110" s="50">
        <v>47</v>
      </c>
      <c r="M110" s="50">
        <v>5.17</v>
      </c>
      <c r="N110" s="50">
        <v>0.99965765148921593</v>
      </c>
      <c r="O110" s="50">
        <v>405087.65248393745</v>
      </c>
      <c r="P110" s="50">
        <v>45500.206499999993</v>
      </c>
      <c r="Q110" s="50">
        <v>359587.44598393748</v>
      </c>
      <c r="R110" s="50">
        <v>61153.475633543778</v>
      </c>
      <c r="S110" s="50">
        <v>298433.97035039368</v>
      </c>
      <c r="T110" s="50">
        <v>73790306.806465819</v>
      </c>
      <c r="U110" s="50">
        <v>2.8669648799489471E-3</v>
      </c>
      <c r="V110" s="50">
        <v>0.89</v>
      </c>
      <c r="W110" s="50">
        <v>0.70888115668068108</v>
      </c>
      <c r="X110" s="50" t="s">
        <v>7162</v>
      </c>
      <c r="Y110" s="50">
        <v>0.32</v>
      </c>
    </row>
    <row r="111" spans="2:25" x14ac:dyDescent="0.2">
      <c r="B111" s="50" t="s">
        <v>9</v>
      </c>
      <c r="C111" s="50" t="s">
        <v>467</v>
      </c>
      <c r="D111" s="50"/>
      <c r="E111" s="50"/>
      <c r="F111" s="50" t="s">
        <v>11</v>
      </c>
      <c r="G111" s="50" t="s">
        <v>1962</v>
      </c>
      <c r="H111" s="50" t="s">
        <v>15</v>
      </c>
      <c r="I111" s="50" t="s">
        <v>1120</v>
      </c>
      <c r="J111" s="50" t="s">
        <v>16</v>
      </c>
      <c r="K111" s="50" t="s">
        <v>7158</v>
      </c>
      <c r="L111" s="50">
        <v>12</v>
      </c>
      <c r="M111" s="50">
        <v>4.2</v>
      </c>
      <c r="N111" s="50">
        <v>0.25713279323705529</v>
      </c>
      <c r="O111" s="50">
        <v>329084.74669875001</v>
      </c>
      <c r="P111" s="50">
        <v>17850.689999999999</v>
      </c>
      <c r="Q111" s="50">
        <v>311234.05669875001</v>
      </c>
      <c r="R111" s="50">
        <v>15729.949130466835</v>
      </c>
      <c r="S111" s="50">
        <v>295504.10756828316</v>
      </c>
      <c r="T111" s="50">
        <v>74085810.914034098</v>
      </c>
      <c r="U111" s="50">
        <v>2.8388185744545754E-3</v>
      </c>
      <c r="V111" s="50">
        <v>0.65</v>
      </c>
      <c r="W111" s="50">
        <v>0.71171997525513564</v>
      </c>
      <c r="X111" s="50" t="s">
        <v>7160</v>
      </c>
      <c r="Y111" s="50">
        <v>0.32</v>
      </c>
    </row>
    <row r="112" spans="2:25" x14ac:dyDescent="0.2">
      <c r="B112" s="50" t="s">
        <v>9</v>
      </c>
      <c r="C112" s="50" t="s">
        <v>393</v>
      </c>
      <c r="D112" s="50"/>
      <c r="E112" s="50"/>
      <c r="F112" s="50" t="s">
        <v>11</v>
      </c>
      <c r="G112" s="50" t="s">
        <v>1962</v>
      </c>
      <c r="H112" s="50" t="s">
        <v>15</v>
      </c>
      <c r="I112" s="50" t="s">
        <v>1121</v>
      </c>
      <c r="J112" s="50" t="s">
        <v>16</v>
      </c>
      <c r="K112" s="50" t="s">
        <v>7158</v>
      </c>
      <c r="L112" s="50">
        <v>155</v>
      </c>
      <c r="M112" s="50">
        <v>6.2</v>
      </c>
      <c r="N112" s="50">
        <v>0.35</v>
      </c>
      <c r="O112" s="50">
        <v>485791.76893625001</v>
      </c>
      <c r="P112" s="50">
        <v>126569.59000000001</v>
      </c>
      <c r="Q112" s="50">
        <v>359222.17893624998</v>
      </c>
      <c r="R112" s="50">
        <v>64607.812499999993</v>
      </c>
      <c r="S112" s="50">
        <v>294614.36643624998</v>
      </c>
      <c r="T112" s="50">
        <v>74380425.280470341</v>
      </c>
      <c r="U112" s="50">
        <v>2.8302711005366763E-3</v>
      </c>
      <c r="V112" s="50">
        <v>0.96000000000000008</v>
      </c>
      <c r="W112" s="50">
        <v>0.71455024635567232</v>
      </c>
      <c r="X112" s="50" t="s">
        <v>7161</v>
      </c>
      <c r="Y112" s="50">
        <v>0.35</v>
      </c>
    </row>
    <row r="113" spans="2:25" x14ac:dyDescent="0.2">
      <c r="B113" s="50" t="s">
        <v>9</v>
      </c>
      <c r="C113" s="50" t="s">
        <v>263</v>
      </c>
      <c r="D113" s="50"/>
      <c r="E113" s="50"/>
      <c r="F113" s="50" t="s">
        <v>11</v>
      </c>
      <c r="G113" s="50" t="s">
        <v>1962</v>
      </c>
      <c r="H113" s="50" t="s">
        <v>19</v>
      </c>
      <c r="I113" s="50" t="s">
        <v>1120</v>
      </c>
      <c r="J113" s="50" t="s">
        <v>20</v>
      </c>
      <c r="K113" s="50" t="s">
        <v>7158</v>
      </c>
      <c r="L113" s="50">
        <v>48</v>
      </c>
      <c r="M113" s="50">
        <v>4.8</v>
      </c>
      <c r="N113" s="50">
        <v>0.5936890045543266</v>
      </c>
      <c r="O113" s="50">
        <v>376096.85336999997</v>
      </c>
      <c r="P113" s="50">
        <v>45429.36</v>
      </c>
      <c r="Q113" s="50">
        <v>330667.49336999998</v>
      </c>
      <c r="R113" s="50">
        <v>36318.579685585028</v>
      </c>
      <c r="S113" s="50">
        <v>294348.91368441493</v>
      </c>
      <c r="T113" s="50">
        <v>74674774.194154754</v>
      </c>
      <c r="U113" s="50">
        <v>2.8277209762465247E-3</v>
      </c>
      <c r="V113" s="50">
        <v>0.9</v>
      </c>
      <c r="W113" s="50">
        <v>0.71737796733191883</v>
      </c>
      <c r="X113" s="50" t="s">
        <v>7161</v>
      </c>
      <c r="Y113" s="50">
        <v>0.32</v>
      </c>
    </row>
    <row r="114" spans="2:25" x14ac:dyDescent="0.2">
      <c r="B114" s="50" t="s">
        <v>9</v>
      </c>
      <c r="C114" s="50" t="s">
        <v>295</v>
      </c>
      <c r="D114" s="50"/>
      <c r="E114" s="50"/>
      <c r="F114" s="50" t="s">
        <v>11</v>
      </c>
      <c r="G114" s="50" t="s">
        <v>1962</v>
      </c>
      <c r="H114" s="50" t="s">
        <v>15</v>
      </c>
      <c r="I114" s="50" t="s">
        <v>1120</v>
      </c>
      <c r="J114" s="50" t="s">
        <v>16</v>
      </c>
      <c r="K114" s="50" t="s">
        <v>7158</v>
      </c>
      <c r="L114" s="50">
        <v>24</v>
      </c>
      <c r="M114" s="50">
        <v>4.8</v>
      </c>
      <c r="N114" s="50">
        <v>0.90167984189723327</v>
      </c>
      <c r="O114" s="50">
        <v>376096.85336999997</v>
      </c>
      <c r="P114" s="50">
        <v>27909.360000000001</v>
      </c>
      <c r="Q114" s="50">
        <v>348187.49336999998</v>
      </c>
      <c r="R114" s="50">
        <v>55159.740095597022</v>
      </c>
      <c r="S114" s="50">
        <v>293027.75327440293</v>
      </c>
      <c r="T114" s="50">
        <v>74967801.94742915</v>
      </c>
      <c r="U114" s="50">
        <v>2.8150289878249783E-3</v>
      </c>
      <c r="V114" s="50">
        <v>0.79999999999999993</v>
      </c>
      <c r="W114" s="50">
        <v>0.72019299631974376</v>
      </c>
      <c r="X114" s="50" t="s">
        <v>7159</v>
      </c>
      <c r="Y114" s="50">
        <v>0.32</v>
      </c>
    </row>
    <row r="115" spans="2:25" x14ac:dyDescent="0.2">
      <c r="B115" s="50" t="s">
        <v>9</v>
      </c>
      <c r="C115" s="50" t="s">
        <v>404</v>
      </c>
      <c r="D115" s="50"/>
      <c r="E115" s="50"/>
      <c r="F115" s="50" t="s">
        <v>11</v>
      </c>
      <c r="G115" s="50" t="s">
        <v>1962</v>
      </c>
      <c r="H115" s="50" t="s">
        <v>32</v>
      </c>
      <c r="I115" s="50" t="s">
        <v>1120</v>
      </c>
      <c r="J115" s="50" t="s">
        <v>33</v>
      </c>
      <c r="K115" s="50" t="s">
        <v>7158</v>
      </c>
      <c r="L115" s="50">
        <v>12</v>
      </c>
      <c r="M115" s="50">
        <v>4.32</v>
      </c>
      <c r="N115" s="50">
        <v>0.52517985611510798</v>
      </c>
      <c r="O115" s="50">
        <v>338487.16803300002</v>
      </c>
      <c r="P115" s="50">
        <v>18110.423999999999</v>
      </c>
      <c r="Q115" s="50">
        <v>320376.74403300002</v>
      </c>
      <c r="R115" s="50">
        <v>32127.572360716087</v>
      </c>
      <c r="S115" s="50">
        <v>288249.17167228396</v>
      </c>
      <c r="T115" s="50">
        <v>75256051.119101435</v>
      </c>
      <c r="U115" s="50">
        <v>2.7691225998452184E-3</v>
      </c>
      <c r="V115" s="50">
        <v>0.64</v>
      </c>
      <c r="W115" s="50">
        <v>0.72296211891958895</v>
      </c>
      <c r="X115" s="50" t="s">
        <v>7160</v>
      </c>
      <c r="Y115" s="50">
        <v>0.32</v>
      </c>
    </row>
    <row r="116" spans="2:25" x14ac:dyDescent="0.2">
      <c r="B116" s="50" t="s">
        <v>9</v>
      </c>
      <c r="C116" s="50" t="s">
        <v>224</v>
      </c>
      <c r="D116" s="50"/>
      <c r="E116" s="50"/>
      <c r="F116" s="50" t="s">
        <v>11</v>
      </c>
      <c r="G116" s="50" t="s">
        <v>1962</v>
      </c>
      <c r="H116" s="50" t="s">
        <v>15</v>
      </c>
      <c r="I116" s="50" t="s">
        <v>1120</v>
      </c>
      <c r="J116" s="50" t="s">
        <v>16</v>
      </c>
      <c r="K116" s="50" t="s">
        <v>7158</v>
      </c>
      <c r="L116" s="50">
        <v>6</v>
      </c>
      <c r="M116" s="50">
        <v>3.9</v>
      </c>
      <c r="N116" s="50">
        <v>9.3685831622176599E-2</v>
      </c>
      <c r="O116" s="50">
        <v>305578.69336312497</v>
      </c>
      <c r="P116" s="50">
        <v>12821.354999999998</v>
      </c>
      <c r="Q116" s="50">
        <v>292757.33836312499</v>
      </c>
      <c r="R116" s="50">
        <v>5731.1762809798965</v>
      </c>
      <c r="S116" s="50">
        <v>287026.16208214511</v>
      </c>
      <c r="T116" s="50">
        <v>75543077.281183586</v>
      </c>
      <c r="U116" s="50">
        <v>2.7573735166605794E-3</v>
      </c>
      <c r="V116" s="50">
        <v>0.35000000000000003</v>
      </c>
      <c r="W116" s="50">
        <v>0.72571949243624956</v>
      </c>
      <c r="X116" s="50" t="s">
        <v>7159</v>
      </c>
      <c r="Y116" s="50">
        <v>0.32</v>
      </c>
    </row>
    <row r="117" spans="2:25" x14ac:dyDescent="0.2">
      <c r="B117" s="50" t="s">
        <v>9</v>
      </c>
      <c r="C117" s="50" t="s">
        <v>452</v>
      </c>
      <c r="D117" s="50"/>
      <c r="E117" s="50"/>
      <c r="F117" s="50" t="s">
        <v>11</v>
      </c>
      <c r="G117" s="50" t="s">
        <v>1962</v>
      </c>
      <c r="H117" s="50" t="s">
        <v>15</v>
      </c>
      <c r="I117" s="50" t="s">
        <v>1120</v>
      </c>
      <c r="J117" s="50" t="s">
        <v>16</v>
      </c>
      <c r="K117" s="50" t="s">
        <v>7158</v>
      </c>
      <c r="L117" s="50">
        <v>90</v>
      </c>
      <c r="M117" s="50">
        <v>5.4</v>
      </c>
      <c r="N117" s="50">
        <v>1.0117810117810118</v>
      </c>
      <c r="O117" s="50">
        <v>423108.96004124999</v>
      </c>
      <c r="P117" s="50">
        <v>77388.03</v>
      </c>
      <c r="Q117" s="50">
        <v>345720.93004124996</v>
      </c>
      <c r="R117" s="50">
        <v>61895.115150929108</v>
      </c>
      <c r="S117" s="50">
        <v>283825.81489032088</v>
      </c>
      <c r="T117" s="50">
        <v>75826903.096073911</v>
      </c>
      <c r="U117" s="50">
        <v>2.7266287492608409E-3</v>
      </c>
      <c r="V117" s="50">
        <v>0.94</v>
      </c>
      <c r="W117" s="50">
        <v>0.72844612118551044</v>
      </c>
      <c r="X117" s="50" t="s">
        <v>7161</v>
      </c>
      <c r="Y117" s="50">
        <v>0.32</v>
      </c>
    </row>
    <row r="118" spans="2:25" x14ac:dyDescent="0.2">
      <c r="B118" s="50" t="s">
        <v>9</v>
      </c>
      <c r="C118" s="50" t="s">
        <v>267</v>
      </c>
      <c r="D118" s="50"/>
      <c r="E118" s="50"/>
      <c r="F118" s="50" t="s">
        <v>11</v>
      </c>
      <c r="G118" s="50" t="s">
        <v>1962</v>
      </c>
      <c r="H118" s="50" t="s">
        <v>15</v>
      </c>
      <c r="I118" s="50" t="s">
        <v>1120</v>
      </c>
      <c r="J118" s="50" t="s">
        <v>16</v>
      </c>
      <c r="K118" s="50" t="s">
        <v>7158</v>
      </c>
      <c r="L118" s="50">
        <v>44</v>
      </c>
      <c r="M118" s="50">
        <v>4.84</v>
      </c>
      <c r="N118" s="50">
        <v>0.90925266903914592</v>
      </c>
      <c r="O118" s="50">
        <v>379230.99381474999</v>
      </c>
      <c r="P118" s="50">
        <v>42595.938000000002</v>
      </c>
      <c r="Q118" s="50">
        <v>336635.05581474997</v>
      </c>
      <c r="R118" s="50">
        <v>55623.003393197061</v>
      </c>
      <c r="S118" s="50">
        <v>281012.05242155289</v>
      </c>
      <c r="T118" s="50">
        <v>76107915.148495466</v>
      </c>
      <c r="U118" s="50">
        <v>2.6995977843576003E-3</v>
      </c>
      <c r="V118" s="50">
        <v>0.8899999999999999</v>
      </c>
      <c r="W118" s="50">
        <v>0.73114571896986802</v>
      </c>
      <c r="X118" s="50" t="s">
        <v>7161</v>
      </c>
      <c r="Y118" s="50">
        <v>0.32</v>
      </c>
    </row>
    <row r="119" spans="2:25" x14ac:dyDescent="0.2">
      <c r="B119" s="50" t="s">
        <v>9</v>
      </c>
      <c r="C119" s="50" t="s">
        <v>154</v>
      </c>
      <c r="D119" s="50"/>
      <c r="E119" s="50"/>
      <c r="F119" s="50" t="s">
        <v>11</v>
      </c>
      <c r="G119" s="50" t="s">
        <v>1962</v>
      </c>
      <c r="H119" s="50" t="s">
        <v>15</v>
      </c>
      <c r="I119" s="50" t="s">
        <v>1120</v>
      </c>
      <c r="J119" s="50" t="s">
        <v>16</v>
      </c>
      <c r="K119" s="50" t="s">
        <v>7158</v>
      </c>
      <c r="L119" s="50">
        <v>5</v>
      </c>
      <c r="M119" s="50">
        <v>4</v>
      </c>
      <c r="N119" s="50">
        <v>0.38788522848034002</v>
      </c>
      <c r="O119" s="50">
        <v>313414.044475</v>
      </c>
      <c r="P119" s="50">
        <v>12307.8</v>
      </c>
      <c r="Q119" s="50">
        <v>301106.24447500001</v>
      </c>
      <c r="R119" s="50">
        <v>23728.653337617077</v>
      </c>
      <c r="S119" s="50">
        <v>277377.59113738296</v>
      </c>
      <c r="T119" s="50">
        <v>76385292.739632845</v>
      </c>
      <c r="U119" s="50">
        <v>2.6646826141877456E-3</v>
      </c>
      <c r="V119" s="50">
        <v>0.2</v>
      </c>
      <c r="W119" s="50">
        <v>0.73381040158405575</v>
      </c>
      <c r="X119" s="50" t="s">
        <v>7160</v>
      </c>
      <c r="Y119" s="50">
        <v>0.32</v>
      </c>
    </row>
    <row r="120" spans="2:25" x14ac:dyDescent="0.2">
      <c r="B120" s="50" t="s">
        <v>9</v>
      </c>
      <c r="C120" s="50" t="s">
        <v>89</v>
      </c>
      <c r="D120" s="50"/>
      <c r="E120" s="50"/>
      <c r="F120" s="50" t="s">
        <v>11</v>
      </c>
      <c r="G120" s="50" t="s">
        <v>1962</v>
      </c>
      <c r="H120" s="50" t="s">
        <v>15</v>
      </c>
      <c r="I120" s="50" t="s">
        <v>1120</v>
      </c>
      <c r="J120" s="50" t="s">
        <v>16</v>
      </c>
      <c r="K120" s="50" t="s">
        <v>7158</v>
      </c>
      <c r="L120" s="50">
        <v>40</v>
      </c>
      <c r="M120" s="50">
        <v>4.8</v>
      </c>
      <c r="N120" s="50">
        <v>1.0045871559633028</v>
      </c>
      <c r="O120" s="50">
        <v>376096.85336999997</v>
      </c>
      <c r="P120" s="50">
        <v>39589.360000000001</v>
      </c>
      <c r="Q120" s="50">
        <v>336507.49336999998</v>
      </c>
      <c r="R120" s="50">
        <v>61455.035203755077</v>
      </c>
      <c r="S120" s="50">
        <v>275052.45816624491</v>
      </c>
      <c r="T120" s="50">
        <v>76660345.197799087</v>
      </c>
      <c r="U120" s="50">
        <v>2.6423457650628372E-3</v>
      </c>
      <c r="V120" s="50">
        <v>0.88000000000000012</v>
      </c>
      <c r="W120" s="50">
        <v>0.73645274734911859</v>
      </c>
      <c r="X120" s="50" t="s">
        <v>7162</v>
      </c>
      <c r="Y120" s="50">
        <v>0.32</v>
      </c>
    </row>
    <row r="121" spans="2:25" x14ac:dyDescent="0.2">
      <c r="B121" s="50" t="s">
        <v>9</v>
      </c>
      <c r="C121" s="50" t="s">
        <v>419</v>
      </c>
      <c r="D121" s="50"/>
      <c r="E121" s="50"/>
      <c r="F121" s="50" t="s">
        <v>11</v>
      </c>
      <c r="G121" s="50" t="s">
        <v>1962</v>
      </c>
      <c r="H121" s="50" t="s">
        <v>15</v>
      </c>
      <c r="I121" s="50" t="s">
        <v>1120</v>
      </c>
      <c r="J121" s="50" t="s">
        <v>16</v>
      </c>
      <c r="K121" s="50" t="s">
        <v>7158</v>
      </c>
      <c r="L121" s="50">
        <v>36</v>
      </c>
      <c r="M121" s="50">
        <v>5.04</v>
      </c>
      <c r="N121" s="50">
        <v>1.3647178789938819</v>
      </c>
      <c r="O121" s="50">
        <v>394901.6960385</v>
      </c>
      <c r="P121" s="50">
        <v>37188.828000000001</v>
      </c>
      <c r="Q121" s="50">
        <v>357712.86803850002</v>
      </c>
      <c r="R121" s="50">
        <v>83485.822806823402</v>
      </c>
      <c r="S121" s="50">
        <v>274227.0452316766</v>
      </c>
      <c r="T121" s="50">
        <v>76934572.243030757</v>
      </c>
      <c r="U121" s="50">
        <v>2.6344162726793649E-3</v>
      </c>
      <c r="V121" s="50">
        <v>0.86</v>
      </c>
      <c r="W121" s="50">
        <v>0.73908716362179794</v>
      </c>
      <c r="X121" s="50" t="s">
        <v>7160</v>
      </c>
      <c r="Y121" s="50">
        <v>0.32</v>
      </c>
    </row>
    <row r="122" spans="2:25" x14ac:dyDescent="0.2">
      <c r="B122" s="50" t="s">
        <v>9</v>
      </c>
      <c r="C122" s="50" t="s">
        <v>190</v>
      </c>
      <c r="D122" s="50"/>
      <c r="E122" s="50"/>
      <c r="F122" s="50" t="s">
        <v>11</v>
      </c>
      <c r="G122" s="50" t="s">
        <v>1962</v>
      </c>
      <c r="H122" s="50" t="s">
        <v>15</v>
      </c>
      <c r="I122" s="50" t="s">
        <v>1120</v>
      </c>
      <c r="J122" s="50" t="s">
        <v>16</v>
      </c>
      <c r="K122" s="50" t="s">
        <v>7158</v>
      </c>
      <c r="L122" s="50">
        <v>62</v>
      </c>
      <c r="M122" s="50">
        <v>4.96</v>
      </c>
      <c r="N122" s="50">
        <v>0.9841590832490732</v>
      </c>
      <c r="O122" s="50">
        <v>388633.41514899995</v>
      </c>
      <c r="P122" s="50">
        <v>55995.671999999999</v>
      </c>
      <c r="Q122" s="50">
        <v>332637.74314899993</v>
      </c>
      <c r="R122" s="50">
        <v>60205.359732248537</v>
      </c>
      <c r="S122" s="50">
        <v>272432.3834167514</v>
      </c>
      <c r="T122" s="50">
        <v>77207004.626447514</v>
      </c>
      <c r="U122" s="50">
        <v>2.6171754994901231E-3</v>
      </c>
      <c r="V122" s="50">
        <v>0.92</v>
      </c>
      <c r="W122" s="50">
        <v>0.74170433912128808</v>
      </c>
      <c r="X122" s="50" t="s">
        <v>7159</v>
      </c>
      <c r="Y122" s="50">
        <v>0.32</v>
      </c>
    </row>
    <row r="123" spans="2:25" x14ac:dyDescent="0.2">
      <c r="B123" s="50" t="s">
        <v>9</v>
      </c>
      <c r="C123" s="50" t="s">
        <v>107</v>
      </c>
      <c r="D123" s="50"/>
      <c r="E123" s="50"/>
      <c r="F123" s="50" t="s">
        <v>11</v>
      </c>
      <c r="G123" s="50" t="s">
        <v>1962</v>
      </c>
      <c r="H123" s="50" t="s">
        <v>19</v>
      </c>
      <c r="I123" s="50" t="s">
        <v>1121</v>
      </c>
      <c r="J123" s="50" t="s">
        <v>20</v>
      </c>
      <c r="K123" s="50" t="s">
        <v>7158</v>
      </c>
      <c r="L123" s="50">
        <v>94</v>
      </c>
      <c r="M123" s="50">
        <v>5.64</v>
      </c>
      <c r="N123" s="50">
        <v>0.5</v>
      </c>
      <c r="O123" s="50">
        <v>441913.8027097499</v>
      </c>
      <c r="P123" s="50">
        <v>80827.498000000007</v>
      </c>
      <c r="Q123" s="50">
        <v>361086.30470974988</v>
      </c>
      <c r="R123" s="50">
        <v>92296.875</v>
      </c>
      <c r="S123" s="50">
        <v>268789.42970974988</v>
      </c>
      <c r="T123" s="50">
        <v>77475794.056157261</v>
      </c>
      <c r="U123" s="50">
        <v>2.5821787451829961E-3</v>
      </c>
      <c r="V123" s="50">
        <v>0.94</v>
      </c>
      <c r="W123" s="50">
        <v>0.74428651786647104</v>
      </c>
      <c r="X123" s="50" t="s">
        <v>7163</v>
      </c>
      <c r="Y123" s="50">
        <v>0.5</v>
      </c>
    </row>
    <row r="124" spans="2:25" x14ac:dyDescent="0.2">
      <c r="B124" s="50" t="s">
        <v>9</v>
      </c>
      <c r="C124" s="50" t="s">
        <v>109</v>
      </c>
      <c r="D124" s="50"/>
      <c r="E124" s="50"/>
      <c r="F124" s="50" t="s">
        <v>11</v>
      </c>
      <c r="G124" s="50" t="s">
        <v>1962</v>
      </c>
      <c r="H124" s="50" t="s">
        <v>15</v>
      </c>
      <c r="I124" s="50" t="s">
        <v>1120</v>
      </c>
      <c r="J124" s="50" t="s">
        <v>16</v>
      </c>
      <c r="K124" s="50" t="s">
        <v>7158</v>
      </c>
      <c r="L124" s="50">
        <v>58</v>
      </c>
      <c r="M124" s="50">
        <v>4.6399999999999997</v>
      </c>
      <c r="N124" s="50">
        <v>0.73588709677419351</v>
      </c>
      <c r="O124" s="50">
        <v>363560.29159099993</v>
      </c>
      <c r="P124" s="50">
        <v>52383.047999999995</v>
      </c>
      <c r="Q124" s="50">
        <v>311177.24359099992</v>
      </c>
      <c r="R124" s="50">
        <v>45017.465303825957</v>
      </c>
      <c r="S124" s="50">
        <v>266159.77828717395</v>
      </c>
      <c r="T124" s="50">
        <v>77741953.834444433</v>
      </c>
      <c r="U124" s="50">
        <v>2.5569164794088241E-3</v>
      </c>
      <c r="V124" s="50">
        <v>0.92</v>
      </c>
      <c r="W124" s="50">
        <v>0.74684343434587985</v>
      </c>
      <c r="X124" s="50" t="s">
        <v>7161</v>
      </c>
      <c r="Y124" s="50">
        <v>0.32</v>
      </c>
    </row>
    <row r="125" spans="2:25" x14ac:dyDescent="0.2">
      <c r="B125" s="50" t="s">
        <v>9</v>
      </c>
      <c r="C125" s="50" t="s">
        <v>418</v>
      </c>
      <c r="D125" s="50"/>
      <c r="E125" s="50"/>
      <c r="F125" s="50" t="s">
        <v>11</v>
      </c>
      <c r="G125" s="50" t="s">
        <v>1962</v>
      </c>
      <c r="H125" s="50" t="s">
        <v>32</v>
      </c>
      <c r="I125" s="50" t="s">
        <v>1120</v>
      </c>
      <c r="J125" s="50" t="s">
        <v>33</v>
      </c>
      <c r="K125" s="50" t="s">
        <v>7158</v>
      </c>
      <c r="L125" s="50">
        <v>10</v>
      </c>
      <c r="M125" s="50">
        <v>3.8</v>
      </c>
      <c r="N125" s="50">
        <v>0.2947113443681873</v>
      </c>
      <c r="O125" s="50">
        <v>297743.34225124994</v>
      </c>
      <c r="P125" s="50">
        <v>15524.91</v>
      </c>
      <c r="Q125" s="50">
        <v>282218.43225124996</v>
      </c>
      <c r="R125" s="50">
        <v>18028.795147918994</v>
      </c>
      <c r="S125" s="50">
        <v>264189.63710333098</v>
      </c>
      <c r="T125" s="50">
        <v>78006143.471547768</v>
      </c>
      <c r="U125" s="50">
        <v>2.5379899290030941E-3</v>
      </c>
      <c r="V125" s="50">
        <v>0.62</v>
      </c>
      <c r="W125" s="50">
        <v>0.74938142427488297</v>
      </c>
      <c r="X125" s="50" t="s">
        <v>7160</v>
      </c>
      <c r="Y125" s="50">
        <v>0.32</v>
      </c>
    </row>
    <row r="126" spans="2:25" x14ac:dyDescent="0.2">
      <c r="B126" s="50" t="s">
        <v>9</v>
      </c>
      <c r="C126" s="50" t="s">
        <v>156</v>
      </c>
      <c r="D126" s="50"/>
      <c r="E126" s="50"/>
      <c r="F126" s="50" t="s">
        <v>11</v>
      </c>
      <c r="G126" s="50" t="s">
        <v>1962</v>
      </c>
      <c r="H126" s="50" t="s">
        <v>15</v>
      </c>
      <c r="I126" s="50" t="s">
        <v>1120</v>
      </c>
      <c r="J126" s="50" t="s">
        <v>16</v>
      </c>
      <c r="K126" s="50" t="s">
        <v>7158</v>
      </c>
      <c r="L126" s="50">
        <v>51</v>
      </c>
      <c r="M126" s="50">
        <v>5.0999999999999996</v>
      </c>
      <c r="N126" s="50">
        <v>1.4737550471063257</v>
      </c>
      <c r="O126" s="50">
        <v>399602.90670562495</v>
      </c>
      <c r="P126" s="50">
        <v>48268.695</v>
      </c>
      <c r="Q126" s="50">
        <v>351334.21170562494</v>
      </c>
      <c r="R126" s="50">
        <v>90156.108172399749</v>
      </c>
      <c r="S126" s="50">
        <v>261178.10353322519</v>
      </c>
      <c r="T126" s="50">
        <v>78267321.575080991</v>
      </c>
      <c r="U126" s="50">
        <v>2.5090590369530258E-3</v>
      </c>
      <c r="V126" s="50">
        <v>0.9</v>
      </c>
      <c r="W126" s="50">
        <v>0.75189048331183594</v>
      </c>
      <c r="X126" s="50" t="s">
        <v>7159</v>
      </c>
      <c r="Y126" s="50">
        <v>0.32</v>
      </c>
    </row>
    <row r="127" spans="2:25" x14ac:dyDescent="0.2">
      <c r="B127" s="50" t="s">
        <v>9</v>
      </c>
      <c r="C127" s="50" t="s">
        <v>221</v>
      </c>
      <c r="D127" s="50"/>
      <c r="E127" s="50"/>
      <c r="F127" s="50" t="s">
        <v>11</v>
      </c>
      <c r="G127" s="50" t="s">
        <v>1962</v>
      </c>
      <c r="H127" s="50" t="s">
        <v>15</v>
      </c>
      <c r="I127" s="50" t="s">
        <v>1121</v>
      </c>
      <c r="J127" s="50" t="s">
        <v>16</v>
      </c>
      <c r="K127" s="50" t="s">
        <v>7158</v>
      </c>
      <c r="L127" s="50">
        <v>60</v>
      </c>
      <c r="M127" s="50">
        <v>4.8</v>
      </c>
      <c r="N127" s="50">
        <v>0.35</v>
      </c>
      <c r="O127" s="50">
        <v>376096.85336999997</v>
      </c>
      <c r="P127" s="50">
        <v>54189.36</v>
      </c>
      <c r="Q127" s="50">
        <v>321907.49336999998</v>
      </c>
      <c r="R127" s="50">
        <v>64607.812499999993</v>
      </c>
      <c r="S127" s="50">
        <v>257299.68086999998</v>
      </c>
      <c r="T127" s="50">
        <v>78524621.255950987</v>
      </c>
      <c r="U127" s="50">
        <v>2.4718002036103956E-3</v>
      </c>
      <c r="V127" s="50">
        <v>0.92</v>
      </c>
      <c r="W127" s="50">
        <v>0.75436228351544632</v>
      </c>
      <c r="X127" s="50" t="s">
        <v>7161</v>
      </c>
      <c r="Y127" s="50">
        <v>0.35</v>
      </c>
    </row>
    <row r="128" spans="2:25" x14ac:dyDescent="0.2">
      <c r="B128" s="50" t="s">
        <v>9</v>
      </c>
      <c r="C128" s="50" t="s">
        <v>342</v>
      </c>
      <c r="D128" s="50"/>
      <c r="E128" s="50"/>
      <c r="F128" s="50" t="s">
        <v>11</v>
      </c>
      <c r="G128" s="50" t="s">
        <v>1962</v>
      </c>
      <c r="H128" s="50" t="s">
        <v>32</v>
      </c>
      <c r="I128" s="50" t="s">
        <v>1120</v>
      </c>
      <c r="J128" s="50" t="s">
        <v>33</v>
      </c>
      <c r="K128" s="50" t="s">
        <v>7158</v>
      </c>
      <c r="L128" s="50">
        <v>14</v>
      </c>
      <c r="M128" s="50">
        <v>4.2</v>
      </c>
      <c r="N128" s="50">
        <v>0.86</v>
      </c>
      <c r="O128" s="50">
        <v>329084.74669875001</v>
      </c>
      <c r="P128" s="50">
        <v>19310.689999999999</v>
      </c>
      <c r="Q128" s="50">
        <v>309774.05669875001</v>
      </c>
      <c r="R128" s="50">
        <v>52610</v>
      </c>
      <c r="S128" s="50">
        <v>257164.05669875001</v>
      </c>
      <c r="T128" s="50">
        <v>78781785.312649742</v>
      </c>
      <c r="U128" s="50">
        <v>2.4704973032221144E-3</v>
      </c>
      <c r="V128" s="50">
        <v>0.70000000000000007</v>
      </c>
      <c r="W128" s="50">
        <v>0.75683278081866845</v>
      </c>
      <c r="X128" s="50" t="s">
        <v>7159</v>
      </c>
      <c r="Y128" s="50">
        <v>0.32</v>
      </c>
    </row>
    <row r="129" spans="2:25" x14ac:dyDescent="0.2">
      <c r="B129" s="50" t="s">
        <v>9</v>
      </c>
      <c r="C129" s="50" t="s">
        <v>18</v>
      </c>
      <c r="D129" s="50"/>
      <c r="E129" s="50"/>
      <c r="F129" s="50" t="s">
        <v>11</v>
      </c>
      <c r="G129" s="51" t="s">
        <v>1962</v>
      </c>
      <c r="H129" s="50" t="s">
        <v>19</v>
      </c>
      <c r="I129" s="50" t="s">
        <v>1120</v>
      </c>
      <c r="J129" s="50" t="s">
        <v>20</v>
      </c>
      <c r="K129" s="50" t="s">
        <v>7158</v>
      </c>
      <c r="L129" s="50">
        <v>4</v>
      </c>
      <c r="M129" s="50">
        <v>3.6</v>
      </c>
      <c r="N129" s="50">
        <v>0.25347222222222221</v>
      </c>
      <c r="O129" s="50">
        <v>282072.64002749999</v>
      </c>
      <c r="P129" s="50">
        <v>10712.02</v>
      </c>
      <c r="Q129" s="50">
        <v>271360.62002749997</v>
      </c>
      <c r="R129" s="50">
        <v>15506.015826873383</v>
      </c>
      <c r="S129" s="50">
        <v>255854.60420062658</v>
      </c>
      <c r="T129" s="50">
        <v>79037639.916850373</v>
      </c>
      <c r="U129" s="50">
        <v>2.4579177891685582E-3</v>
      </c>
      <c r="V129" s="50">
        <v>9.9999999999999978E-2</v>
      </c>
      <c r="W129" s="50">
        <v>0.75929069860783704</v>
      </c>
      <c r="X129" s="50" t="s">
        <v>7161</v>
      </c>
      <c r="Y129" s="50">
        <v>0.32</v>
      </c>
    </row>
    <row r="130" spans="2:25" x14ac:dyDescent="0.2">
      <c r="B130" s="50" t="s">
        <v>9</v>
      </c>
      <c r="C130" s="50" t="s">
        <v>87</v>
      </c>
      <c r="D130" s="50"/>
      <c r="E130" s="50"/>
      <c r="F130" s="50" t="s">
        <v>11</v>
      </c>
      <c r="G130" s="50" t="s">
        <v>1962</v>
      </c>
      <c r="H130" s="50" t="s">
        <v>15</v>
      </c>
      <c r="I130" s="50" t="s">
        <v>1120</v>
      </c>
      <c r="J130" s="50" t="s">
        <v>16</v>
      </c>
      <c r="K130" s="50" t="s">
        <v>7158</v>
      </c>
      <c r="L130" s="50">
        <v>36</v>
      </c>
      <c r="M130" s="50">
        <v>4.32</v>
      </c>
      <c r="N130" s="50">
        <v>0.89680589680589673</v>
      </c>
      <c r="O130" s="50">
        <v>338487.16803300002</v>
      </c>
      <c r="P130" s="50">
        <v>35630.423999999999</v>
      </c>
      <c r="Q130" s="50">
        <v>302856.74403300002</v>
      </c>
      <c r="R130" s="50">
        <v>54861.579338323514</v>
      </c>
      <c r="S130" s="50">
        <v>247995.16469467652</v>
      </c>
      <c r="T130" s="50">
        <v>79285635.081545055</v>
      </c>
      <c r="U130" s="50">
        <v>2.3824145312345293E-3</v>
      </c>
      <c r="V130" s="50">
        <v>0.88</v>
      </c>
      <c r="W130" s="50">
        <v>0.7616731131390716</v>
      </c>
      <c r="X130" s="50" t="s">
        <v>7162</v>
      </c>
      <c r="Y130" s="50">
        <v>0.32</v>
      </c>
    </row>
    <row r="131" spans="2:25" x14ac:dyDescent="0.2">
      <c r="B131" s="50" t="s">
        <v>9</v>
      </c>
      <c r="C131" s="50" t="s">
        <v>327</v>
      </c>
      <c r="D131" s="50"/>
      <c r="E131" s="50"/>
      <c r="F131" s="50" t="s">
        <v>11</v>
      </c>
      <c r="G131" s="50" t="s">
        <v>1962</v>
      </c>
      <c r="H131" s="50" t="s">
        <v>32</v>
      </c>
      <c r="I131" s="50" t="s">
        <v>1120</v>
      </c>
      <c r="J131" s="50" t="s">
        <v>33</v>
      </c>
      <c r="K131" s="50" t="s">
        <v>7158</v>
      </c>
      <c r="L131" s="50">
        <v>4</v>
      </c>
      <c r="M131" s="50">
        <v>3.6</v>
      </c>
      <c r="N131" s="50">
        <v>0.39544962080173346</v>
      </c>
      <c r="O131" s="50">
        <v>282072.64002749999</v>
      </c>
      <c r="P131" s="50">
        <v>10712.02</v>
      </c>
      <c r="Q131" s="50">
        <v>271360.62002749997</v>
      </c>
      <c r="R131" s="50">
        <v>24191.400639975811</v>
      </c>
      <c r="S131" s="50">
        <v>247169.21938752415</v>
      </c>
      <c r="T131" s="50">
        <v>79532804.300932586</v>
      </c>
      <c r="U131" s="50">
        <v>2.3744799245086789E-3</v>
      </c>
      <c r="V131" s="50">
        <v>9.9999999999999978E-2</v>
      </c>
      <c r="W131" s="50">
        <v>0.76404759306358028</v>
      </c>
      <c r="X131" s="50" t="s">
        <v>7161</v>
      </c>
      <c r="Y131" s="50">
        <v>0.32</v>
      </c>
    </row>
    <row r="132" spans="2:25" x14ac:dyDescent="0.2">
      <c r="B132" s="50" t="s">
        <v>9</v>
      </c>
      <c r="C132" s="50" t="s">
        <v>35</v>
      </c>
      <c r="D132" s="50"/>
      <c r="E132" s="50"/>
      <c r="F132" s="50" t="s">
        <v>11</v>
      </c>
      <c r="G132" s="51" t="s">
        <v>1962</v>
      </c>
      <c r="H132" s="50" t="s">
        <v>19</v>
      </c>
      <c r="I132" s="50" t="s">
        <v>1120</v>
      </c>
      <c r="J132" s="50" t="s">
        <v>20</v>
      </c>
      <c r="K132" s="50" t="s">
        <v>7158</v>
      </c>
      <c r="L132" s="50">
        <v>44</v>
      </c>
      <c r="M132" s="50">
        <v>4.4000000000000004</v>
      </c>
      <c r="N132" s="50">
        <v>0.95643629217163439</v>
      </c>
      <c r="O132" s="50">
        <v>344755.44892250001</v>
      </c>
      <c r="P132" s="50">
        <v>41643.58</v>
      </c>
      <c r="Q132" s="50">
        <v>303111.8689225</v>
      </c>
      <c r="R132" s="50">
        <v>58509.434105988017</v>
      </c>
      <c r="S132" s="50">
        <v>244602.43481651199</v>
      </c>
      <c r="T132" s="50">
        <v>79777406.735749096</v>
      </c>
      <c r="U132" s="50">
        <v>2.3498216015609042E-3</v>
      </c>
      <c r="V132" s="50">
        <v>0.9</v>
      </c>
      <c r="W132" s="50">
        <v>0.76639741466514122</v>
      </c>
      <c r="X132" s="50" t="s">
        <v>7161</v>
      </c>
      <c r="Y132" s="50">
        <v>0.32</v>
      </c>
    </row>
    <row r="133" spans="2:25" x14ac:dyDescent="0.2">
      <c r="B133" s="50" t="s">
        <v>9</v>
      </c>
      <c r="C133" s="50" t="s">
        <v>203</v>
      </c>
      <c r="D133" s="50"/>
      <c r="E133" s="50"/>
      <c r="F133" s="50" t="s">
        <v>11</v>
      </c>
      <c r="G133" s="50" t="s">
        <v>1962</v>
      </c>
      <c r="H133" s="50" t="s">
        <v>15</v>
      </c>
      <c r="I133" s="50" t="s">
        <v>1120</v>
      </c>
      <c r="J133" s="50" t="s">
        <v>16</v>
      </c>
      <c r="K133" s="50" t="s">
        <v>7158</v>
      </c>
      <c r="L133" s="50">
        <v>25</v>
      </c>
      <c r="M133" s="50">
        <v>4</v>
      </c>
      <c r="N133" s="50">
        <v>0.74111675126903553</v>
      </c>
      <c r="O133" s="50">
        <v>313414.044475</v>
      </c>
      <c r="P133" s="50">
        <v>26907.8</v>
      </c>
      <c r="Q133" s="50">
        <v>286506.24447500001</v>
      </c>
      <c r="R133" s="50">
        <v>45337.386377051116</v>
      </c>
      <c r="S133" s="50">
        <v>241168.85809794889</v>
      </c>
      <c r="T133" s="50">
        <v>80018575.593847051</v>
      </c>
      <c r="U133" s="50">
        <v>2.3168362686473189E-3</v>
      </c>
      <c r="V133" s="50">
        <v>0.84</v>
      </c>
      <c r="W133" s="50">
        <v>0.76871425093378853</v>
      </c>
      <c r="X133" s="50" t="s">
        <v>7159</v>
      </c>
      <c r="Y133" s="50">
        <v>0.32</v>
      </c>
    </row>
    <row r="134" spans="2:25" x14ac:dyDescent="0.2">
      <c r="B134" s="50" t="s">
        <v>9</v>
      </c>
      <c r="C134" s="50" t="s">
        <v>189</v>
      </c>
      <c r="D134" s="50"/>
      <c r="E134" s="50"/>
      <c r="F134" s="50" t="s">
        <v>11</v>
      </c>
      <c r="G134" s="50" t="s">
        <v>1962</v>
      </c>
      <c r="H134" s="50" t="s">
        <v>15</v>
      </c>
      <c r="I134" s="50" t="s">
        <v>1120</v>
      </c>
      <c r="J134" s="50" t="s">
        <v>16</v>
      </c>
      <c r="K134" s="50" t="s">
        <v>7158</v>
      </c>
      <c r="L134" s="50">
        <v>50</v>
      </c>
      <c r="M134" s="50">
        <v>4.5</v>
      </c>
      <c r="N134" s="50">
        <v>1.0717781402936379</v>
      </c>
      <c r="O134" s="50">
        <v>352590.80003437499</v>
      </c>
      <c r="P134" s="50">
        <v>46240.025000000001</v>
      </c>
      <c r="Q134" s="50">
        <v>306350.77503437496</v>
      </c>
      <c r="R134" s="50">
        <v>65565.404605637552</v>
      </c>
      <c r="S134" s="50">
        <v>240785.37042873743</v>
      </c>
      <c r="T134" s="50">
        <v>80259360.964275792</v>
      </c>
      <c r="U134" s="50">
        <v>2.3131522186102807E-3</v>
      </c>
      <c r="V134" s="50">
        <v>0.91</v>
      </c>
      <c r="W134" s="50">
        <v>0.77102740315239882</v>
      </c>
      <c r="X134" s="50" t="s">
        <v>7162</v>
      </c>
      <c r="Y134" s="50">
        <v>0.32</v>
      </c>
    </row>
    <row r="135" spans="2:25" x14ac:dyDescent="0.2">
      <c r="B135" s="50" t="s">
        <v>9</v>
      </c>
      <c r="C135" s="50" t="s">
        <v>407</v>
      </c>
      <c r="D135" s="50"/>
      <c r="E135" s="50"/>
      <c r="F135" s="50" t="s">
        <v>11</v>
      </c>
      <c r="G135" s="51" t="s">
        <v>1962</v>
      </c>
      <c r="H135" s="50" t="s">
        <v>32</v>
      </c>
      <c r="I135" s="50" t="s">
        <v>1120</v>
      </c>
      <c r="J135" s="50" t="s">
        <v>33</v>
      </c>
      <c r="K135" s="50" t="s">
        <v>7158</v>
      </c>
      <c r="L135" s="50">
        <v>6</v>
      </c>
      <c r="M135" s="50">
        <v>3.6</v>
      </c>
      <c r="N135" s="50">
        <v>0.49761417859577373</v>
      </c>
      <c r="O135" s="50">
        <v>282072.64002749999</v>
      </c>
      <c r="P135" s="50">
        <v>12172.02</v>
      </c>
      <c r="Q135" s="50">
        <v>269900.62002749997</v>
      </c>
      <c r="R135" s="50">
        <v>30441.258065027509</v>
      </c>
      <c r="S135" s="50">
        <v>239459.36196247247</v>
      </c>
      <c r="T135" s="50">
        <v>80498820.32623826</v>
      </c>
      <c r="U135" s="50">
        <v>2.3004136563787993E-3</v>
      </c>
      <c r="V135" s="50">
        <v>0.39999999999999997</v>
      </c>
      <c r="W135" s="50">
        <v>0.7733278168087776</v>
      </c>
      <c r="X135" s="50" t="s">
        <v>7160</v>
      </c>
      <c r="Y135" s="50">
        <v>0.32</v>
      </c>
    </row>
    <row r="136" spans="2:25" x14ac:dyDescent="0.2">
      <c r="B136" s="50" t="s">
        <v>9</v>
      </c>
      <c r="C136" s="50" t="s">
        <v>304</v>
      </c>
      <c r="D136" s="50"/>
      <c r="E136" s="50"/>
      <c r="F136" s="50" t="s">
        <v>11</v>
      </c>
      <c r="G136" s="50" t="s">
        <v>1962</v>
      </c>
      <c r="H136" s="50" t="s">
        <v>19</v>
      </c>
      <c r="I136" s="50" t="s">
        <v>1120</v>
      </c>
      <c r="J136" s="50" t="s">
        <v>20</v>
      </c>
      <c r="K136" s="50" t="s">
        <v>7158</v>
      </c>
      <c r="L136" s="50">
        <v>25</v>
      </c>
      <c r="M136" s="50">
        <v>3.5</v>
      </c>
      <c r="N136" s="50">
        <v>0.16515837104072398</v>
      </c>
      <c r="O136" s="50">
        <v>274237.28891562496</v>
      </c>
      <c r="P136" s="50">
        <v>25825.574999999997</v>
      </c>
      <c r="Q136" s="50">
        <v>248411.71391562495</v>
      </c>
      <c r="R136" s="50">
        <v>10103.467326107544</v>
      </c>
      <c r="S136" s="50">
        <v>238308.2465895174</v>
      </c>
      <c r="T136" s="50">
        <v>80737128.572827771</v>
      </c>
      <c r="U136" s="50">
        <v>2.2893552391913836E-3</v>
      </c>
      <c r="V136" s="50">
        <v>0.86</v>
      </c>
      <c r="W136" s="50">
        <v>0.77561717204796898</v>
      </c>
      <c r="X136" s="50" t="s">
        <v>7161</v>
      </c>
      <c r="Y136" s="50">
        <v>0.32</v>
      </c>
    </row>
    <row r="137" spans="2:25" x14ac:dyDescent="0.2">
      <c r="B137" s="50" t="s">
        <v>9</v>
      </c>
      <c r="C137" s="50" t="s">
        <v>174</v>
      </c>
      <c r="D137" s="50"/>
      <c r="E137" s="50"/>
      <c r="F137" s="50" t="s">
        <v>11</v>
      </c>
      <c r="G137" s="50" t="s">
        <v>1962</v>
      </c>
      <c r="H137" s="50" t="s">
        <v>32</v>
      </c>
      <c r="I137" s="50" t="s">
        <v>1120</v>
      </c>
      <c r="J137" s="50" t="s">
        <v>33</v>
      </c>
      <c r="K137" s="50" t="s">
        <v>7158</v>
      </c>
      <c r="L137" s="50">
        <v>60</v>
      </c>
      <c r="M137" s="50">
        <v>4.8</v>
      </c>
      <c r="N137" s="50">
        <v>1.548250265111347</v>
      </c>
      <c r="O137" s="50">
        <v>376096.85336999997</v>
      </c>
      <c r="P137" s="50">
        <v>54189.36</v>
      </c>
      <c r="Q137" s="50">
        <v>321907.49336999998</v>
      </c>
      <c r="R137" s="50">
        <v>94713.309822683688</v>
      </c>
      <c r="S137" s="50">
        <v>227194.18354731629</v>
      </c>
      <c r="T137" s="50">
        <v>80964322.756375089</v>
      </c>
      <c r="U137" s="50">
        <v>2.182585797434744E-3</v>
      </c>
      <c r="V137" s="50">
        <v>0.92</v>
      </c>
      <c r="W137" s="50">
        <v>0.77779975784540367</v>
      </c>
      <c r="X137" s="50" t="s">
        <v>7159</v>
      </c>
      <c r="Y137" s="50">
        <v>0.32</v>
      </c>
    </row>
    <row r="138" spans="2:25" x14ac:dyDescent="0.2">
      <c r="B138" s="50" t="s">
        <v>9</v>
      </c>
      <c r="C138" s="50" t="s">
        <v>122</v>
      </c>
      <c r="D138" s="50"/>
      <c r="E138" s="50"/>
      <c r="F138" s="50" t="s">
        <v>11</v>
      </c>
      <c r="G138" s="50" t="s">
        <v>1962</v>
      </c>
      <c r="H138" s="50" t="s">
        <v>15</v>
      </c>
      <c r="I138" s="50" t="s">
        <v>1120</v>
      </c>
      <c r="J138" s="50" t="s">
        <v>16</v>
      </c>
      <c r="K138" s="50" t="s">
        <v>7158</v>
      </c>
      <c r="L138" s="50">
        <v>28</v>
      </c>
      <c r="M138" s="50">
        <v>3.92</v>
      </c>
      <c r="N138" s="50">
        <v>0.86</v>
      </c>
      <c r="O138" s="50">
        <v>307145.76358549995</v>
      </c>
      <c r="P138" s="50">
        <v>28924.644</v>
      </c>
      <c r="Q138" s="50">
        <v>278221.11958549998</v>
      </c>
      <c r="R138" s="50">
        <v>52610</v>
      </c>
      <c r="S138" s="50">
        <v>225611.11958549998</v>
      </c>
      <c r="T138" s="50">
        <v>81189933.875960588</v>
      </c>
      <c r="U138" s="50">
        <v>2.1673777808141445E-3</v>
      </c>
      <c r="V138" s="50">
        <v>0.86</v>
      </c>
      <c r="W138" s="50">
        <v>0.77996713562621778</v>
      </c>
      <c r="X138" s="50" t="s">
        <v>7163</v>
      </c>
      <c r="Y138" s="50">
        <v>0.32</v>
      </c>
    </row>
    <row r="139" spans="2:25" x14ac:dyDescent="0.2">
      <c r="B139" s="50" t="s">
        <v>9</v>
      </c>
      <c r="C139" s="50" t="s">
        <v>7168</v>
      </c>
      <c r="D139" s="50"/>
      <c r="E139" s="50"/>
      <c r="F139" s="50" t="s">
        <v>11</v>
      </c>
      <c r="G139" s="51" t="s">
        <v>527</v>
      </c>
      <c r="H139" s="50" t="s">
        <v>32</v>
      </c>
      <c r="I139" s="50" t="s">
        <v>1120</v>
      </c>
      <c r="J139" s="50" t="s">
        <v>33</v>
      </c>
      <c r="K139" s="50" t="s">
        <v>7158</v>
      </c>
      <c r="L139" s="50">
        <v>14</v>
      </c>
      <c r="M139" s="50">
        <v>3.78</v>
      </c>
      <c r="N139" s="50">
        <v>0.86</v>
      </c>
      <c r="O139" s="50">
        <v>296176.27202887501</v>
      </c>
      <c r="P139" s="50">
        <v>18401.620999999999</v>
      </c>
      <c r="Q139" s="50">
        <v>277774.65102887503</v>
      </c>
      <c r="R139" s="50">
        <v>52610</v>
      </c>
      <c r="S139" s="50">
        <v>225164.65102887503</v>
      </c>
      <c r="T139" s="50">
        <v>81415098.52698946</v>
      </c>
      <c r="U139" s="50">
        <v>2.1630886924427959E-3</v>
      </c>
      <c r="V139" s="50">
        <v>0.73000000000000009</v>
      </c>
      <c r="W139" s="50">
        <v>0.78213022431866053</v>
      </c>
      <c r="X139" s="50" t="s">
        <v>7160</v>
      </c>
      <c r="Y139" s="50">
        <v>0.32</v>
      </c>
    </row>
    <row r="140" spans="2:25" x14ac:dyDescent="0.2">
      <c r="B140" s="50" t="s">
        <v>9</v>
      </c>
      <c r="C140" s="50" t="s">
        <v>232</v>
      </c>
      <c r="D140" s="50"/>
      <c r="E140" s="50"/>
      <c r="F140" s="50" t="s">
        <v>11</v>
      </c>
      <c r="G140" s="50" t="s">
        <v>1962</v>
      </c>
      <c r="H140" s="50" t="s">
        <v>15</v>
      </c>
      <c r="I140" s="50" t="s">
        <v>1121</v>
      </c>
      <c r="J140" s="50" t="s">
        <v>16</v>
      </c>
      <c r="K140" s="50" t="s">
        <v>7158</v>
      </c>
      <c r="L140" s="50">
        <v>70</v>
      </c>
      <c r="M140" s="50">
        <v>4.2</v>
      </c>
      <c r="N140" s="50">
        <v>0.25</v>
      </c>
      <c r="O140" s="50">
        <v>329084.74669875001</v>
      </c>
      <c r="P140" s="50">
        <v>60190.69</v>
      </c>
      <c r="Q140" s="50">
        <v>268894.05669875001</v>
      </c>
      <c r="R140" s="50">
        <v>46148.4375</v>
      </c>
      <c r="S140" s="50">
        <v>222745.61919875001</v>
      </c>
      <c r="T140" s="50">
        <v>81637844.146188214</v>
      </c>
      <c r="U140" s="50">
        <v>2.1398497853830391E-3</v>
      </c>
      <c r="V140" s="50">
        <v>0.94</v>
      </c>
      <c r="W140" s="50">
        <v>0.78427007410404359</v>
      </c>
      <c r="X140" s="50" t="s">
        <v>7159</v>
      </c>
      <c r="Y140" s="50">
        <v>0.25</v>
      </c>
    </row>
    <row r="141" spans="2:25" x14ac:dyDescent="0.2">
      <c r="B141" s="50" t="s">
        <v>9</v>
      </c>
      <c r="C141" s="50" t="s">
        <v>236</v>
      </c>
      <c r="D141" s="50"/>
      <c r="E141" s="50"/>
      <c r="F141" s="50" t="s">
        <v>11</v>
      </c>
      <c r="G141" s="50" t="s">
        <v>1962</v>
      </c>
      <c r="H141" s="50" t="s">
        <v>15</v>
      </c>
      <c r="I141" s="50" t="s">
        <v>1120</v>
      </c>
      <c r="J141" s="50" t="s">
        <v>16</v>
      </c>
      <c r="K141" s="50" t="s">
        <v>7158</v>
      </c>
      <c r="L141" s="50">
        <v>10</v>
      </c>
      <c r="M141" s="50">
        <v>3.2</v>
      </c>
      <c r="N141" s="50">
        <v>0.23300351101180977</v>
      </c>
      <c r="O141" s="50">
        <v>250731.23558000001</v>
      </c>
      <c r="P141" s="50">
        <v>14226.24</v>
      </c>
      <c r="Q141" s="50">
        <v>236504.99558000002</v>
      </c>
      <c r="R141" s="50">
        <v>14253.854318989897</v>
      </c>
      <c r="S141" s="50">
        <v>222251.14126101011</v>
      </c>
      <c r="T141" s="50">
        <v>81860095.287449226</v>
      </c>
      <c r="U141" s="50">
        <v>2.1350994854096635E-3</v>
      </c>
      <c r="V141" s="50">
        <v>0.67999999999999994</v>
      </c>
      <c r="W141" s="50">
        <v>0.78640517358945328</v>
      </c>
      <c r="X141" s="50" t="s">
        <v>7163</v>
      </c>
      <c r="Y141" s="50">
        <v>0.32</v>
      </c>
    </row>
    <row r="142" spans="2:25" x14ac:dyDescent="0.2">
      <c r="B142" s="50" t="s">
        <v>9</v>
      </c>
      <c r="C142" s="50" t="s">
        <v>209</v>
      </c>
      <c r="D142" s="50"/>
      <c r="E142" s="50"/>
      <c r="F142" s="50" t="s">
        <v>11</v>
      </c>
      <c r="G142" s="50" t="s">
        <v>1962</v>
      </c>
      <c r="H142" s="50" t="s">
        <v>15</v>
      </c>
      <c r="I142" s="50" t="s">
        <v>1120</v>
      </c>
      <c r="J142" s="50" t="s">
        <v>16</v>
      </c>
      <c r="K142" s="50" t="s">
        <v>7158</v>
      </c>
      <c r="L142" s="50">
        <v>22</v>
      </c>
      <c r="M142" s="50">
        <v>3.52</v>
      </c>
      <c r="N142" s="50">
        <v>0.53479853479853479</v>
      </c>
      <c r="O142" s="50">
        <v>275804.359138</v>
      </c>
      <c r="P142" s="50">
        <v>23678.863999999998</v>
      </c>
      <c r="Q142" s="50">
        <v>252125.495138</v>
      </c>
      <c r="R142" s="50">
        <v>32715.98943691967</v>
      </c>
      <c r="S142" s="50">
        <v>219409.50570108031</v>
      </c>
      <c r="T142" s="50">
        <v>82079504.793150306</v>
      </c>
      <c r="U142" s="50">
        <v>2.1078007521509548E-3</v>
      </c>
      <c r="V142" s="50">
        <v>0.84</v>
      </c>
      <c r="W142" s="50">
        <v>0.78851297434160428</v>
      </c>
      <c r="X142" s="50" t="s">
        <v>7161</v>
      </c>
      <c r="Y142" s="50">
        <v>0.32</v>
      </c>
    </row>
    <row r="143" spans="2:25" x14ac:dyDescent="0.2">
      <c r="B143" s="50" t="s">
        <v>9</v>
      </c>
      <c r="C143" s="50" t="s">
        <v>408</v>
      </c>
      <c r="D143" s="50"/>
      <c r="E143" s="50"/>
      <c r="F143" s="50" t="s">
        <v>11</v>
      </c>
      <c r="G143" s="50" t="s">
        <v>1962</v>
      </c>
      <c r="H143" s="50" t="s">
        <v>15</v>
      </c>
      <c r="I143" s="50" t="s">
        <v>1120</v>
      </c>
      <c r="J143" s="50" t="s">
        <v>16</v>
      </c>
      <c r="K143" s="50" t="s">
        <v>7158</v>
      </c>
      <c r="L143" s="50">
        <v>6</v>
      </c>
      <c r="M143" s="50">
        <v>3.6</v>
      </c>
      <c r="N143" s="50">
        <v>0.86</v>
      </c>
      <c r="O143" s="50">
        <v>282072.64002749999</v>
      </c>
      <c r="P143" s="50">
        <v>12172.02</v>
      </c>
      <c r="Q143" s="50">
        <v>269900.62002749997</v>
      </c>
      <c r="R143" s="50">
        <v>52610</v>
      </c>
      <c r="S143" s="50">
        <v>217290.62002749997</v>
      </c>
      <c r="T143" s="50">
        <v>82296795.413177803</v>
      </c>
      <c r="U143" s="50">
        <v>2.0874452584259966E-3</v>
      </c>
      <c r="V143" s="50">
        <v>0.39999999999999997</v>
      </c>
      <c r="W143" s="50">
        <v>0.79060041960003025</v>
      </c>
      <c r="X143" s="50" t="s">
        <v>7160</v>
      </c>
      <c r="Y143" s="50">
        <v>0.32</v>
      </c>
    </row>
    <row r="144" spans="2:25" x14ac:dyDescent="0.2">
      <c r="B144" s="50" t="s">
        <v>9</v>
      </c>
      <c r="C144" s="50" t="s">
        <v>67</v>
      </c>
      <c r="D144" s="50"/>
      <c r="E144" s="50"/>
      <c r="F144" s="50" t="s">
        <v>11</v>
      </c>
      <c r="G144" s="50" t="s">
        <v>1962</v>
      </c>
      <c r="H144" s="50" t="s">
        <v>15</v>
      </c>
      <c r="I144" s="50" t="s">
        <v>1121</v>
      </c>
      <c r="J144" s="50" t="s">
        <v>16</v>
      </c>
      <c r="K144" s="50" t="s">
        <v>7158</v>
      </c>
      <c r="L144" s="50">
        <v>82</v>
      </c>
      <c r="M144" s="50">
        <v>4.0999999999999996</v>
      </c>
      <c r="N144" s="50">
        <v>0.2</v>
      </c>
      <c r="O144" s="50">
        <v>321249.39558687492</v>
      </c>
      <c r="P144" s="50">
        <v>68734.244999999995</v>
      </c>
      <c r="Q144" s="50">
        <v>252515.15058687492</v>
      </c>
      <c r="R144" s="50">
        <v>36918.75</v>
      </c>
      <c r="S144" s="50">
        <v>215596.40058687492</v>
      </c>
      <c r="T144" s="50">
        <v>82512391.813764676</v>
      </c>
      <c r="U144" s="50">
        <v>2.0711694047438711E-3</v>
      </c>
      <c r="V144" s="50">
        <v>0.95000000000000007</v>
      </c>
      <c r="W144" s="50">
        <v>0.79267158900477408</v>
      </c>
      <c r="X144" s="50" t="s">
        <v>7159</v>
      </c>
      <c r="Y144" s="50">
        <v>0.2</v>
      </c>
    </row>
    <row r="145" spans="2:25" x14ac:dyDescent="0.2">
      <c r="B145" s="50" t="s">
        <v>9</v>
      </c>
      <c r="C145" s="50" t="s">
        <v>399</v>
      </c>
      <c r="D145" s="50"/>
      <c r="E145" s="50"/>
      <c r="F145" s="50" t="s">
        <v>11</v>
      </c>
      <c r="G145" s="50" t="s">
        <v>1962</v>
      </c>
      <c r="H145" s="50" t="s">
        <v>15</v>
      </c>
      <c r="I145" s="50" t="s">
        <v>1120</v>
      </c>
      <c r="J145" s="50" t="s">
        <v>16</v>
      </c>
      <c r="K145" s="50" t="s">
        <v>7158</v>
      </c>
      <c r="L145" s="50">
        <v>9</v>
      </c>
      <c r="M145" s="50">
        <v>3.42</v>
      </c>
      <c r="N145" s="50">
        <v>0.64647538080056677</v>
      </c>
      <c r="O145" s="50">
        <v>267969.00802612497</v>
      </c>
      <c r="P145" s="50">
        <v>13972.419</v>
      </c>
      <c r="Q145" s="50">
        <v>253996.58902612497</v>
      </c>
      <c r="R145" s="50">
        <v>39547.755562695136</v>
      </c>
      <c r="S145" s="50">
        <v>214448.83346342982</v>
      </c>
      <c r="T145" s="50">
        <v>82726840.647228107</v>
      </c>
      <c r="U145" s="50">
        <v>2.0601450745161886E-3</v>
      </c>
      <c r="V145" s="50">
        <v>0.62</v>
      </c>
      <c r="W145" s="50">
        <v>0.79473173407929032</v>
      </c>
      <c r="X145" s="50" t="s">
        <v>7160</v>
      </c>
      <c r="Y145" s="50">
        <v>0.32</v>
      </c>
    </row>
    <row r="146" spans="2:25" x14ac:dyDescent="0.2">
      <c r="B146" s="50" t="s">
        <v>9</v>
      </c>
      <c r="C146" s="50" t="s">
        <v>472</v>
      </c>
      <c r="D146" s="50"/>
      <c r="E146" s="50"/>
      <c r="F146" s="50" t="s">
        <v>11</v>
      </c>
      <c r="G146" s="50" t="s">
        <v>1962</v>
      </c>
      <c r="H146" s="50" t="s">
        <v>15</v>
      </c>
      <c r="I146" s="50" t="s">
        <v>1120</v>
      </c>
      <c r="J146" s="50" t="s">
        <v>16</v>
      </c>
      <c r="K146" s="50" t="s">
        <v>7158</v>
      </c>
      <c r="L146" s="50">
        <v>4</v>
      </c>
      <c r="M146" s="50">
        <v>3.32</v>
      </c>
      <c r="N146" s="50">
        <v>0.5934959349593496</v>
      </c>
      <c r="O146" s="50">
        <v>260133.65691424996</v>
      </c>
      <c r="P146" s="50">
        <v>10105.974</v>
      </c>
      <c r="Q146" s="50">
        <v>250027.68291424998</v>
      </c>
      <c r="R146" s="50">
        <v>36306.768765362074</v>
      </c>
      <c r="S146" s="50">
        <v>213720.91414888791</v>
      </c>
      <c r="T146" s="50">
        <v>82940561.561376989</v>
      </c>
      <c r="U146" s="50">
        <v>2.053152173849492E-3</v>
      </c>
      <c r="V146" s="50">
        <v>0.17000000000000004</v>
      </c>
      <c r="W146" s="50">
        <v>0.79678488625313981</v>
      </c>
      <c r="X146" s="50" t="s">
        <v>7159</v>
      </c>
      <c r="Y146" s="50">
        <v>0.32</v>
      </c>
    </row>
    <row r="147" spans="2:25" x14ac:dyDescent="0.2">
      <c r="B147" s="50" t="s">
        <v>9</v>
      </c>
      <c r="C147" s="50" t="s">
        <v>365</v>
      </c>
      <c r="D147" s="50"/>
      <c r="E147" s="50"/>
      <c r="F147" s="50" t="s">
        <v>11</v>
      </c>
      <c r="G147" s="50" t="s">
        <v>1962</v>
      </c>
      <c r="H147" s="50" t="s">
        <v>15</v>
      </c>
      <c r="I147" s="50" t="s">
        <v>1121</v>
      </c>
      <c r="J147" s="50" t="s">
        <v>16</v>
      </c>
      <c r="K147" s="50" t="s">
        <v>7158</v>
      </c>
      <c r="L147" s="50">
        <v>48</v>
      </c>
      <c r="M147" s="50">
        <v>4.32</v>
      </c>
      <c r="N147" s="50">
        <v>0.45</v>
      </c>
      <c r="O147" s="50">
        <v>338487.16803300002</v>
      </c>
      <c r="P147" s="50">
        <v>44390.423999999999</v>
      </c>
      <c r="Q147" s="50">
        <v>294096.74403300002</v>
      </c>
      <c r="R147" s="50">
        <v>83067.1875</v>
      </c>
      <c r="S147" s="50">
        <v>211029.55653300002</v>
      </c>
      <c r="T147" s="50">
        <v>83151591.117909983</v>
      </c>
      <c r="U147" s="50">
        <v>2.0272971153416611E-3</v>
      </c>
      <c r="V147" s="50">
        <v>0.91</v>
      </c>
      <c r="W147" s="50">
        <v>0.79881218336848148</v>
      </c>
      <c r="X147" s="50" t="s">
        <v>7163</v>
      </c>
      <c r="Y147" s="50">
        <v>0.45</v>
      </c>
    </row>
    <row r="148" spans="2:25" x14ac:dyDescent="0.2">
      <c r="B148" s="50" t="s">
        <v>9</v>
      </c>
      <c r="C148" s="50" t="s">
        <v>25</v>
      </c>
      <c r="D148" s="50"/>
      <c r="E148" s="50"/>
      <c r="F148" s="50" t="s">
        <v>12</v>
      </c>
      <c r="G148" s="50" t="s">
        <v>1962</v>
      </c>
      <c r="H148" s="50" t="s">
        <v>15</v>
      </c>
      <c r="I148" s="50" t="s">
        <v>1120</v>
      </c>
      <c r="J148" s="50" t="s">
        <v>16</v>
      </c>
      <c r="K148" s="50" t="s">
        <v>7158</v>
      </c>
      <c r="L148" s="50">
        <v>101</v>
      </c>
      <c r="M148" s="50">
        <v>4.04</v>
      </c>
      <c r="N148" s="50">
        <v>0.39226222461042454</v>
      </c>
      <c r="O148" s="50">
        <v>316548.18491974997</v>
      </c>
      <c r="P148" s="50">
        <v>82474.377999999997</v>
      </c>
      <c r="Q148" s="50">
        <v>234073.80691974997</v>
      </c>
      <c r="R148" s="50">
        <v>23996.413531109807</v>
      </c>
      <c r="S148" s="50">
        <v>210077.39338864016</v>
      </c>
      <c r="T148" s="50">
        <v>83361668.511298627</v>
      </c>
      <c r="U148" s="50">
        <v>2.018149972033356E-3</v>
      </c>
      <c r="V148" s="50">
        <v>0.96</v>
      </c>
      <c r="W148" s="50">
        <v>0.80083033334051479</v>
      </c>
      <c r="X148" s="50" t="s">
        <v>7161</v>
      </c>
      <c r="Y148" s="50">
        <v>0.32</v>
      </c>
    </row>
    <row r="149" spans="2:25" x14ac:dyDescent="0.2">
      <c r="B149" s="50" t="s">
        <v>9</v>
      </c>
      <c r="C149" s="50" t="s">
        <v>68</v>
      </c>
      <c r="D149" s="50"/>
      <c r="E149" s="50"/>
      <c r="F149" s="50" t="s">
        <v>12</v>
      </c>
      <c r="G149" s="50" t="s">
        <v>1962</v>
      </c>
      <c r="H149" s="50" t="s">
        <v>32</v>
      </c>
      <c r="I149" s="50" t="s">
        <v>1120</v>
      </c>
      <c r="J149" s="50" t="s">
        <v>33</v>
      </c>
      <c r="K149" s="50" t="s">
        <v>7158</v>
      </c>
      <c r="L149" s="50">
        <v>19</v>
      </c>
      <c r="M149" s="50">
        <v>3.42</v>
      </c>
      <c r="N149" s="50">
        <v>0.60255881139083789</v>
      </c>
      <c r="O149" s="50">
        <v>267969.00802612497</v>
      </c>
      <c r="P149" s="50">
        <v>21272.419000000002</v>
      </c>
      <c r="Q149" s="50">
        <v>246696.58902612497</v>
      </c>
      <c r="R149" s="50">
        <v>36861.184961944164</v>
      </c>
      <c r="S149" s="50">
        <v>209835.4040641808</v>
      </c>
      <c r="T149" s="50">
        <v>83571503.915362805</v>
      </c>
      <c r="U149" s="50">
        <v>2.0158252537925575E-3</v>
      </c>
      <c r="V149" s="50">
        <v>0.82</v>
      </c>
      <c r="W149" s="50">
        <v>0.8028461585943073</v>
      </c>
      <c r="X149" s="50" t="s">
        <v>7162</v>
      </c>
      <c r="Y149" s="50">
        <v>0.32</v>
      </c>
    </row>
    <row r="150" spans="2:25" x14ac:dyDescent="0.2">
      <c r="B150" s="50" t="s">
        <v>9</v>
      </c>
      <c r="C150" s="50" t="s">
        <v>328</v>
      </c>
      <c r="D150" s="50"/>
      <c r="E150" s="50"/>
      <c r="F150" s="50" t="s">
        <v>12</v>
      </c>
      <c r="G150" s="50" t="s">
        <v>1962</v>
      </c>
      <c r="H150" s="50" t="s">
        <v>32</v>
      </c>
      <c r="I150" s="50" t="s">
        <v>1120</v>
      </c>
      <c r="J150" s="50" t="s">
        <v>33</v>
      </c>
      <c r="K150" s="50" t="s">
        <v>7158</v>
      </c>
      <c r="L150" s="50">
        <v>7</v>
      </c>
      <c r="M150" s="50">
        <v>3.85</v>
      </c>
      <c r="N150" s="50">
        <v>1.3176895306859207</v>
      </c>
      <c r="O150" s="50">
        <v>301661.01780718751</v>
      </c>
      <c r="P150" s="50">
        <v>13443.1325</v>
      </c>
      <c r="Q150" s="50">
        <v>288217.88530718751</v>
      </c>
      <c r="R150" s="50">
        <v>80608.890941146834</v>
      </c>
      <c r="S150" s="50">
        <v>207608.99436604069</v>
      </c>
      <c r="T150" s="50">
        <v>83779112.90972884</v>
      </c>
      <c r="U150" s="50">
        <v>1.994436809288565E-3</v>
      </c>
      <c r="V150" s="50">
        <v>0.45</v>
      </c>
      <c r="W150" s="50">
        <v>0.80484059540359587</v>
      </c>
      <c r="X150" s="50" t="s">
        <v>7161</v>
      </c>
      <c r="Y150" s="50">
        <v>0.32</v>
      </c>
    </row>
    <row r="151" spans="2:25" x14ac:dyDescent="0.2">
      <c r="B151" s="50" t="s">
        <v>9</v>
      </c>
      <c r="C151" s="50" t="s">
        <v>205</v>
      </c>
      <c r="D151" s="50"/>
      <c r="E151" s="50"/>
      <c r="F151" s="50" t="s">
        <v>12</v>
      </c>
      <c r="G151" s="50" t="s">
        <v>1962</v>
      </c>
      <c r="H151" s="50" t="s">
        <v>15</v>
      </c>
      <c r="I151" s="50" t="s">
        <v>1120</v>
      </c>
      <c r="J151" s="50" t="s">
        <v>16</v>
      </c>
      <c r="K151" s="50" t="s">
        <v>7158</v>
      </c>
      <c r="L151" s="50">
        <v>3</v>
      </c>
      <c r="M151" s="50">
        <v>2.85</v>
      </c>
      <c r="N151" s="50">
        <v>0.12457337883959045</v>
      </c>
      <c r="O151" s="50">
        <v>223307.50668843748</v>
      </c>
      <c r="P151" s="50">
        <v>8358.6825000000008</v>
      </c>
      <c r="Q151" s="50">
        <v>214948.82418843749</v>
      </c>
      <c r="R151" s="50">
        <v>7620.7040241288996</v>
      </c>
      <c r="S151" s="50">
        <v>207328.12016430858</v>
      </c>
      <c r="T151" s="50">
        <v>83986441.029893145</v>
      </c>
      <c r="U151" s="50">
        <v>1.9917385357940826E-3</v>
      </c>
      <c r="V151" s="50">
        <v>4.9999999999999968E-2</v>
      </c>
      <c r="W151" s="50">
        <v>0.80683233393938991</v>
      </c>
      <c r="X151" s="50" t="s">
        <v>7160</v>
      </c>
      <c r="Y151" s="50">
        <v>0.32</v>
      </c>
    </row>
    <row r="152" spans="2:25" x14ac:dyDescent="0.2">
      <c r="B152" s="50" t="s">
        <v>9</v>
      </c>
      <c r="C152" s="50" t="s">
        <v>50</v>
      </c>
      <c r="D152" s="50"/>
      <c r="E152" s="50"/>
      <c r="F152" s="50" t="s">
        <v>12</v>
      </c>
      <c r="G152" s="50" t="s">
        <v>1962</v>
      </c>
      <c r="H152" s="50" t="s">
        <v>15</v>
      </c>
      <c r="I152" s="50" t="s">
        <v>1120</v>
      </c>
      <c r="J152" s="50" t="s">
        <v>16</v>
      </c>
      <c r="K152" s="50" t="s">
        <v>7158</v>
      </c>
      <c r="L152" s="50">
        <v>9.8000000000000007</v>
      </c>
      <c r="M152" s="50">
        <v>2.9106000000000001</v>
      </c>
      <c r="N152" s="50">
        <v>0.12419190200748553</v>
      </c>
      <c r="O152" s="50">
        <v>228055.72946223372</v>
      </c>
      <c r="P152" s="50">
        <v>13453.848170000001</v>
      </c>
      <c r="Q152" s="50">
        <v>214601.88129223371</v>
      </c>
      <c r="R152" s="50">
        <v>7597.367400713737</v>
      </c>
      <c r="S152" s="50">
        <v>207004.51389151998</v>
      </c>
      <c r="T152" s="50">
        <v>84193445.543784663</v>
      </c>
      <c r="U152" s="50">
        <v>1.9886297482189725E-3</v>
      </c>
      <c r="V152" s="50">
        <v>0.70299999999999996</v>
      </c>
      <c r="W152" s="50">
        <v>0.80882096368760892</v>
      </c>
      <c r="X152" s="50" t="s">
        <v>7162</v>
      </c>
      <c r="Y152" s="50">
        <v>0.32</v>
      </c>
    </row>
    <row r="153" spans="2:25" x14ac:dyDescent="0.2">
      <c r="B153" s="50" t="s">
        <v>9</v>
      </c>
      <c r="C153" s="50" t="s">
        <v>361</v>
      </c>
      <c r="D153" s="50"/>
      <c r="E153" s="50"/>
      <c r="F153" s="50" t="s">
        <v>12</v>
      </c>
      <c r="G153" s="50" t="s">
        <v>1962</v>
      </c>
      <c r="H153" s="50" t="s">
        <v>15</v>
      </c>
      <c r="I153" s="50" t="s">
        <v>1120</v>
      </c>
      <c r="J153" s="50" t="s">
        <v>16</v>
      </c>
      <c r="K153" s="50" t="s">
        <v>7158</v>
      </c>
      <c r="L153" s="50">
        <v>5</v>
      </c>
      <c r="M153" s="50">
        <v>2.95</v>
      </c>
      <c r="N153" s="50">
        <v>0.23670557717250323</v>
      </c>
      <c r="O153" s="50">
        <v>231142.85780031249</v>
      </c>
      <c r="P153" s="50">
        <v>10035.127500000001</v>
      </c>
      <c r="Q153" s="50">
        <v>221107.73030031248</v>
      </c>
      <c r="R153" s="50">
        <v>14480.326064006273</v>
      </c>
      <c r="S153" s="50">
        <v>206627.4042363062</v>
      </c>
      <c r="T153" s="50">
        <v>84400072.948020965</v>
      </c>
      <c r="U153" s="50">
        <v>1.9850069698331267E-3</v>
      </c>
      <c r="V153" s="50">
        <v>0.41</v>
      </c>
      <c r="W153" s="50">
        <v>0.81080597065744209</v>
      </c>
      <c r="X153" s="50" t="s">
        <v>7159</v>
      </c>
      <c r="Y153" s="50">
        <v>0.32</v>
      </c>
    </row>
    <row r="154" spans="2:25" x14ac:dyDescent="0.2">
      <c r="B154" s="50" t="s">
        <v>9</v>
      </c>
      <c r="C154" s="50" t="s">
        <v>392</v>
      </c>
      <c r="D154" s="50"/>
      <c r="E154" s="50"/>
      <c r="F154" s="50" t="s">
        <v>12</v>
      </c>
      <c r="G154" s="50" t="s">
        <v>1962</v>
      </c>
      <c r="H154" s="50" t="s">
        <v>15</v>
      </c>
      <c r="I154" s="50" t="s">
        <v>1121</v>
      </c>
      <c r="J154" s="50" t="s">
        <v>16</v>
      </c>
      <c r="K154" s="50" t="s">
        <v>7158</v>
      </c>
      <c r="L154" s="50">
        <v>65</v>
      </c>
      <c r="M154" s="50">
        <v>3.9</v>
      </c>
      <c r="N154" s="50">
        <v>0.25</v>
      </c>
      <c r="O154" s="50">
        <v>305578.69336312497</v>
      </c>
      <c r="P154" s="50">
        <v>55891.355000000003</v>
      </c>
      <c r="Q154" s="50">
        <v>249687.33836312496</v>
      </c>
      <c r="R154" s="50">
        <v>46148.4375</v>
      </c>
      <c r="S154" s="50">
        <v>203538.90086312496</v>
      </c>
      <c r="T154" s="50">
        <v>84603611.848884091</v>
      </c>
      <c r="U154" s="50">
        <v>1.9553366521674865E-3</v>
      </c>
      <c r="V154" s="50">
        <v>0.94000000000000006</v>
      </c>
      <c r="W154" s="50">
        <v>0.8127613073096096</v>
      </c>
      <c r="X154" s="50" t="s">
        <v>7161</v>
      </c>
      <c r="Y154" s="50">
        <v>0.25</v>
      </c>
    </row>
    <row r="155" spans="2:25" x14ac:dyDescent="0.2">
      <c r="B155" s="50" t="s">
        <v>9</v>
      </c>
      <c r="C155" s="50" t="s">
        <v>410</v>
      </c>
      <c r="D155" s="50"/>
      <c r="E155" s="50"/>
      <c r="F155" s="50" t="s">
        <v>12</v>
      </c>
      <c r="G155" s="50" t="s">
        <v>1962</v>
      </c>
      <c r="H155" s="50" t="s">
        <v>15</v>
      </c>
      <c r="I155" s="50" t="s">
        <v>1120</v>
      </c>
      <c r="J155" s="50" t="s">
        <v>16</v>
      </c>
      <c r="K155" s="50" t="s">
        <v>7158</v>
      </c>
      <c r="L155" s="50">
        <v>5</v>
      </c>
      <c r="M155" s="50">
        <v>3.5</v>
      </c>
      <c r="N155" s="50">
        <v>0.98193697156033821</v>
      </c>
      <c r="O155" s="50">
        <v>274237.28891562496</v>
      </c>
      <c r="P155" s="50">
        <v>11225.574999999999</v>
      </c>
      <c r="Q155" s="50">
        <v>263011.71391562495</v>
      </c>
      <c r="R155" s="50">
        <v>60069.423341615577</v>
      </c>
      <c r="S155" s="50">
        <v>202942.29057400936</v>
      </c>
      <c r="T155" s="50">
        <v>84806554.139458105</v>
      </c>
      <c r="U155" s="50">
        <v>1.9496051975884303E-3</v>
      </c>
      <c r="V155" s="50">
        <v>0.3</v>
      </c>
      <c r="W155" s="50">
        <v>0.81471091250719807</v>
      </c>
      <c r="X155" s="50" t="s">
        <v>7161</v>
      </c>
      <c r="Y155" s="50">
        <v>0.32</v>
      </c>
    </row>
    <row r="156" spans="2:25" x14ac:dyDescent="0.2">
      <c r="B156" s="50" t="s">
        <v>9</v>
      </c>
      <c r="C156" s="50" t="s">
        <v>88</v>
      </c>
      <c r="D156" s="50"/>
      <c r="E156" s="50"/>
      <c r="F156" s="50" t="s">
        <v>12</v>
      </c>
      <c r="G156" s="50" t="s">
        <v>1962</v>
      </c>
      <c r="H156" s="50" t="s">
        <v>15</v>
      </c>
      <c r="I156" s="50" t="s">
        <v>1120</v>
      </c>
      <c r="J156" s="50" t="s">
        <v>16</v>
      </c>
      <c r="K156" s="50" t="s">
        <v>7158</v>
      </c>
      <c r="L156" s="50">
        <v>11</v>
      </c>
      <c r="M156" s="50">
        <v>2.86</v>
      </c>
      <c r="N156" s="50">
        <v>0.12322754895340987</v>
      </c>
      <c r="O156" s="50">
        <v>224091.04179962497</v>
      </c>
      <c r="P156" s="50">
        <v>14220.327000000001</v>
      </c>
      <c r="Q156" s="50">
        <v>209870.71479962498</v>
      </c>
      <c r="R156" s="50">
        <v>7538.3736633010394</v>
      </c>
      <c r="S156" s="50">
        <v>202332.34113632396</v>
      </c>
      <c r="T156" s="50">
        <v>85008886.480594426</v>
      </c>
      <c r="U156" s="50">
        <v>1.9437455978440197E-3</v>
      </c>
      <c r="V156" s="50">
        <v>0.7400000000000001</v>
      </c>
      <c r="W156" s="50">
        <v>0.81665465810504212</v>
      </c>
      <c r="X156" s="50" t="s">
        <v>7159</v>
      </c>
      <c r="Y156" s="50">
        <v>0.32</v>
      </c>
    </row>
    <row r="157" spans="2:25" x14ac:dyDescent="0.2">
      <c r="B157" s="50" t="s">
        <v>9</v>
      </c>
      <c r="C157" s="50" t="s">
        <v>74</v>
      </c>
      <c r="D157" s="50"/>
      <c r="E157" s="50"/>
      <c r="F157" s="50" t="s">
        <v>12</v>
      </c>
      <c r="G157" s="50" t="s">
        <v>1962</v>
      </c>
      <c r="H157" s="50" t="s">
        <v>15</v>
      </c>
      <c r="I157" s="50" t="s">
        <v>1120</v>
      </c>
      <c r="J157" s="50" t="s">
        <v>16</v>
      </c>
      <c r="K157" s="50" t="s">
        <v>7158</v>
      </c>
      <c r="L157" s="50">
        <v>39</v>
      </c>
      <c r="M157" s="50">
        <v>3.51</v>
      </c>
      <c r="N157" s="50">
        <v>0.61180020113979217</v>
      </c>
      <c r="O157" s="50">
        <v>275020.82402681245</v>
      </c>
      <c r="P157" s="50">
        <v>36067.219499999999</v>
      </c>
      <c r="Q157" s="50">
        <v>238953.60452681244</v>
      </c>
      <c r="R157" s="50">
        <v>37426.521606935421</v>
      </c>
      <c r="S157" s="50">
        <v>201527.08291987702</v>
      </c>
      <c r="T157" s="50">
        <v>85210413.563514307</v>
      </c>
      <c r="U157" s="50">
        <v>1.9360097257409442E-3</v>
      </c>
      <c r="V157" s="50">
        <v>0.91</v>
      </c>
      <c r="W157" s="50">
        <v>0.81859066783078305</v>
      </c>
      <c r="X157" s="50" t="s">
        <v>7161</v>
      </c>
      <c r="Y157" s="50">
        <v>0.32</v>
      </c>
    </row>
    <row r="158" spans="2:25" x14ac:dyDescent="0.2">
      <c r="B158" s="50" t="s">
        <v>9</v>
      </c>
      <c r="C158" s="50" t="s">
        <v>213</v>
      </c>
      <c r="D158" s="50"/>
      <c r="E158" s="50"/>
      <c r="F158" s="50" t="s">
        <v>12</v>
      </c>
      <c r="G158" s="50" t="s">
        <v>1962</v>
      </c>
      <c r="H158" s="50" t="s">
        <v>15</v>
      </c>
      <c r="I158" s="50" t="s">
        <v>1120</v>
      </c>
      <c r="J158" s="50" t="s">
        <v>16</v>
      </c>
      <c r="K158" s="50" t="s">
        <v>7158</v>
      </c>
      <c r="L158" s="50">
        <v>16</v>
      </c>
      <c r="M158" s="50">
        <v>3.68</v>
      </c>
      <c r="N158" s="50">
        <v>1.1209213051823417</v>
      </c>
      <c r="O158" s="50">
        <v>288340.92091699998</v>
      </c>
      <c r="P158" s="50">
        <v>19645.175999999999</v>
      </c>
      <c r="Q158" s="50">
        <v>268695.744917</v>
      </c>
      <c r="R158" s="50">
        <v>68571.709146096517</v>
      </c>
      <c r="S158" s="50">
        <v>200124.03577090349</v>
      </c>
      <c r="T158" s="50">
        <v>85410537.599285215</v>
      </c>
      <c r="U158" s="50">
        <v>1.9225310761880907E-3</v>
      </c>
      <c r="V158" s="50">
        <v>0.77</v>
      </c>
      <c r="W158" s="50">
        <v>0.82051319890697116</v>
      </c>
      <c r="X158" s="50" t="s">
        <v>7159</v>
      </c>
      <c r="Y158" s="50">
        <v>0.32</v>
      </c>
    </row>
    <row r="159" spans="2:25" x14ac:dyDescent="0.2">
      <c r="B159" s="50" t="s">
        <v>9</v>
      </c>
      <c r="C159" s="50" t="s">
        <v>250</v>
      </c>
      <c r="D159" s="50"/>
      <c r="E159" s="50"/>
      <c r="F159" s="50" t="s">
        <v>12</v>
      </c>
      <c r="G159" s="50" t="s">
        <v>1962</v>
      </c>
      <c r="H159" s="50" t="s">
        <v>15</v>
      </c>
      <c r="I159" s="50" t="s">
        <v>1120</v>
      </c>
      <c r="J159" s="50" t="s">
        <v>16</v>
      </c>
      <c r="K159" s="50" t="s">
        <v>7158</v>
      </c>
      <c r="L159" s="50">
        <v>4</v>
      </c>
      <c r="M159" s="50">
        <v>3.04</v>
      </c>
      <c r="N159" s="50">
        <v>0.47853162897410684</v>
      </c>
      <c r="O159" s="50">
        <v>238194.673801</v>
      </c>
      <c r="P159" s="50">
        <v>9499.9279999999999</v>
      </c>
      <c r="Q159" s="50">
        <v>228694.74580099998</v>
      </c>
      <c r="R159" s="50">
        <v>29273.894186427628</v>
      </c>
      <c r="S159" s="50">
        <v>199420.85161457234</v>
      </c>
      <c r="T159" s="50">
        <v>85609958.450899795</v>
      </c>
      <c r="U159" s="50">
        <v>1.9157757987041939E-3</v>
      </c>
      <c r="V159" s="50">
        <v>0.24</v>
      </c>
      <c r="W159" s="50">
        <v>0.82242897470567533</v>
      </c>
      <c r="X159" s="50" t="s">
        <v>7160</v>
      </c>
      <c r="Y159" s="50">
        <v>0.32</v>
      </c>
    </row>
    <row r="160" spans="2:25" x14ac:dyDescent="0.2">
      <c r="B160" s="50" t="s">
        <v>9</v>
      </c>
      <c r="C160" s="50" t="s">
        <v>316</v>
      </c>
      <c r="D160" s="50"/>
      <c r="E160" s="50"/>
      <c r="F160" s="50" t="s">
        <v>12</v>
      </c>
      <c r="G160" s="50" t="s">
        <v>1962</v>
      </c>
      <c r="H160" s="50" t="s">
        <v>15</v>
      </c>
      <c r="I160" s="50" t="s">
        <v>1120</v>
      </c>
      <c r="J160" s="50" t="s">
        <v>16</v>
      </c>
      <c r="K160" s="50" t="s">
        <v>7158</v>
      </c>
      <c r="L160" s="50">
        <v>14</v>
      </c>
      <c r="M160" s="50">
        <v>3.08</v>
      </c>
      <c r="N160" s="50">
        <v>0.42343387470997679</v>
      </c>
      <c r="O160" s="50">
        <v>241328.81424574999</v>
      </c>
      <c r="P160" s="50">
        <v>16886.505999999998</v>
      </c>
      <c r="Q160" s="50">
        <v>224442.30824575</v>
      </c>
      <c r="R160" s="50">
        <v>25903.321102897531</v>
      </c>
      <c r="S160" s="50">
        <v>198538.98714285248</v>
      </c>
      <c r="T160" s="50">
        <v>85808497.438042641</v>
      </c>
      <c r="U160" s="50">
        <v>1.9073039934793157E-3</v>
      </c>
      <c r="V160" s="50">
        <v>0.78</v>
      </c>
      <c r="W160" s="50">
        <v>0.8243362786991546</v>
      </c>
      <c r="X160" s="50" t="s">
        <v>7161</v>
      </c>
      <c r="Y160" s="50">
        <v>0.32</v>
      </c>
    </row>
    <row r="161" spans="2:25" x14ac:dyDescent="0.2">
      <c r="B161" s="50" t="s">
        <v>9</v>
      </c>
      <c r="C161" s="50" t="s">
        <v>398</v>
      </c>
      <c r="D161" s="50"/>
      <c r="E161" s="50"/>
      <c r="F161" s="50" t="s">
        <v>12</v>
      </c>
      <c r="G161" s="50" t="s">
        <v>1962</v>
      </c>
      <c r="H161" s="50" t="s">
        <v>15</v>
      </c>
      <c r="I161" s="50" t="s">
        <v>1120</v>
      </c>
      <c r="J161" s="50" t="s">
        <v>16</v>
      </c>
      <c r="K161" s="50" t="s">
        <v>7158</v>
      </c>
      <c r="L161" s="50">
        <v>28</v>
      </c>
      <c r="M161" s="50">
        <v>3.08</v>
      </c>
      <c r="N161" s="50">
        <v>0.2947113443681873</v>
      </c>
      <c r="O161" s="50">
        <v>241328.81424574999</v>
      </c>
      <c r="P161" s="50">
        <v>27106.505999999998</v>
      </c>
      <c r="Q161" s="50">
        <v>214222.30824575</v>
      </c>
      <c r="R161" s="50">
        <v>18028.795147918994</v>
      </c>
      <c r="S161" s="50">
        <v>196193.51309783099</v>
      </c>
      <c r="T161" s="50">
        <v>86004690.951140478</v>
      </c>
      <c r="U161" s="50">
        <v>1.8847717338105747E-3</v>
      </c>
      <c r="V161" s="50">
        <v>0.89</v>
      </c>
      <c r="W161" s="50">
        <v>0.82622105043296512</v>
      </c>
      <c r="X161" s="50" t="s">
        <v>7160</v>
      </c>
      <c r="Y161" s="50">
        <v>0.32</v>
      </c>
    </row>
    <row r="162" spans="2:25" x14ac:dyDescent="0.2">
      <c r="B162" s="50" t="s">
        <v>9</v>
      </c>
      <c r="C162" s="50" t="s">
        <v>13</v>
      </c>
      <c r="D162" s="50"/>
      <c r="E162" s="50"/>
      <c r="F162" s="50" t="s">
        <v>12</v>
      </c>
      <c r="G162" s="50" t="s">
        <v>1962</v>
      </c>
      <c r="H162" s="50" t="s">
        <v>15</v>
      </c>
      <c r="I162" s="50" t="s">
        <v>1120</v>
      </c>
      <c r="J162" s="50" t="s">
        <v>16</v>
      </c>
      <c r="K162" s="50" t="s">
        <v>7158</v>
      </c>
      <c r="L162" s="50">
        <v>35</v>
      </c>
      <c r="M162" s="50">
        <v>3.5</v>
      </c>
      <c r="N162" s="50">
        <v>0.73811931243680484</v>
      </c>
      <c r="O162" s="50">
        <v>274237.28891562496</v>
      </c>
      <c r="P162" s="50">
        <v>33125.574999999997</v>
      </c>
      <c r="Q162" s="50">
        <v>241111.71391562495</v>
      </c>
      <c r="R162" s="50">
        <v>45154.019799186397</v>
      </c>
      <c r="S162" s="50">
        <v>195957.69411643856</v>
      </c>
      <c r="T162" s="50">
        <v>86200648.645256922</v>
      </c>
      <c r="U162" s="50">
        <v>1.8825062921891548E-3</v>
      </c>
      <c r="V162" s="50">
        <v>0.9</v>
      </c>
      <c r="W162" s="50">
        <v>0.82810355672515423</v>
      </c>
      <c r="X162" s="50" t="s">
        <v>7161</v>
      </c>
      <c r="Y162" s="50">
        <v>0.32</v>
      </c>
    </row>
    <row r="163" spans="2:25" x14ac:dyDescent="0.2">
      <c r="B163" s="50" t="s">
        <v>9</v>
      </c>
      <c r="C163" s="50" t="s">
        <v>482</v>
      </c>
      <c r="D163" s="50"/>
      <c r="E163" s="50"/>
      <c r="F163" s="50" t="s">
        <v>12</v>
      </c>
      <c r="G163" s="50" t="s">
        <v>1962</v>
      </c>
      <c r="H163" s="50" t="s">
        <v>32</v>
      </c>
      <c r="I163" s="50" t="s">
        <v>1120</v>
      </c>
      <c r="J163" s="50" t="s">
        <v>33</v>
      </c>
      <c r="K163" s="50" t="s">
        <v>7158</v>
      </c>
      <c r="L163" s="50">
        <v>4</v>
      </c>
      <c r="M163" s="50">
        <v>3.4</v>
      </c>
      <c r="N163" s="50">
        <v>0.99760847283908438</v>
      </c>
      <c r="O163" s="50">
        <v>266401.93780374998</v>
      </c>
      <c r="P163" s="50">
        <v>10279.129999999999</v>
      </c>
      <c r="Q163" s="50">
        <v>256122.80780374998</v>
      </c>
      <c r="R163" s="50">
        <v>61028.118321004928</v>
      </c>
      <c r="S163" s="50">
        <v>195094.68948274505</v>
      </c>
      <c r="T163" s="50">
        <v>86395743.33473967</v>
      </c>
      <c r="U163" s="50">
        <v>1.8742156677232888E-3</v>
      </c>
      <c r="V163" s="50">
        <v>0.15000000000000002</v>
      </c>
      <c r="W163" s="50">
        <v>0.82997777239287751</v>
      </c>
      <c r="X163" s="50" t="s">
        <v>7160</v>
      </c>
      <c r="Y163" s="50">
        <v>0.32</v>
      </c>
    </row>
    <row r="164" spans="2:25" x14ac:dyDescent="0.2">
      <c r="B164" s="50" t="s">
        <v>9</v>
      </c>
      <c r="C164" s="50" t="s">
        <v>161</v>
      </c>
      <c r="D164" s="50"/>
      <c r="E164" s="50"/>
      <c r="F164" s="50" t="s">
        <v>12</v>
      </c>
      <c r="G164" s="50" t="s">
        <v>1962</v>
      </c>
      <c r="H164" s="50" t="s">
        <v>32</v>
      </c>
      <c r="I164" s="50" t="s">
        <v>1120</v>
      </c>
      <c r="J164" s="50" t="s">
        <v>33</v>
      </c>
      <c r="K164" s="50" t="s">
        <v>7158</v>
      </c>
      <c r="L164" s="50">
        <v>6</v>
      </c>
      <c r="M164" s="50">
        <v>3.3</v>
      </c>
      <c r="N164" s="50">
        <v>0.86</v>
      </c>
      <c r="O164" s="50">
        <v>258566.58669187498</v>
      </c>
      <c r="P164" s="50">
        <v>11522.684999999999</v>
      </c>
      <c r="Q164" s="50">
        <v>247043.90169187498</v>
      </c>
      <c r="R164" s="50">
        <v>52610</v>
      </c>
      <c r="S164" s="50">
        <v>194433.90169187498</v>
      </c>
      <c r="T164" s="50">
        <v>86590177.236431539</v>
      </c>
      <c r="U164" s="50">
        <v>1.867867679297912E-3</v>
      </c>
      <c r="V164" s="50">
        <v>0.45</v>
      </c>
      <c r="W164" s="50">
        <v>0.83184564007217543</v>
      </c>
      <c r="X164" s="50" t="s">
        <v>7163</v>
      </c>
      <c r="Y164" s="50">
        <v>0.32</v>
      </c>
    </row>
    <row r="165" spans="2:25" x14ac:dyDescent="0.2">
      <c r="B165" s="50" t="s">
        <v>9</v>
      </c>
      <c r="C165" s="50" t="s">
        <v>175</v>
      </c>
      <c r="D165" s="50"/>
      <c r="E165" s="50"/>
      <c r="F165" s="50" t="s">
        <v>12</v>
      </c>
      <c r="G165" s="50" t="s">
        <v>1962</v>
      </c>
      <c r="H165" s="50" t="s">
        <v>32</v>
      </c>
      <c r="I165" s="50" t="s">
        <v>1120</v>
      </c>
      <c r="J165" s="50" t="s">
        <v>33</v>
      </c>
      <c r="K165" s="50" t="s">
        <v>7158</v>
      </c>
      <c r="L165" s="50">
        <v>4</v>
      </c>
      <c r="M165" s="50">
        <v>2.8</v>
      </c>
      <c r="N165" s="50">
        <v>0.26526162790697672</v>
      </c>
      <c r="O165" s="50">
        <v>219389.83113249997</v>
      </c>
      <c r="P165" s="50">
        <v>8980.4599999999991</v>
      </c>
      <c r="Q165" s="50">
        <v>210409.37113249997</v>
      </c>
      <c r="R165" s="50">
        <v>16227.22586533261</v>
      </c>
      <c r="S165" s="50">
        <v>194182.14526716736</v>
      </c>
      <c r="T165" s="50">
        <v>86784359.381698713</v>
      </c>
      <c r="U165" s="50">
        <v>1.8654491314794757E-3</v>
      </c>
      <c r="V165" s="50">
        <v>0.30000000000000004</v>
      </c>
      <c r="W165" s="50">
        <v>0.83371108920365489</v>
      </c>
      <c r="X165" s="50" t="s">
        <v>7163</v>
      </c>
      <c r="Y165" s="50">
        <v>0.32</v>
      </c>
    </row>
    <row r="166" spans="2:25" x14ac:dyDescent="0.2">
      <c r="B166" s="50" t="s">
        <v>9</v>
      </c>
      <c r="C166" s="50" t="s">
        <v>253</v>
      </c>
      <c r="D166" s="50"/>
      <c r="E166" s="50"/>
      <c r="F166" s="50" t="s">
        <v>12</v>
      </c>
      <c r="G166" s="50" t="s">
        <v>1962</v>
      </c>
      <c r="H166" s="50" t="s">
        <v>32</v>
      </c>
      <c r="I166" s="50" t="s">
        <v>1120</v>
      </c>
      <c r="J166" s="50" t="s">
        <v>33</v>
      </c>
      <c r="K166" s="50" t="s">
        <v>7158</v>
      </c>
      <c r="L166" s="50">
        <v>29</v>
      </c>
      <c r="M166" s="50">
        <v>4.3499999999999996</v>
      </c>
      <c r="N166" s="50">
        <v>1.907665505226481</v>
      </c>
      <c r="O166" s="50">
        <v>340837.77336656244</v>
      </c>
      <c r="P166" s="50">
        <v>30585.357500000002</v>
      </c>
      <c r="Q166" s="50">
        <v>310252.41586656246</v>
      </c>
      <c r="R166" s="50">
        <v>116700.3281743781</v>
      </c>
      <c r="S166" s="50">
        <v>193552.08769218437</v>
      </c>
      <c r="T166" s="50">
        <v>86977911.469390899</v>
      </c>
      <c r="U166" s="50">
        <v>1.8593963589425516E-3</v>
      </c>
      <c r="V166" s="50">
        <v>0.85</v>
      </c>
      <c r="W166" s="50">
        <v>0.83557048556259739</v>
      </c>
      <c r="X166" s="50" t="s">
        <v>7159</v>
      </c>
      <c r="Y166" s="50">
        <v>0.32</v>
      </c>
    </row>
    <row r="167" spans="2:25" x14ac:dyDescent="0.2">
      <c r="B167" s="50" t="s">
        <v>9</v>
      </c>
      <c r="C167" s="50" t="s">
        <v>119</v>
      </c>
      <c r="D167" s="50"/>
      <c r="E167" s="50"/>
      <c r="F167" s="50" t="s">
        <v>12</v>
      </c>
      <c r="G167" s="50" t="s">
        <v>1962</v>
      </c>
      <c r="H167" s="50" t="s">
        <v>15</v>
      </c>
      <c r="I167" s="50" t="s">
        <v>1120</v>
      </c>
      <c r="J167" s="50" t="s">
        <v>16</v>
      </c>
      <c r="K167" s="50" t="s">
        <v>7158</v>
      </c>
      <c r="L167" s="50">
        <v>10</v>
      </c>
      <c r="M167" s="50">
        <v>2.8</v>
      </c>
      <c r="N167" s="50">
        <v>0.24204244031830238</v>
      </c>
      <c r="O167" s="50">
        <v>219389.83113249997</v>
      </c>
      <c r="P167" s="50">
        <v>13360.46</v>
      </c>
      <c r="Q167" s="50">
        <v>206029.37113249997</v>
      </c>
      <c r="R167" s="50">
        <v>14806.805564123126</v>
      </c>
      <c r="S167" s="50">
        <v>191222.56556837686</v>
      </c>
      <c r="T167" s="50">
        <v>87169134.034959272</v>
      </c>
      <c r="U167" s="50">
        <v>1.8370173445556213E-3</v>
      </c>
      <c r="V167" s="50">
        <v>0.72</v>
      </c>
      <c r="W167" s="50">
        <v>0.83740750290715305</v>
      </c>
      <c r="X167" s="50" t="s">
        <v>7163</v>
      </c>
      <c r="Y167" s="50">
        <v>0.32</v>
      </c>
    </row>
    <row r="168" spans="2:25" x14ac:dyDescent="0.2">
      <c r="B168" s="50" t="s">
        <v>9</v>
      </c>
      <c r="C168" s="50" t="s">
        <v>478</v>
      </c>
      <c r="D168" s="50"/>
      <c r="E168" s="50"/>
      <c r="F168" s="50" t="s">
        <v>12</v>
      </c>
      <c r="G168" s="50" t="s">
        <v>1962</v>
      </c>
      <c r="H168" s="50" t="s">
        <v>32</v>
      </c>
      <c r="I168" s="50" t="s">
        <v>1120</v>
      </c>
      <c r="J168" s="50" t="s">
        <v>33</v>
      </c>
      <c r="K168" s="50" t="s">
        <v>7158</v>
      </c>
      <c r="L168" s="50">
        <v>3</v>
      </c>
      <c r="M168" s="50">
        <v>2.895</v>
      </c>
      <c r="N168" s="50">
        <v>0.45568039950062422</v>
      </c>
      <c r="O168" s="50">
        <v>226833.41468878125</v>
      </c>
      <c r="P168" s="50">
        <v>8456.0827499999996</v>
      </c>
      <c r="Q168" s="50">
        <v>218377.33193878125</v>
      </c>
      <c r="R168" s="50">
        <v>27875.983508985864</v>
      </c>
      <c r="S168" s="50">
        <v>190501.34842979538</v>
      </c>
      <c r="T168" s="50">
        <v>87359635.383389071</v>
      </c>
      <c r="U168" s="50">
        <v>1.8300888296660374E-3</v>
      </c>
      <c r="V168" s="50">
        <v>3.4999999999999996E-2</v>
      </c>
      <c r="W168" s="50">
        <v>0.83923759173681911</v>
      </c>
      <c r="X168" s="50" t="s">
        <v>7160</v>
      </c>
      <c r="Y168" s="50">
        <v>0.32</v>
      </c>
    </row>
    <row r="169" spans="2:25" x14ac:dyDescent="0.2">
      <c r="B169" s="50" t="s">
        <v>9</v>
      </c>
      <c r="C169" s="50" t="s">
        <v>57</v>
      </c>
      <c r="D169" s="50"/>
      <c r="E169" s="50"/>
      <c r="F169" s="50" t="s">
        <v>12</v>
      </c>
      <c r="G169" s="50" t="s">
        <v>1962</v>
      </c>
      <c r="H169" s="50" t="s">
        <v>15</v>
      </c>
      <c r="I169" s="50" t="s">
        <v>1120</v>
      </c>
      <c r="J169" s="50" t="s">
        <v>16</v>
      </c>
      <c r="K169" s="50" t="s">
        <v>7158</v>
      </c>
      <c r="L169" s="50">
        <v>67</v>
      </c>
      <c r="M169" s="50">
        <v>5.36</v>
      </c>
      <c r="N169" s="50">
        <v>2.7744932432432434</v>
      </c>
      <c r="O169" s="50">
        <v>419974.81959650002</v>
      </c>
      <c r="P169" s="50">
        <v>60511.451999999997</v>
      </c>
      <c r="Q169" s="50">
        <v>359463.36759650003</v>
      </c>
      <c r="R169" s="50">
        <v>169728.01107793843</v>
      </c>
      <c r="S169" s="50">
        <v>189735.3565185616</v>
      </c>
      <c r="T169" s="50">
        <v>87549370.739907637</v>
      </c>
      <c r="U169" s="50">
        <v>1.8227301770794909E-3</v>
      </c>
      <c r="V169" s="50">
        <v>0.92</v>
      </c>
      <c r="W169" s="50">
        <v>0.84106032191389857</v>
      </c>
      <c r="X169" s="50" t="s">
        <v>7161</v>
      </c>
      <c r="Y169" s="50">
        <v>0.32</v>
      </c>
    </row>
    <row r="170" spans="2:25" x14ac:dyDescent="0.2">
      <c r="B170" s="50" t="s">
        <v>9</v>
      </c>
      <c r="C170" s="50" t="s">
        <v>108</v>
      </c>
      <c r="D170" s="50"/>
      <c r="E170" s="50"/>
      <c r="F170" s="50" t="s">
        <v>12</v>
      </c>
      <c r="G170" s="50" t="s">
        <v>1962</v>
      </c>
      <c r="H170" s="50" t="s">
        <v>15</v>
      </c>
      <c r="I170" s="50" t="s">
        <v>1120</v>
      </c>
      <c r="J170" s="50" t="s">
        <v>16</v>
      </c>
      <c r="K170" s="50" t="s">
        <v>7158</v>
      </c>
      <c r="L170" s="50">
        <v>15</v>
      </c>
      <c r="M170" s="50">
        <v>3.3</v>
      </c>
      <c r="N170" s="50">
        <v>0.86</v>
      </c>
      <c r="O170" s="50">
        <v>258566.58669187498</v>
      </c>
      <c r="P170" s="50">
        <v>18092.685000000001</v>
      </c>
      <c r="Q170" s="50">
        <v>240473.90169187498</v>
      </c>
      <c r="R170" s="50">
        <v>52610</v>
      </c>
      <c r="S170" s="50">
        <v>187863.90169187498</v>
      </c>
      <c r="T170" s="50">
        <v>87737234.641599506</v>
      </c>
      <c r="U170" s="50">
        <v>1.8047516766553538E-3</v>
      </c>
      <c r="V170" s="50">
        <v>0.77999999999999992</v>
      </c>
      <c r="W170" s="50">
        <v>0.84286507359055396</v>
      </c>
      <c r="X170" s="50" t="s">
        <v>7159</v>
      </c>
      <c r="Y170" s="50">
        <v>0.32</v>
      </c>
    </row>
    <row r="171" spans="2:25" x14ac:dyDescent="0.2">
      <c r="B171" s="50" t="s">
        <v>9</v>
      </c>
      <c r="C171" s="50" t="s">
        <v>63</v>
      </c>
      <c r="D171" s="50"/>
      <c r="E171" s="50"/>
      <c r="F171" s="50" t="s">
        <v>12</v>
      </c>
      <c r="G171" s="50" t="s">
        <v>1962</v>
      </c>
      <c r="H171" s="50" t="s">
        <v>15</v>
      </c>
      <c r="I171" s="50" t="s">
        <v>1121</v>
      </c>
      <c r="J171" s="50" t="s">
        <v>16</v>
      </c>
      <c r="K171" s="50" t="s">
        <v>7158</v>
      </c>
      <c r="L171" s="50">
        <v>30</v>
      </c>
      <c r="M171" s="50">
        <v>3.6</v>
      </c>
      <c r="N171" s="50">
        <v>0.35</v>
      </c>
      <c r="O171" s="50">
        <v>282072.64002749999</v>
      </c>
      <c r="P171" s="50">
        <v>29692.02</v>
      </c>
      <c r="Q171" s="50">
        <v>252380.6200275</v>
      </c>
      <c r="R171" s="50">
        <v>64607.812499999993</v>
      </c>
      <c r="S171" s="50">
        <v>187772.8075275</v>
      </c>
      <c r="T171" s="50">
        <v>87925007.449127004</v>
      </c>
      <c r="U171" s="50">
        <v>1.8038765625732513E-3</v>
      </c>
      <c r="V171" s="50">
        <v>0.88</v>
      </c>
      <c r="W171" s="50">
        <v>0.84466895015312726</v>
      </c>
      <c r="X171" s="50" t="s">
        <v>7162</v>
      </c>
      <c r="Y171" s="50">
        <v>0.35</v>
      </c>
    </row>
    <row r="172" spans="2:25" x14ac:dyDescent="0.2">
      <c r="B172" s="50" t="s">
        <v>9</v>
      </c>
      <c r="C172" s="51" t="s">
        <v>1806</v>
      </c>
      <c r="D172" s="50"/>
      <c r="E172" s="50"/>
      <c r="F172" s="50" t="s">
        <v>12</v>
      </c>
      <c r="G172" s="50" t="s">
        <v>1962</v>
      </c>
      <c r="H172" s="50" t="s">
        <v>15</v>
      </c>
      <c r="I172" s="50" t="s">
        <v>1120</v>
      </c>
      <c r="J172" s="50" t="s">
        <v>16</v>
      </c>
      <c r="K172" s="50" t="s">
        <v>7158</v>
      </c>
      <c r="L172" s="50">
        <v>6</v>
      </c>
      <c r="M172" s="50">
        <v>3.198</v>
      </c>
      <c r="N172" s="50">
        <v>0.86</v>
      </c>
      <c r="O172" s="50">
        <v>250574.52855776247</v>
      </c>
      <c r="P172" s="50">
        <v>11301.911099999999</v>
      </c>
      <c r="Q172" s="50">
        <v>239272.61745776248</v>
      </c>
      <c r="R172" s="50">
        <v>52610</v>
      </c>
      <c r="S172" s="50">
        <v>186662.61745776248</v>
      </c>
      <c r="T172" s="50">
        <v>88111670.066584766</v>
      </c>
      <c r="U172" s="50">
        <v>1.7932113023943631E-3</v>
      </c>
      <c r="V172" s="50">
        <v>0.46700000000000003</v>
      </c>
      <c r="W172" s="50">
        <v>0.84646216145552167</v>
      </c>
      <c r="X172" s="50" t="s">
        <v>7162</v>
      </c>
      <c r="Y172" s="50">
        <v>0.32</v>
      </c>
    </row>
    <row r="173" spans="2:25" x14ac:dyDescent="0.2">
      <c r="B173" s="50" t="s">
        <v>9</v>
      </c>
      <c r="C173" s="50" t="s">
        <v>494</v>
      </c>
      <c r="D173" s="50"/>
      <c r="E173" s="50"/>
      <c r="F173" s="50" t="s">
        <v>12</v>
      </c>
      <c r="G173" s="50" t="s">
        <v>1962</v>
      </c>
      <c r="H173" s="50" t="s">
        <v>19</v>
      </c>
      <c r="I173" s="50" t="s">
        <v>1120</v>
      </c>
      <c r="J173" s="50" t="s">
        <v>20</v>
      </c>
      <c r="K173" s="50" t="s">
        <v>7158</v>
      </c>
      <c r="L173" s="50">
        <v>36</v>
      </c>
      <c r="M173" s="50">
        <v>4.32</v>
      </c>
      <c r="N173" s="50">
        <v>1.9084967320261437</v>
      </c>
      <c r="O173" s="50">
        <v>338487.16803300002</v>
      </c>
      <c r="P173" s="50">
        <v>35630.423999999999</v>
      </c>
      <c r="Q173" s="50">
        <v>302856.74403300002</v>
      </c>
      <c r="R173" s="50">
        <v>116751.17799057606</v>
      </c>
      <c r="S173" s="50">
        <v>186105.56604242395</v>
      </c>
      <c r="T173" s="50">
        <v>88297775.632627189</v>
      </c>
      <c r="U173" s="50">
        <v>1.7878598779495309E-3</v>
      </c>
      <c r="V173" s="50">
        <v>0.88</v>
      </c>
      <c r="W173" s="50">
        <v>0.84825002133347116</v>
      </c>
      <c r="X173" s="50" t="s">
        <v>7159</v>
      </c>
      <c r="Y173" s="50">
        <v>0.32</v>
      </c>
    </row>
    <row r="174" spans="2:25" x14ac:dyDescent="0.2">
      <c r="B174" s="50" t="s">
        <v>9</v>
      </c>
      <c r="C174" s="50" t="s">
        <v>45</v>
      </c>
      <c r="D174" s="50"/>
      <c r="E174" s="50"/>
      <c r="F174" s="50" t="s">
        <v>12</v>
      </c>
      <c r="G174" s="50" t="s">
        <v>1962</v>
      </c>
      <c r="H174" s="50" t="s">
        <v>32</v>
      </c>
      <c r="I174" s="50" t="s">
        <v>1120</v>
      </c>
      <c r="J174" s="50" t="s">
        <v>33</v>
      </c>
      <c r="K174" s="50" t="s">
        <v>7158</v>
      </c>
      <c r="L174" s="50">
        <v>13</v>
      </c>
      <c r="M174" s="50">
        <v>3.25</v>
      </c>
      <c r="N174" s="50">
        <v>0.86</v>
      </c>
      <c r="O174" s="50">
        <v>254648.91113593747</v>
      </c>
      <c r="P174" s="50">
        <v>16524.462500000001</v>
      </c>
      <c r="Q174" s="50">
        <v>238124.44863593747</v>
      </c>
      <c r="R174" s="50">
        <v>52610</v>
      </c>
      <c r="S174" s="50">
        <v>185514.44863593747</v>
      </c>
      <c r="T174" s="50">
        <v>88483290.081263125</v>
      </c>
      <c r="U174" s="50">
        <v>1.7821811918323526E-3</v>
      </c>
      <c r="V174" s="50">
        <v>0.75</v>
      </c>
      <c r="W174" s="50">
        <v>0.85003220252530354</v>
      </c>
      <c r="X174" s="50" t="s">
        <v>7159</v>
      </c>
      <c r="Y174" s="50">
        <v>0.32</v>
      </c>
    </row>
    <row r="175" spans="2:25" x14ac:dyDescent="0.2">
      <c r="B175" s="50" t="s">
        <v>9</v>
      </c>
      <c r="C175" s="50" t="s">
        <v>433</v>
      </c>
      <c r="D175" s="50"/>
      <c r="E175" s="50"/>
      <c r="F175" s="50" t="s">
        <v>12</v>
      </c>
      <c r="G175" s="50" t="s">
        <v>1962</v>
      </c>
      <c r="H175" s="50" t="s">
        <v>15</v>
      </c>
      <c r="I175" s="50" t="s">
        <v>1120</v>
      </c>
      <c r="J175" s="50" t="s">
        <v>16</v>
      </c>
      <c r="K175" s="50" t="s">
        <v>7158</v>
      </c>
      <c r="L175" s="50">
        <v>29</v>
      </c>
      <c r="M175" s="50">
        <v>3.19</v>
      </c>
      <c r="N175" s="50">
        <v>0.60894227560894221</v>
      </c>
      <c r="O175" s="50">
        <v>249947.70046881252</v>
      </c>
      <c r="P175" s="50">
        <v>28074.595499999996</v>
      </c>
      <c r="Q175" s="50">
        <v>221873.10496881252</v>
      </c>
      <c r="R175" s="50">
        <v>37251.689674170295</v>
      </c>
      <c r="S175" s="50">
        <v>184621.41529464221</v>
      </c>
      <c r="T175" s="50">
        <v>88667911.496557772</v>
      </c>
      <c r="U175" s="50">
        <v>1.7736020906559318E-3</v>
      </c>
      <c r="V175" s="50">
        <v>0.8899999999999999</v>
      </c>
      <c r="W175" s="50">
        <v>0.85180580461595945</v>
      </c>
      <c r="X175" s="50" t="s">
        <v>7160</v>
      </c>
      <c r="Y175" s="50">
        <v>0.32</v>
      </c>
    </row>
    <row r="176" spans="2:25" x14ac:dyDescent="0.2">
      <c r="B176" s="50" t="s">
        <v>9</v>
      </c>
      <c r="C176" s="50" t="s">
        <v>427</v>
      </c>
      <c r="D176" s="50"/>
      <c r="E176" s="50"/>
      <c r="F176" s="50" t="s">
        <v>12</v>
      </c>
      <c r="G176" s="50" t="s">
        <v>1962</v>
      </c>
      <c r="H176" s="50" t="s">
        <v>32</v>
      </c>
      <c r="I176" s="50" t="s">
        <v>1120</v>
      </c>
      <c r="J176" s="50" t="s">
        <v>33</v>
      </c>
      <c r="K176" s="50" t="s">
        <v>7158</v>
      </c>
      <c r="L176" s="50">
        <v>11</v>
      </c>
      <c r="M176" s="50">
        <v>3.3</v>
      </c>
      <c r="N176" s="50">
        <v>0.99319727891156451</v>
      </c>
      <c r="O176" s="50">
        <v>258566.58669187498</v>
      </c>
      <c r="P176" s="50">
        <v>15172.685000000001</v>
      </c>
      <c r="Q176" s="50">
        <v>243393.90169187498</v>
      </c>
      <c r="R176" s="50">
        <v>60758.266097136519</v>
      </c>
      <c r="S176" s="50">
        <v>182635.63559473847</v>
      </c>
      <c r="T176" s="50">
        <v>88850547.132152513</v>
      </c>
      <c r="U176" s="50">
        <v>1.7545253057568964E-3</v>
      </c>
      <c r="V176" s="50">
        <v>0.70000000000000007</v>
      </c>
      <c r="W176" s="50">
        <v>0.85356032992171638</v>
      </c>
      <c r="X176" s="50" t="s">
        <v>7160</v>
      </c>
      <c r="Y176" s="50">
        <v>0.32</v>
      </c>
    </row>
    <row r="177" spans="2:25" x14ac:dyDescent="0.2">
      <c r="B177" s="50" t="s">
        <v>9</v>
      </c>
      <c r="C177" s="50" t="s">
        <v>448</v>
      </c>
      <c r="D177" s="50"/>
      <c r="E177" s="50"/>
      <c r="F177" s="50" t="s">
        <v>12</v>
      </c>
      <c r="G177" s="50" t="s">
        <v>1962</v>
      </c>
      <c r="H177" s="50" t="s">
        <v>32</v>
      </c>
      <c r="I177" s="50" t="s">
        <v>1120</v>
      </c>
      <c r="J177" s="50" t="s">
        <v>33</v>
      </c>
      <c r="K177" s="50" t="s">
        <v>7158</v>
      </c>
      <c r="L177" s="50">
        <v>4</v>
      </c>
      <c r="M177" s="50">
        <v>2.8</v>
      </c>
      <c r="N177" s="50">
        <v>0.46417973717676986</v>
      </c>
      <c r="O177" s="50">
        <v>219389.83113249997</v>
      </c>
      <c r="P177" s="50">
        <v>8980.4599999999991</v>
      </c>
      <c r="Q177" s="50">
        <v>210409.37113249997</v>
      </c>
      <c r="R177" s="50">
        <v>28395.925549848678</v>
      </c>
      <c r="S177" s="50">
        <v>182013.4455826513</v>
      </c>
      <c r="T177" s="50">
        <v>89032560.577735171</v>
      </c>
      <c r="U177" s="50">
        <v>1.7485481145168556E-3</v>
      </c>
      <c r="V177" s="50">
        <v>0.30000000000000004</v>
      </c>
      <c r="W177" s="50">
        <v>0.85530887803623323</v>
      </c>
      <c r="X177" s="50" t="s">
        <v>7162</v>
      </c>
      <c r="Y177" s="50">
        <v>0.32</v>
      </c>
    </row>
    <row r="178" spans="2:25" x14ac:dyDescent="0.2">
      <c r="B178" s="50" t="s">
        <v>9</v>
      </c>
      <c r="C178" s="50" t="s">
        <v>37</v>
      </c>
      <c r="D178" s="50"/>
      <c r="E178" s="50"/>
      <c r="F178" s="50" t="s">
        <v>12</v>
      </c>
      <c r="G178" s="50" t="s">
        <v>1962</v>
      </c>
      <c r="H178" s="50" t="s">
        <v>15</v>
      </c>
      <c r="I178" s="50" t="s">
        <v>1120</v>
      </c>
      <c r="J178" s="50" t="s">
        <v>16</v>
      </c>
      <c r="K178" s="50" t="s">
        <v>7158</v>
      </c>
      <c r="L178" s="50">
        <v>70</v>
      </c>
      <c r="M178" s="50">
        <v>4.13</v>
      </c>
      <c r="N178" s="50">
        <v>1.3636363636363638</v>
      </c>
      <c r="O178" s="50">
        <v>323600.00092043751</v>
      </c>
      <c r="P178" s="50">
        <v>60039.178500000002</v>
      </c>
      <c r="Q178" s="50">
        <v>263560.82242043753</v>
      </c>
      <c r="R178" s="50">
        <v>83419.661733615227</v>
      </c>
      <c r="S178" s="50">
        <v>180141.16068682232</v>
      </c>
      <c r="T178" s="50">
        <v>89212701.738421991</v>
      </c>
      <c r="U178" s="50">
        <v>1.7305616398695552E-3</v>
      </c>
      <c r="V178" s="50">
        <v>0.94100000000000006</v>
      </c>
      <c r="W178" s="50">
        <v>0.85703943967610274</v>
      </c>
      <c r="X178" s="50" t="s">
        <v>7162</v>
      </c>
      <c r="Y178" s="50">
        <v>0.32</v>
      </c>
    </row>
    <row r="179" spans="2:25" x14ac:dyDescent="0.2">
      <c r="B179" s="50" t="s">
        <v>9</v>
      </c>
      <c r="C179" s="50" t="s">
        <v>381</v>
      </c>
      <c r="D179" s="50"/>
      <c r="E179" s="50"/>
      <c r="F179" s="50" t="s">
        <v>12</v>
      </c>
      <c r="G179" s="50" t="s">
        <v>1962</v>
      </c>
      <c r="H179" s="50" t="s">
        <v>15</v>
      </c>
      <c r="I179" s="50" t="s">
        <v>1120</v>
      </c>
      <c r="J179" s="50" t="s">
        <v>16</v>
      </c>
      <c r="K179" s="50" t="s">
        <v>7158</v>
      </c>
      <c r="L179" s="50">
        <v>57</v>
      </c>
      <c r="M179" s="50">
        <v>3.42</v>
      </c>
      <c r="N179" s="50">
        <v>0.71011673151750976</v>
      </c>
      <c r="O179" s="50">
        <v>267969.00802612497</v>
      </c>
      <c r="P179" s="50">
        <v>49012.418999999994</v>
      </c>
      <c r="Q179" s="50">
        <v>218956.58902612497</v>
      </c>
      <c r="R179" s="50">
        <v>43440.978192018825</v>
      </c>
      <c r="S179" s="50">
        <v>175515.61083410616</v>
      </c>
      <c r="T179" s="50">
        <v>89388217.349256098</v>
      </c>
      <c r="U179" s="50">
        <v>1.6861253816157777E-3</v>
      </c>
      <c r="V179" s="50">
        <v>0.94</v>
      </c>
      <c r="W179" s="50">
        <v>0.85872556505771858</v>
      </c>
      <c r="X179" s="50" t="s">
        <v>7163</v>
      </c>
      <c r="Y179" s="50">
        <v>0.32</v>
      </c>
    </row>
    <row r="180" spans="2:25" x14ac:dyDescent="0.2">
      <c r="B180" s="50" t="s">
        <v>9</v>
      </c>
      <c r="C180" s="50" t="s">
        <v>60</v>
      </c>
      <c r="D180" s="50"/>
      <c r="E180" s="50"/>
      <c r="F180" s="50" t="s">
        <v>12</v>
      </c>
      <c r="G180" s="50" t="s">
        <v>1962</v>
      </c>
      <c r="H180" s="50" t="s">
        <v>15</v>
      </c>
      <c r="I180" s="50" t="s">
        <v>1120</v>
      </c>
      <c r="J180" s="50" t="s">
        <v>16</v>
      </c>
      <c r="K180" s="50" t="s">
        <v>7158</v>
      </c>
      <c r="L180" s="50">
        <v>55</v>
      </c>
      <c r="M180" s="50">
        <v>3.3</v>
      </c>
      <c r="N180" s="50">
        <v>0.61011282908483078</v>
      </c>
      <c r="O180" s="50">
        <v>258566.58669187498</v>
      </c>
      <c r="P180" s="50">
        <v>47292.684999999998</v>
      </c>
      <c r="Q180" s="50">
        <v>211273.90169187498</v>
      </c>
      <c r="R180" s="50">
        <v>37323.297602503422</v>
      </c>
      <c r="S180" s="50">
        <v>173950.60408937157</v>
      </c>
      <c r="T180" s="50">
        <v>89562167.953345463</v>
      </c>
      <c r="U180" s="50">
        <v>1.6710908352175601E-3</v>
      </c>
      <c r="V180" s="50">
        <v>0.94000000000000006</v>
      </c>
      <c r="W180" s="50">
        <v>0.86039665589293612</v>
      </c>
      <c r="X180" s="50" t="s">
        <v>7161</v>
      </c>
      <c r="Y180" s="50">
        <v>0.32</v>
      </c>
    </row>
    <row r="181" spans="2:25" x14ac:dyDescent="0.2">
      <c r="B181" s="50" t="s">
        <v>9</v>
      </c>
      <c r="C181" s="50" t="s">
        <v>39</v>
      </c>
      <c r="D181" s="50"/>
      <c r="E181" s="50"/>
      <c r="F181" s="50" t="s">
        <v>12</v>
      </c>
      <c r="G181" s="50" t="s">
        <v>1962</v>
      </c>
      <c r="H181" s="50" t="s">
        <v>32</v>
      </c>
      <c r="I181" s="50" t="s">
        <v>1120</v>
      </c>
      <c r="J181" s="50" t="s">
        <v>33</v>
      </c>
      <c r="K181" s="50" t="s">
        <v>7158</v>
      </c>
      <c r="L181" s="50">
        <v>5</v>
      </c>
      <c r="M181" s="50">
        <v>3</v>
      </c>
      <c r="N181" s="50">
        <v>0.86</v>
      </c>
      <c r="O181" s="50">
        <v>235060.53335625</v>
      </c>
      <c r="P181" s="50">
        <v>10143.35</v>
      </c>
      <c r="Q181" s="50">
        <v>224917.18335625</v>
      </c>
      <c r="R181" s="50">
        <v>52610</v>
      </c>
      <c r="S181" s="50">
        <v>172307.18335625</v>
      </c>
      <c r="T181" s="50">
        <v>89734475.136701718</v>
      </c>
      <c r="U181" s="50">
        <v>1.655302989352334E-3</v>
      </c>
      <c r="V181" s="50">
        <v>0.4</v>
      </c>
      <c r="W181" s="50">
        <v>0.86205195888228847</v>
      </c>
      <c r="X181" s="50" t="s">
        <v>7159</v>
      </c>
      <c r="Y181" s="50">
        <v>0.32</v>
      </c>
    </row>
    <row r="182" spans="2:25" x14ac:dyDescent="0.2">
      <c r="B182" s="50" t="s">
        <v>9</v>
      </c>
      <c r="C182" s="50" t="s">
        <v>81</v>
      </c>
      <c r="D182" s="50"/>
      <c r="E182" s="50"/>
      <c r="F182" s="50" t="s">
        <v>12</v>
      </c>
      <c r="G182" s="50" t="s">
        <v>1962</v>
      </c>
      <c r="H182" s="50" t="s">
        <v>15</v>
      </c>
      <c r="I182" s="50" t="s">
        <v>1120</v>
      </c>
      <c r="J182" s="50" t="s">
        <v>16</v>
      </c>
      <c r="K182" s="50" t="s">
        <v>7158</v>
      </c>
      <c r="L182" s="50">
        <v>5</v>
      </c>
      <c r="M182" s="50">
        <v>3</v>
      </c>
      <c r="N182" s="50">
        <v>0.86</v>
      </c>
      <c r="O182" s="50">
        <v>235060.53335625</v>
      </c>
      <c r="P182" s="50">
        <v>10143.35</v>
      </c>
      <c r="Q182" s="50">
        <v>224917.18335625</v>
      </c>
      <c r="R182" s="50">
        <v>52610</v>
      </c>
      <c r="S182" s="50">
        <v>172307.18335625</v>
      </c>
      <c r="T182" s="50">
        <v>89906782.320057973</v>
      </c>
      <c r="U182" s="50">
        <v>1.655302989352334E-3</v>
      </c>
      <c r="V182" s="50">
        <v>0.4</v>
      </c>
      <c r="W182" s="50">
        <v>0.86370726187164082</v>
      </c>
      <c r="X182" s="50" t="s">
        <v>7161</v>
      </c>
      <c r="Y182" s="50">
        <v>0.32</v>
      </c>
    </row>
    <row r="183" spans="2:25" x14ac:dyDescent="0.2">
      <c r="B183" s="50" t="s">
        <v>9</v>
      </c>
      <c r="C183" s="50" t="s">
        <v>7169</v>
      </c>
      <c r="D183" s="50"/>
      <c r="E183" s="50"/>
      <c r="F183" s="50" t="s">
        <v>12</v>
      </c>
      <c r="G183" s="51" t="s">
        <v>527</v>
      </c>
      <c r="H183" s="50" t="s">
        <v>32</v>
      </c>
      <c r="I183" s="50" t="s">
        <v>1120</v>
      </c>
      <c r="J183" s="50" t="s">
        <v>33</v>
      </c>
      <c r="K183" s="50" t="s">
        <v>7158</v>
      </c>
      <c r="L183" s="50">
        <v>5</v>
      </c>
      <c r="M183" s="50">
        <v>2.4</v>
      </c>
      <c r="N183" s="50">
        <v>0.12793550648440238</v>
      </c>
      <c r="O183" s="50">
        <v>188048.42668499998</v>
      </c>
      <c r="P183" s="50">
        <v>8844.68</v>
      </c>
      <c r="Q183" s="50">
        <v>179203.74668499999</v>
      </c>
      <c r="R183" s="50">
        <v>7826.3802280748941</v>
      </c>
      <c r="S183" s="50">
        <v>171377.36645692508</v>
      </c>
      <c r="T183" s="50">
        <v>90078159.686514899</v>
      </c>
      <c r="U183" s="50">
        <v>1.6463705196605705E-3</v>
      </c>
      <c r="V183" s="50">
        <v>0.52</v>
      </c>
      <c r="W183" s="50">
        <v>0.86535363239130136</v>
      </c>
      <c r="X183" s="50" t="s">
        <v>7160</v>
      </c>
      <c r="Y183" s="50">
        <v>0.32</v>
      </c>
    </row>
    <row r="184" spans="2:25" x14ac:dyDescent="0.2">
      <c r="B184" s="50" t="s">
        <v>9</v>
      </c>
      <c r="C184" s="50" t="s">
        <v>437</v>
      </c>
      <c r="D184" s="50"/>
      <c r="E184" s="50"/>
      <c r="F184" s="50" t="s">
        <v>12</v>
      </c>
      <c r="G184" s="50" t="s">
        <v>1962</v>
      </c>
      <c r="H184" s="50" t="s">
        <v>15</v>
      </c>
      <c r="I184" s="50" t="s">
        <v>1120</v>
      </c>
      <c r="J184" s="50" t="s">
        <v>16</v>
      </c>
      <c r="K184" s="50" t="s">
        <v>7158</v>
      </c>
      <c r="L184" s="50">
        <v>4</v>
      </c>
      <c r="M184" s="50">
        <v>2.56</v>
      </c>
      <c r="N184" s="50">
        <v>0.34385303815355628</v>
      </c>
      <c r="O184" s="50">
        <v>200584.98846399999</v>
      </c>
      <c r="P184" s="50">
        <v>8460.9919999999984</v>
      </c>
      <c r="Q184" s="50">
        <v>192123.996464</v>
      </c>
      <c r="R184" s="50">
        <v>21035.00969448674</v>
      </c>
      <c r="S184" s="50">
        <v>171088.98676951326</v>
      </c>
      <c r="T184" s="50">
        <v>90249248.673284411</v>
      </c>
      <c r="U184" s="50">
        <v>1.6436001432354951E-3</v>
      </c>
      <c r="V184" s="50">
        <v>0.36</v>
      </c>
      <c r="W184" s="50">
        <v>0.86699723253453687</v>
      </c>
      <c r="X184" s="50" t="s">
        <v>7161</v>
      </c>
      <c r="Y184" s="50">
        <v>0.32</v>
      </c>
    </row>
    <row r="185" spans="2:25" x14ac:dyDescent="0.2">
      <c r="B185" s="50" t="s">
        <v>9</v>
      </c>
      <c r="C185" s="50" t="s">
        <v>243</v>
      </c>
      <c r="D185" s="50"/>
      <c r="E185" s="50"/>
      <c r="F185" s="50" t="s">
        <v>12</v>
      </c>
      <c r="G185" s="50" t="s">
        <v>1962</v>
      </c>
      <c r="H185" s="50" t="s">
        <v>15</v>
      </c>
      <c r="I185" s="50" t="s">
        <v>1120</v>
      </c>
      <c r="J185" s="50" t="s">
        <v>16</v>
      </c>
      <c r="K185" s="50" t="s">
        <v>7158</v>
      </c>
      <c r="L185" s="50">
        <v>8</v>
      </c>
      <c r="M185" s="50">
        <v>2.96</v>
      </c>
      <c r="N185" s="50">
        <v>0.83067819754210281</v>
      </c>
      <c r="O185" s="50">
        <v>231926.39291149998</v>
      </c>
      <c r="P185" s="50">
        <v>12246.771999999999</v>
      </c>
      <c r="Q185" s="50">
        <v>219679.62091149998</v>
      </c>
      <c r="R185" s="50">
        <v>50816.25578219771</v>
      </c>
      <c r="S185" s="50">
        <v>168863.36512930226</v>
      </c>
      <c r="T185" s="50">
        <v>90418112.038413718</v>
      </c>
      <c r="U185" s="50">
        <v>1.6222192693656485E-3</v>
      </c>
      <c r="V185" s="50">
        <v>0.63</v>
      </c>
      <c r="W185" s="50">
        <v>0.86861945180390254</v>
      </c>
      <c r="X185" s="50" t="s">
        <v>7161</v>
      </c>
      <c r="Y185" s="50">
        <v>0.32</v>
      </c>
    </row>
    <row r="186" spans="2:25" x14ac:dyDescent="0.2">
      <c r="B186" s="50" t="s">
        <v>9</v>
      </c>
      <c r="C186" s="50" t="s">
        <v>141</v>
      </c>
      <c r="D186" s="50"/>
      <c r="E186" s="50"/>
      <c r="F186" s="50" t="s">
        <v>12</v>
      </c>
      <c r="G186" s="50" t="s">
        <v>1962</v>
      </c>
      <c r="H186" s="50" t="s">
        <v>15</v>
      </c>
      <c r="I186" s="50" t="s">
        <v>1120</v>
      </c>
      <c r="J186" s="50" t="s">
        <v>16</v>
      </c>
      <c r="K186" s="50" t="s">
        <v>7158</v>
      </c>
      <c r="L186" s="50">
        <v>51</v>
      </c>
      <c r="M186" s="50">
        <v>3.57</v>
      </c>
      <c r="N186" s="50">
        <v>1.115071283095723</v>
      </c>
      <c r="O186" s="50">
        <v>279722.03469393746</v>
      </c>
      <c r="P186" s="50">
        <v>44957.086499999998</v>
      </c>
      <c r="Q186" s="50">
        <v>234764.94819393745</v>
      </c>
      <c r="R186" s="50">
        <v>68213.837446123231</v>
      </c>
      <c r="S186" s="50">
        <v>166551.11074781424</v>
      </c>
      <c r="T186" s="50">
        <v>90584663.149161533</v>
      </c>
      <c r="U186" s="50">
        <v>1.6000061409558669E-3</v>
      </c>
      <c r="V186" s="50">
        <v>0.93</v>
      </c>
      <c r="W186" s="50">
        <v>0.87021945794485844</v>
      </c>
      <c r="X186" s="50" t="s">
        <v>7161</v>
      </c>
      <c r="Y186" s="50">
        <v>0.32</v>
      </c>
    </row>
    <row r="187" spans="2:25" x14ac:dyDescent="0.2">
      <c r="B187" s="50" t="s">
        <v>9</v>
      </c>
      <c r="C187" s="50" t="s">
        <v>217</v>
      </c>
      <c r="D187" s="50"/>
      <c r="E187" s="50"/>
      <c r="F187" s="50" t="s">
        <v>12</v>
      </c>
      <c r="G187" s="50" t="s">
        <v>1962</v>
      </c>
      <c r="H187" s="50" t="s">
        <v>19</v>
      </c>
      <c r="I187" s="50" t="s">
        <v>1120</v>
      </c>
      <c r="J187" s="50" t="s">
        <v>20</v>
      </c>
      <c r="K187" s="50" t="s">
        <v>7158</v>
      </c>
      <c r="L187" s="50">
        <v>25</v>
      </c>
      <c r="M187" s="50">
        <v>2.75</v>
      </c>
      <c r="N187" s="50">
        <v>0.4257387247278383</v>
      </c>
      <c r="O187" s="50">
        <v>215472.15557656251</v>
      </c>
      <c r="P187" s="50">
        <v>24202.237500000003</v>
      </c>
      <c r="Q187" s="50">
        <v>191269.91807656252</v>
      </c>
      <c r="R187" s="50">
        <v>26044.318962711131</v>
      </c>
      <c r="S187" s="50">
        <v>165225.59911385138</v>
      </c>
      <c r="T187" s="50">
        <v>90749888.748275384</v>
      </c>
      <c r="U187" s="50">
        <v>1.587272351642025E-3</v>
      </c>
      <c r="V187" s="50">
        <v>0.89</v>
      </c>
      <c r="W187" s="50">
        <v>0.87180673029650047</v>
      </c>
      <c r="X187" s="50" t="s">
        <v>7159</v>
      </c>
      <c r="Y187" s="50">
        <v>0.32</v>
      </c>
    </row>
    <row r="188" spans="2:25" x14ac:dyDescent="0.2">
      <c r="B188" s="50" t="s">
        <v>9</v>
      </c>
      <c r="C188" s="50" t="s">
        <v>160</v>
      </c>
      <c r="D188" s="50"/>
      <c r="E188" s="50"/>
      <c r="F188" s="50" t="s">
        <v>12</v>
      </c>
      <c r="G188" s="50" t="s">
        <v>1962</v>
      </c>
      <c r="H188" s="50" t="s">
        <v>15</v>
      </c>
      <c r="I188" s="50" t="s">
        <v>1120</v>
      </c>
      <c r="J188" s="50" t="s">
        <v>16</v>
      </c>
      <c r="K188" s="50" t="s">
        <v>7158</v>
      </c>
      <c r="L188" s="50">
        <v>52</v>
      </c>
      <c r="M188" s="50">
        <v>3.12</v>
      </c>
      <c r="N188" s="50">
        <v>0.61262168512923798</v>
      </c>
      <c r="O188" s="50">
        <v>244462.95469049996</v>
      </c>
      <c r="P188" s="50">
        <v>44713.083999999995</v>
      </c>
      <c r="Q188" s="50">
        <v>199749.87069049996</v>
      </c>
      <c r="R188" s="50">
        <v>37476.775412382798</v>
      </c>
      <c r="S188" s="50">
        <v>162273.09527811717</v>
      </c>
      <c r="T188" s="50">
        <v>90912161.843553498</v>
      </c>
      <c r="U188" s="50">
        <v>1.5589085403941766E-3</v>
      </c>
      <c r="V188" s="50">
        <v>0.94000000000000006</v>
      </c>
      <c r="W188" s="50">
        <v>0.87336563883689466</v>
      </c>
      <c r="X188" s="50" t="s">
        <v>7163</v>
      </c>
      <c r="Y188" s="50">
        <v>0.32</v>
      </c>
    </row>
    <row r="189" spans="2:25" x14ac:dyDescent="0.2">
      <c r="B189" s="50" t="s">
        <v>9</v>
      </c>
      <c r="C189" s="50" t="s">
        <v>357</v>
      </c>
      <c r="D189" s="50"/>
      <c r="E189" s="50"/>
      <c r="F189" s="50" t="s">
        <v>12</v>
      </c>
      <c r="G189" s="50" t="s">
        <v>1962</v>
      </c>
      <c r="H189" s="50" t="s">
        <v>32</v>
      </c>
      <c r="I189" s="50" t="s">
        <v>1120</v>
      </c>
      <c r="J189" s="50" t="s">
        <v>33</v>
      </c>
      <c r="K189" s="50" t="s">
        <v>7158</v>
      </c>
      <c r="L189" s="50">
        <v>37</v>
      </c>
      <c r="M189" s="50">
        <v>4.8099999999999996</v>
      </c>
      <c r="N189" s="50">
        <v>2.9674796747967482</v>
      </c>
      <c r="O189" s="50">
        <v>376880.38848118746</v>
      </c>
      <c r="P189" s="50">
        <v>37421.004499999995</v>
      </c>
      <c r="Q189" s="50">
        <v>339459.38398118748</v>
      </c>
      <c r="R189" s="50">
        <v>181533.84382681039</v>
      </c>
      <c r="S189" s="50">
        <v>157925.54015437709</v>
      </c>
      <c r="T189" s="50">
        <v>91070087.383707881</v>
      </c>
      <c r="U189" s="50">
        <v>1.5171428934111254E-3</v>
      </c>
      <c r="V189" s="50">
        <v>0.86999999999999988</v>
      </c>
      <c r="W189" s="50">
        <v>0.87488278173030576</v>
      </c>
      <c r="X189" s="50" t="s">
        <v>7161</v>
      </c>
      <c r="Y189" s="50">
        <v>0.32</v>
      </c>
    </row>
    <row r="190" spans="2:25" x14ac:dyDescent="0.2">
      <c r="B190" s="50" t="s">
        <v>9</v>
      </c>
      <c r="C190" s="50" t="s">
        <v>249</v>
      </c>
      <c r="D190" s="50"/>
      <c r="E190" s="50"/>
      <c r="F190" s="50" t="s">
        <v>12</v>
      </c>
      <c r="G190" s="50" t="s">
        <v>1962</v>
      </c>
      <c r="H190" s="50" t="s">
        <v>15</v>
      </c>
      <c r="I190" s="50" t="s">
        <v>1120</v>
      </c>
      <c r="J190" s="50" t="s">
        <v>16</v>
      </c>
      <c r="K190" s="50" t="s">
        <v>7158</v>
      </c>
      <c r="L190" s="50">
        <v>24</v>
      </c>
      <c r="M190" s="50">
        <v>3.84</v>
      </c>
      <c r="N190" s="50">
        <v>1.9203307027433294</v>
      </c>
      <c r="O190" s="50">
        <v>300877.48269600002</v>
      </c>
      <c r="P190" s="50">
        <v>25831.487999999998</v>
      </c>
      <c r="Q190" s="50">
        <v>275045.99469600001</v>
      </c>
      <c r="R190" s="50">
        <v>117475.11426898437</v>
      </c>
      <c r="S190" s="50">
        <v>157570.88042701565</v>
      </c>
      <c r="T190" s="50">
        <v>91227658.264134899</v>
      </c>
      <c r="U190" s="50">
        <v>1.5137357846912848E-3</v>
      </c>
      <c r="V190" s="50">
        <v>0.84</v>
      </c>
      <c r="W190" s="50">
        <v>0.87639651751499703</v>
      </c>
      <c r="X190" s="50" t="s">
        <v>7160</v>
      </c>
      <c r="Y190" s="50">
        <v>0.32</v>
      </c>
    </row>
    <row r="191" spans="2:25" x14ac:dyDescent="0.2">
      <c r="B191" s="50" t="s">
        <v>9</v>
      </c>
      <c r="C191" s="50" t="s">
        <v>320</v>
      </c>
      <c r="D191" s="50"/>
      <c r="E191" s="50"/>
      <c r="F191" s="50" t="s">
        <v>12</v>
      </c>
      <c r="G191" s="50" t="s">
        <v>1962</v>
      </c>
      <c r="H191" s="50" t="s">
        <v>15</v>
      </c>
      <c r="I191" s="50" t="s">
        <v>1120</v>
      </c>
      <c r="J191" s="50" t="s">
        <v>16</v>
      </c>
      <c r="K191" s="50" t="s">
        <v>7158</v>
      </c>
      <c r="L191" s="50">
        <v>8</v>
      </c>
      <c r="M191" s="50">
        <v>2.8</v>
      </c>
      <c r="N191" s="50">
        <v>0.86</v>
      </c>
      <c r="O191" s="50">
        <v>219389.83113249997</v>
      </c>
      <c r="P191" s="50">
        <v>11900.46</v>
      </c>
      <c r="Q191" s="50">
        <v>207489.37113249997</v>
      </c>
      <c r="R191" s="50">
        <v>52610</v>
      </c>
      <c r="S191" s="50">
        <v>154879.37113249997</v>
      </c>
      <c r="T191" s="50">
        <v>91382537.635267392</v>
      </c>
      <c r="U191" s="50">
        <v>1.487879269052758E-3</v>
      </c>
      <c r="V191" s="50">
        <v>0.65</v>
      </c>
      <c r="W191" s="50">
        <v>0.87788439678404984</v>
      </c>
      <c r="X191" s="50" t="s">
        <v>7160</v>
      </c>
      <c r="Y191" s="50">
        <v>0.32</v>
      </c>
    </row>
    <row r="192" spans="2:25" x14ac:dyDescent="0.2">
      <c r="B192" s="50" t="s">
        <v>9</v>
      </c>
      <c r="C192" s="50" t="s">
        <v>314</v>
      </c>
      <c r="D192" s="50"/>
      <c r="E192" s="50"/>
      <c r="F192" s="50" t="s">
        <v>12</v>
      </c>
      <c r="G192" s="50" t="s">
        <v>1962</v>
      </c>
      <c r="H192" s="50" t="s">
        <v>32</v>
      </c>
      <c r="I192" s="50" t="s">
        <v>1120</v>
      </c>
      <c r="J192" s="50" t="s">
        <v>33</v>
      </c>
      <c r="K192" s="50" t="s">
        <v>7158</v>
      </c>
      <c r="L192" s="50">
        <v>5</v>
      </c>
      <c r="M192" s="50">
        <v>2.6</v>
      </c>
      <c r="N192" s="50">
        <v>0.65529622980251345</v>
      </c>
      <c r="O192" s="50">
        <v>203719.12890874999</v>
      </c>
      <c r="P192" s="50">
        <v>9277.57</v>
      </c>
      <c r="Q192" s="50">
        <v>194441.55890874998</v>
      </c>
      <c r="R192" s="50">
        <v>40087.365871988644</v>
      </c>
      <c r="S192" s="50">
        <v>154354.19303676134</v>
      </c>
      <c r="T192" s="50">
        <v>91536891.828304157</v>
      </c>
      <c r="U192" s="50">
        <v>1.4828340419479706E-3</v>
      </c>
      <c r="V192" s="50">
        <v>0.48</v>
      </c>
      <c r="W192" s="50">
        <v>0.87936723082599777</v>
      </c>
      <c r="X192" s="50" t="s">
        <v>7160</v>
      </c>
      <c r="Y192" s="50">
        <v>0.32</v>
      </c>
    </row>
    <row r="193" spans="2:25" x14ac:dyDescent="0.2">
      <c r="B193" s="50" t="s">
        <v>9</v>
      </c>
      <c r="C193" s="50" t="s">
        <v>306</v>
      </c>
      <c r="D193" s="50"/>
      <c r="E193" s="50"/>
      <c r="F193" s="50" t="s">
        <v>12</v>
      </c>
      <c r="G193" s="50" t="s">
        <v>1962</v>
      </c>
      <c r="H193" s="50" t="s">
        <v>32</v>
      </c>
      <c r="I193" s="50" t="s">
        <v>1120</v>
      </c>
      <c r="J193" s="50" t="s">
        <v>33</v>
      </c>
      <c r="K193" s="50" t="s">
        <v>7158</v>
      </c>
      <c r="L193" s="50">
        <v>21</v>
      </c>
      <c r="M193" s="50">
        <v>3.57</v>
      </c>
      <c r="N193" s="50">
        <v>1.7091571279916753</v>
      </c>
      <c r="O193" s="50">
        <v>279722.03469393746</v>
      </c>
      <c r="P193" s="50">
        <v>23057.086499999998</v>
      </c>
      <c r="Q193" s="50">
        <v>256664.94819393745</v>
      </c>
      <c r="R193" s="50">
        <v>104556.6936088861</v>
      </c>
      <c r="S193" s="50">
        <v>152108.25458505136</v>
      </c>
      <c r="T193" s="50">
        <v>91689000.082889214</v>
      </c>
      <c r="U193" s="50">
        <v>1.4612579906156799E-3</v>
      </c>
      <c r="V193" s="50">
        <v>0.83</v>
      </c>
      <c r="W193" s="50">
        <v>0.88082848881661346</v>
      </c>
      <c r="X193" s="50" t="s">
        <v>7160</v>
      </c>
      <c r="Y193" s="50">
        <v>0.32</v>
      </c>
    </row>
    <row r="194" spans="2:25" x14ac:dyDescent="0.2">
      <c r="B194" s="50" t="s">
        <v>9</v>
      </c>
      <c r="C194" s="50" t="s">
        <v>255</v>
      </c>
      <c r="D194" s="50"/>
      <c r="E194" s="50"/>
      <c r="F194" s="50" t="s">
        <v>12</v>
      </c>
      <c r="G194" s="50" t="s">
        <v>1962</v>
      </c>
      <c r="H194" s="50" t="s">
        <v>15</v>
      </c>
      <c r="I194" s="50" t="s">
        <v>1120</v>
      </c>
      <c r="J194" s="50" t="s">
        <v>16</v>
      </c>
      <c r="K194" s="50" t="s">
        <v>7158</v>
      </c>
      <c r="L194" s="50">
        <v>35</v>
      </c>
      <c r="M194" s="50">
        <v>3.15</v>
      </c>
      <c r="N194" s="50">
        <v>1.0192367359602854</v>
      </c>
      <c r="O194" s="50">
        <v>246813.56002406246</v>
      </c>
      <c r="P194" s="50">
        <v>32368.017499999998</v>
      </c>
      <c r="Q194" s="50">
        <v>214445.54252406248</v>
      </c>
      <c r="R194" s="50">
        <v>62351.214742872813</v>
      </c>
      <c r="S194" s="50">
        <v>152094.32778118967</v>
      </c>
      <c r="T194" s="50">
        <v>91841094.4106704</v>
      </c>
      <c r="U194" s="50">
        <v>1.4611242000236956E-3</v>
      </c>
      <c r="V194" s="50">
        <v>0.91</v>
      </c>
      <c r="W194" s="50">
        <v>0.88228961301663711</v>
      </c>
      <c r="X194" s="50" t="s">
        <v>7161</v>
      </c>
      <c r="Y194" s="50">
        <v>0.32</v>
      </c>
    </row>
    <row r="195" spans="2:25" x14ac:dyDescent="0.2">
      <c r="B195" s="50" t="s">
        <v>9</v>
      </c>
      <c r="C195" s="50" t="s">
        <v>492</v>
      </c>
      <c r="D195" s="50"/>
      <c r="E195" s="50"/>
      <c r="F195" s="50" t="s">
        <v>12</v>
      </c>
      <c r="G195" s="50" t="s">
        <v>1962</v>
      </c>
      <c r="H195" s="50" t="s">
        <v>15</v>
      </c>
      <c r="I195" s="50" t="s">
        <v>1120</v>
      </c>
      <c r="J195" s="50" t="s">
        <v>16</v>
      </c>
      <c r="K195" s="50" t="s">
        <v>7158</v>
      </c>
      <c r="L195" s="50">
        <v>24.4</v>
      </c>
      <c r="M195" s="50">
        <v>2.9279999999999999</v>
      </c>
      <c r="N195" s="50">
        <v>0.88292210933720372</v>
      </c>
      <c r="O195" s="50">
        <v>229419.0805557</v>
      </c>
      <c r="P195" s="50">
        <v>24149.509599999998</v>
      </c>
      <c r="Q195" s="50">
        <v>205269.57095570001</v>
      </c>
      <c r="R195" s="50">
        <v>54012.246711895692</v>
      </c>
      <c r="S195" s="50">
        <v>151257.32424380432</v>
      </c>
      <c r="T195" s="50">
        <v>91992351.734914199</v>
      </c>
      <c r="U195" s="50">
        <v>1.4530833602249978E-3</v>
      </c>
      <c r="V195" s="50">
        <v>0.88</v>
      </c>
      <c r="W195" s="50">
        <v>0.88374269637686209</v>
      </c>
      <c r="X195" s="50" t="s">
        <v>7162</v>
      </c>
      <c r="Y195" s="50">
        <v>0.32</v>
      </c>
    </row>
    <row r="196" spans="2:25" x14ac:dyDescent="0.2">
      <c r="B196" s="50" t="s">
        <v>9</v>
      </c>
      <c r="C196" s="50" t="s">
        <v>96</v>
      </c>
      <c r="D196" s="50"/>
      <c r="E196" s="50"/>
      <c r="F196" s="50" t="s">
        <v>12</v>
      </c>
      <c r="G196" s="50" t="s">
        <v>1962</v>
      </c>
      <c r="H196" s="50" t="s">
        <v>15</v>
      </c>
      <c r="I196" s="50" t="s">
        <v>1120</v>
      </c>
      <c r="J196" s="50" t="s">
        <v>16</v>
      </c>
      <c r="K196" s="50" t="s">
        <v>7158</v>
      </c>
      <c r="L196" s="50">
        <v>9</v>
      </c>
      <c r="M196" s="50">
        <v>2.88</v>
      </c>
      <c r="N196" s="50">
        <v>1.0235558048233315</v>
      </c>
      <c r="O196" s="50">
        <v>225658.11202199999</v>
      </c>
      <c r="P196" s="50">
        <v>12803.616</v>
      </c>
      <c r="Q196" s="50">
        <v>212854.49602199998</v>
      </c>
      <c r="R196" s="50">
        <v>62615.431269483102</v>
      </c>
      <c r="S196" s="50">
        <v>150239.06475251686</v>
      </c>
      <c r="T196" s="50">
        <v>92142590.799666718</v>
      </c>
      <c r="U196" s="50">
        <v>1.4433012493052246E-3</v>
      </c>
      <c r="V196" s="50">
        <v>0.68</v>
      </c>
      <c r="W196" s="50">
        <v>0.88518599762616734</v>
      </c>
      <c r="X196" s="50" t="s">
        <v>7161</v>
      </c>
      <c r="Y196" s="50">
        <v>0.32</v>
      </c>
    </row>
    <row r="197" spans="2:25" x14ac:dyDescent="0.2">
      <c r="B197" s="50" t="s">
        <v>9</v>
      </c>
      <c r="C197" s="50" t="s">
        <v>438</v>
      </c>
      <c r="D197" s="50"/>
      <c r="E197" s="50"/>
      <c r="F197" s="50" t="s">
        <v>12</v>
      </c>
      <c r="G197" s="50" t="s">
        <v>1962</v>
      </c>
      <c r="H197" s="50" t="s">
        <v>15</v>
      </c>
      <c r="I197" s="50" t="s">
        <v>1121</v>
      </c>
      <c r="J197" s="50" t="s">
        <v>16</v>
      </c>
      <c r="K197" s="50" t="s">
        <v>7158</v>
      </c>
      <c r="L197" s="50">
        <v>87</v>
      </c>
      <c r="M197" s="50">
        <v>5.22</v>
      </c>
      <c r="N197" s="50">
        <v>1</v>
      </c>
      <c r="O197" s="50">
        <v>409005.32803987496</v>
      </c>
      <c r="P197" s="50">
        <v>74808.429000000004</v>
      </c>
      <c r="Q197" s="50">
        <v>334196.89903987496</v>
      </c>
      <c r="R197" s="50">
        <v>184593.75</v>
      </c>
      <c r="S197" s="50">
        <v>149603.14903987496</v>
      </c>
      <c r="T197" s="50">
        <v>92292193.948706597</v>
      </c>
      <c r="U197" s="50">
        <v>1.4371921994118381E-3</v>
      </c>
      <c r="V197" s="50">
        <v>0.94000000000000006</v>
      </c>
      <c r="W197" s="50">
        <v>0.88662318982557919</v>
      </c>
      <c r="X197" s="50" t="s">
        <v>7161</v>
      </c>
      <c r="Y197" s="50">
        <v>1</v>
      </c>
    </row>
    <row r="198" spans="2:25" x14ac:dyDescent="0.2">
      <c r="B198" s="50" t="s">
        <v>9</v>
      </c>
      <c r="C198" s="50" t="s">
        <v>756</v>
      </c>
      <c r="D198" s="50"/>
      <c r="E198" s="50"/>
      <c r="F198" s="50" t="s">
        <v>12</v>
      </c>
      <c r="G198" s="50" t="s">
        <v>1962</v>
      </c>
      <c r="H198" s="50" t="s">
        <v>10</v>
      </c>
      <c r="I198" s="50" t="s">
        <v>1121</v>
      </c>
      <c r="J198" s="50" t="s">
        <v>529</v>
      </c>
      <c r="K198" s="50" t="s">
        <v>7158</v>
      </c>
      <c r="L198" s="50">
        <v>105</v>
      </c>
      <c r="M198" s="50">
        <v>4.2</v>
      </c>
      <c r="N198" s="50">
        <v>0.52</v>
      </c>
      <c r="O198" s="50">
        <v>329084.74669875001</v>
      </c>
      <c r="P198" s="50">
        <v>85740.69</v>
      </c>
      <c r="Q198" s="50">
        <v>243344.05669875001</v>
      </c>
      <c r="R198" s="50">
        <v>95988.75</v>
      </c>
      <c r="S198" s="50">
        <v>147355.30669875001</v>
      </c>
      <c r="T198" s="50">
        <v>92439549.255405352</v>
      </c>
      <c r="U198" s="50">
        <v>1.4155978579898445E-3</v>
      </c>
      <c r="V198" s="50">
        <v>0.96</v>
      </c>
      <c r="W198" s="50">
        <v>0.88803878768356903</v>
      </c>
      <c r="X198" s="50" t="s">
        <v>7161</v>
      </c>
      <c r="Y198" s="50">
        <v>0.52</v>
      </c>
    </row>
    <row r="199" spans="2:25" x14ac:dyDescent="0.2">
      <c r="B199" s="50" t="s">
        <v>9</v>
      </c>
      <c r="C199" s="50" t="s">
        <v>274</v>
      </c>
      <c r="D199" s="50"/>
      <c r="E199" s="50"/>
      <c r="F199" s="50" t="s">
        <v>12</v>
      </c>
      <c r="G199" s="50" t="s">
        <v>1962</v>
      </c>
      <c r="H199" s="50" t="s">
        <v>15</v>
      </c>
      <c r="I199" s="50" t="s">
        <v>1120</v>
      </c>
      <c r="J199" s="50" t="s">
        <v>16</v>
      </c>
      <c r="K199" s="50" t="s">
        <v>7158</v>
      </c>
      <c r="L199" s="50">
        <v>45</v>
      </c>
      <c r="M199" s="50">
        <v>3.6</v>
      </c>
      <c r="N199" s="50">
        <v>1.5390853065196237</v>
      </c>
      <c r="O199" s="50">
        <v>282072.64002749999</v>
      </c>
      <c r="P199" s="50">
        <v>40642.019999999997</v>
      </c>
      <c r="Q199" s="50">
        <v>241430.6200275</v>
      </c>
      <c r="R199" s="50">
        <v>94152.64880929931</v>
      </c>
      <c r="S199" s="50">
        <v>147277.97121820069</v>
      </c>
      <c r="T199" s="50">
        <v>92586827.22662355</v>
      </c>
      <c r="U199" s="50">
        <v>1.4148549194213948E-3</v>
      </c>
      <c r="V199" s="50">
        <v>0.91999999999999993</v>
      </c>
      <c r="W199" s="50">
        <v>0.88945364260299042</v>
      </c>
      <c r="X199" s="50" t="s">
        <v>7159</v>
      </c>
      <c r="Y199" s="50">
        <v>0.32</v>
      </c>
    </row>
    <row r="200" spans="2:25" x14ac:dyDescent="0.2">
      <c r="B200" s="50" t="s">
        <v>9</v>
      </c>
      <c r="C200" s="50" t="s">
        <v>409</v>
      </c>
      <c r="D200" s="50"/>
      <c r="E200" s="50"/>
      <c r="F200" s="50" t="s">
        <v>12</v>
      </c>
      <c r="G200" s="50" t="s">
        <v>1962</v>
      </c>
      <c r="H200" s="50" t="s">
        <v>15</v>
      </c>
      <c r="I200" s="50" t="s">
        <v>1121</v>
      </c>
      <c r="J200" s="50" t="s">
        <v>16</v>
      </c>
      <c r="K200" s="50" t="s">
        <v>7158</v>
      </c>
      <c r="L200" s="50">
        <v>123</v>
      </c>
      <c r="M200" s="50">
        <v>3.69</v>
      </c>
      <c r="N200" s="50">
        <v>0.25</v>
      </c>
      <c r="O200" s="50">
        <v>289124.45602818747</v>
      </c>
      <c r="P200" s="50">
        <v>97776.820500000002</v>
      </c>
      <c r="Q200" s="50">
        <v>191347.63552818747</v>
      </c>
      <c r="R200" s="50">
        <v>46148.4375</v>
      </c>
      <c r="S200" s="50">
        <v>145199.19802818747</v>
      </c>
      <c r="T200" s="50">
        <v>92732026.424651742</v>
      </c>
      <c r="U200" s="50">
        <v>1.3948847741924522E-3</v>
      </c>
      <c r="V200" s="50">
        <v>0.97</v>
      </c>
      <c r="W200" s="50">
        <v>0.8908485273771829</v>
      </c>
      <c r="X200" s="50" t="s">
        <v>7163</v>
      </c>
      <c r="Y200" s="50">
        <v>0.25</v>
      </c>
    </row>
    <row r="201" spans="2:25" x14ac:dyDescent="0.2">
      <c r="B201" s="50" t="s">
        <v>9</v>
      </c>
      <c r="C201" s="50" t="s">
        <v>259</v>
      </c>
      <c r="D201" s="50"/>
      <c r="E201" s="50"/>
      <c r="F201" s="50" t="s">
        <v>12</v>
      </c>
      <c r="G201" s="50" t="s">
        <v>1962</v>
      </c>
      <c r="H201" s="50" t="s">
        <v>15</v>
      </c>
      <c r="I201" s="50" t="s">
        <v>1120</v>
      </c>
      <c r="J201" s="50" t="s">
        <v>16</v>
      </c>
      <c r="K201" s="50" t="s">
        <v>7158</v>
      </c>
      <c r="L201" s="50">
        <v>65</v>
      </c>
      <c r="M201" s="50">
        <v>2.6</v>
      </c>
      <c r="N201" s="50">
        <v>0.10384068278805121</v>
      </c>
      <c r="O201" s="50">
        <v>203719.12890874999</v>
      </c>
      <c r="P201" s="50">
        <v>53077.57</v>
      </c>
      <c r="Q201" s="50">
        <v>150641.55890874998</v>
      </c>
      <c r="R201" s="50">
        <v>6352.3933970690405</v>
      </c>
      <c r="S201" s="50">
        <v>144289.16551168094</v>
      </c>
      <c r="T201" s="50">
        <v>92876315.590163425</v>
      </c>
      <c r="U201" s="50">
        <v>1.3861423670818525E-3</v>
      </c>
      <c r="V201" s="50">
        <v>0.96</v>
      </c>
      <c r="W201" s="50">
        <v>0.8922346697442648</v>
      </c>
      <c r="X201" s="50" t="s">
        <v>7162</v>
      </c>
      <c r="Y201" s="50">
        <v>0.32</v>
      </c>
    </row>
    <row r="202" spans="2:25" x14ac:dyDescent="0.2">
      <c r="B202" s="50" t="s">
        <v>9</v>
      </c>
      <c r="C202" s="50" t="s">
        <v>7170</v>
      </c>
      <c r="D202" s="50"/>
      <c r="E202" s="50"/>
      <c r="F202" s="50" t="s">
        <v>12</v>
      </c>
      <c r="G202" s="51" t="s">
        <v>527</v>
      </c>
      <c r="H202" s="50" t="s">
        <v>32</v>
      </c>
      <c r="I202" s="50" t="s">
        <v>1120</v>
      </c>
      <c r="J202" s="50" t="s">
        <v>33</v>
      </c>
      <c r="K202" s="50" t="s">
        <v>7158</v>
      </c>
      <c r="L202" s="50">
        <v>14</v>
      </c>
      <c r="M202" s="50">
        <v>2.8</v>
      </c>
      <c r="N202" s="50">
        <v>0.98678281766296194</v>
      </c>
      <c r="O202" s="50">
        <v>219389.83113249997</v>
      </c>
      <c r="P202" s="50">
        <v>16280.46</v>
      </c>
      <c r="Q202" s="50">
        <v>203109.37113249997</v>
      </c>
      <c r="R202" s="50">
        <v>60365.865159591202</v>
      </c>
      <c r="S202" s="50">
        <v>142743.50597290878</v>
      </c>
      <c r="T202" s="50">
        <v>93019059.096136332</v>
      </c>
      <c r="U202" s="50">
        <v>1.3712936834389851E-3</v>
      </c>
      <c r="V202" s="50">
        <v>0.79999999999999993</v>
      </c>
      <c r="W202" s="50">
        <v>0.89360596342770382</v>
      </c>
      <c r="X202" s="50" t="s">
        <v>7160</v>
      </c>
      <c r="Y202" s="50">
        <v>0.32</v>
      </c>
    </row>
    <row r="203" spans="2:25" x14ac:dyDescent="0.2">
      <c r="B203" s="50" t="s">
        <v>9</v>
      </c>
      <c r="C203" s="50" t="s">
        <v>479</v>
      </c>
      <c r="D203" s="50"/>
      <c r="E203" s="50"/>
      <c r="F203" s="50" t="s">
        <v>12</v>
      </c>
      <c r="G203" s="50" t="s">
        <v>1962</v>
      </c>
      <c r="H203" s="50" t="s">
        <v>15</v>
      </c>
      <c r="I203" s="50" t="s">
        <v>1120</v>
      </c>
      <c r="J203" s="50" t="s">
        <v>16</v>
      </c>
      <c r="K203" s="50" t="s">
        <v>7158</v>
      </c>
      <c r="L203" s="50">
        <v>10</v>
      </c>
      <c r="M203" s="50">
        <v>3.5</v>
      </c>
      <c r="N203" s="50">
        <v>1.9084967320261437</v>
      </c>
      <c r="O203" s="50">
        <v>274237.28891562496</v>
      </c>
      <c r="P203" s="50">
        <v>14875.574999999999</v>
      </c>
      <c r="Q203" s="50">
        <v>259361.71391562495</v>
      </c>
      <c r="R203" s="50">
        <v>116751.17799057606</v>
      </c>
      <c r="S203" s="50">
        <v>142610.53592504887</v>
      </c>
      <c r="T203" s="50">
        <v>93161669.632061377</v>
      </c>
      <c r="U203" s="50">
        <v>1.3700162804112671E-3</v>
      </c>
      <c r="V203" s="50">
        <v>0.65</v>
      </c>
      <c r="W203" s="50">
        <v>0.89497597970811504</v>
      </c>
      <c r="X203" s="50" t="s">
        <v>7159</v>
      </c>
      <c r="Y203" s="50">
        <v>0.32</v>
      </c>
    </row>
    <row r="204" spans="2:25" x14ac:dyDescent="0.2">
      <c r="B204" s="50" t="s">
        <v>9</v>
      </c>
      <c r="C204" s="50" t="s">
        <v>269</v>
      </c>
      <c r="D204" s="50"/>
      <c r="E204" s="50"/>
      <c r="F204" s="50" t="s">
        <v>12</v>
      </c>
      <c r="G204" s="50" t="s">
        <v>1962</v>
      </c>
      <c r="H204" s="50" t="s">
        <v>15</v>
      </c>
      <c r="I204" s="50" t="s">
        <v>1120</v>
      </c>
      <c r="J204" s="50" t="s">
        <v>16</v>
      </c>
      <c r="K204" s="50" t="s">
        <v>7158</v>
      </c>
      <c r="L204" s="50">
        <v>24</v>
      </c>
      <c r="M204" s="50">
        <v>2.16</v>
      </c>
      <c r="N204" s="50">
        <v>0.11363636363636363</v>
      </c>
      <c r="O204" s="50">
        <v>169243.58401650001</v>
      </c>
      <c r="P204" s="50">
        <v>22195.212</v>
      </c>
      <c r="Q204" s="50">
        <v>147048.37201650001</v>
      </c>
      <c r="R204" s="50">
        <v>6951.638477801268</v>
      </c>
      <c r="S204" s="50">
        <v>140096.73353869875</v>
      </c>
      <c r="T204" s="50">
        <v>93301766.365600079</v>
      </c>
      <c r="U204" s="50">
        <v>1.3458669412849745E-3</v>
      </c>
      <c r="V204" s="50">
        <v>0.91</v>
      </c>
      <c r="W204" s="50">
        <v>0.89632184664940007</v>
      </c>
      <c r="X204" s="50" t="s">
        <v>7161</v>
      </c>
      <c r="Y204" s="50">
        <v>0.32</v>
      </c>
    </row>
    <row r="205" spans="2:25" x14ac:dyDescent="0.2">
      <c r="B205" s="50" t="s">
        <v>9</v>
      </c>
      <c r="C205" s="50" t="s">
        <v>76</v>
      </c>
      <c r="D205" s="50"/>
      <c r="E205" s="50"/>
      <c r="F205" s="50" t="s">
        <v>12</v>
      </c>
      <c r="G205" s="50" t="s">
        <v>1962</v>
      </c>
      <c r="H205" s="50" t="s">
        <v>19</v>
      </c>
      <c r="I205" s="50" t="s">
        <v>1120</v>
      </c>
      <c r="J205" s="50" t="s">
        <v>20</v>
      </c>
      <c r="K205" s="50" t="s">
        <v>7158</v>
      </c>
      <c r="L205" s="50">
        <v>83</v>
      </c>
      <c r="M205" s="50">
        <v>3.32</v>
      </c>
      <c r="N205" s="50">
        <v>0.86</v>
      </c>
      <c r="O205" s="50">
        <v>260133.65691424996</v>
      </c>
      <c r="P205" s="50">
        <v>67775.974000000002</v>
      </c>
      <c r="Q205" s="50">
        <v>192357.68291424995</v>
      </c>
      <c r="R205" s="50">
        <v>52610</v>
      </c>
      <c r="S205" s="50">
        <v>139747.68291424995</v>
      </c>
      <c r="T205" s="50">
        <v>93441514.048514336</v>
      </c>
      <c r="U205" s="50">
        <v>1.3425137175201193E-3</v>
      </c>
      <c r="V205" s="50">
        <v>0.96000000000000008</v>
      </c>
      <c r="W205" s="50">
        <v>0.89766436036692021</v>
      </c>
      <c r="X205" s="50" t="s">
        <v>7162</v>
      </c>
      <c r="Y205" s="50">
        <v>0.32</v>
      </c>
    </row>
    <row r="206" spans="2:25" x14ac:dyDescent="0.2">
      <c r="B206" s="50" t="s">
        <v>9</v>
      </c>
      <c r="C206" s="50" t="s">
        <v>302</v>
      </c>
      <c r="D206" s="50"/>
      <c r="E206" s="50"/>
      <c r="F206" s="50" t="s">
        <v>12</v>
      </c>
      <c r="G206" s="50" t="s">
        <v>1962</v>
      </c>
      <c r="H206" s="50" t="s">
        <v>32</v>
      </c>
      <c r="I206" s="50" t="s">
        <v>1120</v>
      </c>
      <c r="J206" s="50" t="s">
        <v>33</v>
      </c>
      <c r="K206" s="50" t="s">
        <v>7158</v>
      </c>
      <c r="L206" s="50">
        <v>2.5</v>
      </c>
      <c r="M206" s="50">
        <v>2.25</v>
      </c>
      <c r="N206" s="50">
        <v>0.49592391304347827</v>
      </c>
      <c r="O206" s="50">
        <v>176295.40001718749</v>
      </c>
      <c r="P206" s="50">
        <v>6695.0125000000007</v>
      </c>
      <c r="Q206" s="50">
        <v>169600.38751718748</v>
      </c>
      <c r="R206" s="50">
        <v>30337.857052578365</v>
      </c>
      <c r="S206" s="50">
        <v>139262.53046460912</v>
      </c>
      <c r="T206" s="50">
        <v>93580776.578978941</v>
      </c>
      <c r="U206" s="50">
        <v>1.3378530046900474E-3</v>
      </c>
      <c r="V206" s="50">
        <v>0.1</v>
      </c>
      <c r="W206" s="50">
        <v>0.89900221337161024</v>
      </c>
      <c r="X206" s="50" t="s">
        <v>7161</v>
      </c>
      <c r="Y206" s="50">
        <v>0.32</v>
      </c>
    </row>
    <row r="207" spans="2:25" x14ac:dyDescent="0.2">
      <c r="B207" s="50" t="s">
        <v>9</v>
      </c>
      <c r="C207" s="50" t="s">
        <v>491</v>
      </c>
      <c r="D207" s="50"/>
      <c r="E207" s="50"/>
      <c r="F207" s="50" t="s">
        <v>12</v>
      </c>
      <c r="G207" s="51" t="s">
        <v>1962</v>
      </c>
      <c r="H207" s="50" t="s">
        <v>15</v>
      </c>
      <c r="I207" s="50" t="s">
        <v>1120</v>
      </c>
      <c r="J207" s="50" t="s">
        <v>16</v>
      </c>
      <c r="K207" s="50" t="s">
        <v>7158</v>
      </c>
      <c r="L207" s="50">
        <v>22</v>
      </c>
      <c r="M207" s="50">
        <v>2.75</v>
      </c>
      <c r="N207" s="50">
        <v>0.89743589743589736</v>
      </c>
      <c r="O207" s="50">
        <v>215472.15557656251</v>
      </c>
      <c r="P207" s="50">
        <v>22012.237499999999</v>
      </c>
      <c r="Q207" s="50">
        <v>193459.91807656252</v>
      </c>
      <c r="R207" s="50">
        <v>54900.119260584375</v>
      </c>
      <c r="S207" s="50">
        <v>138559.79881597814</v>
      </c>
      <c r="T207" s="50">
        <v>93719336.377794921</v>
      </c>
      <c r="U207" s="50">
        <v>1.331102074310747E-3</v>
      </c>
      <c r="V207" s="50">
        <v>0.875</v>
      </c>
      <c r="W207" s="50">
        <v>0.90033331544592099</v>
      </c>
      <c r="X207" s="50" t="s">
        <v>7161</v>
      </c>
      <c r="Y207" s="50">
        <v>0.32</v>
      </c>
    </row>
    <row r="208" spans="2:25" x14ac:dyDescent="0.2">
      <c r="B208" s="50" t="s">
        <v>9</v>
      </c>
      <c r="C208" s="50" t="s">
        <v>254</v>
      </c>
      <c r="D208" s="50"/>
      <c r="E208" s="50"/>
      <c r="F208" s="50" t="s">
        <v>12</v>
      </c>
      <c r="G208" s="50" t="s">
        <v>1962</v>
      </c>
      <c r="H208" s="50" t="s">
        <v>15</v>
      </c>
      <c r="I208" s="50" t="s">
        <v>1120</v>
      </c>
      <c r="J208" s="50" t="s">
        <v>16</v>
      </c>
      <c r="K208" s="50" t="s">
        <v>7158</v>
      </c>
      <c r="L208" s="50">
        <v>62</v>
      </c>
      <c r="M208" s="50">
        <v>2.48</v>
      </c>
      <c r="N208" s="50">
        <v>0.10212646894236151</v>
      </c>
      <c r="O208" s="50">
        <v>194316.70757449997</v>
      </c>
      <c r="P208" s="50">
        <v>50627.836000000003</v>
      </c>
      <c r="Q208" s="50">
        <v>143688.87157449996</v>
      </c>
      <c r="R208" s="50">
        <v>6247.5273616949289</v>
      </c>
      <c r="S208" s="50">
        <v>137441.34421280504</v>
      </c>
      <c r="T208" s="50">
        <v>93856777.722007722</v>
      </c>
      <c r="U208" s="50">
        <v>1.3203574192590796E-3</v>
      </c>
      <c r="V208" s="50">
        <v>0.96000000000000008</v>
      </c>
      <c r="W208" s="50">
        <v>0.90165367286518006</v>
      </c>
      <c r="X208" s="50" t="s">
        <v>7163</v>
      </c>
      <c r="Y208" s="50">
        <v>0.32</v>
      </c>
    </row>
    <row r="209" spans="2:25" x14ac:dyDescent="0.2">
      <c r="B209" s="50" t="s">
        <v>9</v>
      </c>
      <c r="C209" s="50" t="s">
        <v>481</v>
      </c>
      <c r="D209" s="50"/>
      <c r="E209" s="50"/>
      <c r="F209" s="50" t="s">
        <v>12</v>
      </c>
      <c r="G209" s="50" t="s">
        <v>1962</v>
      </c>
      <c r="H209" s="50" t="s">
        <v>15</v>
      </c>
      <c r="I209" s="50" t="s">
        <v>1121</v>
      </c>
      <c r="J209" s="50" t="s">
        <v>16</v>
      </c>
      <c r="K209" s="50" t="s">
        <v>7158</v>
      </c>
      <c r="L209" s="50">
        <v>83</v>
      </c>
      <c r="M209" s="50">
        <v>3.32</v>
      </c>
      <c r="N209" s="50">
        <v>0.3</v>
      </c>
      <c r="O209" s="50">
        <v>260133.65691424996</v>
      </c>
      <c r="P209" s="50">
        <v>67775.974000000002</v>
      </c>
      <c r="Q209" s="50">
        <v>192357.68291424995</v>
      </c>
      <c r="R209" s="50">
        <v>55378.125</v>
      </c>
      <c r="S209" s="50">
        <v>136979.55791424995</v>
      </c>
      <c r="T209" s="50">
        <v>93993757.279921979</v>
      </c>
      <c r="U209" s="50">
        <v>1.3159211779744677E-3</v>
      </c>
      <c r="V209" s="50">
        <v>0.96000000000000008</v>
      </c>
      <c r="W209" s="50">
        <v>0.90296959404315458</v>
      </c>
      <c r="X209" s="50" t="s">
        <v>7160</v>
      </c>
      <c r="Y209" s="50">
        <v>0.3</v>
      </c>
    </row>
    <row r="210" spans="2:25" x14ac:dyDescent="0.2">
      <c r="B210" s="50" t="s">
        <v>9</v>
      </c>
      <c r="C210" s="50" t="s">
        <v>196</v>
      </c>
      <c r="D210" s="50"/>
      <c r="E210" s="50"/>
      <c r="F210" s="50" t="s">
        <v>12</v>
      </c>
      <c r="G210" s="50" t="s">
        <v>1962</v>
      </c>
      <c r="H210" s="50" t="s">
        <v>15</v>
      </c>
      <c r="I210" s="50" t="s">
        <v>1120</v>
      </c>
      <c r="J210" s="50" t="s">
        <v>16</v>
      </c>
      <c r="K210" s="50" t="s">
        <v>7158</v>
      </c>
      <c r="L210" s="50">
        <v>66</v>
      </c>
      <c r="M210" s="50">
        <v>3.3</v>
      </c>
      <c r="N210" s="50">
        <v>1.0844651952461799</v>
      </c>
      <c r="O210" s="50">
        <v>258566.58669187498</v>
      </c>
      <c r="P210" s="50">
        <v>55322.684999999998</v>
      </c>
      <c r="Q210" s="50">
        <v>203243.90169187498</v>
      </c>
      <c r="R210" s="50">
        <v>66341.527816164555</v>
      </c>
      <c r="S210" s="50">
        <v>136902.37387571041</v>
      </c>
      <c r="T210" s="50">
        <v>94130659.653797686</v>
      </c>
      <c r="U210" s="50">
        <v>1.3151796942635964E-3</v>
      </c>
      <c r="V210" s="50">
        <v>0.95000000000000007</v>
      </c>
      <c r="W210" s="50">
        <v>0.90428477373741822</v>
      </c>
      <c r="X210" s="50" t="s">
        <v>7159</v>
      </c>
      <c r="Y210" s="50">
        <v>0.32</v>
      </c>
    </row>
    <row r="211" spans="2:25" x14ac:dyDescent="0.2">
      <c r="B211" s="50" t="s">
        <v>9</v>
      </c>
      <c r="C211" s="50" t="s">
        <v>484</v>
      </c>
      <c r="D211" s="50"/>
      <c r="E211" s="50"/>
      <c r="F211" s="50" t="s">
        <v>12</v>
      </c>
      <c r="G211" s="50" t="s">
        <v>1962</v>
      </c>
      <c r="H211" s="50" t="s">
        <v>32</v>
      </c>
      <c r="I211" s="50" t="s">
        <v>1120</v>
      </c>
      <c r="J211" s="50" t="s">
        <v>33</v>
      </c>
      <c r="K211" s="50" t="s">
        <v>7158</v>
      </c>
      <c r="L211" s="50">
        <v>3</v>
      </c>
      <c r="M211" s="50">
        <v>2.9550000000000001</v>
      </c>
      <c r="N211" s="50">
        <v>1.4515545914678236</v>
      </c>
      <c r="O211" s="50">
        <v>231534.6253559062</v>
      </c>
      <c r="P211" s="50">
        <v>8585.9497499999998</v>
      </c>
      <c r="Q211" s="50">
        <v>222948.6756059062</v>
      </c>
      <c r="R211" s="50">
        <v>88798.008205956037</v>
      </c>
      <c r="S211" s="50">
        <v>134150.66739995015</v>
      </c>
      <c r="T211" s="50">
        <v>94264810.321197629</v>
      </c>
      <c r="U211" s="50">
        <v>1.2887448825138811E-3</v>
      </c>
      <c r="V211" s="50">
        <v>1.4999999999999977E-2</v>
      </c>
      <c r="W211" s="50">
        <v>0.90557351861993207</v>
      </c>
      <c r="X211" s="50" t="s">
        <v>7163</v>
      </c>
      <c r="Y211" s="50">
        <v>0.32</v>
      </c>
    </row>
    <row r="212" spans="2:25" x14ac:dyDescent="0.2">
      <c r="B212" s="50" t="s">
        <v>9</v>
      </c>
      <c r="C212" s="50" t="s">
        <v>265</v>
      </c>
      <c r="D212" s="50"/>
      <c r="E212" s="50"/>
      <c r="F212" s="50" t="s">
        <v>12</v>
      </c>
      <c r="G212" s="50" t="s">
        <v>1962</v>
      </c>
      <c r="H212" s="50" t="s">
        <v>15</v>
      </c>
      <c r="I212" s="50" t="s">
        <v>1120</v>
      </c>
      <c r="J212" s="50" t="s">
        <v>16</v>
      </c>
      <c r="K212" s="50" t="s">
        <v>7158</v>
      </c>
      <c r="L212" s="50">
        <v>8</v>
      </c>
      <c r="M212" s="50">
        <v>1.92</v>
      </c>
      <c r="N212" s="50">
        <v>0.11431255872220483</v>
      </c>
      <c r="O212" s="50">
        <v>150438.74134800001</v>
      </c>
      <c r="P212" s="50">
        <v>9995.7439999999988</v>
      </c>
      <c r="Q212" s="50">
        <v>140442.997348</v>
      </c>
      <c r="R212" s="50">
        <v>6993.004319040926</v>
      </c>
      <c r="S212" s="50">
        <v>133449.99302895908</v>
      </c>
      <c r="T212" s="50">
        <v>94398260.314226583</v>
      </c>
      <c r="U212" s="50">
        <v>1.2820137157785623E-3</v>
      </c>
      <c r="V212" s="50">
        <v>0.76</v>
      </c>
      <c r="W212" s="50">
        <v>0.90685553233571059</v>
      </c>
      <c r="X212" s="50" t="s">
        <v>7159</v>
      </c>
      <c r="Y212" s="50">
        <v>0.32</v>
      </c>
    </row>
    <row r="213" spans="2:25" x14ac:dyDescent="0.2">
      <c r="B213" s="50" t="s">
        <v>9</v>
      </c>
      <c r="C213" s="50" t="s">
        <v>1058</v>
      </c>
      <c r="D213" s="50"/>
      <c r="E213" s="50"/>
      <c r="F213" s="50" t="s">
        <v>12</v>
      </c>
      <c r="G213" s="50" t="s">
        <v>1962</v>
      </c>
      <c r="H213" s="50" t="s">
        <v>10</v>
      </c>
      <c r="I213" s="50" t="s">
        <v>1120</v>
      </c>
      <c r="J213" s="50" t="s">
        <v>529</v>
      </c>
      <c r="K213" s="50" t="s">
        <v>7158</v>
      </c>
      <c r="L213" s="50">
        <v>8</v>
      </c>
      <c r="M213" s="50">
        <v>2.3199999999999998</v>
      </c>
      <c r="N213" s="50">
        <v>0.63083304528171447</v>
      </c>
      <c r="O213" s="50">
        <v>181780.14579549996</v>
      </c>
      <c r="P213" s="50">
        <v>10861.523999999999</v>
      </c>
      <c r="Q213" s="50">
        <v>170918.62179549996</v>
      </c>
      <c r="R213" s="50">
        <v>38590.844781710461</v>
      </c>
      <c r="S213" s="50">
        <v>132327.77701378951</v>
      </c>
      <c r="T213" s="50">
        <v>94530588.091240376</v>
      </c>
      <c r="U213" s="50">
        <v>1.2712329259796332E-3</v>
      </c>
      <c r="V213" s="50">
        <v>0.71</v>
      </c>
      <c r="W213" s="50">
        <v>0.90812676526169023</v>
      </c>
      <c r="X213" s="50" t="s">
        <v>7163</v>
      </c>
      <c r="Y213" s="50">
        <v>0.32</v>
      </c>
    </row>
    <row r="214" spans="2:25" x14ac:dyDescent="0.2">
      <c r="B214" s="50" t="s">
        <v>9</v>
      </c>
      <c r="C214" s="50" t="s">
        <v>286</v>
      </c>
      <c r="D214" s="50"/>
      <c r="E214" s="50"/>
      <c r="F214" s="50" t="s">
        <v>12</v>
      </c>
      <c r="G214" s="50" t="s">
        <v>1962</v>
      </c>
      <c r="H214" s="50" t="s">
        <v>15</v>
      </c>
      <c r="I214" s="50" t="s">
        <v>1120</v>
      </c>
      <c r="J214" s="50" t="s">
        <v>16</v>
      </c>
      <c r="K214" s="50" t="s">
        <v>7158</v>
      </c>
      <c r="L214" s="50">
        <v>47</v>
      </c>
      <c r="M214" s="50">
        <v>3.29</v>
      </c>
      <c r="N214" s="50">
        <v>1.3843236409608091</v>
      </c>
      <c r="O214" s="50">
        <v>257783.05158068749</v>
      </c>
      <c r="P214" s="50">
        <v>41431.040499999996</v>
      </c>
      <c r="Q214" s="50">
        <v>216352.01108068749</v>
      </c>
      <c r="R214" s="50">
        <v>84685.193896451354</v>
      </c>
      <c r="S214" s="50">
        <v>131666.81718423613</v>
      </c>
      <c r="T214" s="50">
        <v>94662254.908424616</v>
      </c>
      <c r="U214" s="50">
        <v>1.2648832848306658E-3</v>
      </c>
      <c r="V214" s="50">
        <v>0.93</v>
      </c>
      <c r="W214" s="50">
        <v>0.90939164854652088</v>
      </c>
      <c r="X214" s="50" t="s">
        <v>7161</v>
      </c>
      <c r="Y214" s="50">
        <v>0.32</v>
      </c>
    </row>
    <row r="215" spans="2:25" x14ac:dyDescent="0.2">
      <c r="B215" s="50" t="s">
        <v>9</v>
      </c>
      <c r="C215" s="50" t="s">
        <v>237</v>
      </c>
      <c r="D215" s="50"/>
      <c r="E215" s="50"/>
      <c r="F215" s="50" t="s">
        <v>12</v>
      </c>
      <c r="G215" s="50" t="s">
        <v>1962</v>
      </c>
      <c r="H215" s="50" t="s">
        <v>32</v>
      </c>
      <c r="I215" s="50" t="s">
        <v>1120</v>
      </c>
      <c r="J215" s="50" t="s">
        <v>33</v>
      </c>
      <c r="K215" s="50" t="s">
        <v>7158</v>
      </c>
      <c r="L215" s="50">
        <v>3</v>
      </c>
      <c r="M215" s="50">
        <v>2.16</v>
      </c>
      <c r="N215" s="50">
        <v>0.51773049645390079</v>
      </c>
      <c r="O215" s="50">
        <v>169243.58401650001</v>
      </c>
      <c r="P215" s="50">
        <v>6865.2119999999995</v>
      </c>
      <c r="Q215" s="50">
        <v>162378.37201650001</v>
      </c>
      <c r="R215" s="50">
        <v>31671.862114464791</v>
      </c>
      <c r="S215" s="50">
        <v>130706.50990203522</v>
      </c>
      <c r="T215" s="50">
        <v>94792961.418326646</v>
      </c>
      <c r="U215" s="50">
        <v>1.2556579032536399E-3</v>
      </c>
      <c r="V215" s="50">
        <v>0.27999999999999997</v>
      </c>
      <c r="W215" s="50">
        <v>0.91064730644977454</v>
      </c>
      <c r="X215" s="50" t="s">
        <v>7160</v>
      </c>
      <c r="Y215" s="50">
        <v>0.32</v>
      </c>
    </row>
    <row r="216" spans="2:25" x14ac:dyDescent="0.2">
      <c r="B216" s="50" t="s">
        <v>9</v>
      </c>
      <c r="C216" s="50" t="s">
        <v>163</v>
      </c>
      <c r="D216" s="50"/>
      <c r="E216" s="50"/>
      <c r="F216" s="50" t="s">
        <v>12</v>
      </c>
      <c r="G216" s="50" t="s">
        <v>1962</v>
      </c>
      <c r="H216" s="50" t="s">
        <v>15</v>
      </c>
      <c r="I216" s="50" t="s">
        <v>1120</v>
      </c>
      <c r="J216" s="50" t="s">
        <v>16</v>
      </c>
      <c r="K216" s="50" t="s">
        <v>7158</v>
      </c>
      <c r="L216" s="50">
        <v>22</v>
      </c>
      <c r="M216" s="50">
        <v>2.2000000000000002</v>
      </c>
      <c r="N216" s="50">
        <v>0.36968264686022956</v>
      </c>
      <c r="O216" s="50">
        <v>172377.72446125001</v>
      </c>
      <c r="P216" s="50">
        <v>20821.79</v>
      </c>
      <c r="Q216" s="50">
        <v>151555.93446125</v>
      </c>
      <c r="R216" s="50">
        <v>22615.120989903113</v>
      </c>
      <c r="S216" s="50">
        <v>128940.81347134689</v>
      </c>
      <c r="T216" s="50">
        <v>94921902.231797993</v>
      </c>
      <c r="U216" s="50">
        <v>1.2386953917490309E-3</v>
      </c>
      <c r="V216" s="50">
        <v>0.9</v>
      </c>
      <c r="W216" s="50">
        <v>0.91188600184152357</v>
      </c>
      <c r="X216" s="50" t="s">
        <v>7161</v>
      </c>
      <c r="Y216" s="50">
        <v>0.32</v>
      </c>
    </row>
    <row r="217" spans="2:25" x14ac:dyDescent="0.2">
      <c r="B217" s="50" t="s">
        <v>9</v>
      </c>
      <c r="C217" s="50" t="s">
        <v>38</v>
      </c>
      <c r="D217" s="50"/>
      <c r="E217" s="50"/>
      <c r="F217" s="50" t="s">
        <v>12</v>
      </c>
      <c r="G217" s="50" t="s">
        <v>1962</v>
      </c>
      <c r="H217" s="50" t="s">
        <v>15</v>
      </c>
      <c r="I217" s="50" t="s">
        <v>1120</v>
      </c>
      <c r="J217" s="50" t="s">
        <v>16</v>
      </c>
      <c r="K217" s="50" t="s">
        <v>7158</v>
      </c>
      <c r="L217" s="50">
        <v>53</v>
      </c>
      <c r="M217" s="50">
        <v>2.968</v>
      </c>
      <c r="N217" s="50">
        <v>0.98582039162727897</v>
      </c>
      <c r="O217" s="50">
        <v>232553.22100044999</v>
      </c>
      <c r="P217" s="50">
        <v>45114.087599999999</v>
      </c>
      <c r="Q217" s="50">
        <v>187439.13340044999</v>
      </c>
      <c r="R217" s="50">
        <v>60306.989306408315</v>
      </c>
      <c r="S217" s="50">
        <v>127132.14409404168</v>
      </c>
      <c r="T217" s="50">
        <v>95049034.375892028</v>
      </c>
      <c r="U217" s="50">
        <v>1.2213200521451481E-3</v>
      </c>
      <c r="V217" s="50">
        <v>0.94399999999999995</v>
      </c>
      <c r="W217" s="50">
        <v>0.91310732189366872</v>
      </c>
      <c r="X217" s="50" t="s">
        <v>7162</v>
      </c>
      <c r="Y217" s="50">
        <v>0.32</v>
      </c>
    </row>
    <row r="218" spans="2:25" x14ac:dyDescent="0.2">
      <c r="B218" s="50" t="s">
        <v>9</v>
      </c>
      <c r="C218" s="50" t="s">
        <v>46</v>
      </c>
      <c r="D218" s="50"/>
      <c r="E218" s="50"/>
      <c r="F218" s="50" t="s">
        <v>12</v>
      </c>
      <c r="G218" s="50" t="s">
        <v>1962</v>
      </c>
      <c r="H218" s="50" t="s">
        <v>15</v>
      </c>
      <c r="I218" s="50" t="s">
        <v>1120</v>
      </c>
      <c r="J218" s="50" t="s">
        <v>16</v>
      </c>
      <c r="K218" s="50" t="s">
        <v>7158</v>
      </c>
      <c r="L218" s="50">
        <v>2.5</v>
      </c>
      <c r="M218" s="50">
        <v>2.3250000000000002</v>
      </c>
      <c r="N218" s="50">
        <v>0.79004329004328999</v>
      </c>
      <c r="O218" s="50">
        <v>182171.91335109374</v>
      </c>
      <c r="P218" s="50">
        <v>6857.3462500000005</v>
      </c>
      <c r="Q218" s="50">
        <v>175314.56710109374</v>
      </c>
      <c r="R218" s="50">
        <v>48330.438940904052</v>
      </c>
      <c r="S218" s="50">
        <v>126984.12816018969</v>
      </c>
      <c r="T218" s="50">
        <v>95176018.504052222</v>
      </c>
      <c r="U218" s="50">
        <v>1.2198981078419301E-3</v>
      </c>
      <c r="V218" s="50">
        <v>6.9999999999999923E-2</v>
      </c>
      <c r="W218" s="50">
        <v>0.91432722000151068</v>
      </c>
      <c r="X218" s="50" t="s">
        <v>7163</v>
      </c>
      <c r="Y218" s="50">
        <v>0.32</v>
      </c>
    </row>
    <row r="219" spans="2:25" x14ac:dyDescent="0.2">
      <c r="B219" s="50" t="s">
        <v>9</v>
      </c>
      <c r="C219" s="50" t="s">
        <v>315</v>
      </c>
      <c r="D219" s="50"/>
      <c r="E219" s="50"/>
      <c r="F219" s="50" t="s">
        <v>12</v>
      </c>
      <c r="G219" s="50" t="s">
        <v>1962</v>
      </c>
      <c r="H219" s="50" t="s">
        <v>15</v>
      </c>
      <c r="I219" s="50" t="s">
        <v>1120</v>
      </c>
      <c r="J219" s="50" t="s">
        <v>16</v>
      </c>
      <c r="K219" s="50" t="s">
        <v>7158</v>
      </c>
      <c r="L219" s="50">
        <v>35</v>
      </c>
      <c r="M219" s="50">
        <v>3.5</v>
      </c>
      <c r="N219" s="50">
        <v>1.9089958158995814</v>
      </c>
      <c r="O219" s="50">
        <v>274237.28891562496</v>
      </c>
      <c r="P219" s="50">
        <v>33125.574999999997</v>
      </c>
      <c r="Q219" s="50">
        <v>241111.71391562495</v>
      </c>
      <c r="R219" s="50">
        <v>116781.70915636858</v>
      </c>
      <c r="S219" s="50">
        <v>124330.00475925636</v>
      </c>
      <c r="T219" s="50">
        <v>95300348.508811474</v>
      </c>
      <c r="U219" s="50">
        <v>1.1944007471742005E-3</v>
      </c>
      <c r="V219" s="50">
        <v>0.9</v>
      </c>
      <c r="W219" s="50">
        <v>0.91552162074868493</v>
      </c>
      <c r="X219" s="50" t="s">
        <v>7160</v>
      </c>
      <c r="Y219" s="50">
        <v>0.32</v>
      </c>
    </row>
    <row r="220" spans="2:25" x14ac:dyDescent="0.2">
      <c r="B220" s="50" t="s">
        <v>9</v>
      </c>
      <c r="C220" s="50" t="s">
        <v>498</v>
      </c>
      <c r="D220" s="50"/>
      <c r="E220" s="50"/>
      <c r="F220" s="50" t="s">
        <v>12</v>
      </c>
      <c r="G220" s="50" t="s">
        <v>1962</v>
      </c>
      <c r="H220" s="50" t="s">
        <v>32</v>
      </c>
      <c r="I220" s="50" t="s">
        <v>1120</v>
      </c>
      <c r="J220" s="50" t="s">
        <v>33</v>
      </c>
      <c r="K220" s="50" t="s">
        <v>7158</v>
      </c>
      <c r="L220" s="50">
        <v>11</v>
      </c>
      <c r="M220" s="50">
        <v>2.42</v>
      </c>
      <c r="N220" s="50">
        <v>0.86</v>
      </c>
      <c r="O220" s="50">
        <v>189615.496907375</v>
      </c>
      <c r="P220" s="50">
        <v>13267.968999999999</v>
      </c>
      <c r="Q220" s="50">
        <v>176347.52790737498</v>
      </c>
      <c r="R220" s="50">
        <v>52610</v>
      </c>
      <c r="S220" s="50">
        <v>123737.52790737498</v>
      </c>
      <c r="T220" s="50">
        <v>95424086.036718845</v>
      </c>
      <c r="U220" s="50">
        <v>1.1887090012763315E-3</v>
      </c>
      <c r="V220" s="50">
        <v>0.78</v>
      </c>
      <c r="W220" s="50">
        <v>0.91671032974996125</v>
      </c>
      <c r="X220" s="50" t="s">
        <v>7163</v>
      </c>
      <c r="Y220" s="50">
        <v>0.32</v>
      </c>
    </row>
    <row r="221" spans="2:25" x14ac:dyDescent="0.2">
      <c r="B221" s="50" t="s">
        <v>9</v>
      </c>
      <c r="C221" s="50" t="s">
        <v>394</v>
      </c>
      <c r="D221" s="50"/>
      <c r="E221" s="50"/>
      <c r="F221" s="50" t="s">
        <v>12</v>
      </c>
      <c r="G221" s="50" t="s">
        <v>1962</v>
      </c>
      <c r="H221" s="50" t="s">
        <v>32</v>
      </c>
      <c r="I221" s="50" t="s">
        <v>1120</v>
      </c>
      <c r="J221" s="50" t="s">
        <v>33</v>
      </c>
      <c r="K221" s="50" t="s">
        <v>7158</v>
      </c>
      <c r="L221" s="50">
        <v>9</v>
      </c>
      <c r="M221" s="50">
        <v>1.98</v>
      </c>
      <c r="N221" s="50">
        <v>0.36905965621840242</v>
      </c>
      <c r="O221" s="50">
        <v>155139.95201512499</v>
      </c>
      <c r="P221" s="50">
        <v>10855.610999999999</v>
      </c>
      <c r="Q221" s="50">
        <v>144284.34101512498</v>
      </c>
      <c r="R221" s="50">
        <v>22577.009899593198</v>
      </c>
      <c r="S221" s="50">
        <v>121707.33111553179</v>
      </c>
      <c r="T221" s="50">
        <v>95545793.367834374</v>
      </c>
      <c r="U221" s="50">
        <v>1.1692055148107474E-3</v>
      </c>
      <c r="V221" s="50">
        <v>0.77999999999999992</v>
      </c>
      <c r="W221" s="50">
        <v>0.91787953526477195</v>
      </c>
      <c r="X221" s="50" t="s">
        <v>7162</v>
      </c>
      <c r="Y221" s="50">
        <v>0.32</v>
      </c>
    </row>
    <row r="222" spans="2:25" x14ac:dyDescent="0.2">
      <c r="B222" s="50" t="s">
        <v>9</v>
      </c>
      <c r="C222" s="50" t="s">
        <v>92</v>
      </c>
      <c r="D222" s="50"/>
      <c r="E222" s="50"/>
      <c r="F222" s="50" t="s">
        <v>12</v>
      </c>
      <c r="G222" s="50" t="s">
        <v>1962</v>
      </c>
      <c r="H222" s="50" t="s">
        <v>15</v>
      </c>
      <c r="I222" s="50" t="s">
        <v>1121</v>
      </c>
      <c r="J222" s="50" t="s">
        <v>16</v>
      </c>
      <c r="K222" s="50" t="s">
        <v>7158</v>
      </c>
      <c r="L222" s="50">
        <v>121</v>
      </c>
      <c r="M222" s="50">
        <v>3.63</v>
      </c>
      <c r="N222" s="50">
        <v>0.36499999999999999</v>
      </c>
      <c r="O222" s="50">
        <v>284423.24536106247</v>
      </c>
      <c r="P222" s="50">
        <v>96186.953499999989</v>
      </c>
      <c r="Q222" s="50">
        <v>188236.29186106246</v>
      </c>
      <c r="R222" s="50">
        <v>67376.71875</v>
      </c>
      <c r="S222" s="50">
        <v>120859.57311106246</v>
      </c>
      <c r="T222" s="50">
        <v>95666652.940945432</v>
      </c>
      <c r="U222" s="50">
        <v>1.1610613600998895E-3</v>
      </c>
      <c r="V222" s="50">
        <v>0.97000000000000008</v>
      </c>
      <c r="W222" s="50">
        <v>0.91904059662487181</v>
      </c>
      <c r="X222" s="50" t="s">
        <v>7162</v>
      </c>
      <c r="Y222" s="50">
        <v>0.36499999999999999</v>
      </c>
    </row>
    <row r="223" spans="2:25" x14ac:dyDescent="0.2">
      <c r="B223" s="50" t="s">
        <v>9</v>
      </c>
      <c r="C223" s="50" t="s">
        <v>307</v>
      </c>
      <c r="D223" s="50"/>
      <c r="E223" s="50"/>
      <c r="F223" s="50" t="s">
        <v>12</v>
      </c>
      <c r="G223" s="50" t="s">
        <v>1962</v>
      </c>
      <c r="H223" s="50" t="s">
        <v>15</v>
      </c>
      <c r="I223" s="50" t="s">
        <v>1120</v>
      </c>
      <c r="J223" s="50" t="s">
        <v>16</v>
      </c>
      <c r="K223" s="50" t="s">
        <v>7158</v>
      </c>
      <c r="L223" s="50">
        <v>2</v>
      </c>
      <c r="M223" s="50">
        <v>1.92</v>
      </c>
      <c r="N223" s="50">
        <v>0.39480800432666308</v>
      </c>
      <c r="O223" s="50">
        <v>150438.74134800001</v>
      </c>
      <c r="P223" s="50">
        <v>5615.7439999999997</v>
      </c>
      <c r="Q223" s="50">
        <v>144822.997348</v>
      </c>
      <c r="R223" s="50">
        <v>24152.150125146214</v>
      </c>
      <c r="S223" s="50">
        <v>120670.84722285379</v>
      </c>
      <c r="T223" s="50">
        <v>95787323.788168281</v>
      </c>
      <c r="U223" s="50">
        <v>1.1592483275795092E-3</v>
      </c>
      <c r="V223" s="50">
        <v>4.0000000000000036E-2</v>
      </c>
      <c r="W223" s="50">
        <v>0.92019984495245133</v>
      </c>
      <c r="X223" s="50" t="s">
        <v>7161</v>
      </c>
      <c r="Y223" s="50">
        <v>0.32</v>
      </c>
    </row>
    <row r="224" spans="2:25" x14ac:dyDescent="0.2">
      <c r="B224" s="50" t="s">
        <v>9</v>
      </c>
      <c r="C224" s="50" t="s">
        <v>422</v>
      </c>
      <c r="D224" s="50"/>
      <c r="E224" s="50"/>
      <c r="F224" s="50" t="s">
        <v>12</v>
      </c>
      <c r="G224" s="50" t="s">
        <v>1962</v>
      </c>
      <c r="H224" s="50" t="s">
        <v>15</v>
      </c>
      <c r="I224" s="50" t="s">
        <v>1120</v>
      </c>
      <c r="J224" s="50" t="s">
        <v>16</v>
      </c>
      <c r="K224" s="50" t="s">
        <v>7158</v>
      </c>
      <c r="L224" s="50">
        <v>20</v>
      </c>
      <c r="M224" s="50">
        <v>3</v>
      </c>
      <c r="N224" s="50">
        <v>1.5435914118412493</v>
      </c>
      <c r="O224" s="50">
        <v>235060.53335625</v>
      </c>
      <c r="P224" s="50">
        <v>21093.35</v>
      </c>
      <c r="Q224" s="50">
        <v>213967.18335625</v>
      </c>
      <c r="R224" s="50">
        <v>94428.307182521065</v>
      </c>
      <c r="S224" s="50">
        <v>119538.87617372893</v>
      </c>
      <c r="T224" s="50">
        <v>95906862.664342016</v>
      </c>
      <c r="U224" s="50">
        <v>1.1483738241201693E-3</v>
      </c>
      <c r="V224" s="50">
        <v>0.85</v>
      </c>
      <c r="W224" s="50">
        <v>0.92134821877657147</v>
      </c>
      <c r="X224" s="50" t="s">
        <v>7160</v>
      </c>
      <c r="Y224" s="50">
        <v>0.32</v>
      </c>
    </row>
    <row r="225" spans="2:25" x14ac:dyDescent="0.2">
      <c r="B225" s="50" t="s">
        <v>9</v>
      </c>
      <c r="C225" s="50" t="s">
        <v>430</v>
      </c>
      <c r="D225" s="50"/>
      <c r="E225" s="50"/>
      <c r="F225" s="50" t="s">
        <v>12</v>
      </c>
      <c r="G225" s="50" t="s">
        <v>1962</v>
      </c>
      <c r="H225" s="50" t="s">
        <v>32</v>
      </c>
      <c r="I225" s="50" t="s">
        <v>1120</v>
      </c>
      <c r="J225" s="50" t="s">
        <v>33</v>
      </c>
      <c r="K225" s="50" t="s">
        <v>7158</v>
      </c>
      <c r="L225" s="50">
        <v>5</v>
      </c>
      <c r="M225" s="50">
        <v>2.2999999999999998</v>
      </c>
      <c r="N225" s="50">
        <v>0.85560243788091894</v>
      </c>
      <c r="O225" s="50">
        <v>180213.07557312498</v>
      </c>
      <c r="P225" s="50">
        <v>8628.2349999999988</v>
      </c>
      <c r="Q225" s="50">
        <v>171584.84057312499</v>
      </c>
      <c r="R225" s="50">
        <v>52340.981694087379</v>
      </c>
      <c r="S225" s="50">
        <v>119243.85887903761</v>
      </c>
      <c r="T225" s="50">
        <v>96026106.523221061</v>
      </c>
      <c r="U225" s="50">
        <v>1.1455396822097677E-3</v>
      </c>
      <c r="V225" s="50">
        <v>0.54</v>
      </c>
      <c r="W225" s="50">
        <v>0.92249375845878123</v>
      </c>
      <c r="X225" s="50" t="s">
        <v>7160</v>
      </c>
      <c r="Y225" s="50">
        <v>0.32</v>
      </c>
    </row>
    <row r="226" spans="2:25" x14ac:dyDescent="0.2">
      <c r="B226" s="50" t="s">
        <v>9</v>
      </c>
      <c r="C226" s="50" t="s">
        <v>414</v>
      </c>
      <c r="D226" s="50"/>
      <c r="E226" s="50"/>
      <c r="F226" s="50" t="s">
        <v>12</v>
      </c>
      <c r="G226" s="50" t="s">
        <v>1962</v>
      </c>
      <c r="H226" s="50" t="s">
        <v>15</v>
      </c>
      <c r="I226" s="50" t="s">
        <v>1120</v>
      </c>
      <c r="J226" s="50" t="s">
        <v>16</v>
      </c>
      <c r="K226" s="50" t="s">
        <v>7158</v>
      </c>
      <c r="L226" s="50">
        <v>28</v>
      </c>
      <c r="M226" s="50">
        <v>2.52</v>
      </c>
      <c r="N226" s="50">
        <v>0.86</v>
      </c>
      <c r="O226" s="50">
        <v>197450.84801925</v>
      </c>
      <c r="P226" s="50">
        <v>25894.414000000001</v>
      </c>
      <c r="Q226" s="50">
        <v>171556.43401925001</v>
      </c>
      <c r="R226" s="50">
        <v>52610</v>
      </c>
      <c r="S226" s="50">
        <v>118946.43401925001</v>
      </c>
      <c r="T226" s="50">
        <v>96145052.957240313</v>
      </c>
      <c r="U226" s="50">
        <v>1.1426824115497499E-3</v>
      </c>
      <c r="V226" s="50">
        <v>0.91</v>
      </c>
      <c r="W226" s="50">
        <v>0.92363644087033103</v>
      </c>
      <c r="X226" s="50" t="s">
        <v>7160</v>
      </c>
      <c r="Y226" s="50">
        <v>0.32</v>
      </c>
    </row>
    <row r="227" spans="2:25" x14ac:dyDescent="0.2">
      <c r="B227" s="50" t="s">
        <v>9</v>
      </c>
      <c r="C227" s="50" t="s">
        <v>198</v>
      </c>
      <c r="D227" s="50"/>
      <c r="E227" s="50"/>
      <c r="F227" s="50" t="s">
        <v>12</v>
      </c>
      <c r="G227" s="50" t="s">
        <v>1962</v>
      </c>
      <c r="H227" s="50" t="s">
        <v>15</v>
      </c>
      <c r="I227" s="50" t="s">
        <v>1120</v>
      </c>
      <c r="J227" s="50" t="s">
        <v>16</v>
      </c>
      <c r="K227" s="50" t="s">
        <v>7158</v>
      </c>
      <c r="L227" s="50">
        <v>22</v>
      </c>
      <c r="M227" s="50">
        <v>2.2000000000000002</v>
      </c>
      <c r="N227" s="50">
        <v>0.53755522827687774</v>
      </c>
      <c r="O227" s="50">
        <v>172377.72446125001</v>
      </c>
      <c r="P227" s="50">
        <v>20821.79</v>
      </c>
      <c r="Q227" s="50">
        <v>151555.93446125</v>
      </c>
      <c r="R227" s="50">
        <v>32884.628557728531</v>
      </c>
      <c r="S227" s="50">
        <v>118671.30590352147</v>
      </c>
      <c r="T227" s="50">
        <v>96263724.263143837</v>
      </c>
      <c r="U227" s="50">
        <v>1.1400393389653719E-3</v>
      </c>
      <c r="V227" s="50">
        <v>0.9</v>
      </c>
      <c r="W227" s="50">
        <v>0.92477648020929637</v>
      </c>
      <c r="X227" s="50" t="s">
        <v>7159</v>
      </c>
      <c r="Y227" s="50">
        <v>0.32</v>
      </c>
    </row>
    <row r="228" spans="2:25" x14ac:dyDescent="0.2">
      <c r="B228" s="50" t="s">
        <v>9</v>
      </c>
      <c r="C228" s="50" t="s">
        <v>477</v>
      </c>
      <c r="D228" s="50"/>
      <c r="E228" s="50"/>
      <c r="F228" s="50" t="s">
        <v>12</v>
      </c>
      <c r="G228" s="51" t="s">
        <v>1962</v>
      </c>
      <c r="H228" s="50" t="s">
        <v>32</v>
      </c>
      <c r="I228" s="50" t="s">
        <v>1120</v>
      </c>
      <c r="J228" s="50" t="s">
        <v>33</v>
      </c>
      <c r="K228" s="50" t="s">
        <v>7158</v>
      </c>
      <c r="L228" s="50">
        <v>8</v>
      </c>
      <c r="M228" s="50">
        <v>2.4</v>
      </c>
      <c r="N228" s="50">
        <v>1.0238429172510519</v>
      </c>
      <c r="O228" s="50">
        <v>188048.42668499998</v>
      </c>
      <c r="P228" s="50">
        <v>11034.68</v>
      </c>
      <c r="Q228" s="50">
        <v>177013.74668499999</v>
      </c>
      <c r="R228" s="50">
        <v>62632.995205323074</v>
      </c>
      <c r="S228" s="50">
        <v>114380.75147967692</v>
      </c>
      <c r="T228" s="50">
        <v>96378105.014623508</v>
      </c>
      <c r="U228" s="50">
        <v>1.0988212804640914E-3</v>
      </c>
      <c r="V228" s="50">
        <v>0.7</v>
      </c>
      <c r="W228" s="50">
        <v>0.92587530148976049</v>
      </c>
      <c r="X228" s="50" t="s">
        <v>7160</v>
      </c>
      <c r="Y228" s="50">
        <v>0.32</v>
      </c>
    </row>
    <row r="229" spans="2:25" x14ac:dyDescent="0.2">
      <c r="B229" s="50" t="s">
        <v>9</v>
      </c>
      <c r="C229" s="50" t="s">
        <v>277</v>
      </c>
      <c r="D229" s="50"/>
      <c r="E229" s="50"/>
      <c r="F229" s="50" t="s">
        <v>12</v>
      </c>
      <c r="G229" s="51" t="s">
        <v>1962</v>
      </c>
      <c r="H229" s="50" t="s">
        <v>15</v>
      </c>
      <c r="I229" s="50" t="s">
        <v>1120</v>
      </c>
      <c r="J229" s="50" t="s">
        <v>16</v>
      </c>
      <c r="K229" s="50" t="s">
        <v>7158</v>
      </c>
      <c r="L229" s="50">
        <v>43</v>
      </c>
      <c r="M229" s="50">
        <v>3.44</v>
      </c>
      <c r="N229" s="50">
        <v>1.9074281448301604</v>
      </c>
      <c r="O229" s="50">
        <v>269536.07824849995</v>
      </c>
      <c r="P229" s="50">
        <v>38835.708000000006</v>
      </c>
      <c r="Q229" s="50">
        <v>230700.37024849994</v>
      </c>
      <c r="R229" s="50">
        <v>116685.8077901334</v>
      </c>
      <c r="S229" s="50">
        <v>114014.56245836653</v>
      </c>
      <c r="T229" s="50">
        <v>96492119.577081874</v>
      </c>
      <c r="U229" s="50">
        <v>1.095303413304776E-3</v>
      </c>
      <c r="V229" s="50">
        <v>0.92</v>
      </c>
      <c r="W229" s="50">
        <v>0.92697060490306527</v>
      </c>
      <c r="X229" s="50" t="s">
        <v>7163</v>
      </c>
      <c r="Y229" s="50">
        <v>0.32</v>
      </c>
    </row>
    <row r="230" spans="2:25" x14ac:dyDescent="0.2">
      <c r="B230" s="50" t="s">
        <v>9</v>
      </c>
      <c r="C230" s="50" t="s">
        <v>474</v>
      </c>
      <c r="D230" s="50"/>
      <c r="E230" s="50"/>
      <c r="F230" s="50" t="s">
        <v>12</v>
      </c>
      <c r="G230" s="50" t="s">
        <v>1962</v>
      </c>
      <c r="H230" s="50" t="s">
        <v>32</v>
      </c>
      <c r="I230" s="50" t="s">
        <v>1120</v>
      </c>
      <c r="J230" s="50" t="s">
        <v>33</v>
      </c>
      <c r="K230" s="50" t="s">
        <v>7158</v>
      </c>
      <c r="L230" s="50">
        <v>6</v>
      </c>
      <c r="M230" s="50">
        <v>1.68</v>
      </c>
      <c r="N230" s="50">
        <v>0.20621468926553674</v>
      </c>
      <c r="O230" s="50">
        <v>131633.89867949998</v>
      </c>
      <c r="P230" s="50">
        <v>8016.2759999999998</v>
      </c>
      <c r="Q230" s="50">
        <v>123617.62267949998</v>
      </c>
      <c r="R230" s="50">
        <v>12615.063723558009</v>
      </c>
      <c r="S230" s="50">
        <v>111002.55895594198</v>
      </c>
      <c r="T230" s="50">
        <v>96603122.136037812</v>
      </c>
      <c r="U230" s="50">
        <v>1.0663680067570709E-3</v>
      </c>
      <c r="V230" s="50">
        <v>0.72000000000000008</v>
      </c>
      <c r="W230" s="50">
        <v>0.92803697290982234</v>
      </c>
      <c r="X230" s="50" t="s">
        <v>7159</v>
      </c>
      <c r="Y230" s="50">
        <v>0.32</v>
      </c>
    </row>
    <row r="231" spans="2:25" x14ac:dyDescent="0.2">
      <c r="B231" s="50" t="s">
        <v>9</v>
      </c>
      <c r="C231" s="50" t="s">
        <v>283</v>
      </c>
      <c r="D231" s="50"/>
      <c r="E231" s="50"/>
      <c r="F231" s="50" t="s">
        <v>12</v>
      </c>
      <c r="G231" s="50" t="s">
        <v>1962</v>
      </c>
      <c r="H231" s="50" t="s">
        <v>15</v>
      </c>
      <c r="I231" s="50" t="s">
        <v>1120</v>
      </c>
      <c r="J231" s="50" t="s">
        <v>16</v>
      </c>
      <c r="K231" s="50" t="s">
        <v>7158</v>
      </c>
      <c r="L231" s="50">
        <v>54</v>
      </c>
      <c r="M231" s="50">
        <v>3.24</v>
      </c>
      <c r="N231" s="50">
        <v>1.5779847023611575</v>
      </c>
      <c r="O231" s="50">
        <v>253865.37602474997</v>
      </c>
      <c r="P231" s="50">
        <v>46432.817999999999</v>
      </c>
      <c r="Q231" s="50">
        <v>207432.55802474997</v>
      </c>
      <c r="R231" s="50">
        <v>96532.296733977317</v>
      </c>
      <c r="S231" s="50">
        <v>110900.26129077266</v>
      </c>
      <c r="T231" s="50">
        <v>96714022.397328585</v>
      </c>
      <c r="U231" s="50">
        <v>1.0653852640317811E-3</v>
      </c>
      <c r="V231" s="50">
        <v>0.94</v>
      </c>
      <c r="W231" s="50">
        <v>0.92910235817385411</v>
      </c>
      <c r="X231" s="50" t="s">
        <v>7161</v>
      </c>
      <c r="Y231" s="50">
        <v>0.32</v>
      </c>
    </row>
    <row r="232" spans="2:25" x14ac:dyDescent="0.2">
      <c r="B232" s="50" t="s">
        <v>9</v>
      </c>
      <c r="C232" s="50" t="s">
        <v>169</v>
      </c>
      <c r="D232" s="50"/>
      <c r="E232" s="50"/>
      <c r="F232" s="50" t="s">
        <v>12</v>
      </c>
      <c r="G232" s="50" t="s">
        <v>1962</v>
      </c>
      <c r="H232" s="50" t="s">
        <v>32</v>
      </c>
      <c r="I232" s="50" t="s">
        <v>1120</v>
      </c>
      <c r="J232" s="50" t="s">
        <v>33</v>
      </c>
      <c r="K232" s="50" t="s">
        <v>7158</v>
      </c>
      <c r="L232" s="50">
        <v>3</v>
      </c>
      <c r="M232" s="50">
        <v>1.8</v>
      </c>
      <c r="N232" s="50">
        <v>0.39978094194961666</v>
      </c>
      <c r="O232" s="50">
        <v>141036.32001375</v>
      </c>
      <c r="P232" s="50">
        <v>6086.01</v>
      </c>
      <c r="Q232" s="50">
        <v>134950.31001374999</v>
      </c>
      <c r="R232" s="50">
        <v>24456.366692987598</v>
      </c>
      <c r="S232" s="50">
        <v>110493.9433207624</v>
      </c>
      <c r="T232" s="50">
        <v>96824516.340649351</v>
      </c>
      <c r="U232" s="50">
        <v>1.0614818902009002E-3</v>
      </c>
      <c r="V232" s="50">
        <v>0.39999999999999997</v>
      </c>
      <c r="W232" s="50">
        <v>0.93016384006405506</v>
      </c>
      <c r="X232" s="50" t="s">
        <v>7160</v>
      </c>
      <c r="Y232" s="50">
        <v>0.32</v>
      </c>
    </row>
    <row r="233" spans="2:25" x14ac:dyDescent="0.2">
      <c r="B233" s="50" t="s">
        <v>9</v>
      </c>
      <c r="C233" s="50" t="s">
        <v>77</v>
      </c>
      <c r="D233" s="50"/>
      <c r="E233" s="50"/>
      <c r="F233" s="50" t="s">
        <v>12</v>
      </c>
      <c r="G233" s="50" t="s">
        <v>1962</v>
      </c>
      <c r="H233" s="50" t="s">
        <v>15</v>
      </c>
      <c r="I233" s="50" t="s">
        <v>1120</v>
      </c>
      <c r="J233" s="50" t="s">
        <v>16</v>
      </c>
      <c r="K233" s="50" t="s">
        <v>7158</v>
      </c>
      <c r="L233" s="50">
        <v>117</v>
      </c>
      <c r="M233" s="50">
        <v>3.51</v>
      </c>
      <c r="N233" s="50">
        <v>1.172690763052209</v>
      </c>
      <c r="O233" s="50">
        <v>275020.82402681245</v>
      </c>
      <c r="P233" s="50">
        <v>93007.219500000007</v>
      </c>
      <c r="Q233" s="50">
        <v>182013.60452681244</v>
      </c>
      <c r="R233" s="50">
        <v>71738.67563276361</v>
      </c>
      <c r="S233" s="50">
        <v>110274.92889404883</v>
      </c>
      <c r="T233" s="50">
        <v>96934791.269543394</v>
      </c>
      <c r="U233" s="50">
        <v>1.0593778848530752E-3</v>
      </c>
      <c r="V233" s="50">
        <v>0.97</v>
      </c>
      <c r="W233" s="50">
        <v>0.93122321794890817</v>
      </c>
      <c r="X233" s="50" t="s">
        <v>7161</v>
      </c>
      <c r="Y233" s="50">
        <v>0.32</v>
      </c>
    </row>
    <row r="234" spans="2:25" x14ac:dyDescent="0.2">
      <c r="B234" s="50" t="s">
        <v>9</v>
      </c>
      <c r="C234" s="50" t="s">
        <v>383</v>
      </c>
      <c r="D234" s="50"/>
      <c r="E234" s="50"/>
      <c r="F234" s="50" t="s">
        <v>12</v>
      </c>
      <c r="G234" s="50" t="s">
        <v>1962</v>
      </c>
      <c r="H234" s="50" t="s">
        <v>19</v>
      </c>
      <c r="I234" s="50" t="s">
        <v>1120</v>
      </c>
      <c r="J234" s="50" t="s">
        <v>20</v>
      </c>
      <c r="K234" s="50" t="s">
        <v>7158</v>
      </c>
      <c r="L234" s="50">
        <v>43</v>
      </c>
      <c r="M234" s="50">
        <v>2.15</v>
      </c>
      <c r="N234" s="50">
        <v>0.36856277347694377</v>
      </c>
      <c r="O234" s="50">
        <v>168460.04890531249</v>
      </c>
      <c r="P234" s="50">
        <v>36043.567499999997</v>
      </c>
      <c r="Q234" s="50">
        <v>132416.48140531249</v>
      </c>
      <c r="R234" s="50">
        <v>22546.613386769783</v>
      </c>
      <c r="S234" s="50">
        <v>109869.86801854271</v>
      </c>
      <c r="T234" s="50">
        <v>97044661.137561932</v>
      </c>
      <c r="U234" s="50">
        <v>1.0554865875488373E-3</v>
      </c>
      <c r="V234" s="50">
        <v>0.95000000000000007</v>
      </c>
      <c r="W234" s="50">
        <v>0.932278704536457</v>
      </c>
      <c r="X234" s="50" t="s">
        <v>7163</v>
      </c>
      <c r="Y234" s="50">
        <v>0.32</v>
      </c>
    </row>
    <row r="235" spans="2:25" x14ac:dyDescent="0.2">
      <c r="B235" s="50" t="s">
        <v>9</v>
      </c>
      <c r="C235" s="50" t="s">
        <v>115</v>
      </c>
      <c r="D235" s="50"/>
      <c r="E235" s="50"/>
      <c r="F235" s="50" t="s">
        <v>12</v>
      </c>
      <c r="G235" s="50" t="s">
        <v>1962</v>
      </c>
      <c r="H235" s="50" t="s">
        <v>19</v>
      </c>
      <c r="I235" s="50" t="s">
        <v>1120</v>
      </c>
      <c r="J235" s="50" t="s">
        <v>20</v>
      </c>
      <c r="K235" s="50" t="s">
        <v>7158</v>
      </c>
      <c r="L235" s="50">
        <v>37</v>
      </c>
      <c r="M235" s="50">
        <v>1.85</v>
      </c>
      <c r="N235" s="50">
        <v>8.9154860771861258E-2</v>
      </c>
      <c r="O235" s="50">
        <v>144953.99556968751</v>
      </c>
      <c r="P235" s="50">
        <v>31014.232500000002</v>
      </c>
      <c r="Q235" s="50">
        <v>113939.76306968751</v>
      </c>
      <c r="R235" s="50">
        <v>5453.9967734972333</v>
      </c>
      <c r="S235" s="50">
        <v>108485.76629619028</v>
      </c>
      <c r="T235" s="50">
        <v>97153146.903858125</v>
      </c>
      <c r="U235" s="50">
        <v>1.0421899409787361E-3</v>
      </c>
      <c r="V235" s="50">
        <v>0.95</v>
      </c>
      <c r="W235" s="50">
        <v>0.93332089447743571</v>
      </c>
      <c r="X235" s="50" t="s">
        <v>7161</v>
      </c>
      <c r="Y235" s="50">
        <v>0.32</v>
      </c>
    </row>
    <row r="236" spans="2:25" x14ac:dyDescent="0.2">
      <c r="B236" s="50" t="s">
        <v>9</v>
      </c>
      <c r="C236" s="50" t="s">
        <v>222</v>
      </c>
      <c r="D236" s="50"/>
      <c r="E236" s="50"/>
      <c r="F236" s="50" t="s">
        <v>12</v>
      </c>
      <c r="G236" s="50" t="s">
        <v>1962</v>
      </c>
      <c r="H236" s="50" t="s">
        <v>15</v>
      </c>
      <c r="I236" s="50" t="s">
        <v>1121</v>
      </c>
      <c r="J236" s="50" t="s">
        <v>16</v>
      </c>
      <c r="K236" s="50" t="s">
        <v>7158</v>
      </c>
      <c r="L236" s="50">
        <v>68</v>
      </c>
      <c r="M236" s="50">
        <v>2.72</v>
      </c>
      <c r="N236" s="50">
        <v>0.26642335766423358</v>
      </c>
      <c r="O236" s="50">
        <v>213121.55024300001</v>
      </c>
      <c r="P236" s="50">
        <v>55527.304000000004</v>
      </c>
      <c r="Q236" s="50">
        <v>157594.246243</v>
      </c>
      <c r="R236" s="50">
        <v>49180.086678832122</v>
      </c>
      <c r="S236" s="50">
        <v>108414.15956416787</v>
      </c>
      <c r="T236" s="50">
        <v>97261561.063422292</v>
      </c>
      <c r="U236" s="50">
        <v>1.041502036764497E-3</v>
      </c>
      <c r="V236" s="50">
        <v>0.96</v>
      </c>
      <c r="W236" s="50">
        <v>0.93436239651420017</v>
      </c>
      <c r="X236" s="50" t="s">
        <v>7162</v>
      </c>
      <c r="Y236" s="50">
        <v>0.26642335766423358</v>
      </c>
    </row>
    <row r="237" spans="2:25" x14ac:dyDescent="0.2">
      <c r="B237" s="50" t="s">
        <v>9</v>
      </c>
      <c r="C237" s="51" t="s">
        <v>7171</v>
      </c>
      <c r="D237" s="50"/>
      <c r="E237" s="50"/>
      <c r="F237" s="50" t="s">
        <v>12</v>
      </c>
      <c r="G237" s="50" t="s">
        <v>1962</v>
      </c>
      <c r="H237" s="50" t="s">
        <v>32</v>
      </c>
      <c r="I237" s="50" t="s">
        <v>1120</v>
      </c>
      <c r="J237" s="50" t="s">
        <v>33</v>
      </c>
      <c r="K237" s="50" t="s">
        <v>7158</v>
      </c>
      <c r="L237" s="50">
        <v>22</v>
      </c>
      <c r="M237" s="50">
        <v>1.98</v>
      </c>
      <c r="N237" s="50">
        <v>0.43830681477033923</v>
      </c>
      <c r="O237" s="50">
        <v>155139.95201512499</v>
      </c>
      <c r="P237" s="50">
        <v>20345.611000000001</v>
      </c>
      <c r="Q237" s="50">
        <v>134794.34101512498</v>
      </c>
      <c r="R237" s="50">
        <v>26813.164564032031</v>
      </c>
      <c r="S237" s="50">
        <v>107981.17645109295</v>
      </c>
      <c r="T237" s="50">
        <v>97369542.239873379</v>
      </c>
      <c r="U237" s="50">
        <v>1.0373424989701255E-3</v>
      </c>
      <c r="V237" s="50">
        <v>0.91</v>
      </c>
      <c r="W237" s="50">
        <v>0.93539973901317031</v>
      </c>
      <c r="X237" s="50" t="s">
        <v>7160</v>
      </c>
      <c r="Y237" s="50">
        <v>0.32</v>
      </c>
    </row>
    <row r="238" spans="2:25" x14ac:dyDescent="0.2">
      <c r="B238" s="50" t="s">
        <v>9</v>
      </c>
      <c r="C238" s="50" t="s">
        <v>369</v>
      </c>
      <c r="D238" s="50"/>
      <c r="E238" s="50"/>
      <c r="F238" s="50" t="s">
        <v>12</v>
      </c>
      <c r="G238" s="50" t="s">
        <v>1962</v>
      </c>
      <c r="H238" s="50" t="s">
        <v>15</v>
      </c>
      <c r="I238" s="50" t="s">
        <v>1120</v>
      </c>
      <c r="J238" s="50" t="s">
        <v>16</v>
      </c>
      <c r="K238" s="50" t="s">
        <v>7158</v>
      </c>
      <c r="L238" s="50">
        <v>25</v>
      </c>
      <c r="M238" s="50">
        <v>2</v>
      </c>
      <c r="N238" s="50">
        <v>0.4314420803782506</v>
      </c>
      <c r="O238" s="50">
        <v>156707.0222375</v>
      </c>
      <c r="P238" s="50">
        <v>22578.9</v>
      </c>
      <c r="Q238" s="50">
        <v>134128.12223750001</v>
      </c>
      <c r="R238" s="50">
        <v>26393.218428720658</v>
      </c>
      <c r="S238" s="50">
        <v>107734.90380877935</v>
      </c>
      <c r="T238" s="50">
        <v>97477277.143682152</v>
      </c>
      <c r="U238" s="50">
        <v>1.0349766321903608E-3</v>
      </c>
      <c r="V238" s="50">
        <v>0.92</v>
      </c>
      <c r="W238" s="50">
        <v>0.93643471564536063</v>
      </c>
      <c r="X238" s="50" t="s">
        <v>7163</v>
      </c>
      <c r="Y238" s="50">
        <v>0.32</v>
      </c>
    </row>
    <row r="239" spans="2:25" x14ac:dyDescent="0.2">
      <c r="B239" s="50" t="s">
        <v>9</v>
      </c>
      <c r="C239" s="50" t="s">
        <v>429</v>
      </c>
      <c r="D239" s="50"/>
      <c r="E239" s="50"/>
      <c r="F239" s="50" t="s">
        <v>12</v>
      </c>
      <c r="G239" s="50" t="s">
        <v>1962</v>
      </c>
      <c r="H239" s="50" t="s">
        <v>32</v>
      </c>
      <c r="I239" s="50" t="s">
        <v>1120</v>
      </c>
      <c r="J239" s="50" t="s">
        <v>33</v>
      </c>
      <c r="K239" s="50" t="s">
        <v>7158</v>
      </c>
      <c r="L239" s="50">
        <v>11</v>
      </c>
      <c r="M239" s="50">
        <v>1.65</v>
      </c>
      <c r="N239" s="50">
        <v>0.1655328798185941</v>
      </c>
      <c r="O239" s="50">
        <v>129283.29334593749</v>
      </c>
      <c r="P239" s="50">
        <v>11601.342500000001</v>
      </c>
      <c r="Q239" s="50">
        <v>117681.95084593749</v>
      </c>
      <c r="R239" s="50">
        <v>10126.377682856088</v>
      </c>
      <c r="S239" s="50">
        <v>107555.5731630814</v>
      </c>
      <c r="T239" s="50">
        <v>97584832.716845229</v>
      </c>
      <c r="U239" s="50">
        <v>1.0332538569228168E-3</v>
      </c>
      <c r="V239" s="50">
        <v>0.85</v>
      </c>
      <c r="W239" s="50">
        <v>0.93746796950228339</v>
      </c>
      <c r="X239" s="50" t="s">
        <v>7159</v>
      </c>
      <c r="Y239" s="50">
        <v>0.32</v>
      </c>
    </row>
    <row r="240" spans="2:25" x14ac:dyDescent="0.2">
      <c r="B240" s="50" t="s">
        <v>9</v>
      </c>
      <c r="C240" s="50" t="s">
        <v>178</v>
      </c>
      <c r="D240" s="50"/>
      <c r="E240" s="50"/>
      <c r="F240" s="50" t="s">
        <v>12</v>
      </c>
      <c r="G240" s="50" t="s">
        <v>1962</v>
      </c>
      <c r="H240" s="50" t="s">
        <v>15</v>
      </c>
      <c r="I240" s="50" t="s">
        <v>1121</v>
      </c>
      <c r="J240" s="50" t="s">
        <v>16</v>
      </c>
      <c r="K240" s="50" t="s">
        <v>7158</v>
      </c>
      <c r="L240" s="50">
        <v>93</v>
      </c>
      <c r="M240" s="50">
        <v>2.79</v>
      </c>
      <c r="N240" s="50">
        <v>0.20679886685552407</v>
      </c>
      <c r="O240" s="50">
        <v>218606.29602131248</v>
      </c>
      <c r="P240" s="50">
        <v>73928.815499999997</v>
      </c>
      <c r="Q240" s="50">
        <v>144677.48052131248</v>
      </c>
      <c r="R240" s="50">
        <v>38173.778328611894</v>
      </c>
      <c r="S240" s="50">
        <v>106503.70219270058</v>
      </c>
      <c r="T240" s="50">
        <v>97691336.419037923</v>
      </c>
      <c r="U240" s="50">
        <v>1.0231488506905206E-3</v>
      </c>
      <c r="V240" s="50">
        <v>0.97</v>
      </c>
      <c r="W240" s="50">
        <v>0.93849111835297394</v>
      </c>
      <c r="X240" s="50" t="s">
        <v>7162</v>
      </c>
      <c r="Y240" s="50">
        <v>0.20679886685552407</v>
      </c>
    </row>
    <row r="241" spans="2:25" x14ac:dyDescent="0.2">
      <c r="B241" s="50" t="s">
        <v>9</v>
      </c>
      <c r="C241" s="50" t="s">
        <v>86</v>
      </c>
      <c r="D241" s="50"/>
      <c r="E241" s="50"/>
      <c r="F241" s="50" t="s">
        <v>12</v>
      </c>
      <c r="G241" s="50" t="s">
        <v>1962</v>
      </c>
      <c r="H241" s="50" t="s">
        <v>15</v>
      </c>
      <c r="I241" s="50" t="s">
        <v>1120</v>
      </c>
      <c r="J241" s="50" t="s">
        <v>16</v>
      </c>
      <c r="K241" s="50" t="s">
        <v>7158</v>
      </c>
      <c r="L241" s="50">
        <v>117</v>
      </c>
      <c r="M241" s="50">
        <v>3.51</v>
      </c>
      <c r="N241" s="50">
        <v>1.2414965986394557</v>
      </c>
      <c r="O241" s="50">
        <v>275020.82402681245</v>
      </c>
      <c r="P241" s="50">
        <v>93007.219500000007</v>
      </c>
      <c r="Q241" s="50">
        <v>182013.60452681244</v>
      </c>
      <c r="R241" s="50">
        <v>75947.832621420661</v>
      </c>
      <c r="S241" s="50">
        <v>106065.77190539178</v>
      </c>
      <c r="T241" s="50">
        <v>97797402.190943316</v>
      </c>
      <c r="U241" s="50">
        <v>1.0189417868897539E-3</v>
      </c>
      <c r="V241" s="50">
        <v>0.97</v>
      </c>
      <c r="W241" s="50">
        <v>0.93951006013986371</v>
      </c>
      <c r="X241" s="50" t="s">
        <v>7162</v>
      </c>
      <c r="Y241" s="50">
        <v>0.32</v>
      </c>
    </row>
    <row r="242" spans="2:25" x14ac:dyDescent="0.2">
      <c r="B242" s="50" t="s">
        <v>9</v>
      </c>
      <c r="C242" s="50" t="s">
        <v>27</v>
      </c>
      <c r="D242" s="50"/>
      <c r="E242" s="50"/>
      <c r="F242" s="50" t="s">
        <v>12</v>
      </c>
      <c r="G242" s="50" t="s">
        <v>1962</v>
      </c>
      <c r="H242" s="50" t="s">
        <v>15</v>
      </c>
      <c r="I242" s="50" t="s">
        <v>1120</v>
      </c>
      <c r="J242" s="50" t="s">
        <v>16</v>
      </c>
      <c r="K242" s="50" t="s">
        <v>7158</v>
      </c>
      <c r="L242" s="50">
        <v>75</v>
      </c>
      <c r="M242" s="50">
        <v>2.625</v>
      </c>
      <c r="N242" s="50">
        <v>0.64533239038189527</v>
      </c>
      <c r="O242" s="50">
        <v>205677.96668671875</v>
      </c>
      <c r="P242" s="50">
        <v>60431.681250000001</v>
      </c>
      <c r="Q242" s="50">
        <v>145246.28543671875</v>
      </c>
      <c r="R242" s="50">
        <v>39477.833788362223</v>
      </c>
      <c r="S242" s="50">
        <v>105768.45164835654</v>
      </c>
      <c r="T242" s="50">
        <v>97903170.64259167</v>
      </c>
      <c r="U242" s="50">
        <v>1.0160855211167367E-3</v>
      </c>
      <c r="V242" s="50">
        <v>0.96499999999999997</v>
      </c>
      <c r="W242" s="50">
        <v>0.94052614566098047</v>
      </c>
      <c r="X242" s="50" t="s">
        <v>7161</v>
      </c>
      <c r="Y242" s="50">
        <v>0.32</v>
      </c>
    </row>
    <row r="243" spans="2:25" x14ac:dyDescent="0.2">
      <c r="B243" s="50" t="s">
        <v>9</v>
      </c>
      <c r="C243" s="50" t="s">
        <v>276</v>
      </c>
      <c r="D243" s="50"/>
      <c r="E243" s="50"/>
      <c r="F243" s="50" t="s">
        <v>12</v>
      </c>
      <c r="G243" s="50" t="s">
        <v>1962</v>
      </c>
      <c r="H243" s="50" t="s">
        <v>19</v>
      </c>
      <c r="I243" s="50" t="s">
        <v>1120</v>
      </c>
      <c r="J243" s="50" t="s">
        <v>20</v>
      </c>
      <c r="K243" s="50" t="s">
        <v>7158</v>
      </c>
      <c r="L243" s="50">
        <v>25</v>
      </c>
      <c r="M243" s="50">
        <v>2.5</v>
      </c>
      <c r="N243" s="50">
        <v>1.1295938104448742</v>
      </c>
      <c r="O243" s="50">
        <v>195883.77779687496</v>
      </c>
      <c r="P243" s="50">
        <v>23661.125</v>
      </c>
      <c r="Q243" s="50">
        <v>172222.65279687496</v>
      </c>
      <c r="R243" s="50">
        <v>69102.244613377712</v>
      </c>
      <c r="S243" s="50">
        <v>103120.40818349725</v>
      </c>
      <c r="T243" s="50">
        <v>98006291.05077517</v>
      </c>
      <c r="U243" s="50">
        <v>9.9064656855575215E-4</v>
      </c>
      <c r="V243" s="50">
        <v>0.9</v>
      </c>
      <c r="W243" s="50">
        <v>0.94151679222953621</v>
      </c>
      <c r="X243" s="50" t="s">
        <v>7161</v>
      </c>
      <c r="Y243" s="50">
        <v>0.32</v>
      </c>
    </row>
    <row r="244" spans="2:25" x14ac:dyDescent="0.2">
      <c r="B244" s="50" t="s">
        <v>9</v>
      </c>
      <c r="C244" s="50" t="s">
        <v>44</v>
      </c>
      <c r="D244" s="50"/>
      <c r="E244" s="50"/>
      <c r="F244" s="50" t="s">
        <v>12</v>
      </c>
      <c r="G244" s="50" t="s">
        <v>1962</v>
      </c>
      <c r="H244" s="50" t="s">
        <v>32</v>
      </c>
      <c r="I244" s="50" t="s">
        <v>1120</v>
      </c>
      <c r="J244" s="50" t="s">
        <v>33</v>
      </c>
      <c r="K244" s="50" t="s">
        <v>7158</v>
      </c>
      <c r="L244" s="50">
        <v>3</v>
      </c>
      <c r="M244" s="50">
        <v>1.8</v>
      </c>
      <c r="N244" s="50">
        <v>0.53129548762736534</v>
      </c>
      <c r="O244" s="50">
        <v>141036.32001375</v>
      </c>
      <c r="P244" s="50">
        <v>6086.01</v>
      </c>
      <c r="Q244" s="50">
        <v>134950.31001374999</v>
      </c>
      <c r="R244" s="50">
        <v>32501.69256287871</v>
      </c>
      <c r="S244" s="50">
        <v>102448.61745087127</v>
      </c>
      <c r="T244" s="50">
        <v>98108739.668226048</v>
      </c>
      <c r="U244" s="50">
        <v>9.8419287819720316E-4</v>
      </c>
      <c r="V244" s="50">
        <v>0.39999999999999997</v>
      </c>
      <c r="W244" s="50">
        <v>0.94250098510773339</v>
      </c>
      <c r="X244" s="50" t="s">
        <v>7163</v>
      </c>
      <c r="Y244" s="50">
        <v>0.32</v>
      </c>
    </row>
    <row r="245" spans="2:25" x14ac:dyDescent="0.2">
      <c r="B245" s="50" t="s">
        <v>9</v>
      </c>
      <c r="C245" s="50" t="s">
        <v>202</v>
      </c>
      <c r="D245" s="50"/>
      <c r="E245" s="50"/>
      <c r="F245" s="50" t="s">
        <v>12</v>
      </c>
      <c r="G245" s="50" t="s">
        <v>1962</v>
      </c>
      <c r="H245" s="50" t="s">
        <v>15</v>
      </c>
      <c r="I245" s="50" t="s">
        <v>1120</v>
      </c>
      <c r="J245" s="50" t="s">
        <v>16</v>
      </c>
      <c r="K245" s="50" t="s">
        <v>7158</v>
      </c>
      <c r="L245" s="50">
        <v>5</v>
      </c>
      <c r="M245" s="50">
        <v>2</v>
      </c>
      <c r="N245" s="50">
        <v>0.7689606741573034</v>
      </c>
      <c r="O245" s="50">
        <v>156707.0222375</v>
      </c>
      <c r="P245" s="50">
        <v>7978.9</v>
      </c>
      <c r="Q245" s="50">
        <v>148728.12223750001</v>
      </c>
      <c r="R245" s="50">
        <v>47040.722171413639</v>
      </c>
      <c r="S245" s="50">
        <v>101687.40006608637</v>
      </c>
      <c r="T245" s="50">
        <v>98210427.068292141</v>
      </c>
      <c r="U245" s="50">
        <v>9.7688009304200602E-4</v>
      </c>
      <c r="V245" s="50">
        <v>0.6</v>
      </c>
      <c r="W245" s="50">
        <v>0.94347786520077537</v>
      </c>
      <c r="X245" s="50" t="s">
        <v>7161</v>
      </c>
      <c r="Y245" s="50">
        <v>0.32</v>
      </c>
    </row>
    <row r="246" spans="2:25" x14ac:dyDescent="0.2">
      <c r="B246" s="50" t="s">
        <v>9</v>
      </c>
      <c r="C246" s="50" t="s">
        <v>454</v>
      </c>
      <c r="D246" s="50"/>
      <c r="E246" s="50"/>
      <c r="F246" s="50" t="s">
        <v>12</v>
      </c>
      <c r="G246" s="50" t="s">
        <v>1962</v>
      </c>
      <c r="H246" s="50" t="s">
        <v>15</v>
      </c>
      <c r="I246" s="50" t="s">
        <v>1120</v>
      </c>
      <c r="J246" s="50" t="s">
        <v>16</v>
      </c>
      <c r="K246" s="50" t="s">
        <v>7158</v>
      </c>
      <c r="L246" s="50">
        <v>4</v>
      </c>
      <c r="M246" s="50">
        <v>1.68</v>
      </c>
      <c r="N246" s="50">
        <v>0.38394109396914444</v>
      </c>
      <c r="O246" s="50">
        <v>131633.89867949998</v>
      </c>
      <c r="P246" s="50">
        <v>6556.2759999999998</v>
      </c>
      <c r="Q246" s="50">
        <v>125077.62267949998</v>
      </c>
      <c r="R246" s="50">
        <v>23487.37320199615</v>
      </c>
      <c r="S246" s="50">
        <v>101590.24947750384</v>
      </c>
      <c r="T246" s="50">
        <v>98312017.317769647</v>
      </c>
      <c r="U246" s="50">
        <v>9.7594679672454766E-4</v>
      </c>
      <c r="V246" s="50">
        <v>0.58000000000000007</v>
      </c>
      <c r="W246" s="50">
        <v>0.94445381199749989</v>
      </c>
      <c r="X246" s="50" t="s">
        <v>7161</v>
      </c>
      <c r="Y246" s="50">
        <v>0.32</v>
      </c>
    </row>
    <row r="247" spans="2:25" x14ac:dyDescent="0.2">
      <c r="B247" s="50" t="s">
        <v>9</v>
      </c>
      <c r="C247" s="50" t="s">
        <v>413</v>
      </c>
      <c r="D247" s="50"/>
      <c r="E247" s="50"/>
      <c r="F247" s="50" t="s">
        <v>12</v>
      </c>
      <c r="G247" s="50" t="s">
        <v>1962</v>
      </c>
      <c r="H247" s="50" t="s">
        <v>15</v>
      </c>
      <c r="I247" s="50" t="s">
        <v>1120</v>
      </c>
      <c r="J247" s="50" t="s">
        <v>16</v>
      </c>
      <c r="K247" s="50" t="s">
        <v>7158</v>
      </c>
      <c r="L247" s="50">
        <v>78</v>
      </c>
      <c r="M247" s="50">
        <v>3.9</v>
      </c>
      <c r="N247" s="50">
        <v>2.2879793510324484</v>
      </c>
      <c r="O247" s="50">
        <v>305578.69336312497</v>
      </c>
      <c r="P247" s="50">
        <v>65381.355000000003</v>
      </c>
      <c r="Q247" s="50">
        <v>240197.33836312496</v>
      </c>
      <c r="R247" s="50">
        <v>139965.80657885713</v>
      </c>
      <c r="S247" s="50">
        <v>100231.53178426783</v>
      </c>
      <c r="T247" s="50">
        <v>98412248.849553913</v>
      </c>
      <c r="U247" s="50">
        <v>9.6289400684376021E-4</v>
      </c>
      <c r="V247" s="50">
        <v>0.95</v>
      </c>
      <c r="W247" s="50">
        <v>0.94541670600434369</v>
      </c>
      <c r="X247" s="50" t="s">
        <v>7161</v>
      </c>
      <c r="Y247" s="50">
        <v>0.32</v>
      </c>
    </row>
    <row r="248" spans="2:25" x14ac:dyDescent="0.2">
      <c r="B248" s="50" t="s">
        <v>9</v>
      </c>
      <c r="C248" s="50" t="s">
        <v>85</v>
      </c>
      <c r="D248" s="50"/>
      <c r="E248" s="50"/>
      <c r="F248" s="50" t="s">
        <v>12</v>
      </c>
      <c r="G248" s="50" t="s">
        <v>1962</v>
      </c>
      <c r="H248" s="50" t="s">
        <v>15</v>
      </c>
      <c r="I248" s="50" t="s">
        <v>1121</v>
      </c>
      <c r="J248" s="50" t="s">
        <v>16</v>
      </c>
      <c r="K248" s="50" t="s">
        <v>7158</v>
      </c>
      <c r="L248" s="50">
        <v>63</v>
      </c>
      <c r="M248" s="50">
        <v>2.52</v>
      </c>
      <c r="N248" s="50">
        <v>0.25</v>
      </c>
      <c r="O248" s="50">
        <v>197450.84801925</v>
      </c>
      <c r="P248" s="50">
        <v>51444.414000000004</v>
      </c>
      <c r="Q248" s="50">
        <v>146006.43401924998</v>
      </c>
      <c r="R248" s="50">
        <v>46148.4375</v>
      </c>
      <c r="S248" s="50">
        <v>99857.99651924998</v>
      </c>
      <c r="T248" s="50">
        <v>98512106.846073166</v>
      </c>
      <c r="U248" s="50">
        <v>9.5930556654331034E-4</v>
      </c>
      <c r="V248" s="50">
        <v>0.96</v>
      </c>
      <c r="W248" s="50">
        <v>0.94637601157088702</v>
      </c>
      <c r="X248" s="50" t="s">
        <v>7162</v>
      </c>
      <c r="Y248" s="50">
        <v>0.25</v>
      </c>
    </row>
    <row r="249" spans="2:25" x14ac:dyDescent="0.2">
      <c r="B249" s="50" t="s">
        <v>9</v>
      </c>
      <c r="C249" s="50" t="s">
        <v>436</v>
      </c>
      <c r="D249" s="50"/>
      <c r="E249" s="50"/>
      <c r="F249" s="50" t="s">
        <v>12</v>
      </c>
      <c r="G249" s="50" t="s">
        <v>1962</v>
      </c>
      <c r="H249" s="50" t="s">
        <v>32</v>
      </c>
      <c r="I249" s="50" t="s">
        <v>1120</v>
      </c>
      <c r="J249" s="50" t="s">
        <v>33</v>
      </c>
      <c r="K249" s="50" t="s">
        <v>7158</v>
      </c>
      <c r="L249" s="50">
        <v>2</v>
      </c>
      <c r="M249" s="50">
        <v>1.7</v>
      </c>
      <c r="N249" s="50">
        <v>0.47341115434500647</v>
      </c>
      <c r="O249" s="50">
        <v>133200.96890187499</v>
      </c>
      <c r="P249" s="50">
        <v>5139.5649999999996</v>
      </c>
      <c r="Q249" s="50">
        <v>128061.40390187499</v>
      </c>
      <c r="R249" s="50">
        <v>28960.652128012545</v>
      </c>
      <c r="S249" s="50">
        <v>99100.751773862445</v>
      </c>
      <c r="T249" s="50">
        <v>98611207.59784703</v>
      </c>
      <c r="U249" s="50">
        <v>9.5203094533312111E-4</v>
      </c>
      <c r="V249" s="50">
        <v>0.15000000000000002</v>
      </c>
      <c r="W249" s="50">
        <v>0.94732804251622016</v>
      </c>
      <c r="X249" s="50" t="s">
        <v>7160</v>
      </c>
      <c r="Y249" s="50">
        <v>0.32</v>
      </c>
    </row>
    <row r="250" spans="2:25" x14ac:dyDescent="0.2">
      <c r="B250" s="50" t="s">
        <v>9</v>
      </c>
      <c r="C250" s="50" t="s">
        <v>412</v>
      </c>
      <c r="D250" s="50"/>
      <c r="E250" s="50"/>
      <c r="F250" s="50" t="s">
        <v>12</v>
      </c>
      <c r="G250" s="50" t="s">
        <v>1962</v>
      </c>
      <c r="H250" s="50" t="s">
        <v>15</v>
      </c>
      <c r="I250" s="50" t="s">
        <v>1120</v>
      </c>
      <c r="J250" s="50" t="s">
        <v>16</v>
      </c>
      <c r="K250" s="50" t="s">
        <v>7158</v>
      </c>
      <c r="L250" s="50">
        <v>35</v>
      </c>
      <c r="M250" s="50">
        <v>2.1</v>
      </c>
      <c r="N250" s="50">
        <v>0.61062317022166457</v>
      </c>
      <c r="O250" s="50">
        <v>164542.373349375</v>
      </c>
      <c r="P250" s="50">
        <v>30095.345000000001</v>
      </c>
      <c r="Q250" s="50">
        <v>134447.028349375</v>
      </c>
      <c r="R250" s="50">
        <v>37354.517424839272</v>
      </c>
      <c r="S250" s="50">
        <v>97092.510924535731</v>
      </c>
      <c r="T250" s="50">
        <v>98708300.108771563</v>
      </c>
      <c r="U250" s="50">
        <v>9.327383829658459E-4</v>
      </c>
      <c r="V250" s="50">
        <v>0.94</v>
      </c>
      <c r="W250" s="50">
        <v>0.94826078089918597</v>
      </c>
      <c r="X250" s="50" t="s">
        <v>7161</v>
      </c>
      <c r="Y250" s="50">
        <v>0.32</v>
      </c>
    </row>
    <row r="251" spans="2:25" x14ac:dyDescent="0.2">
      <c r="B251" s="50" t="s">
        <v>9</v>
      </c>
      <c r="C251" s="50" t="s">
        <v>80</v>
      </c>
      <c r="D251" s="50"/>
      <c r="E251" s="50"/>
      <c r="F251" s="50" t="s">
        <v>12</v>
      </c>
      <c r="G251" s="50" t="s">
        <v>1962</v>
      </c>
      <c r="H251" s="50" t="s">
        <v>15</v>
      </c>
      <c r="I251" s="50" t="s">
        <v>1120</v>
      </c>
      <c r="J251" s="50" t="s">
        <v>16</v>
      </c>
      <c r="K251" s="50" t="s">
        <v>7158</v>
      </c>
      <c r="L251" s="50">
        <v>54</v>
      </c>
      <c r="M251" s="50">
        <v>2.16</v>
      </c>
      <c r="N251" s="50">
        <v>0.48829431438127086</v>
      </c>
      <c r="O251" s="50">
        <v>169243.58401650001</v>
      </c>
      <c r="P251" s="50">
        <v>44095.212</v>
      </c>
      <c r="Q251" s="50">
        <v>125148.37201650001</v>
      </c>
      <c r="R251" s="50">
        <v>29871.120790230998</v>
      </c>
      <c r="S251" s="50">
        <v>95277.251226269014</v>
      </c>
      <c r="T251" s="50">
        <v>98803577.359997839</v>
      </c>
      <c r="U251" s="50">
        <v>9.1529973214199032E-4</v>
      </c>
      <c r="V251" s="50">
        <v>0.96000000000000008</v>
      </c>
      <c r="W251" s="50">
        <v>0.94917608063132797</v>
      </c>
      <c r="X251" s="50" t="s">
        <v>7161</v>
      </c>
      <c r="Y251" s="50">
        <v>0.32</v>
      </c>
    </row>
    <row r="252" spans="2:25" x14ac:dyDescent="0.2">
      <c r="B252" s="50" t="s">
        <v>9</v>
      </c>
      <c r="C252" s="50" t="s">
        <v>41</v>
      </c>
      <c r="D252" s="50"/>
      <c r="E252" s="50"/>
      <c r="F252" s="50" t="s">
        <v>12</v>
      </c>
      <c r="G252" s="50" t="s">
        <v>1962</v>
      </c>
      <c r="H252" s="50" t="s">
        <v>15</v>
      </c>
      <c r="I252" s="50" t="s">
        <v>1120</v>
      </c>
      <c r="J252" s="50" t="s">
        <v>16</v>
      </c>
      <c r="K252" s="50" t="s">
        <v>7158</v>
      </c>
      <c r="L252" s="50">
        <v>31</v>
      </c>
      <c r="M252" s="50">
        <v>2.17</v>
      </c>
      <c r="N252" s="50">
        <v>0.78550932568149212</v>
      </c>
      <c r="O252" s="50">
        <v>170027.11912768747</v>
      </c>
      <c r="P252" s="50">
        <v>27326.856499999998</v>
      </c>
      <c r="Q252" s="50">
        <v>142700.26262768748</v>
      </c>
      <c r="R252" s="50">
        <v>48053.076307096861</v>
      </c>
      <c r="S252" s="50">
        <v>94647.186320590612</v>
      </c>
      <c r="T252" s="50">
        <v>98898224.546318427</v>
      </c>
      <c r="U252" s="50">
        <v>9.09246889181293E-4</v>
      </c>
      <c r="V252" s="50">
        <v>0.92999999999999994</v>
      </c>
      <c r="W252" s="50">
        <v>0.95008532752050923</v>
      </c>
      <c r="X252" s="50" t="s">
        <v>7163</v>
      </c>
      <c r="Y252" s="50">
        <v>0.32</v>
      </c>
    </row>
    <row r="253" spans="2:25" x14ac:dyDescent="0.2">
      <c r="B253" s="50" t="s">
        <v>9</v>
      </c>
      <c r="C253" s="50" t="s">
        <v>451</v>
      </c>
      <c r="D253" s="50"/>
      <c r="E253" s="50"/>
      <c r="F253" s="50" t="s">
        <v>12</v>
      </c>
      <c r="G253" s="50" t="s">
        <v>1962</v>
      </c>
      <c r="H253" s="50" t="s">
        <v>15</v>
      </c>
      <c r="I253" s="50" t="s">
        <v>1120</v>
      </c>
      <c r="J253" s="50" t="s">
        <v>16</v>
      </c>
      <c r="K253" s="50" t="s">
        <v>7158</v>
      </c>
      <c r="L253" s="50">
        <v>16</v>
      </c>
      <c r="M253" s="50">
        <v>1.76</v>
      </c>
      <c r="N253" s="50">
        <v>0.47915982934033474</v>
      </c>
      <c r="O253" s="50">
        <v>137902.179569</v>
      </c>
      <c r="P253" s="50">
        <v>15489.431999999999</v>
      </c>
      <c r="Q253" s="50">
        <v>122412.747569</v>
      </c>
      <c r="R253" s="50">
        <v>29312.323978598852</v>
      </c>
      <c r="S253" s="50">
        <v>93100.423590401144</v>
      </c>
      <c r="T253" s="50">
        <v>98991324.969908834</v>
      </c>
      <c r="U253" s="50">
        <v>8.9438760751218353E-4</v>
      </c>
      <c r="V253" s="50">
        <v>0.89</v>
      </c>
      <c r="W253" s="50">
        <v>0.95097971512802137</v>
      </c>
      <c r="X253" s="50" t="s">
        <v>7161</v>
      </c>
      <c r="Y253" s="50">
        <v>0.32</v>
      </c>
    </row>
    <row r="254" spans="2:25" x14ac:dyDescent="0.2">
      <c r="B254" s="50" t="s">
        <v>9</v>
      </c>
      <c r="C254" s="50" t="s">
        <v>432</v>
      </c>
      <c r="D254" s="50"/>
      <c r="E254" s="50"/>
      <c r="F254" s="50" t="s">
        <v>12</v>
      </c>
      <c r="G254" s="50" t="s">
        <v>1962</v>
      </c>
      <c r="H254" s="50" t="s">
        <v>15</v>
      </c>
      <c r="I254" s="50" t="s">
        <v>1120</v>
      </c>
      <c r="J254" s="50" t="s">
        <v>16</v>
      </c>
      <c r="K254" s="50" t="s">
        <v>7158</v>
      </c>
      <c r="L254" s="50">
        <v>52</v>
      </c>
      <c r="M254" s="50">
        <v>2.08</v>
      </c>
      <c r="N254" s="50">
        <v>0.48360384233189802</v>
      </c>
      <c r="O254" s="50">
        <v>162975.30312699999</v>
      </c>
      <c r="P254" s="50">
        <v>42462.056000000004</v>
      </c>
      <c r="Q254" s="50">
        <v>120513.24712699998</v>
      </c>
      <c r="R254" s="50">
        <v>29584.183889629247</v>
      </c>
      <c r="S254" s="50">
        <v>90929.063237370734</v>
      </c>
      <c r="T254" s="50">
        <v>99082254.033146203</v>
      </c>
      <c r="U254" s="50">
        <v>8.7352800541479951E-4</v>
      </c>
      <c r="V254" s="50">
        <v>0.96000000000000008</v>
      </c>
      <c r="W254" s="50">
        <v>0.95185324313343622</v>
      </c>
      <c r="X254" s="50" t="s">
        <v>7160</v>
      </c>
      <c r="Y254" s="50">
        <v>0.32</v>
      </c>
    </row>
    <row r="255" spans="2:25" x14ac:dyDescent="0.2">
      <c r="B255" s="50" t="s">
        <v>9</v>
      </c>
      <c r="C255" s="50" t="s">
        <v>444</v>
      </c>
      <c r="D255" s="50"/>
      <c r="E255" s="50"/>
      <c r="F255" s="50" t="s">
        <v>12</v>
      </c>
      <c r="G255" s="50" t="s">
        <v>1962</v>
      </c>
      <c r="H255" s="50" t="s">
        <v>15</v>
      </c>
      <c r="I255" s="50" t="s">
        <v>1120</v>
      </c>
      <c r="J255" s="50" t="s">
        <v>16</v>
      </c>
      <c r="K255" s="50" t="s">
        <v>7158</v>
      </c>
      <c r="L255" s="50">
        <v>4</v>
      </c>
      <c r="M255" s="50">
        <v>1.92</v>
      </c>
      <c r="N255" s="50">
        <v>0.86</v>
      </c>
      <c r="O255" s="50">
        <v>150438.74134800001</v>
      </c>
      <c r="P255" s="50">
        <v>7075.7439999999988</v>
      </c>
      <c r="Q255" s="50">
        <v>143362.997348</v>
      </c>
      <c r="R255" s="50">
        <v>52610</v>
      </c>
      <c r="S255" s="50">
        <v>90752.997348000004</v>
      </c>
      <c r="T255" s="50">
        <v>99173007.030494198</v>
      </c>
      <c r="U255" s="50">
        <v>8.718365936737359E-4</v>
      </c>
      <c r="V255" s="50">
        <v>0.52</v>
      </c>
      <c r="W255" s="50">
        <v>0.95272507972710996</v>
      </c>
      <c r="X255" s="50" t="s">
        <v>7159</v>
      </c>
      <c r="Y255" s="50">
        <v>0.32</v>
      </c>
    </row>
    <row r="256" spans="2:25" x14ac:dyDescent="0.2">
      <c r="B256" s="50" t="s">
        <v>9</v>
      </c>
      <c r="C256" s="50" t="s">
        <v>273</v>
      </c>
      <c r="D256" s="50"/>
      <c r="E256" s="50"/>
      <c r="F256" s="50" t="s">
        <v>12</v>
      </c>
      <c r="G256" s="50" t="s">
        <v>1962</v>
      </c>
      <c r="H256" s="50" t="s">
        <v>15</v>
      </c>
      <c r="I256" s="50" t="s">
        <v>1120</v>
      </c>
      <c r="J256" s="50" t="s">
        <v>16</v>
      </c>
      <c r="K256" s="50" t="s">
        <v>7158</v>
      </c>
      <c r="L256" s="50">
        <v>68</v>
      </c>
      <c r="M256" s="50">
        <v>2.72</v>
      </c>
      <c r="N256" s="50">
        <v>1.0931780366056572</v>
      </c>
      <c r="O256" s="50">
        <v>213121.55024300001</v>
      </c>
      <c r="P256" s="50">
        <v>55527.304000000004</v>
      </c>
      <c r="Q256" s="50">
        <v>157594.246243</v>
      </c>
      <c r="R256" s="50">
        <v>66874.530820725136</v>
      </c>
      <c r="S256" s="50">
        <v>90719.715422274865</v>
      </c>
      <c r="T256" s="50">
        <v>99263726.745916471</v>
      </c>
      <c r="U256" s="50">
        <v>8.7151686428073478E-4</v>
      </c>
      <c r="V256" s="50">
        <v>0.96</v>
      </c>
      <c r="W256" s="50">
        <v>0.95359659659139073</v>
      </c>
      <c r="X256" s="50" t="s">
        <v>7163</v>
      </c>
      <c r="Y256" s="50">
        <v>0.32</v>
      </c>
    </row>
    <row r="257" spans="2:25" x14ac:dyDescent="0.2">
      <c r="B257" s="50" t="s">
        <v>9</v>
      </c>
      <c r="C257" s="50" t="s">
        <v>449</v>
      </c>
      <c r="D257" s="50"/>
      <c r="E257" s="50"/>
      <c r="F257" s="50" t="s">
        <v>12</v>
      </c>
      <c r="G257" s="50" t="s">
        <v>1962</v>
      </c>
      <c r="H257" s="50" t="s">
        <v>15</v>
      </c>
      <c r="I257" s="50" t="s">
        <v>1120</v>
      </c>
      <c r="J257" s="50" t="s">
        <v>16</v>
      </c>
      <c r="K257" s="50" t="s">
        <v>7158</v>
      </c>
      <c r="L257" s="50">
        <v>26</v>
      </c>
      <c r="M257" s="50">
        <v>1.82</v>
      </c>
      <c r="N257" s="50">
        <v>0.47387211944173968</v>
      </c>
      <c r="O257" s="50">
        <v>142603.39023612498</v>
      </c>
      <c r="P257" s="50">
        <v>22919.298999999999</v>
      </c>
      <c r="Q257" s="50">
        <v>119684.09123612498</v>
      </c>
      <c r="R257" s="50">
        <v>28988.851399802239</v>
      </c>
      <c r="S257" s="50">
        <v>90695.23983632274</v>
      </c>
      <c r="T257" s="50">
        <v>99354421.985752791</v>
      </c>
      <c r="U257" s="50">
        <v>8.7128173473010587E-4</v>
      </c>
      <c r="V257" s="50">
        <v>0.92999999999999994</v>
      </c>
      <c r="W257" s="50">
        <v>0.95446787832612079</v>
      </c>
      <c r="X257" s="50" t="s">
        <v>7161</v>
      </c>
      <c r="Y257" s="50">
        <v>0.32</v>
      </c>
    </row>
    <row r="258" spans="2:25" x14ac:dyDescent="0.2">
      <c r="B258" s="50" t="s">
        <v>9</v>
      </c>
      <c r="C258" s="50" t="s">
        <v>456</v>
      </c>
      <c r="D258" s="50"/>
      <c r="E258" s="50"/>
      <c r="F258" s="50" t="s">
        <v>12</v>
      </c>
      <c r="G258" s="50" t="s">
        <v>1962</v>
      </c>
      <c r="H258" s="50" t="s">
        <v>15</v>
      </c>
      <c r="I258" s="50" t="s">
        <v>1120</v>
      </c>
      <c r="J258" s="50" t="s">
        <v>16</v>
      </c>
      <c r="K258" s="50" t="s">
        <v>7158</v>
      </c>
      <c r="L258" s="50">
        <v>16</v>
      </c>
      <c r="M258" s="50">
        <v>1.76</v>
      </c>
      <c r="N258" s="50">
        <v>0.53440702781844807</v>
      </c>
      <c r="O258" s="50">
        <v>137902.179569</v>
      </c>
      <c r="P258" s="50">
        <v>15489.431999999999</v>
      </c>
      <c r="Q258" s="50">
        <v>122412.747569</v>
      </c>
      <c r="R258" s="50">
        <v>32692.039225033197</v>
      </c>
      <c r="S258" s="50">
        <v>89720.708343966806</v>
      </c>
      <c r="T258" s="50">
        <v>99444142.694096759</v>
      </c>
      <c r="U258" s="50">
        <v>8.6191970546879791E-4</v>
      </c>
      <c r="V258" s="50">
        <v>0.89</v>
      </c>
      <c r="W258" s="50">
        <v>0.95532979803158957</v>
      </c>
      <c r="X258" s="50" t="s">
        <v>7161</v>
      </c>
      <c r="Y258" s="50">
        <v>0.32</v>
      </c>
    </row>
    <row r="259" spans="2:25" x14ac:dyDescent="0.2">
      <c r="B259" s="50" t="s">
        <v>9</v>
      </c>
      <c r="C259" s="50" t="s">
        <v>201</v>
      </c>
      <c r="D259" s="50"/>
      <c r="E259" s="50"/>
      <c r="F259" s="50" t="s">
        <v>12</v>
      </c>
      <c r="G259" s="50" t="s">
        <v>1962</v>
      </c>
      <c r="H259" s="50" t="s">
        <v>15</v>
      </c>
      <c r="I259" s="50" t="s">
        <v>1120</v>
      </c>
      <c r="J259" s="50" t="s">
        <v>16</v>
      </c>
      <c r="K259" s="50" t="s">
        <v>7158</v>
      </c>
      <c r="L259" s="50">
        <v>90</v>
      </c>
      <c r="M259" s="50">
        <v>2.7</v>
      </c>
      <c r="N259" s="50">
        <v>0.86</v>
      </c>
      <c r="O259" s="50">
        <v>211554.48002062499</v>
      </c>
      <c r="P259" s="50">
        <v>71544.014999999999</v>
      </c>
      <c r="Q259" s="50">
        <v>140010.46502062498</v>
      </c>
      <c r="R259" s="50">
        <v>52610</v>
      </c>
      <c r="S259" s="50">
        <v>87400.465020624979</v>
      </c>
      <c r="T259" s="50">
        <v>99531543.159117386</v>
      </c>
      <c r="U259" s="50">
        <v>8.3962982971119953E-4</v>
      </c>
      <c r="V259" s="50">
        <v>0.97</v>
      </c>
      <c r="W259" s="50">
        <v>0.95616942786130077</v>
      </c>
      <c r="X259" s="50" t="s">
        <v>7162</v>
      </c>
      <c r="Y259" s="50">
        <v>0.32</v>
      </c>
    </row>
    <row r="260" spans="2:25" x14ac:dyDescent="0.2">
      <c r="B260" s="50" t="s">
        <v>9</v>
      </c>
      <c r="C260" s="50" t="s">
        <v>490</v>
      </c>
      <c r="D260" s="50"/>
      <c r="E260" s="50"/>
      <c r="F260" s="50" t="s">
        <v>12</v>
      </c>
      <c r="G260" s="50" t="s">
        <v>1962</v>
      </c>
      <c r="H260" s="50" t="s">
        <v>15</v>
      </c>
      <c r="I260" s="50" t="s">
        <v>1120</v>
      </c>
      <c r="J260" s="50" t="s">
        <v>16</v>
      </c>
      <c r="K260" s="50" t="s">
        <v>7158</v>
      </c>
      <c r="L260" s="50">
        <v>50</v>
      </c>
      <c r="M260" s="50">
        <v>3</v>
      </c>
      <c r="N260" s="50">
        <v>1.7257683215130024</v>
      </c>
      <c r="O260" s="50">
        <v>235060.53335625</v>
      </c>
      <c r="P260" s="50">
        <v>42993.35</v>
      </c>
      <c r="Q260" s="50">
        <v>192067.18335625</v>
      </c>
      <c r="R260" s="50">
        <v>105572.87371488263</v>
      </c>
      <c r="S260" s="50">
        <v>86494.309641367363</v>
      </c>
      <c r="T260" s="50">
        <v>99618037.468758747</v>
      </c>
      <c r="U260" s="50">
        <v>8.3092466908535605E-4</v>
      </c>
      <c r="V260" s="50">
        <v>0.94</v>
      </c>
      <c r="W260" s="50">
        <v>0.95700035253038618</v>
      </c>
      <c r="X260" s="50" t="s">
        <v>7159</v>
      </c>
      <c r="Y260" s="50">
        <v>0.32</v>
      </c>
    </row>
    <row r="261" spans="2:25" x14ac:dyDescent="0.2">
      <c r="B261" s="50" t="s">
        <v>9</v>
      </c>
      <c r="C261" s="50" t="s">
        <v>121</v>
      </c>
      <c r="D261" s="50"/>
      <c r="E261" s="50"/>
      <c r="F261" s="50" t="s">
        <v>12</v>
      </c>
      <c r="G261" s="51" t="s">
        <v>1962</v>
      </c>
      <c r="H261" s="50" t="s">
        <v>15</v>
      </c>
      <c r="I261" s="50" t="s">
        <v>1120</v>
      </c>
      <c r="J261" s="50" t="s">
        <v>16</v>
      </c>
      <c r="K261" s="50" t="s">
        <v>7158</v>
      </c>
      <c r="L261" s="50">
        <v>32</v>
      </c>
      <c r="M261" s="50">
        <v>2.56</v>
      </c>
      <c r="N261" s="50">
        <v>1.4235569422776913</v>
      </c>
      <c r="O261" s="50">
        <v>200584.98846399999</v>
      </c>
      <c r="P261" s="50">
        <v>28900.992000000002</v>
      </c>
      <c r="Q261" s="50">
        <v>171683.996464</v>
      </c>
      <c r="R261" s="50">
        <v>87085.268294452719</v>
      </c>
      <c r="S261" s="50">
        <v>84598.728169547278</v>
      </c>
      <c r="T261" s="50">
        <v>99702636.196928293</v>
      </c>
      <c r="U261" s="50">
        <v>8.1271439127948372E-4</v>
      </c>
      <c r="V261" s="50">
        <v>0.92</v>
      </c>
      <c r="W261" s="50">
        <v>0.95781306692166568</v>
      </c>
      <c r="X261" s="50" t="s">
        <v>7160</v>
      </c>
      <c r="Y261" s="50">
        <v>0.32</v>
      </c>
    </row>
    <row r="262" spans="2:25" x14ac:dyDescent="0.2">
      <c r="B262" s="50" t="s">
        <v>9</v>
      </c>
      <c r="C262" s="50" t="s">
        <v>485</v>
      </c>
      <c r="D262" s="50"/>
      <c r="E262" s="50"/>
      <c r="F262" s="50" t="s">
        <v>12</v>
      </c>
      <c r="G262" s="50" t="s">
        <v>1962</v>
      </c>
      <c r="H262" s="50" t="s">
        <v>15</v>
      </c>
      <c r="I262" s="50" t="s">
        <v>1120</v>
      </c>
      <c r="J262" s="50" t="s">
        <v>16</v>
      </c>
      <c r="K262" s="50" t="s">
        <v>7158</v>
      </c>
      <c r="L262" s="50">
        <v>48</v>
      </c>
      <c r="M262" s="50">
        <v>1.92</v>
      </c>
      <c r="N262" s="50">
        <v>0.43582089552238806</v>
      </c>
      <c r="O262" s="50">
        <v>150438.74134800001</v>
      </c>
      <c r="P262" s="50">
        <v>39195.743999999999</v>
      </c>
      <c r="Q262" s="50">
        <v>111242.997348</v>
      </c>
      <c r="R262" s="50">
        <v>26661.08989934051</v>
      </c>
      <c r="S262" s="50">
        <v>84581.907448659491</v>
      </c>
      <c r="T262" s="50">
        <v>99787218.104376957</v>
      </c>
      <c r="U262" s="50">
        <v>8.1255279970200993E-4</v>
      </c>
      <c r="V262" s="50">
        <v>0.96</v>
      </c>
      <c r="W262" s="50">
        <v>0.95862561972136773</v>
      </c>
      <c r="X262" s="50" t="s">
        <v>7159</v>
      </c>
      <c r="Y262" s="50">
        <v>0.32</v>
      </c>
    </row>
    <row r="263" spans="2:25" x14ac:dyDescent="0.2">
      <c r="B263" s="50" t="s">
        <v>9</v>
      </c>
      <c r="C263" s="50" t="s">
        <v>309</v>
      </c>
      <c r="D263" s="50"/>
      <c r="E263" s="50"/>
      <c r="F263" s="50" t="s">
        <v>12</v>
      </c>
      <c r="G263" s="50" t="s">
        <v>1962</v>
      </c>
      <c r="H263" s="50" t="s">
        <v>15</v>
      </c>
      <c r="I263" s="50" t="s">
        <v>1120</v>
      </c>
      <c r="J263" s="50" t="s">
        <v>16</v>
      </c>
      <c r="K263" s="50" t="s">
        <v>7158</v>
      </c>
      <c r="L263" s="50">
        <v>32</v>
      </c>
      <c r="M263" s="50">
        <v>1.92</v>
      </c>
      <c r="N263" s="50">
        <v>0.65412186379928317</v>
      </c>
      <c r="O263" s="50">
        <v>150438.74134800001</v>
      </c>
      <c r="P263" s="50">
        <v>27515.743999999999</v>
      </c>
      <c r="Q263" s="50">
        <v>122922.997348</v>
      </c>
      <c r="R263" s="50">
        <v>40015.524714511965</v>
      </c>
      <c r="S263" s="50">
        <v>82907.47263348804</v>
      </c>
      <c r="T263" s="50">
        <v>99870125.577010438</v>
      </c>
      <c r="U263" s="50">
        <v>7.964670109319714E-4</v>
      </c>
      <c r="V263" s="50">
        <v>0.94</v>
      </c>
      <c r="W263" s="50">
        <v>0.95942208673229967</v>
      </c>
      <c r="X263" s="50" t="s">
        <v>7161</v>
      </c>
      <c r="Y263" s="50">
        <v>0.32</v>
      </c>
    </row>
    <row r="264" spans="2:25" x14ac:dyDescent="0.2">
      <c r="B264" s="50" t="s">
        <v>9</v>
      </c>
      <c r="C264" s="50" t="s">
        <v>488</v>
      </c>
      <c r="D264" s="50"/>
      <c r="E264" s="50"/>
      <c r="F264" s="50" t="s">
        <v>14</v>
      </c>
      <c r="G264" s="51" t="s">
        <v>1962</v>
      </c>
      <c r="H264" s="50" t="s">
        <v>15</v>
      </c>
      <c r="I264" s="50" t="s">
        <v>1120</v>
      </c>
      <c r="J264" s="50" t="s">
        <v>16</v>
      </c>
      <c r="K264" s="50" t="s">
        <v>7158</v>
      </c>
      <c r="L264" s="50">
        <v>14</v>
      </c>
      <c r="M264" s="50">
        <v>1.82</v>
      </c>
      <c r="N264" s="50">
        <v>0.74795081967213117</v>
      </c>
      <c r="O264" s="50">
        <v>142603.39023612498</v>
      </c>
      <c r="P264" s="50">
        <v>14159.299000000001</v>
      </c>
      <c r="Q264" s="50">
        <v>128444.09123612498</v>
      </c>
      <c r="R264" s="50">
        <v>45755.456538314902</v>
      </c>
      <c r="S264" s="50">
        <v>82688.634697810077</v>
      </c>
      <c r="T264" s="50">
        <v>99952814.211708248</v>
      </c>
      <c r="U264" s="50">
        <v>7.9436470108013848E-4</v>
      </c>
      <c r="V264" s="50">
        <v>0.87</v>
      </c>
      <c r="W264" s="50">
        <v>0.96021645143337986</v>
      </c>
      <c r="X264" s="50" t="s">
        <v>7163</v>
      </c>
      <c r="Y264" s="50">
        <v>0.32</v>
      </c>
    </row>
    <row r="265" spans="2:25" x14ac:dyDescent="0.2">
      <c r="B265" s="50" t="s">
        <v>9</v>
      </c>
      <c r="C265" s="50" t="s">
        <v>672</v>
      </c>
      <c r="D265" s="50"/>
      <c r="E265" s="50"/>
      <c r="F265" s="50" t="s">
        <v>14</v>
      </c>
      <c r="G265" s="50" t="s">
        <v>1962</v>
      </c>
      <c r="H265" s="50" t="s">
        <v>589</v>
      </c>
      <c r="I265" s="50" t="s">
        <v>1120</v>
      </c>
      <c r="J265" s="50" t="s">
        <v>590</v>
      </c>
      <c r="K265" s="50" t="s">
        <v>7158</v>
      </c>
      <c r="L265" s="50">
        <v>35</v>
      </c>
      <c r="M265" s="50">
        <v>2.1</v>
      </c>
      <c r="N265" s="50">
        <v>0.86</v>
      </c>
      <c r="O265" s="50">
        <v>164542.373349375</v>
      </c>
      <c r="P265" s="50">
        <v>30095.345000000001</v>
      </c>
      <c r="Q265" s="50">
        <v>134447.028349375</v>
      </c>
      <c r="R265" s="50">
        <v>52610</v>
      </c>
      <c r="S265" s="50">
        <v>81837.028349375003</v>
      </c>
      <c r="T265" s="50">
        <v>100034651.24005762</v>
      </c>
      <c r="U265" s="50">
        <v>7.8618357649288628E-4</v>
      </c>
      <c r="V265" s="50">
        <v>0.94</v>
      </c>
      <c r="W265" s="50">
        <v>0.96100263500987271</v>
      </c>
      <c r="X265" s="50" t="s">
        <v>7163</v>
      </c>
      <c r="Y265" s="50">
        <v>0.32</v>
      </c>
    </row>
    <row r="266" spans="2:25" x14ac:dyDescent="0.2">
      <c r="B266" s="50" t="s">
        <v>9</v>
      </c>
      <c r="C266" s="50" t="s">
        <v>7172</v>
      </c>
      <c r="D266" s="50"/>
      <c r="E266" s="50"/>
      <c r="F266" s="50" t="s">
        <v>14</v>
      </c>
      <c r="G266" s="51" t="s">
        <v>527</v>
      </c>
      <c r="H266" s="50" t="s">
        <v>32</v>
      </c>
      <c r="I266" s="50" t="s">
        <v>1120</v>
      </c>
      <c r="J266" s="50" t="s">
        <v>33</v>
      </c>
      <c r="K266" s="50" t="s">
        <v>7158</v>
      </c>
      <c r="L266" s="50">
        <v>14</v>
      </c>
      <c r="M266" s="50">
        <v>1.82</v>
      </c>
      <c r="N266" s="50">
        <v>0.76772836538461531</v>
      </c>
      <c r="O266" s="50">
        <v>142603.39023612498</v>
      </c>
      <c r="P266" s="50">
        <v>14159.299000000001</v>
      </c>
      <c r="Q266" s="50">
        <v>128444.09123612498</v>
      </c>
      <c r="R266" s="50">
        <v>46965.336398703039</v>
      </c>
      <c r="S266" s="50">
        <v>81478.754837421933</v>
      </c>
      <c r="T266" s="50">
        <v>100116129.99489504</v>
      </c>
      <c r="U266" s="50">
        <v>7.827417512376064E-4</v>
      </c>
      <c r="V266" s="50">
        <v>0.87</v>
      </c>
      <c r="W266" s="50">
        <v>0.96178537676111031</v>
      </c>
      <c r="X266" s="50" t="s">
        <v>7160</v>
      </c>
      <c r="Y266" s="50">
        <v>0.32</v>
      </c>
    </row>
    <row r="267" spans="2:25" x14ac:dyDescent="0.2">
      <c r="B267" s="50" t="s">
        <v>9</v>
      </c>
      <c r="C267" s="50" t="s">
        <v>290</v>
      </c>
      <c r="D267" s="50"/>
      <c r="E267" s="50"/>
      <c r="F267" s="50" t="s">
        <v>14</v>
      </c>
      <c r="G267" s="50" t="s">
        <v>1962</v>
      </c>
      <c r="H267" s="50" t="s">
        <v>15</v>
      </c>
      <c r="I267" s="50" t="s">
        <v>1120</v>
      </c>
      <c r="J267" s="50" t="s">
        <v>16</v>
      </c>
      <c r="K267" s="50" t="s">
        <v>7158</v>
      </c>
      <c r="L267" s="50">
        <v>18</v>
      </c>
      <c r="M267" s="50">
        <v>1.44</v>
      </c>
      <c r="N267" s="50">
        <v>0.25569176882661998</v>
      </c>
      <c r="O267" s="50">
        <v>112829.05601099999</v>
      </c>
      <c r="P267" s="50">
        <v>16256.808000000001</v>
      </c>
      <c r="Q267" s="50">
        <v>96572.248010999989</v>
      </c>
      <c r="R267" s="50">
        <v>15641.795299963347</v>
      </c>
      <c r="S267" s="50">
        <v>80930.452711036647</v>
      </c>
      <c r="T267" s="50">
        <v>100197060.44760607</v>
      </c>
      <c r="U267" s="50">
        <v>7.7747437856517812E-4</v>
      </c>
      <c r="V267" s="50">
        <v>0.91999999999999993</v>
      </c>
      <c r="W267" s="50">
        <v>0.96256285113967543</v>
      </c>
      <c r="X267" s="50" t="s">
        <v>7162</v>
      </c>
      <c r="Y267" s="50">
        <v>0.32</v>
      </c>
    </row>
    <row r="268" spans="2:25" x14ac:dyDescent="0.2">
      <c r="B268" s="50" t="s">
        <v>9</v>
      </c>
      <c r="C268" s="50" t="s">
        <v>296</v>
      </c>
      <c r="D268" s="50"/>
      <c r="E268" s="50"/>
      <c r="F268" s="50" t="s">
        <v>14</v>
      </c>
      <c r="G268" s="50" t="s">
        <v>1962</v>
      </c>
      <c r="H268" s="50" t="s">
        <v>15</v>
      </c>
      <c r="I268" s="50" t="s">
        <v>1120</v>
      </c>
      <c r="J268" s="50" t="s">
        <v>16</v>
      </c>
      <c r="K268" s="50" t="s">
        <v>7158</v>
      </c>
      <c r="L268" s="50">
        <v>26</v>
      </c>
      <c r="M268" s="50">
        <v>2.08</v>
      </c>
      <c r="N268" s="50">
        <v>0.95800524934383202</v>
      </c>
      <c r="O268" s="50">
        <v>162975.30312699999</v>
      </c>
      <c r="P268" s="50">
        <v>23482.056</v>
      </c>
      <c r="Q268" s="50">
        <v>139493.24712699998</v>
      </c>
      <c r="R268" s="50">
        <v>58605.414148812801</v>
      </c>
      <c r="S268" s="50">
        <v>80887.832978187187</v>
      </c>
      <c r="T268" s="50">
        <v>100277948.28058426</v>
      </c>
      <c r="U268" s="50">
        <v>7.7706494368372432E-4</v>
      </c>
      <c r="V268" s="50">
        <v>0.92</v>
      </c>
      <c r="W268" s="50">
        <v>0.96333991608335912</v>
      </c>
      <c r="X268" s="50" t="s">
        <v>7161</v>
      </c>
      <c r="Y268" s="50">
        <v>0.32</v>
      </c>
    </row>
    <row r="269" spans="2:25" x14ac:dyDescent="0.2">
      <c r="B269" s="50" t="s">
        <v>9</v>
      </c>
      <c r="C269" s="50" t="s">
        <v>468</v>
      </c>
      <c r="D269" s="50"/>
      <c r="E269" s="50"/>
      <c r="F269" s="50" t="s">
        <v>14</v>
      </c>
      <c r="G269" s="50" t="s">
        <v>1962</v>
      </c>
      <c r="H269" s="50" t="s">
        <v>15</v>
      </c>
      <c r="I269" s="50" t="s">
        <v>1120</v>
      </c>
      <c r="J269" s="50" t="s">
        <v>16</v>
      </c>
      <c r="K269" s="50" t="s">
        <v>7158</v>
      </c>
      <c r="L269" s="50">
        <v>2</v>
      </c>
      <c r="M269" s="50">
        <v>1.7</v>
      </c>
      <c r="N269" s="50">
        <v>0.80278592375366575</v>
      </c>
      <c r="O269" s="50">
        <v>133200.96890187499</v>
      </c>
      <c r="P269" s="50">
        <v>5139.5649999999996</v>
      </c>
      <c r="Q269" s="50">
        <v>128061.40390187499</v>
      </c>
      <c r="R269" s="50">
        <v>49109.962149628322</v>
      </c>
      <c r="S269" s="50">
        <v>78951.441752246668</v>
      </c>
      <c r="T269" s="50">
        <v>100356899.7223365</v>
      </c>
      <c r="U269" s="50">
        <v>7.5846261891454798E-4</v>
      </c>
      <c r="V269" s="50">
        <v>0.15000000000000002</v>
      </c>
      <c r="W269" s="50">
        <v>0.96409837870227366</v>
      </c>
      <c r="X269" s="50" t="s">
        <v>7160</v>
      </c>
      <c r="Y269" s="50">
        <v>0.32</v>
      </c>
    </row>
    <row r="270" spans="2:25" x14ac:dyDescent="0.2">
      <c r="B270" s="50" t="s">
        <v>9</v>
      </c>
      <c r="C270" s="50" t="s">
        <v>126</v>
      </c>
      <c r="D270" s="50"/>
      <c r="E270" s="50"/>
      <c r="F270" s="50" t="s">
        <v>14</v>
      </c>
      <c r="G270" s="50" t="s">
        <v>1962</v>
      </c>
      <c r="H270" s="50" t="s">
        <v>15</v>
      </c>
      <c r="I270" s="50" t="s">
        <v>1120</v>
      </c>
      <c r="J270" s="50" t="s">
        <v>16</v>
      </c>
      <c r="K270" s="50" t="s">
        <v>7158</v>
      </c>
      <c r="L270" s="50">
        <v>8</v>
      </c>
      <c r="M270" s="50">
        <v>1.52</v>
      </c>
      <c r="N270" s="50">
        <v>0.51138353765323996</v>
      </c>
      <c r="O270" s="50">
        <v>119097.3369005</v>
      </c>
      <c r="P270" s="50">
        <v>9129.9639999999999</v>
      </c>
      <c r="Q270" s="50">
        <v>109967.37290049999</v>
      </c>
      <c r="R270" s="50">
        <v>31283.590599926694</v>
      </c>
      <c r="S270" s="50">
        <v>78683.782300573293</v>
      </c>
      <c r="T270" s="50">
        <v>100435583.50463708</v>
      </c>
      <c r="U270" s="50">
        <v>7.5589129552655371E-4</v>
      </c>
      <c r="V270" s="50">
        <v>0.81</v>
      </c>
      <c r="W270" s="50">
        <v>0.96485426999780022</v>
      </c>
      <c r="X270" s="50" t="s">
        <v>7161</v>
      </c>
      <c r="Y270" s="50">
        <v>0.32</v>
      </c>
    </row>
    <row r="271" spans="2:25" x14ac:dyDescent="0.2">
      <c r="B271" s="50" t="s">
        <v>9</v>
      </c>
      <c r="C271" s="50" t="s">
        <v>70</v>
      </c>
      <c r="D271" s="50"/>
      <c r="E271" s="50"/>
      <c r="F271" s="50" t="s">
        <v>14</v>
      </c>
      <c r="G271" s="50" t="s">
        <v>1962</v>
      </c>
      <c r="H271" s="50" t="s">
        <v>15</v>
      </c>
      <c r="I271" s="50" t="s">
        <v>1120</v>
      </c>
      <c r="J271" s="50" t="s">
        <v>16</v>
      </c>
      <c r="K271" s="50" t="s">
        <v>7158</v>
      </c>
      <c r="L271" s="50">
        <v>53</v>
      </c>
      <c r="M271" s="50">
        <v>2.2789999999999999</v>
      </c>
      <c r="N271" s="50">
        <v>0.92171717171717182</v>
      </c>
      <c r="O271" s="50">
        <v>178567.65183963123</v>
      </c>
      <c r="P271" s="50">
        <v>43622.78155</v>
      </c>
      <c r="Q271" s="50">
        <v>134944.87028963125</v>
      </c>
      <c r="R271" s="50">
        <v>56385.51209772141</v>
      </c>
      <c r="S271" s="50">
        <v>78559.358191909836</v>
      </c>
      <c r="T271" s="50">
        <v>100514142.86282898</v>
      </c>
      <c r="U271" s="50">
        <v>7.546959907516373E-4</v>
      </c>
      <c r="V271" s="50">
        <v>0.95700000000000007</v>
      </c>
      <c r="W271" s="50">
        <v>0.96560896598855184</v>
      </c>
      <c r="X271" s="50" t="s">
        <v>7162</v>
      </c>
      <c r="Y271" s="50">
        <v>0.32</v>
      </c>
    </row>
    <row r="272" spans="2:25" x14ac:dyDescent="0.2">
      <c r="B272" s="50" t="s">
        <v>9</v>
      </c>
      <c r="C272" s="50" t="s">
        <v>79</v>
      </c>
      <c r="D272" s="50"/>
      <c r="E272" s="50"/>
      <c r="F272" s="50" t="s">
        <v>14</v>
      </c>
      <c r="G272" s="50" t="s">
        <v>1962</v>
      </c>
      <c r="H272" s="50" t="s">
        <v>15</v>
      </c>
      <c r="I272" s="50" t="s">
        <v>1120</v>
      </c>
      <c r="J272" s="50" t="s">
        <v>16</v>
      </c>
      <c r="K272" s="50" t="s">
        <v>7158</v>
      </c>
      <c r="L272" s="50">
        <v>15</v>
      </c>
      <c r="M272" s="50">
        <v>1.35</v>
      </c>
      <c r="N272" s="50">
        <v>0.27208348863212822</v>
      </c>
      <c r="O272" s="50">
        <v>105777.2400103125</v>
      </c>
      <c r="P272" s="50">
        <v>13872.0075</v>
      </c>
      <c r="Q272" s="50">
        <v>91905.232510312489</v>
      </c>
      <c r="R272" s="50">
        <v>16644.549228995656</v>
      </c>
      <c r="S272" s="50">
        <v>75260.683281316829</v>
      </c>
      <c r="T272" s="50">
        <v>100589403.5461103</v>
      </c>
      <c r="U272" s="50">
        <v>7.2300661870081107E-4</v>
      </c>
      <c r="V272" s="50">
        <v>0.91</v>
      </c>
      <c r="W272" s="50">
        <v>0.96633197260725268</v>
      </c>
      <c r="X272" s="50" t="s">
        <v>7159</v>
      </c>
      <c r="Y272" s="50">
        <v>0.32</v>
      </c>
    </row>
    <row r="273" spans="2:25" x14ac:dyDescent="0.2">
      <c r="B273" s="50" t="s">
        <v>9</v>
      </c>
      <c r="C273" s="50" t="s">
        <v>417</v>
      </c>
      <c r="D273" s="50"/>
      <c r="E273" s="50"/>
      <c r="F273" s="50" t="s">
        <v>14</v>
      </c>
      <c r="G273" s="50" t="s">
        <v>1962</v>
      </c>
      <c r="H273" s="50" t="s">
        <v>32</v>
      </c>
      <c r="I273" s="50" t="s">
        <v>1120</v>
      </c>
      <c r="J273" s="50" t="s">
        <v>33</v>
      </c>
      <c r="K273" s="50" t="s">
        <v>7158</v>
      </c>
      <c r="L273" s="50">
        <v>3</v>
      </c>
      <c r="M273" s="50">
        <v>1.5</v>
      </c>
      <c r="N273" s="50">
        <v>0.61036789297658867</v>
      </c>
      <c r="O273" s="50">
        <v>117530.266678125</v>
      </c>
      <c r="P273" s="50">
        <v>5436.6750000000002</v>
      </c>
      <c r="Q273" s="50">
        <v>112093.591678125</v>
      </c>
      <c r="R273" s="50">
        <v>37338.900987788751</v>
      </c>
      <c r="S273" s="50">
        <v>74754.690690336254</v>
      </c>
      <c r="T273" s="50">
        <v>100664158.23680064</v>
      </c>
      <c r="U273" s="50">
        <v>7.181457009368164E-4</v>
      </c>
      <c r="V273" s="50">
        <v>0.5</v>
      </c>
      <c r="W273" s="50">
        <v>0.96705011830818954</v>
      </c>
      <c r="X273" s="50" t="s">
        <v>7160</v>
      </c>
      <c r="Y273" s="50">
        <v>0.32</v>
      </c>
    </row>
    <row r="274" spans="2:25" x14ac:dyDescent="0.2">
      <c r="B274" s="50" t="s">
        <v>9</v>
      </c>
      <c r="C274" s="50" t="s">
        <v>120</v>
      </c>
      <c r="D274" s="50"/>
      <c r="E274" s="50"/>
      <c r="F274" s="50" t="s">
        <v>14</v>
      </c>
      <c r="G274" s="50" t="s">
        <v>1962</v>
      </c>
      <c r="H274" s="50" t="s">
        <v>15</v>
      </c>
      <c r="I274" s="50" t="s">
        <v>1120</v>
      </c>
      <c r="J274" s="50" t="s">
        <v>16</v>
      </c>
      <c r="K274" s="50" t="s">
        <v>7158</v>
      </c>
      <c r="L274" s="50">
        <v>71</v>
      </c>
      <c r="M274" s="50">
        <v>2.13</v>
      </c>
      <c r="N274" s="50">
        <v>0.5901374292643492</v>
      </c>
      <c r="O274" s="50">
        <v>166892.97868293751</v>
      </c>
      <c r="P274" s="50">
        <v>56440.2785</v>
      </c>
      <c r="Q274" s="50">
        <v>110452.70018293751</v>
      </c>
      <c r="R274" s="50">
        <v>36101.31413209001</v>
      </c>
      <c r="S274" s="50">
        <v>74351.386050847505</v>
      </c>
      <c r="T274" s="50">
        <v>100738509.62285149</v>
      </c>
      <c r="U274" s="50">
        <v>7.1427127526075423E-4</v>
      </c>
      <c r="V274" s="50">
        <v>0.97000000000000008</v>
      </c>
      <c r="W274" s="50">
        <v>0.96776438958345035</v>
      </c>
      <c r="X274" s="50" t="s">
        <v>7161</v>
      </c>
      <c r="Y274" s="50">
        <v>0.32</v>
      </c>
    </row>
    <row r="275" spans="2:25" x14ac:dyDescent="0.2">
      <c r="B275" s="50" t="s">
        <v>9</v>
      </c>
      <c r="C275" s="50" t="s">
        <v>112</v>
      </c>
      <c r="D275" s="50"/>
      <c r="E275" s="50"/>
      <c r="F275" s="50" t="s">
        <v>14</v>
      </c>
      <c r="G275" s="50" t="s">
        <v>1962</v>
      </c>
      <c r="H275" s="50" t="s">
        <v>15</v>
      </c>
      <c r="I275" s="50" t="s">
        <v>1120</v>
      </c>
      <c r="J275" s="50" t="s">
        <v>16</v>
      </c>
      <c r="K275" s="50" t="s">
        <v>7158</v>
      </c>
      <c r="L275" s="50">
        <v>9</v>
      </c>
      <c r="M275" s="50">
        <v>1.71</v>
      </c>
      <c r="N275" s="50">
        <v>0.81111111111111112</v>
      </c>
      <c r="O275" s="50">
        <v>133984.50401306248</v>
      </c>
      <c r="P275" s="50">
        <v>10271.209500000001</v>
      </c>
      <c r="Q275" s="50">
        <v>123713.29451306249</v>
      </c>
      <c r="R275" s="50">
        <v>49619.250645994834</v>
      </c>
      <c r="S275" s="50">
        <v>74094.043867067652</v>
      </c>
      <c r="T275" s="50">
        <v>100812603.66671856</v>
      </c>
      <c r="U275" s="50">
        <v>7.1179906674454559E-4</v>
      </c>
      <c r="V275" s="50">
        <v>0.81</v>
      </c>
      <c r="W275" s="50">
        <v>0.96847618865019491</v>
      </c>
      <c r="X275" s="50" t="s">
        <v>7160</v>
      </c>
      <c r="Y275" s="50">
        <v>0.32</v>
      </c>
    </row>
    <row r="276" spans="2:25" x14ac:dyDescent="0.2">
      <c r="B276" s="50" t="s">
        <v>9</v>
      </c>
      <c r="C276" s="50" t="s">
        <v>368</v>
      </c>
      <c r="D276" s="50"/>
      <c r="E276" s="50"/>
      <c r="F276" s="50" t="s">
        <v>14</v>
      </c>
      <c r="G276" s="50" t="s">
        <v>1962</v>
      </c>
      <c r="H276" s="50" t="s">
        <v>15</v>
      </c>
      <c r="I276" s="50" t="s">
        <v>1120</v>
      </c>
      <c r="J276" s="50" t="s">
        <v>16</v>
      </c>
      <c r="K276" s="50" t="s">
        <v>7158</v>
      </c>
      <c r="L276" s="50">
        <v>52</v>
      </c>
      <c r="M276" s="50">
        <v>1.56</v>
      </c>
      <c r="N276" s="50">
        <v>0.12495720643615199</v>
      </c>
      <c r="O276" s="50">
        <v>122231.47734524998</v>
      </c>
      <c r="P276" s="50">
        <v>41336.542000000001</v>
      </c>
      <c r="Q276" s="50">
        <v>80894.935345249978</v>
      </c>
      <c r="R276" s="50">
        <v>7644.1844541929722</v>
      </c>
      <c r="S276" s="50">
        <v>73250.750891057003</v>
      </c>
      <c r="T276" s="50">
        <v>100885854.41760962</v>
      </c>
      <c r="U276" s="50">
        <v>7.0369780621146508E-4</v>
      </c>
      <c r="V276" s="50">
        <v>0.97</v>
      </c>
      <c r="W276" s="50">
        <v>0.9691798864564064</v>
      </c>
      <c r="X276" s="50" t="s">
        <v>7163</v>
      </c>
      <c r="Y276" s="50">
        <v>0.32</v>
      </c>
    </row>
    <row r="277" spans="2:25" x14ac:dyDescent="0.2">
      <c r="B277" s="50" t="s">
        <v>9</v>
      </c>
      <c r="C277" s="50" t="s">
        <v>180</v>
      </c>
      <c r="D277" s="50"/>
      <c r="E277" s="50"/>
      <c r="F277" s="50" t="s">
        <v>14</v>
      </c>
      <c r="G277" s="50" t="s">
        <v>1962</v>
      </c>
      <c r="H277" s="50" t="s">
        <v>15</v>
      </c>
      <c r="I277" s="50" t="s">
        <v>1121</v>
      </c>
      <c r="J277" s="50" t="s">
        <v>16</v>
      </c>
      <c r="K277" s="50" t="s">
        <v>7158</v>
      </c>
      <c r="L277" s="50">
        <v>61</v>
      </c>
      <c r="M277" s="50">
        <v>3.05</v>
      </c>
      <c r="N277" s="50">
        <v>0.62931034482758619</v>
      </c>
      <c r="O277" s="50">
        <v>238978.20891218749</v>
      </c>
      <c r="P277" s="50">
        <v>51131.572500000002</v>
      </c>
      <c r="Q277" s="50">
        <v>187846.63641218748</v>
      </c>
      <c r="R277" s="50">
        <v>116166.75646551723</v>
      </c>
      <c r="S277" s="50">
        <v>71679.879946670248</v>
      </c>
      <c r="T277" s="50">
        <v>100957534.29755628</v>
      </c>
      <c r="U277" s="50">
        <v>6.8860692422104922E-4</v>
      </c>
      <c r="V277" s="50">
        <v>0.95000000000000007</v>
      </c>
      <c r="W277" s="50">
        <v>0.96986849338062742</v>
      </c>
      <c r="X277" s="50" t="s">
        <v>7161</v>
      </c>
      <c r="Y277" s="50">
        <v>0.62931034482758619</v>
      </c>
    </row>
    <row r="278" spans="2:25" x14ac:dyDescent="0.2">
      <c r="B278" s="50" t="s">
        <v>9</v>
      </c>
      <c r="C278" s="50" t="s">
        <v>377</v>
      </c>
      <c r="D278" s="50"/>
      <c r="E278" s="50"/>
      <c r="F278" s="50" t="s">
        <v>14</v>
      </c>
      <c r="G278" s="50" t="s">
        <v>1962</v>
      </c>
      <c r="H278" s="50" t="s">
        <v>15</v>
      </c>
      <c r="I278" s="50" t="s">
        <v>1120</v>
      </c>
      <c r="J278" s="50" t="s">
        <v>16</v>
      </c>
      <c r="K278" s="50" t="s">
        <v>7158</v>
      </c>
      <c r="L278" s="50">
        <v>3</v>
      </c>
      <c r="M278" s="50">
        <v>1.5</v>
      </c>
      <c r="N278" s="50">
        <v>0.66666666666666663</v>
      </c>
      <c r="O278" s="50">
        <v>117530.266678125</v>
      </c>
      <c r="P278" s="50">
        <v>5436.6750000000002</v>
      </c>
      <c r="Q278" s="50">
        <v>112093.591678125</v>
      </c>
      <c r="R278" s="50">
        <v>40782.945736434107</v>
      </c>
      <c r="S278" s="50">
        <v>71310.645941690891</v>
      </c>
      <c r="T278" s="50">
        <v>101028844.94349797</v>
      </c>
      <c r="U278" s="50">
        <v>6.8505980482470234E-4</v>
      </c>
      <c r="V278" s="50">
        <v>0.5</v>
      </c>
      <c r="W278" s="50">
        <v>0.97055355318545211</v>
      </c>
      <c r="X278" s="50" t="s">
        <v>7159</v>
      </c>
      <c r="Y278" s="50">
        <v>0.32</v>
      </c>
    </row>
    <row r="279" spans="2:25" x14ac:dyDescent="0.2">
      <c r="B279" s="50" t="s">
        <v>9</v>
      </c>
      <c r="C279" s="50" t="s">
        <v>447</v>
      </c>
      <c r="D279" s="50"/>
      <c r="E279" s="50"/>
      <c r="F279" s="50" t="s">
        <v>14</v>
      </c>
      <c r="G279" s="50" t="s">
        <v>1962</v>
      </c>
      <c r="H279" s="50" t="s">
        <v>15</v>
      </c>
      <c r="I279" s="50" t="s">
        <v>1120</v>
      </c>
      <c r="J279" s="50" t="s">
        <v>16</v>
      </c>
      <c r="K279" s="50" t="s">
        <v>7158</v>
      </c>
      <c r="L279" s="50">
        <v>45</v>
      </c>
      <c r="M279" s="50">
        <v>2.25</v>
      </c>
      <c r="N279" s="50">
        <v>1.1023027557568894</v>
      </c>
      <c r="O279" s="50">
        <v>176295.40001718749</v>
      </c>
      <c r="P279" s="50">
        <v>37720.012499999997</v>
      </c>
      <c r="Q279" s="50">
        <v>138575.38751718751</v>
      </c>
      <c r="R279" s="50">
        <v>67432.730209732501</v>
      </c>
      <c r="S279" s="50">
        <v>71142.657307455011</v>
      </c>
      <c r="T279" s="50">
        <v>101099987.60080543</v>
      </c>
      <c r="U279" s="50">
        <v>6.8344598883043266E-4</v>
      </c>
      <c r="V279" s="50">
        <v>0.95</v>
      </c>
      <c r="W279" s="50">
        <v>0.97123699917428252</v>
      </c>
      <c r="X279" s="50" t="s">
        <v>7161</v>
      </c>
      <c r="Y279" s="50">
        <v>0.32</v>
      </c>
    </row>
    <row r="280" spans="2:25" x14ac:dyDescent="0.2">
      <c r="B280" s="50" t="s">
        <v>9</v>
      </c>
      <c r="C280" s="50" t="s">
        <v>500</v>
      </c>
      <c r="D280" s="50"/>
      <c r="E280" s="50"/>
      <c r="F280" s="50" t="s">
        <v>14</v>
      </c>
      <c r="G280" s="50" t="s">
        <v>1962</v>
      </c>
      <c r="H280" s="50" t="s">
        <v>32</v>
      </c>
      <c r="I280" s="50" t="s">
        <v>1120</v>
      </c>
      <c r="J280" s="50" t="s">
        <v>33</v>
      </c>
      <c r="K280" s="50" t="s">
        <v>7158</v>
      </c>
      <c r="L280" s="50">
        <v>32</v>
      </c>
      <c r="M280" s="50">
        <v>1.92</v>
      </c>
      <c r="N280" s="50">
        <v>0.86</v>
      </c>
      <c r="O280" s="50">
        <v>150438.74134800001</v>
      </c>
      <c r="P280" s="50">
        <v>27515.743999999999</v>
      </c>
      <c r="Q280" s="50">
        <v>122922.997348</v>
      </c>
      <c r="R280" s="50">
        <v>52610</v>
      </c>
      <c r="S280" s="50">
        <v>70312.997348000004</v>
      </c>
      <c r="T280" s="50">
        <v>101170300.59815343</v>
      </c>
      <c r="U280" s="50">
        <v>6.7547569656355492E-4</v>
      </c>
      <c r="V280" s="50">
        <v>0.94</v>
      </c>
      <c r="W280" s="50">
        <v>0.97191247487084609</v>
      </c>
      <c r="X280" s="50" t="s">
        <v>7159</v>
      </c>
      <c r="Y280" s="50">
        <v>0.32</v>
      </c>
    </row>
    <row r="281" spans="2:25" x14ac:dyDescent="0.2">
      <c r="B281" s="50" t="s">
        <v>9</v>
      </c>
      <c r="C281" s="50" t="s">
        <v>496</v>
      </c>
      <c r="D281" s="50"/>
      <c r="E281" s="50"/>
      <c r="F281" s="50" t="s">
        <v>14</v>
      </c>
      <c r="G281" s="50" t="s">
        <v>1962</v>
      </c>
      <c r="H281" s="50" t="s">
        <v>15</v>
      </c>
      <c r="I281" s="50" t="s">
        <v>1120</v>
      </c>
      <c r="J281" s="50" t="s">
        <v>16</v>
      </c>
      <c r="K281" s="50" t="s">
        <v>7158</v>
      </c>
      <c r="L281" s="50">
        <v>20</v>
      </c>
      <c r="M281" s="50">
        <v>1.4</v>
      </c>
      <c r="N281" s="50">
        <v>0.37771645394963782</v>
      </c>
      <c r="O281" s="50">
        <v>109694.91556624998</v>
      </c>
      <c r="P281" s="50">
        <v>17630.23</v>
      </c>
      <c r="Q281" s="50">
        <v>92064.685566249987</v>
      </c>
      <c r="R281" s="50">
        <v>23106.584467779587</v>
      </c>
      <c r="S281" s="50">
        <v>68958.101098470404</v>
      </c>
      <c r="T281" s="50">
        <v>101239258.69925191</v>
      </c>
      <c r="U281" s="50">
        <v>6.6245961813650737E-4</v>
      </c>
      <c r="V281" s="50">
        <v>0.93</v>
      </c>
      <c r="W281" s="50">
        <v>0.97257493448898258</v>
      </c>
      <c r="X281" s="50" t="s">
        <v>7163</v>
      </c>
      <c r="Y281" s="50">
        <v>0.32</v>
      </c>
    </row>
    <row r="282" spans="2:25" x14ac:dyDescent="0.2">
      <c r="B282" s="50" t="s">
        <v>9</v>
      </c>
      <c r="C282" s="50" t="s">
        <v>206</v>
      </c>
      <c r="D282" s="50"/>
      <c r="E282" s="50"/>
      <c r="F282" s="50" t="s">
        <v>14</v>
      </c>
      <c r="G282" s="50" t="s">
        <v>1962</v>
      </c>
      <c r="H282" s="50" t="s">
        <v>32</v>
      </c>
      <c r="I282" s="50" t="s">
        <v>1120</v>
      </c>
      <c r="J282" s="50" t="s">
        <v>33</v>
      </c>
      <c r="K282" s="50" t="s">
        <v>7158</v>
      </c>
      <c r="L282" s="50">
        <v>8</v>
      </c>
      <c r="M282" s="50">
        <v>1.1759999999999999</v>
      </c>
      <c r="N282" s="50">
        <v>0.2430093209054594</v>
      </c>
      <c r="O282" s="50">
        <v>92143.729075650001</v>
      </c>
      <c r="P282" s="50">
        <v>8385.3931999999986</v>
      </c>
      <c r="Q282" s="50">
        <v>83758.335875649995</v>
      </c>
      <c r="R282" s="50">
        <v>14865.953921902581</v>
      </c>
      <c r="S282" s="50">
        <v>68892.381953747419</v>
      </c>
      <c r="T282" s="50">
        <v>101308151.08120565</v>
      </c>
      <c r="U282" s="50">
        <v>6.6182827419251911E-4</v>
      </c>
      <c r="V282" s="50">
        <v>0.85299999999999998</v>
      </c>
      <c r="W282" s="50">
        <v>0.97323676276317506</v>
      </c>
      <c r="X282" s="50" t="s">
        <v>7162</v>
      </c>
      <c r="Y282" s="50">
        <v>0.32</v>
      </c>
    </row>
    <row r="283" spans="2:25" x14ac:dyDescent="0.2">
      <c r="B283" s="50" t="s">
        <v>9</v>
      </c>
      <c r="C283" s="50" t="s">
        <v>43</v>
      </c>
      <c r="D283" s="50"/>
      <c r="E283" s="50"/>
      <c r="F283" s="50" t="s">
        <v>14</v>
      </c>
      <c r="G283" s="50" t="s">
        <v>1962</v>
      </c>
      <c r="H283" s="50" t="s">
        <v>32</v>
      </c>
      <c r="I283" s="50" t="s">
        <v>1120</v>
      </c>
      <c r="J283" s="50" t="s">
        <v>33</v>
      </c>
      <c r="K283" s="50" t="s">
        <v>7158</v>
      </c>
      <c r="L283" s="50">
        <v>2</v>
      </c>
      <c r="M283" s="50">
        <v>1.6</v>
      </c>
      <c r="N283" s="50">
        <v>0.86458744571654167</v>
      </c>
      <c r="O283" s="50">
        <v>125365.61779</v>
      </c>
      <c r="P283" s="50">
        <v>4923.12</v>
      </c>
      <c r="Q283" s="50">
        <v>120442.49779000001</v>
      </c>
      <c r="R283" s="50">
        <v>52890.634324589839</v>
      </c>
      <c r="S283" s="50">
        <v>67551.863465410162</v>
      </c>
      <c r="T283" s="50">
        <v>101375702.94467106</v>
      </c>
      <c r="U283" s="50">
        <v>6.4895031856812145E-4</v>
      </c>
      <c r="V283" s="50">
        <v>0.19999999999999996</v>
      </c>
      <c r="W283" s="50">
        <v>0.97388571308174321</v>
      </c>
      <c r="X283" s="50" t="s">
        <v>7163</v>
      </c>
      <c r="Y283" s="50">
        <v>0.32</v>
      </c>
    </row>
    <row r="284" spans="2:25" x14ac:dyDescent="0.2">
      <c r="B284" s="50" t="s">
        <v>9</v>
      </c>
      <c r="C284" s="50" t="s">
        <v>291</v>
      </c>
      <c r="D284" s="50"/>
      <c r="E284" s="50"/>
      <c r="F284" s="50" t="s">
        <v>14</v>
      </c>
      <c r="G284" s="50" t="s">
        <v>1962</v>
      </c>
      <c r="H284" s="50" t="s">
        <v>15</v>
      </c>
      <c r="I284" s="50" t="s">
        <v>1120</v>
      </c>
      <c r="J284" s="50" t="s">
        <v>16</v>
      </c>
      <c r="K284" s="50" t="s">
        <v>7158</v>
      </c>
      <c r="L284" s="50">
        <v>46</v>
      </c>
      <c r="M284" s="50">
        <v>2.76</v>
      </c>
      <c r="N284" s="50">
        <v>1.7989157220305567</v>
      </c>
      <c r="O284" s="50">
        <v>216255.69068774997</v>
      </c>
      <c r="P284" s="50">
        <v>39553.881999999998</v>
      </c>
      <c r="Q284" s="50">
        <v>176701.80868774996</v>
      </c>
      <c r="R284" s="50">
        <v>110047.62341398558</v>
      </c>
      <c r="S284" s="50">
        <v>66654.185273764379</v>
      </c>
      <c r="T284" s="50">
        <v>101442357.12994483</v>
      </c>
      <c r="U284" s="50">
        <v>6.4032659571940272E-4</v>
      </c>
      <c r="V284" s="50">
        <v>0.94000000000000006</v>
      </c>
      <c r="W284" s="50">
        <v>0.97452603967746265</v>
      </c>
      <c r="X284" s="50" t="s">
        <v>7161</v>
      </c>
      <c r="Y284" s="50">
        <v>0.32</v>
      </c>
    </row>
    <row r="285" spans="2:25" x14ac:dyDescent="0.2">
      <c r="B285" s="50" t="s">
        <v>9</v>
      </c>
      <c r="C285" s="50" t="s">
        <v>318</v>
      </c>
      <c r="D285" s="50"/>
      <c r="E285" s="50"/>
      <c r="F285" s="50" t="s">
        <v>14</v>
      </c>
      <c r="G285" s="50" t="s">
        <v>1962</v>
      </c>
      <c r="H285" s="50" t="s">
        <v>32</v>
      </c>
      <c r="I285" s="50" t="s">
        <v>1120</v>
      </c>
      <c r="J285" s="50" t="s">
        <v>33</v>
      </c>
      <c r="K285" s="50" t="s">
        <v>7158</v>
      </c>
      <c r="L285" s="50">
        <v>5</v>
      </c>
      <c r="M285" s="50">
        <v>1.25</v>
      </c>
      <c r="N285" s="50">
        <v>0.42002301495972383</v>
      </c>
      <c r="O285" s="50">
        <v>97941.888898437479</v>
      </c>
      <c r="P285" s="50">
        <v>6355.5625000000009</v>
      </c>
      <c r="Q285" s="50">
        <v>91586.326398437479</v>
      </c>
      <c r="R285" s="50">
        <v>25694.663740733802</v>
      </c>
      <c r="S285" s="50">
        <v>65891.66265770368</v>
      </c>
      <c r="T285" s="50">
        <v>101508248.79260254</v>
      </c>
      <c r="U285" s="50">
        <v>6.3300127160215809E-4</v>
      </c>
      <c r="V285" s="50">
        <v>0.75</v>
      </c>
      <c r="W285" s="50">
        <v>0.9751590409490648</v>
      </c>
      <c r="X285" s="50" t="s">
        <v>7160</v>
      </c>
      <c r="Y285" s="50">
        <v>0.32</v>
      </c>
    </row>
    <row r="286" spans="2:25" x14ac:dyDescent="0.2">
      <c r="B286" s="50" t="s">
        <v>9</v>
      </c>
      <c r="C286" s="50" t="s">
        <v>53</v>
      </c>
      <c r="D286" s="50"/>
      <c r="E286" s="50"/>
      <c r="F286" s="50" t="s">
        <v>14</v>
      </c>
      <c r="G286" s="50" t="s">
        <v>1962</v>
      </c>
      <c r="H286" s="50" t="s">
        <v>15</v>
      </c>
      <c r="I286" s="50" t="s">
        <v>1120</v>
      </c>
      <c r="J286" s="50" t="s">
        <v>16</v>
      </c>
      <c r="K286" s="50" t="s">
        <v>7158</v>
      </c>
      <c r="L286" s="50">
        <v>20</v>
      </c>
      <c r="M286" s="50">
        <v>1.72</v>
      </c>
      <c r="N286" s="50">
        <v>0.86</v>
      </c>
      <c r="O286" s="50">
        <v>134768.03912424998</v>
      </c>
      <c r="P286" s="50">
        <v>18322.854000000003</v>
      </c>
      <c r="Q286" s="50">
        <v>116445.18512424997</v>
      </c>
      <c r="R286" s="50">
        <v>52610</v>
      </c>
      <c r="S286" s="50">
        <v>63835.185124249969</v>
      </c>
      <c r="T286" s="50">
        <v>101572083.97772679</v>
      </c>
      <c r="U286" s="50">
        <v>6.1324531400157572E-4</v>
      </c>
      <c r="V286" s="50">
        <v>0.91400000000000003</v>
      </c>
      <c r="W286" s="50">
        <v>0.97577228626306634</v>
      </c>
      <c r="X286" s="50" t="s">
        <v>7162</v>
      </c>
      <c r="Y286" s="50">
        <v>0.32</v>
      </c>
    </row>
    <row r="287" spans="2:25" x14ac:dyDescent="0.2">
      <c r="B287" s="50" t="s">
        <v>9</v>
      </c>
      <c r="C287" s="50" t="s">
        <v>278</v>
      </c>
      <c r="D287" s="50"/>
      <c r="E287" s="50"/>
      <c r="F287" s="50" t="s">
        <v>14</v>
      </c>
      <c r="G287" s="50" t="s">
        <v>1962</v>
      </c>
      <c r="H287" s="50" t="s">
        <v>15</v>
      </c>
      <c r="I287" s="50" t="s">
        <v>1120</v>
      </c>
      <c r="J287" s="50" t="s">
        <v>16</v>
      </c>
      <c r="K287" s="50" t="s">
        <v>7158</v>
      </c>
      <c r="L287" s="50">
        <v>50</v>
      </c>
      <c r="M287" s="50">
        <v>1.5</v>
      </c>
      <c r="N287" s="50">
        <v>0.27340823970037453</v>
      </c>
      <c r="O287" s="50">
        <v>117530.266678125</v>
      </c>
      <c r="P287" s="50">
        <v>39746.674999999996</v>
      </c>
      <c r="Q287" s="50">
        <v>77783.591678124998</v>
      </c>
      <c r="R287" s="50">
        <v>16725.590105391519</v>
      </c>
      <c r="S287" s="50">
        <v>61058.001572733483</v>
      </c>
      <c r="T287" s="50">
        <v>101633141.97929952</v>
      </c>
      <c r="U287" s="50">
        <v>5.8656575169162392E-4</v>
      </c>
      <c r="V287" s="50">
        <v>0.97</v>
      </c>
      <c r="W287" s="50">
        <v>0.97635885201475792</v>
      </c>
      <c r="X287" s="50" t="s">
        <v>7163</v>
      </c>
      <c r="Y287" s="50">
        <v>0.32</v>
      </c>
    </row>
    <row r="288" spans="2:25" x14ac:dyDescent="0.2">
      <c r="B288" s="50" t="s">
        <v>9</v>
      </c>
      <c r="C288" s="50" t="s">
        <v>177</v>
      </c>
      <c r="D288" s="50"/>
      <c r="E288" s="50"/>
      <c r="F288" s="50" t="s">
        <v>14</v>
      </c>
      <c r="G288" s="50" t="s">
        <v>1962</v>
      </c>
      <c r="H288" s="50" t="s">
        <v>15</v>
      </c>
      <c r="I288" s="50" t="s">
        <v>1120</v>
      </c>
      <c r="J288" s="50" t="s">
        <v>16</v>
      </c>
      <c r="K288" s="50" t="s">
        <v>7158</v>
      </c>
      <c r="L288" s="50">
        <v>44</v>
      </c>
      <c r="M288" s="50">
        <v>1.32</v>
      </c>
      <c r="N288" s="50">
        <v>0.12961647727272727</v>
      </c>
      <c r="O288" s="50">
        <v>103426.63467675001</v>
      </c>
      <c r="P288" s="50">
        <v>34977.074000000001</v>
      </c>
      <c r="Q288" s="50">
        <v>68449.560676749999</v>
      </c>
      <c r="R288" s="50">
        <v>7929.2126387420722</v>
      </c>
      <c r="S288" s="50">
        <v>60520.348038007927</v>
      </c>
      <c r="T288" s="50">
        <v>101693662.32733752</v>
      </c>
      <c r="U288" s="50">
        <v>5.8140067681818118E-4</v>
      </c>
      <c r="V288" s="50">
        <v>0.97</v>
      </c>
      <c r="W288" s="50">
        <v>0.97694025269157614</v>
      </c>
      <c r="X288" s="50" t="s">
        <v>7163</v>
      </c>
      <c r="Y288" s="50">
        <v>0.32</v>
      </c>
    </row>
    <row r="289" spans="2:25" x14ac:dyDescent="0.2">
      <c r="B289" s="50" t="s">
        <v>9</v>
      </c>
      <c r="C289" s="50" t="s">
        <v>459</v>
      </c>
      <c r="D289" s="50"/>
      <c r="E289" s="50"/>
      <c r="F289" s="50" t="s">
        <v>14</v>
      </c>
      <c r="G289" s="50" t="s">
        <v>1962</v>
      </c>
      <c r="H289" s="50" t="s">
        <v>15</v>
      </c>
      <c r="I289" s="50" t="s">
        <v>1120</v>
      </c>
      <c r="J289" s="50" t="s">
        <v>16</v>
      </c>
      <c r="K289" s="50" t="s">
        <v>7158</v>
      </c>
      <c r="L289" s="50">
        <v>15</v>
      </c>
      <c r="M289" s="50">
        <v>1.35</v>
      </c>
      <c r="N289" s="50">
        <v>0.51626591230551633</v>
      </c>
      <c r="O289" s="50">
        <v>105777.2400103125</v>
      </c>
      <c r="P289" s="50">
        <v>13872.0075</v>
      </c>
      <c r="Q289" s="50">
        <v>91905.232510312489</v>
      </c>
      <c r="R289" s="50">
        <v>31582.267030689785</v>
      </c>
      <c r="S289" s="50">
        <v>60322.965479622704</v>
      </c>
      <c r="T289" s="50">
        <v>101753985.29281715</v>
      </c>
      <c r="U289" s="50">
        <v>5.7950448228596854E-4</v>
      </c>
      <c r="V289" s="50">
        <v>0.91</v>
      </c>
      <c r="W289" s="50">
        <v>0.97751975717386208</v>
      </c>
      <c r="X289" s="50" t="s">
        <v>7160</v>
      </c>
      <c r="Y289" s="50">
        <v>0.32</v>
      </c>
    </row>
    <row r="290" spans="2:25" x14ac:dyDescent="0.2">
      <c r="B290" s="50" t="s">
        <v>9</v>
      </c>
      <c r="C290" s="50" t="s">
        <v>199</v>
      </c>
      <c r="D290" s="50"/>
      <c r="E290" s="50"/>
      <c r="F290" s="50" t="s">
        <v>14</v>
      </c>
      <c r="G290" s="50" t="s">
        <v>1962</v>
      </c>
      <c r="H290" s="50" t="s">
        <v>15</v>
      </c>
      <c r="I290" s="50" t="s">
        <v>1120</v>
      </c>
      <c r="J290" s="50" t="s">
        <v>16</v>
      </c>
      <c r="K290" s="50" t="s">
        <v>7158</v>
      </c>
      <c r="L290" s="50">
        <v>92</v>
      </c>
      <c r="M290" s="50">
        <v>2.76</v>
      </c>
      <c r="N290" s="50">
        <v>1.3846737481031868</v>
      </c>
      <c r="O290" s="50">
        <v>216255.69068774997</v>
      </c>
      <c r="P290" s="50">
        <v>73133.881999999998</v>
      </c>
      <c r="Q290" s="50">
        <v>143121.80868774996</v>
      </c>
      <c r="R290" s="50">
        <v>84706.61149733566</v>
      </c>
      <c r="S290" s="50">
        <v>58415.197190414299</v>
      </c>
      <c r="T290" s="50">
        <v>101812400.49000756</v>
      </c>
      <c r="U290" s="50">
        <v>5.6117712941183362E-4</v>
      </c>
      <c r="V290" s="50">
        <v>0.97</v>
      </c>
      <c r="W290" s="50">
        <v>0.97808093430327392</v>
      </c>
      <c r="X290" s="50" t="s">
        <v>7162</v>
      </c>
      <c r="Y290" s="50">
        <v>0.32</v>
      </c>
    </row>
    <row r="291" spans="2:25" x14ac:dyDescent="0.2">
      <c r="B291" s="50" t="s">
        <v>9</v>
      </c>
      <c r="C291" s="50" t="s">
        <v>262</v>
      </c>
      <c r="D291" s="50"/>
      <c r="E291" s="50"/>
      <c r="F291" s="50" t="s">
        <v>14</v>
      </c>
      <c r="G291" s="50" t="s">
        <v>1962</v>
      </c>
      <c r="H291" s="50" t="s">
        <v>15</v>
      </c>
      <c r="I291" s="50" t="s">
        <v>1120</v>
      </c>
      <c r="J291" s="50" t="s">
        <v>16</v>
      </c>
      <c r="K291" s="50" t="s">
        <v>7158</v>
      </c>
      <c r="L291" s="50">
        <v>80</v>
      </c>
      <c r="M291" s="50">
        <v>2.4</v>
      </c>
      <c r="N291" s="50">
        <v>1.1023489932885906</v>
      </c>
      <c r="O291" s="50">
        <v>188048.42668499998</v>
      </c>
      <c r="P291" s="50">
        <v>63594.68</v>
      </c>
      <c r="Q291" s="50">
        <v>124453.74668499999</v>
      </c>
      <c r="R291" s="50">
        <v>67435.558763852023</v>
      </c>
      <c r="S291" s="50">
        <v>57018.187921147968</v>
      </c>
      <c r="T291" s="50">
        <v>101869418.67792872</v>
      </c>
      <c r="U291" s="50">
        <v>5.477564839429307E-4</v>
      </c>
      <c r="V291" s="50">
        <v>0.97</v>
      </c>
      <c r="W291" s="50">
        <v>0.97862869078721682</v>
      </c>
      <c r="X291" s="50" t="s">
        <v>7159</v>
      </c>
      <c r="Y291" s="50">
        <v>0.32</v>
      </c>
    </row>
    <row r="292" spans="2:25" x14ac:dyDescent="0.2">
      <c r="B292" s="50" t="s">
        <v>9</v>
      </c>
      <c r="C292" s="50" t="s">
        <v>21</v>
      </c>
      <c r="D292" s="50"/>
      <c r="E292" s="50"/>
      <c r="F292" s="50" t="s">
        <v>14</v>
      </c>
      <c r="G292" s="50" t="s">
        <v>1962</v>
      </c>
      <c r="H292" s="50" t="s">
        <v>19</v>
      </c>
      <c r="I292" s="50" t="s">
        <v>1120</v>
      </c>
      <c r="J292" s="50" t="s">
        <v>20</v>
      </c>
      <c r="K292" s="50" t="s">
        <v>7158</v>
      </c>
      <c r="L292" s="50">
        <v>41</v>
      </c>
      <c r="M292" s="50">
        <v>2.0499999999999998</v>
      </c>
      <c r="N292" s="50">
        <v>1.1433046202036021</v>
      </c>
      <c r="O292" s="50">
        <v>160624.69779343746</v>
      </c>
      <c r="P292" s="50">
        <v>34367.122499999998</v>
      </c>
      <c r="Q292" s="50">
        <v>126257.57529343746</v>
      </c>
      <c r="R292" s="50">
        <v>69940.995428966853</v>
      </c>
      <c r="S292" s="50">
        <v>56316.579864470608</v>
      </c>
      <c r="T292" s="50">
        <v>101925735.25779319</v>
      </c>
      <c r="U292" s="50">
        <v>5.4101634757165392E-4</v>
      </c>
      <c r="V292" s="50">
        <v>0.95000000000000007</v>
      </c>
      <c r="W292" s="50">
        <v>0.97916970713478846</v>
      </c>
      <c r="X292" s="50" t="s">
        <v>7161</v>
      </c>
      <c r="Y292" s="50">
        <v>0.32</v>
      </c>
    </row>
    <row r="293" spans="2:25" x14ac:dyDescent="0.2">
      <c r="B293" s="50" t="s">
        <v>9</v>
      </c>
      <c r="C293" s="50" t="s">
        <v>426</v>
      </c>
      <c r="D293" s="50"/>
      <c r="E293" s="50"/>
      <c r="F293" s="50" t="s">
        <v>14</v>
      </c>
      <c r="G293" s="51" t="s">
        <v>1962</v>
      </c>
      <c r="H293" s="50" t="s">
        <v>15</v>
      </c>
      <c r="I293" s="50" t="s">
        <v>1120</v>
      </c>
      <c r="J293" s="50" t="s">
        <v>16</v>
      </c>
      <c r="K293" s="50" t="s">
        <v>7158</v>
      </c>
      <c r="L293" s="50">
        <v>47</v>
      </c>
      <c r="M293" s="50">
        <v>1.88</v>
      </c>
      <c r="N293" s="50">
        <v>0.88900487125956862</v>
      </c>
      <c r="O293" s="50">
        <v>147304.60090324999</v>
      </c>
      <c r="P293" s="50">
        <v>38379.165999999997</v>
      </c>
      <c r="Q293" s="50">
        <v>108925.43490324999</v>
      </c>
      <c r="R293" s="50">
        <v>54384.356136006863</v>
      </c>
      <c r="S293" s="50">
        <v>54541.078767243125</v>
      </c>
      <c r="T293" s="50">
        <v>101980276.33656043</v>
      </c>
      <c r="U293" s="50">
        <v>5.2395964560141429E-4</v>
      </c>
      <c r="V293" s="50">
        <v>0.96</v>
      </c>
      <c r="W293" s="50">
        <v>0.97969366678038983</v>
      </c>
      <c r="X293" s="50" t="s">
        <v>7160</v>
      </c>
      <c r="Y293" s="50">
        <v>0.32</v>
      </c>
    </row>
    <row r="294" spans="2:25" x14ac:dyDescent="0.2">
      <c r="B294" s="50" t="s">
        <v>9</v>
      </c>
      <c r="C294" s="50" t="s">
        <v>197</v>
      </c>
      <c r="D294" s="50"/>
      <c r="E294" s="50"/>
      <c r="F294" s="50" t="s">
        <v>14</v>
      </c>
      <c r="G294" s="50" t="s">
        <v>1962</v>
      </c>
      <c r="H294" s="50" t="s">
        <v>15</v>
      </c>
      <c r="I294" s="50" t="s">
        <v>1121</v>
      </c>
      <c r="J294" s="50" t="s">
        <v>16</v>
      </c>
      <c r="K294" s="50" t="s">
        <v>7158</v>
      </c>
      <c r="L294" s="50">
        <v>130</v>
      </c>
      <c r="M294" s="50">
        <v>2.6</v>
      </c>
      <c r="N294" s="50">
        <v>0.26449275362318841</v>
      </c>
      <c r="O294" s="50">
        <v>203719.12890874999</v>
      </c>
      <c r="P294" s="50">
        <v>100527.57</v>
      </c>
      <c r="Q294" s="50">
        <v>103191.55890874998</v>
      </c>
      <c r="R294" s="50">
        <v>48823.70923913044</v>
      </c>
      <c r="S294" s="50">
        <v>54367.849669619543</v>
      </c>
      <c r="T294" s="50">
        <v>102034644.18623005</v>
      </c>
      <c r="U294" s="50">
        <v>5.2229548606056526E-4</v>
      </c>
      <c r="V294" s="50">
        <v>0.98000000000000009</v>
      </c>
      <c r="W294" s="50">
        <v>0.98021596226645036</v>
      </c>
      <c r="X294" s="50" t="s">
        <v>7161</v>
      </c>
      <c r="Y294" s="50">
        <v>0.26449275362318841</v>
      </c>
    </row>
    <row r="295" spans="2:25" x14ac:dyDescent="0.2">
      <c r="B295" s="50" t="s">
        <v>9</v>
      </c>
      <c r="C295" s="50" t="s">
        <v>294</v>
      </c>
      <c r="D295" s="50"/>
      <c r="E295" s="50"/>
      <c r="F295" s="50" t="s">
        <v>14</v>
      </c>
      <c r="G295" s="50" t="s">
        <v>1962</v>
      </c>
      <c r="H295" s="50" t="s">
        <v>32</v>
      </c>
      <c r="I295" s="50" t="s">
        <v>1120</v>
      </c>
      <c r="J295" s="50" t="s">
        <v>33</v>
      </c>
      <c r="K295" s="50" t="s">
        <v>7158</v>
      </c>
      <c r="L295" s="50">
        <v>23</v>
      </c>
      <c r="M295" s="50">
        <v>1.61</v>
      </c>
      <c r="N295" s="50">
        <v>0.85081585081585076</v>
      </c>
      <c r="O295" s="50">
        <v>126149.15290118748</v>
      </c>
      <c r="P295" s="50">
        <v>20274.764500000001</v>
      </c>
      <c r="Q295" s="50">
        <v>105874.38840118748</v>
      </c>
      <c r="R295" s="50">
        <v>52048.165013281294</v>
      </c>
      <c r="S295" s="50">
        <v>53826.223387906182</v>
      </c>
      <c r="T295" s="50">
        <v>102088470.40961796</v>
      </c>
      <c r="U295" s="50">
        <v>5.1709224620852582E-4</v>
      </c>
      <c r="V295" s="50">
        <v>0.93</v>
      </c>
      <c r="W295" s="50">
        <v>0.98073305451265891</v>
      </c>
      <c r="X295" s="50" t="s">
        <v>7160</v>
      </c>
      <c r="Y295" s="50">
        <v>0.32</v>
      </c>
    </row>
    <row r="296" spans="2:25" x14ac:dyDescent="0.2">
      <c r="B296" s="50" t="s">
        <v>9</v>
      </c>
      <c r="C296" s="50" t="s">
        <v>69</v>
      </c>
      <c r="D296" s="50"/>
      <c r="E296" s="50"/>
      <c r="F296" s="50" t="s">
        <v>14</v>
      </c>
      <c r="G296" s="50" t="s">
        <v>1962</v>
      </c>
      <c r="H296" s="50" t="s">
        <v>15</v>
      </c>
      <c r="I296" s="50" t="s">
        <v>1120</v>
      </c>
      <c r="J296" s="50" t="s">
        <v>16</v>
      </c>
      <c r="K296" s="50" t="s">
        <v>7158</v>
      </c>
      <c r="L296" s="50">
        <v>22</v>
      </c>
      <c r="M296" s="50">
        <v>1.76</v>
      </c>
      <c r="N296" s="50">
        <v>1.0579710144927537</v>
      </c>
      <c r="O296" s="50">
        <v>137902.179569</v>
      </c>
      <c r="P296" s="50">
        <v>19869.432000000001</v>
      </c>
      <c r="Q296" s="50">
        <v>118032.747569</v>
      </c>
      <c r="R296" s="50">
        <v>64720.761712167172</v>
      </c>
      <c r="S296" s="50">
        <v>53311.985856832827</v>
      </c>
      <c r="T296" s="50">
        <v>102141782.39547479</v>
      </c>
      <c r="U296" s="50">
        <v>5.121521217990694E-4</v>
      </c>
      <c r="V296" s="50">
        <v>0.91999999999999993</v>
      </c>
      <c r="W296" s="50">
        <v>0.98124520663445802</v>
      </c>
      <c r="X296" s="50" t="s">
        <v>7162</v>
      </c>
      <c r="Y296" s="50">
        <v>0.32</v>
      </c>
    </row>
    <row r="297" spans="2:25" x14ac:dyDescent="0.2">
      <c r="B297" s="50" t="s">
        <v>9</v>
      </c>
      <c r="C297" s="50" t="s">
        <v>150</v>
      </c>
      <c r="D297" s="50"/>
      <c r="E297" s="50"/>
      <c r="F297" s="50" t="s">
        <v>14</v>
      </c>
      <c r="G297" s="50" t="s">
        <v>1962</v>
      </c>
      <c r="H297" s="50" t="s">
        <v>15</v>
      </c>
      <c r="I297" s="50" t="s">
        <v>1120</v>
      </c>
      <c r="J297" s="50" t="s">
        <v>16</v>
      </c>
      <c r="K297" s="50" t="s">
        <v>7158</v>
      </c>
      <c r="L297" s="50">
        <v>56</v>
      </c>
      <c r="M297" s="50">
        <v>2.2400000000000002</v>
      </c>
      <c r="N297" s="50">
        <v>1.2523827678231032</v>
      </c>
      <c r="O297" s="50">
        <v>175511.86490600003</v>
      </c>
      <c r="P297" s="50">
        <v>45728.367999999995</v>
      </c>
      <c r="Q297" s="50">
        <v>129783.49690600004</v>
      </c>
      <c r="R297" s="50">
        <v>76613.787692062164</v>
      </c>
      <c r="S297" s="50">
        <v>53169.70921393788</v>
      </c>
      <c r="T297" s="50">
        <v>102194952.10468873</v>
      </c>
      <c r="U297" s="50">
        <v>5.1078531312799904E-4</v>
      </c>
      <c r="V297" s="50">
        <v>0.96</v>
      </c>
      <c r="W297" s="50">
        <v>0.981755991947586</v>
      </c>
      <c r="X297" s="50" t="s">
        <v>7162</v>
      </c>
      <c r="Y297" s="50">
        <v>0.32</v>
      </c>
    </row>
    <row r="298" spans="2:25" x14ac:dyDescent="0.2">
      <c r="B298" s="50" t="s">
        <v>9</v>
      </c>
      <c r="C298" s="50" t="s">
        <v>47</v>
      </c>
      <c r="D298" s="50"/>
      <c r="E298" s="50"/>
      <c r="F298" s="50" t="s">
        <v>14</v>
      </c>
      <c r="G298" s="50" t="s">
        <v>1962</v>
      </c>
      <c r="H298" s="50" t="s">
        <v>32</v>
      </c>
      <c r="I298" s="50" t="s">
        <v>1120</v>
      </c>
      <c r="J298" s="50" t="s">
        <v>33</v>
      </c>
      <c r="K298" s="50" t="s">
        <v>7158</v>
      </c>
      <c r="L298" s="50">
        <v>5</v>
      </c>
      <c r="M298" s="50">
        <v>1</v>
      </c>
      <c r="N298" s="50">
        <v>0.31725336810082577</v>
      </c>
      <c r="O298" s="50">
        <v>78353.511118750001</v>
      </c>
      <c r="P298" s="50">
        <v>5814.45</v>
      </c>
      <c r="Q298" s="50">
        <v>72539.061118750004</v>
      </c>
      <c r="R298" s="50">
        <v>19407.790343935401</v>
      </c>
      <c r="S298" s="50">
        <v>53131.270774814606</v>
      </c>
      <c r="T298" s="50">
        <v>102248083.37546355</v>
      </c>
      <c r="U298" s="50">
        <v>5.1041604667057439E-4</v>
      </c>
      <c r="V298" s="50">
        <v>0.8</v>
      </c>
      <c r="W298" s="50">
        <v>0.98226640799425657</v>
      </c>
      <c r="X298" s="50" t="s">
        <v>7163</v>
      </c>
      <c r="Y298" s="50">
        <v>0.32</v>
      </c>
    </row>
    <row r="299" spans="2:25" x14ac:dyDescent="0.2">
      <c r="B299" s="50" t="s">
        <v>9</v>
      </c>
      <c r="C299" s="50" t="s">
        <v>502</v>
      </c>
      <c r="D299" s="50"/>
      <c r="E299" s="50"/>
      <c r="F299" s="50" t="s">
        <v>14</v>
      </c>
      <c r="G299" s="50" t="s">
        <v>1962</v>
      </c>
      <c r="H299" s="50" t="s">
        <v>15</v>
      </c>
      <c r="I299" s="50" t="s">
        <v>1121</v>
      </c>
      <c r="J299" s="50" t="s">
        <v>16</v>
      </c>
      <c r="K299" s="50" t="s">
        <v>7158</v>
      </c>
      <c r="L299" s="50">
        <v>88.2</v>
      </c>
      <c r="M299" s="50">
        <v>2.3814000000000002</v>
      </c>
      <c r="N299" s="50">
        <v>0.35</v>
      </c>
      <c r="O299" s="50">
        <v>186591.05137819125</v>
      </c>
      <c r="P299" s="50">
        <v>69540.421230000007</v>
      </c>
      <c r="Q299" s="50">
        <v>117050.63014819124</v>
      </c>
      <c r="R299" s="50">
        <v>64607.812499999993</v>
      </c>
      <c r="S299" s="50">
        <v>52442.817648191245</v>
      </c>
      <c r="T299" s="50">
        <v>102300526.19311173</v>
      </c>
      <c r="U299" s="50">
        <v>5.038022857330953E-4</v>
      </c>
      <c r="V299" s="50">
        <v>0.97299999999999998</v>
      </c>
      <c r="W299" s="50">
        <v>0.98277021027998968</v>
      </c>
      <c r="X299" s="50" t="s">
        <v>7162</v>
      </c>
      <c r="Y299" s="50">
        <v>0.35</v>
      </c>
    </row>
    <row r="300" spans="2:25" x14ac:dyDescent="0.2">
      <c r="B300" s="50" t="s">
        <v>9</v>
      </c>
      <c r="C300" s="50" t="s">
        <v>279</v>
      </c>
      <c r="D300" s="50"/>
      <c r="E300" s="50"/>
      <c r="F300" s="50" t="s">
        <v>14</v>
      </c>
      <c r="G300" s="50" t="s">
        <v>1962</v>
      </c>
      <c r="H300" s="50" t="s">
        <v>15</v>
      </c>
      <c r="I300" s="50" t="s">
        <v>1120</v>
      </c>
      <c r="J300" s="50" t="s">
        <v>16</v>
      </c>
      <c r="K300" s="50" t="s">
        <v>7158</v>
      </c>
      <c r="L300" s="50">
        <v>19</v>
      </c>
      <c r="M300" s="50">
        <v>1.52</v>
      </c>
      <c r="N300" s="50">
        <v>0.82916855974557024</v>
      </c>
      <c r="O300" s="50">
        <v>119097.3369005</v>
      </c>
      <c r="P300" s="50">
        <v>17159.964</v>
      </c>
      <c r="Q300" s="50">
        <v>101937.37290049999</v>
      </c>
      <c r="R300" s="50">
        <v>50723.904567691221</v>
      </c>
      <c r="S300" s="50">
        <v>51213.46833280877</v>
      </c>
      <c r="T300" s="50">
        <v>102351739.66144454</v>
      </c>
      <c r="U300" s="50">
        <v>4.9199229872574262E-4</v>
      </c>
      <c r="V300" s="50">
        <v>0.92</v>
      </c>
      <c r="W300" s="50">
        <v>0.98326220257871544</v>
      </c>
      <c r="X300" s="50" t="s">
        <v>7161</v>
      </c>
      <c r="Y300" s="50">
        <v>0.32</v>
      </c>
    </row>
    <row r="301" spans="2:25" x14ac:dyDescent="0.2">
      <c r="B301" s="50" t="s">
        <v>9</v>
      </c>
      <c r="C301" s="50" t="s">
        <v>270</v>
      </c>
      <c r="D301" s="50"/>
      <c r="E301" s="50"/>
      <c r="F301" s="50" t="s">
        <v>14</v>
      </c>
      <c r="G301" s="50" t="s">
        <v>1962</v>
      </c>
      <c r="H301" s="50" t="s">
        <v>15</v>
      </c>
      <c r="I301" s="50" t="s">
        <v>1120</v>
      </c>
      <c r="J301" s="50" t="s">
        <v>16</v>
      </c>
      <c r="K301" s="50" t="s">
        <v>7158</v>
      </c>
      <c r="L301" s="50">
        <v>12</v>
      </c>
      <c r="M301" s="50">
        <v>0.96</v>
      </c>
      <c r="N301" s="50">
        <v>0.22862511744440966</v>
      </c>
      <c r="O301" s="50">
        <v>75219.370674000005</v>
      </c>
      <c r="P301" s="50">
        <v>10837.871999999999</v>
      </c>
      <c r="Q301" s="50">
        <v>64381.498674000002</v>
      </c>
      <c r="R301" s="50">
        <v>13986.008638081852</v>
      </c>
      <c r="S301" s="50">
        <v>50395.490035918148</v>
      </c>
      <c r="T301" s="50">
        <v>102402135.15148047</v>
      </c>
      <c r="U301" s="50">
        <v>4.8413422865753805E-4</v>
      </c>
      <c r="V301" s="50">
        <v>0.91999999999999993</v>
      </c>
      <c r="W301" s="50">
        <v>0.983746336807373</v>
      </c>
      <c r="X301" s="50" t="s">
        <v>7159</v>
      </c>
      <c r="Y301" s="50">
        <v>0.32</v>
      </c>
    </row>
    <row r="302" spans="2:25" x14ac:dyDescent="0.2">
      <c r="B302" s="50" t="s">
        <v>9</v>
      </c>
      <c r="C302" s="50" t="s">
        <v>176</v>
      </c>
      <c r="D302" s="50"/>
      <c r="E302" s="50"/>
      <c r="F302" s="50" t="s">
        <v>14</v>
      </c>
      <c r="G302" s="50" t="s">
        <v>1962</v>
      </c>
      <c r="H302" s="50" t="s">
        <v>15</v>
      </c>
      <c r="I302" s="50" t="s">
        <v>1120</v>
      </c>
      <c r="J302" s="50" t="s">
        <v>16</v>
      </c>
      <c r="K302" s="50" t="s">
        <v>7158</v>
      </c>
      <c r="L302" s="50">
        <v>23</v>
      </c>
      <c r="M302" s="50">
        <v>1.38</v>
      </c>
      <c r="N302" s="50">
        <v>0.66387777373590395</v>
      </c>
      <c r="O302" s="50">
        <v>108127.84534387499</v>
      </c>
      <c r="P302" s="50">
        <v>19776.940999999999</v>
      </c>
      <c r="Q302" s="50">
        <v>88350.90434387498</v>
      </c>
      <c r="R302" s="50">
        <v>40612.336832844077</v>
      </c>
      <c r="S302" s="50">
        <v>47738.567511030902</v>
      </c>
      <c r="T302" s="50">
        <v>102449873.7189915</v>
      </c>
      <c r="U302" s="50">
        <v>4.5860997765268939E-4</v>
      </c>
      <c r="V302" s="50">
        <v>0.94000000000000006</v>
      </c>
      <c r="W302" s="50">
        <v>0.98420494678502568</v>
      </c>
      <c r="X302" s="50" t="s">
        <v>7163</v>
      </c>
      <c r="Y302" s="50">
        <v>0.32</v>
      </c>
    </row>
    <row r="303" spans="2:25" x14ac:dyDescent="0.2">
      <c r="B303" s="50" t="s">
        <v>9</v>
      </c>
      <c r="C303" s="50" t="s">
        <v>473</v>
      </c>
      <c r="D303" s="50"/>
      <c r="E303" s="50"/>
      <c r="F303" s="50" t="s">
        <v>14</v>
      </c>
      <c r="G303" s="50" t="s">
        <v>1962</v>
      </c>
      <c r="H303" s="50" t="s">
        <v>32</v>
      </c>
      <c r="I303" s="50" t="s">
        <v>1120</v>
      </c>
      <c r="J303" s="50" t="s">
        <v>33</v>
      </c>
      <c r="K303" s="50" t="s">
        <v>7158</v>
      </c>
      <c r="L303" s="50">
        <v>5</v>
      </c>
      <c r="M303" s="50">
        <v>0.9</v>
      </c>
      <c r="N303" s="50">
        <v>0.28349514563106798</v>
      </c>
      <c r="O303" s="50">
        <v>70518.160006874998</v>
      </c>
      <c r="P303" s="50">
        <v>5598.0050000000001</v>
      </c>
      <c r="Q303" s="50">
        <v>64920.155006875</v>
      </c>
      <c r="R303" s="50">
        <v>17342.650711221497</v>
      </c>
      <c r="S303" s="50">
        <v>47577.504295653504</v>
      </c>
      <c r="T303" s="50">
        <v>102497451.22328715</v>
      </c>
      <c r="U303" s="50">
        <v>4.5706269206252518E-4</v>
      </c>
      <c r="V303" s="50">
        <v>0.82</v>
      </c>
      <c r="W303" s="50">
        <v>0.98466200947708815</v>
      </c>
      <c r="X303" s="50" t="s">
        <v>7160</v>
      </c>
      <c r="Y303" s="50">
        <v>0.32</v>
      </c>
    </row>
    <row r="304" spans="2:25" x14ac:dyDescent="0.2">
      <c r="B304" s="50" t="s">
        <v>9</v>
      </c>
      <c r="C304" s="50" t="s">
        <v>382</v>
      </c>
      <c r="D304" s="50"/>
      <c r="E304" s="50"/>
      <c r="F304" s="50" t="s">
        <v>14</v>
      </c>
      <c r="G304" s="50" t="s">
        <v>1962</v>
      </c>
      <c r="H304" s="50" t="s">
        <v>15</v>
      </c>
      <c r="I304" s="50" t="s">
        <v>1121</v>
      </c>
      <c r="J304" s="50" t="s">
        <v>16</v>
      </c>
      <c r="K304" s="50" t="s">
        <v>7158</v>
      </c>
      <c r="L304" s="50">
        <v>85</v>
      </c>
      <c r="M304" s="50">
        <v>1.7</v>
      </c>
      <c r="N304" s="50">
        <v>0.11</v>
      </c>
      <c r="O304" s="50">
        <v>133200.96890187499</v>
      </c>
      <c r="P304" s="50">
        <v>65729.565000000002</v>
      </c>
      <c r="Q304" s="50">
        <v>67471.40390187499</v>
      </c>
      <c r="R304" s="50">
        <v>20305.3125</v>
      </c>
      <c r="S304" s="50">
        <v>47166.09140187499</v>
      </c>
      <c r="T304" s="50">
        <v>102544617.31468903</v>
      </c>
      <c r="U304" s="50">
        <v>4.5311037284016489E-4</v>
      </c>
      <c r="V304" s="50">
        <v>0.98</v>
      </c>
      <c r="W304" s="50">
        <v>0.98511511984992828</v>
      </c>
      <c r="X304" s="50" t="s">
        <v>7163</v>
      </c>
      <c r="Y304" s="50">
        <v>0.11</v>
      </c>
    </row>
    <row r="305" spans="2:25" x14ac:dyDescent="0.2">
      <c r="B305" s="50" t="s">
        <v>9</v>
      </c>
      <c r="C305" s="50" t="s">
        <v>165</v>
      </c>
      <c r="D305" s="50"/>
      <c r="E305" s="50"/>
      <c r="F305" s="50" t="s">
        <v>14</v>
      </c>
      <c r="G305" s="50" t="s">
        <v>1962</v>
      </c>
      <c r="H305" s="50" t="s">
        <v>32</v>
      </c>
      <c r="I305" s="50" t="s">
        <v>1120</v>
      </c>
      <c r="J305" s="50" t="s">
        <v>33</v>
      </c>
      <c r="K305" s="50" t="s">
        <v>7158</v>
      </c>
      <c r="L305" s="50">
        <v>2</v>
      </c>
      <c r="M305" s="50">
        <v>1.1599999999999999</v>
      </c>
      <c r="N305" s="50">
        <v>0.66923359002566929</v>
      </c>
      <c r="O305" s="50">
        <v>90890.072897749982</v>
      </c>
      <c r="P305" s="50">
        <v>3970.7619999999993</v>
      </c>
      <c r="Q305" s="50">
        <v>86919.31089774998</v>
      </c>
      <c r="R305" s="50">
        <v>40939.975780523797</v>
      </c>
      <c r="S305" s="50">
        <v>45979.335117226183</v>
      </c>
      <c r="T305" s="50">
        <v>102590596.64980625</v>
      </c>
      <c r="U305" s="50">
        <v>4.4170956419511666E-4</v>
      </c>
      <c r="V305" s="50">
        <v>0.42000000000000004</v>
      </c>
      <c r="W305" s="50">
        <v>0.98555682941412337</v>
      </c>
      <c r="X305" s="50" t="s">
        <v>7161</v>
      </c>
      <c r="Y305" s="50">
        <v>0.32</v>
      </c>
    </row>
    <row r="306" spans="2:25" x14ac:dyDescent="0.2">
      <c r="B306" s="50" t="s">
        <v>9</v>
      </c>
      <c r="C306" s="50" t="s">
        <v>56</v>
      </c>
      <c r="D306" s="50"/>
      <c r="E306" s="50"/>
      <c r="F306" s="50" t="s">
        <v>14</v>
      </c>
      <c r="G306" s="50" t="s">
        <v>1962</v>
      </c>
      <c r="H306" s="50" t="s">
        <v>32</v>
      </c>
      <c r="I306" s="50" t="s">
        <v>1120</v>
      </c>
      <c r="J306" s="50" t="s">
        <v>33</v>
      </c>
      <c r="K306" s="50" t="s">
        <v>7158</v>
      </c>
      <c r="L306" s="50">
        <v>2</v>
      </c>
      <c r="M306" s="50">
        <v>0.82</v>
      </c>
      <c r="N306" s="50">
        <v>0.25435540069686413</v>
      </c>
      <c r="O306" s="50">
        <v>64249.879117374992</v>
      </c>
      <c r="P306" s="50">
        <v>3234.8490000000002</v>
      </c>
      <c r="Q306" s="50">
        <v>61015.03011737499</v>
      </c>
      <c r="R306" s="50">
        <v>15560.043756583747</v>
      </c>
      <c r="S306" s="50">
        <v>45454.986360791241</v>
      </c>
      <c r="T306" s="50">
        <v>102636051.63616703</v>
      </c>
      <c r="U306" s="50">
        <v>4.3667230430215323E-4</v>
      </c>
      <c r="V306" s="50">
        <v>0.59000000000000008</v>
      </c>
      <c r="W306" s="50">
        <v>0.98599350171842548</v>
      </c>
      <c r="X306" s="50" t="s">
        <v>7163</v>
      </c>
      <c r="Y306" s="50">
        <v>0.32</v>
      </c>
    </row>
    <row r="307" spans="2:25" x14ac:dyDescent="0.2">
      <c r="B307" s="50" t="s">
        <v>9</v>
      </c>
      <c r="C307" s="50" t="s">
        <v>258</v>
      </c>
      <c r="D307" s="50"/>
      <c r="E307" s="50"/>
      <c r="F307" s="50" t="s">
        <v>14</v>
      </c>
      <c r="G307" s="50" t="s">
        <v>1962</v>
      </c>
      <c r="H307" s="50" t="s">
        <v>15</v>
      </c>
      <c r="I307" s="50" t="s">
        <v>1120</v>
      </c>
      <c r="J307" s="50" t="s">
        <v>16</v>
      </c>
      <c r="K307" s="50" t="s">
        <v>7158</v>
      </c>
      <c r="L307" s="50">
        <v>17</v>
      </c>
      <c r="M307" s="50">
        <v>1.87</v>
      </c>
      <c r="N307" s="50">
        <v>1.4088131231907366</v>
      </c>
      <c r="O307" s="50">
        <v>146521.06579206249</v>
      </c>
      <c r="P307" s="50">
        <v>16457.521499999999</v>
      </c>
      <c r="Q307" s="50">
        <v>130063.54429206249</v>
      </c>
      <c r="R307" s="50">
        <v>86183.323733796104</v>
      </c>
      <c r="S307" s="50">
        <v>43880.220558266388</v>
      </c>
      <c r="T307" s="50">
        <v>102679931.85672531</v>
      </c>
      <c r="U307" s="50">
        <v>4.2154400558775919E-4</v>
      </c>
      <c r="V307" s="50">
        <v>0.8899999999999999</v>
      </c>
      <c r="W307" s="50">
        <v>0.98641504572401328</v>
      </c>
      <c r="X307" s="50" t="s">
        <v>7163</v>
      </c>
      <c r="Y307" s="50">
        <v>0.32</v>
      </c>
    </row>
    <row r="308" spans="2:25" x14ac:dyDescent="0.2">
      <c r="B308" s="50" t="s">
        <v>9</v>
      </c>
      <c r="C308" s="50" t="s">
        <v>133</v>
      </c>
      <c r="D308" s="50"/>
      <c r="E308" s="50"/>
      <c r="F308" s="50" t="s">
        <v>14</v>
      </c>
      <c r="G308" s="50" t="s">
        <v>1962</v>
      </c>
      <c r="H308" s="50" t="s">
        <v>15</v>
      </c>
      <c r="I308" s="50" t="s">
        <v>1120</v>
      </c>
      <c r="J308" s="50" t="s">
        <v>16</v>
      </c>
      <c r="K308" s="50" t="s">
        <v>7158</v>
      </c>
      <c r="L308" s="50">
        <v>31</v>
      </c>
      <c r="M308" s="50">
        <v>1.24</v>
      </c>
      <c r="N308" s="50">
        <v>0.47495120364346133</v>
      </c>
      <c r="O308" s="50">
        <v>97158.353787249987</v>
      </c>
      <c r="P308" s="50">
        <v>25313.918000000001</v>
      </c>
      <c r="Q308" s="50">
        <v>71844.435787249982</v>
      </c>
      <c r="R308" s="50">
        <v>29054.863748468022</v>
      </c>
      <c r="S308" s="50">
        <v>42789.57203878196</v>
      </c>
      <c r="T308" s="50">
        <v>102722721.42876409</v>
      </c>
      <c r="U308" s="50">
        <v>4.1106647517103449E-4</v>
      </c>
      <c r="V308" s="50">
        <v>0.96000000000000008</v>
      </c>
      <c r="W308" s="50">
        <v>0.98682611219918437</v>
      </c>
      <c r="X308" s="50" t="s">
        <v>7163</v>
      </c>
      <c r="Y308" s="50">
        <v>0.32</v>
      </c>
    </row>
    <row r="309" spans="2:25" x14ac:dyDescent="0.2">
      <c r="B309" s="50" t="s">
        <v>9</v>
      </c>
      <c r="C309" s="50" t="s">
        <v>226</v>
      </c>
      <c r="D309" s="50"/>
      <c r="E309" s="50"/>
      <c r="F309" s="50" t="s">
        <v>14</v>
      </c>
      <c r="G309" s="50" t="s">
        <v>1962</v>
      </c>
      <c r="H309" s="50" t="s">
        <v>15</v>
      </c>
      <c r="I309" s="50" t="s">
        <v>1121</v>
      </c>
      <c r="J309" s="50" t="s">
        <v>16</v>
      </c>
      <c r="K309" s="50" t="s">
        <v>7158</v>
      </c>
      <c r="L309" s="50">
        <v>70</v>
      </c>
      <c r="M309" s="50">
        <v>2.8</v>
      </c>
      <c r="N309" s="50">
        <v>0.6517857142857143</v>
      </c>
      <c r="O309" s="50">
        <v>219389.83113249997</v>
      </c>
      <c r="P309" s="50">
        <v>57160.459999999992</v>
      </c>
      <c r="Q309" s="50">
        <v>162229.37113249997</v>
      </c>
      <c r="R309" s="50">
        <v>120315.56919642857</v>
      </c>
      <c r="S309" s="50">
        <v>41913.80193607141</v>
      </c>
      <c r="T309" s="50">
        <v>102764635.23070017</v>
      </c>
      <c r="U309" s="50">
        <v>4.0265321670574487E-4</v>
      </c>
      <c r="V309" s="50">
        <v>0.96000000000000008</v>
      </c>
      <c r="W309" s="50">
        <v>0.98722876541589011</v>
      </c>
      <c r="X309" s="50" t="s">
        <v>7159</v>
      </c>
      <c r="Y309" s="50">
        <v>0.6517857142857143</v>
      </c>
    </row>
    <row r="310" spans="2:25" x14ac:dyDescent="0.2">
      <c r="B310" s="50" t="s">
        <v>9</v>
      </c>
      <c r="C310" s="50" t="s">
        <v>90</v>
      </c>
      <c r="D310" s="50"/>
      <c r="E310" s="50"/>
      <c r="F310" s="50" t="s">
        <v>14</v>
      </c>
      <c r="G310" s="50" t="s">
        <v>1962</v>
      </c>
      <c r="H310" s="50" t="s">
        <v>15</v>
      </c>
      <c r="I310" s="50" t="s">
        <v>1120</v>
      </c>
      <c r="J310" s="50" t="s">
        <v>16</v>
      </c>
      <c r="K310" s="50" t="s">
        <v>7158</v>
      </c>
      <c r="L310" s="50">
        <v>137</v>
      </c>
      <c r="M310" s="50">
        <v>2.74</v>
      </c>
      <c r="N310" s="50">
        <v>1.095</v>
      </c>
      <c r="O310" s="50">
        <v>214688.62046537502</v>
      </c>
      <c r="P310" s="50">
        <v>105940.59299999999</v>
      </c>
      <c r="Q310" s="50">
        <v>108748.02746537502</v>
      </c>
      <c r="R310" s="50">
        <v>66985.988372093023</v>
      </c>
      <c r="S310" s="50">
        <v>41762.039093282001</v>
      </c>
      <c r="T310" s="50">
        <v>102806397.26979345</v>
      </c>
      <c r="U310" s="50">
        <v>4.0119527698176643E-4</v>
      </c>
      <c r="V310" s="50">
        <v>0.98</v>
      </c>
      <c r="W310" s="50">
        <v>0.9876299606928719</v>
      </c>
      <c r="X310" s="50" t="s">
        <v>7162</v>
      </c>
      <c r="Y310" s="50">
        <v>0.32</v>
      </c>
    </row>
    <row r="311" spans="2:25" x14ac:dyDescent="0.2">
      <c r="B311" s="50" t="s">
        <v>9</v>
      </c>
      <c r="C311" s="50" t="s">
        <v>184</v>
      </c>
      <c r="D311" s="50"/>
      <c r="E311" s="50"/>
      <c r="F311" s="50" t="s">
        <v>14</v>
      </c>
      <c r="G311" s="50" t="s">
        <v>1962</v>
      </c>
      <c r="H311" s="50" t="s">
        <v>15</v>
      </c>
      <c r="I311" s="50" t="s">
        <v>1120</v>
      </c>
      <c r="J311" s="50" t="s">
        <v>16</v>
      </c>
      <c r="K311" s="50" t="s">
        <v>7158</v>
      </c>
      <c r="L311" s="50">
        <v>75</v>
      </c>
      <c r="M311" s="50">
        <v>2.25</v>
      </c>
      <c r="N311" s="50">
        <v>1.2326454033771106</v>
      </c>
      <c r="O311" s="50">
        <v>176295.40001718749</v>
      </c>
      <c r="P311" s="50">
        <v>59620.012499999997</v>
      </c>
      <c r="Q311" s="50">
        <v>116675.3875171875</v>
      </c>
      <c r="R311" s="50">
        <v>75406.365897290452</v>
      </c>
      <c r="S311" s="50">
        <v>41269.021619897045</v>
      </c>
      <c r="T311" s="50">
        <v>102847666.29141335</v>
      </c>
      <c r="U311" s="50">
        <v>3.9645900724767321E-4</v>
      </c>
      <c r="V311" s="50">
        <v>0.97</v>
      </c>
      <c r="W311" s="50">
        <v>0.98802641970011962</v>
      </c>
      <c r="X311" s="50" t="s">
        <v>7161</v>
      </c>
      <c r="Y311" s="50">
        <v>0.32</v>
      </c>
    </row>
    <row r="312" spans="2:25" x14ac:dyDescent="0.2">
      <c r="B312" s="50" t="s">
        <v>9</v>
      </c>
      <c r="C312" s="50" t="s">
        <v>240</v>
      </c>
      <c r="D312" s="50"/>
      <c r="E312" s="50"/>
      <c r="F312" s="50" t="s">
        <v>14</v>
      </c>
      <c r="G312" s="50" t="s">
        <v>1962</v>
      </c>
      <c r="H312" s="50" t="s">
        <v>15</v>
      </c>
      <c r="I312" s="50" t="s">
        <v>1120</v>
      </c>
      <c r="J312" s="50" t="s">
        <v>16</v>
      </c>
      <c r="K312" s="50" t="s">
        <v>7158</v>
      </c>
      <c r="L312" s="50">
        <v>68</v>
      </c>
      <c r="M312" s="50">
        <v>2.04</v>
      </c>
      <c r="N312" s="50">
        <v>1.0568222946073109</v>
      </c>
      <c r="O312" s="50">
        <v>159841.16268225</v>
      </c>
      <c r="P312" s="50">
        <v>54055.477999999996</v>
      </c>
      <c r="Q312" s="50">
        <v>105785.68468224999</v>
      </c>
      <c r="R312" s="50">
        <v>64650.489441035606</v>
      </c>
      <c r="S312" s="50">
        <v>41135.195241214387</v>
      </c>
      <c r="T312" s="50">
        <v>102888801.48665456</v>
      </c>
      <c r="U312" s="50">
        <v>3.9517337770877237E-4</v>
      </c>
      <c r="V312" s="50">
        <v>0.96999999999999986</v>
      </c>
      <c r="W312" s="50">
        <v>0.9884215930778284</v>
      </c>
      <c r="X312" s="50" t="s">
        <v>7161</v>
      </c>
      <c r="Y312" s="50">
        <v>0.32</v>
      </c>
    </row>
    <row r="313" spans="2:25" x14ac:dyDescent="0.2">
      <c r="B313" s="50" t="s">
        <v>9</v>
      </c>
      <c r="C313" s="50" t="s">
        <v>152</v>
      </c>
      <c r="D313" s="50"/>
      <c r="E313" s="50"/>
      <c r="F313" s="50" t="s">
        <v>14</v>
      </c>
      <c r="G313" s="50" t="s">
        <v>1962</v>
      </c>
      <c r="H313" s="50" t="s">
        <v>32</v>
      </c>
      <c r="I313" s="50" t="s">
        <v>1120</v>
      </c>
      <c r="J313" s="50" t="s">
        <v>33</v>
      </c>
      <c r="K313" s="50" t="s">
        <v>7158</v>
      </c>
      <c r="L313" s="50">
        <v>12</v>
      </c>
      <c r="M313" s="50">
        <v>0.84</v>
      </c>
      <c r="N313" s="50">
        <v>0.23655217109526896</v>
      </c>
      <c r="O313" s="50">
        <v>65816.94933974999</v>
      </c>
      <c r="P313" s="50">
        <v>10578.138000000001</v>
      </c>
      <c r="Q313" s="50">
        <v>55238.811339749991</v>
      </c>
      <c r="R313" s="50">
        <v>14470.941536421047</v>
      </c>
      <c r="S313" s="50">
        <v>40767.86980332894</v>
      </c>
      <c r="T313" s="50">
        <v>102929569.35645789</v>
      </c>
      <c r="U313" s="50">
        <v>3.9164459333917469E-4</v>
      </c>
      <c r="V313" s="50">
        <v>0.93</v>
      </c>
      <c r="W313" s="50">
        <v>0.98881323767116758</v>
      </c>
      <c r="X313" s="50" t="s">
        <v>7161</v>
      </c>
      <c r="Y313" s="50">
        <v>0.32</v>
      </c>
    </row>
    <row r="314" spans="2:25" x14ac:dyDescent="0.2">
      <c r="B314" s="50" t="s">
        <v>9</v>
      </c>
      <c r="C314" s="50" t="s">
        <v>257</v>
      </c>
      <c r="D314" s="50"/>
      <c r="E314" s="50"/>
      <c r="F314" s="50" t="s">
        <v>14</v>
      </c>
      <c r="G314" s="51" t="s">
        <v>1962</v>
      </c>
      <c r="H314" s="50" t="s">
        <v>19</v>
      </c>
      <c r="I314" s="50" t="s">
        <v>1120</v>
      </c>
      <c r="J314" s="50" t="s">
        <v>20</v>
      </c>
      <c r="K314" s="50" t="s">
        <v>7158</v>
      </c>
      <c r="L314" s="50">
        <v>10</v>
      </c>
      <c r="M314" s="50">
        <v>1</v>
      </c>
      <c r="N314" s="50">
        <v>0.4658583280153159</v>
      </c>
      <c r="O314" s="50">
        <v>78353.511118750001</v>
      </c>
      <c r="P314" s="50">
        <v>9464.4500000000007</v>
      </c>
      <c r="Q314" s="50">
        <v>68889.061118750004</v>
      </c>
      <c r="R314" s="50">
        <v>28498.612368471826</v>
      </c>
      <c r="S314" s="50">
        <v>40390.448750278178</v>
      </c>
      <c r="T314" s="50">
        <v>102969959.80520816</v>
      </c>
      <c r="U314" s="50">
        <v>3.8801882344850362E-4</v>
      </c>
      <c r="V314" s="50">
        <v>0.9</v>
      </c>
      <c r="W314" s="50">
        <v>0.9892012564946161</v>
      </c>
      <c r="X314" s="50" t="s">
        <v>7161</v>
      </c>
      <c r="Y314" s="50">
        <v>0.32</v>
      </c>
    </row>
    <row r="315" spans="2:25" x14ac:dyDescent="0.2">
      <c r="B315" s="50" t="s">
        <v>9</v>
      </c>
      <c r="C315" s="50" t="s">
        <v>216</v>
      </c>
      <c r="D315" s="50"/>
      <c r="E315" s="50"/>
      <c r="F315" s="50" t="s">
        <v>14</v>
      </c>
      <c r="G315" s="51" t="s">
        <v>1962</v>
      </c>
      <c r="H315" s="50" t="s">
        <v>19</v>
      </c>
      <c r="I315" s="50" t="s">
        <v>1120</v>
      </c>
      <c r="J315" s="50" t="s">
        <v>20</v>
      </c>
      <c r="K315" s="50" t="s">
        <v>7158</v>
      </c>
      <c r="L315" s="50">
        <v>12</v>
      </c>
      <c r="M315" s="50">
        <v>1.2</v>
      </c>
      <c r="N315" s="50">
        <v>0.69418029669075687</v>
      </c>
      <c r="O315" s="50">
        <v>94024.213342499992</v>
      </c>
      <c r="P315" s="50">
        <v>11357.34</v>
      </c>
      <c r="Q315" s="50">
        <v>82666.873342499995</v>
      </c>
      <c r="R315" s="50">
        <v>42466.076056861304</v>
      </c>
      <c r="S315" s="50">
        <v>40200.797285638691</v>
      </c>
      <c r="T315" s="50">
        <v>103010160.60249379</v>
      </c>
      <c r="U315" s="50">
        <v>3.8619689919532996E-4</v>
      </c>
      <c r="V315" s="50">
        <v>0.9</v>
      </c>
      <c r="W315" s="50">
        <v>0.98958745339381138</v>
      </c>
      <c r="X315" s="50" t="s">
        <v>7160</v>
      </c>
      <c r="Y315" s="50">
        <v>0.32</v>
      </c>
    </row>
    <row r="316" spans="2:25" x14ac:dyDescent="0.2">
      <c r="B316" s="50" t="s">
        <v>9</v>
      </c>
      <c r="C316" s="50" t="s">
        <v>395</v>
      </c>
      <c r="D316" s="50"/>
      <c r="E316" s="50"/>
      <c r="F316" s="50" t="s">
        <v>14</v>
      </c>
      <c r="G316" s="50" t="s">
        <v>1962</v>
      </c>
      <c r="H316" s="50" t="s">
        <v>19</v>
      </c>
      <c r="I316" s="50" t="s">
        <v>1120</v>
      </c>
      <c r="J316" s="50" t="s">
        <v>20</v>
      </c>
      <c r="K316" s="50" t="s">
        <v>7158</v>
      </c>
      <c r="L316" s="50">
        <v>8</v>
      </c>
      <c r="M316" s="50">
        <v>1.04</v>
      </c>
      <c r="N316" s="50">
        <v>0.54559043348281022</v>
      </c>
      <c r="O316" s="50">
        <v>81487.651563499996</v>
      </c>
      <c r="P316" s="50">
        <v>8091.0280000000002</v>
      </c>
      <c r="Q316" s="50">
        <v>73396.62356349999</v>
      </c>
      <c r="R316" s="50">
        <v>33376.17756457052</v>
      </c>
      <c r="S316" s="50">
        <v>40020.44599892947</v>
      </c>
      <c r="T316" s="50">
        <v>103050181.04849273</v>
      </c>
      <c r="U316" s="50">
        <v>3.8446431893832421E-4</v>
      </c>
      <c r="V316" s="50">
        <v>0.87</v>
      </c>
      <c r="W316" s="50">
        <v>0.98997191771274973</v>
      </c>
      <c r="X316" s="50" t="s">
        <v>7160</v>
      </c>
      <c r="Y316" s="50">
        <v>0.32</v>
      </c>
    </row>
    <row r="317" spans="2:25" x14ac:dyDescent="0.2">
      <c r="B317" s="50" t="s">
        <v>9</v>
      </c>
      <c r="C317" s="50" t="s">
        <v>148</v>
      </c>
      <c r="D317" s="50"/>
      <c r="E317" s="50"/>
      <c r="F317" s="50" t="s">
        <v>14</v>
      </c>
      <c r="G317" s="50" t="s">
        <v>1962</v>
      </c>
      <c r="H317" s="50" t="s">
        <v>32</v>
      </c>
      <c r="I317" s="50" t="s">
        <v>1120</v>
      </c>
      <c r="J317" s="50" t="s">
        <v>33</v>
      </c>
      <c r="K317" s="50" t="s">
        <v>7158</v>
      </c>
      <c r="L317" s="50">
        <v>9</v>
      </c>
      <c r="M317" s="50">
        <v>0.99</v>
      </c>
      <c r="N317" s="50">
        <v>0.48312375909993382</v>
      </c>
      <c r="O317" s="50">
        <v>77569.976007562494</v>
      </c>
      <c r="P317" s="50">
        <v>8712.8055000000004</v>
      </c>
      <c r="Q317" s="50">
        <v>68857.170507562492</v>
      </c>
      <c r="R317" s="50">
        <v>29554.815077031999</v>
      </c>
      <c r="S317" s="50">
        <v>39302.355430530493</v>
      </c>
      <c r="T317" s="50">
        <v>103089483.40392326</v>
      </c>
      <c r="U317" s="50">
        <v>3.7756584006272816E-4</v>
      </c>
      <c r="V317" s="50">
        <v>0.89</v>
      </c>
      <c r="W317" s="50">
        <v>0.99034948355281249</v>
      </c>
      <c r="X317" s="50" t="s">
        <v>7163</v>
      </c>
      <c r="Y317" s="50">
        <v>0.32</v>
      </c>
    </row>
    <row r="318" spans="2:25" x14ac:dyDescent="0.2">
      <c r="B318" s="50" t="s">
        <v>9</v>
      </c>
      <c r="C318" s="50" t="s">
        <v>188</v>
      </c>
      <c r="D318" s="50"/>
      <c r="E318" s="50"/>
      <c r="F318" s="50" t="s">
        <v>14</v>
      </c>
      <c r="G318" s="50" t="s">
        <v>1962</v>
      </c>
      <c r="H318" s="50" t="s">
        <v>15</v>
      </c>
      <c r="I318" s="50" t="s">
        <v>1120</v>
      </c>
      <c r="J318" s="50" t="s">
        <v>16</v>
      </c>
      <c r="K318" s="50" t="s">
        <v>7158</v>
      </c>
      <c r="L318" s="50">
        <v>9</v>
      </c>
      <c r="M318" s="50">
        <v>0.72</v>
      </c>
      <c r="N318" s="50">
        <v>0.15773552290406223</v>
      </c>
      <c r="O318" s="50">
        <v>56414.528005499997</v>
      </c>
      <c r="P318" s="50">
        <v>8128.4040000000005</v>
      </c>
      <c r="Q318" s="50">
        <v>48286.124005499994</v>
      </c>
      <c r="R318" s="50">
        <v>9649.3789069566428</v>
      </c>
      <c r="S318" s="50">
        <v>38636.745098543353</v>
      </c>
      <c r="T318" s="50">
        <v>103128120.1490218</v>
      </c>
      <c r="U318" s="50">
        <v>3.7117152294360877E-4</v>
      </c>
      <c r="V318" s="50">
        <v>0.91999999999999993</v>
      </c>
      <c r="W318" s="50">
        <v>0.99072065507575613</v>
      </c>
      <c r="X318" s="50" t="s">
        <v>7161</v>
      </c>
      <c r="Y318" s="50">
        <v>0.32</v>
      </c>
    </row>
    <row r="319" spans="2:25" x14ac:dyDescent="0.2">
      <c r="B319" s="50" t="s">
        <v>9</v>
      </c>
      <c r="C319" s="50" t="s">
        <v>285</v>
      </c>
      <c r="D319" s="50"/>
      <c r="E319" s="50"/>
      <c r="F319" s="50" t="s">
        <v>14</v>
      </c>
      <c r="G319" s="50" t="s">
        <v>1962</v>
      </c>
      <c r="H319" s="50" t="s">
        <v>15</v>
      </c>
      <c r="I319" s="50" t="s">
        <v>1120</v>
      </c>
      <c r="J319" s="50" t="s">
        <v>16</v>
      </c>
      <c r="K319" s="50" t="s">
        <v>7158</v>
      </c>
      <c r="L319" s="50">
        <v>25</v>
      </c>
      <c r="M319" s="50">
        <v>1.5</v>
      </c>
      <c r="N319" s="50">
        <v>0.93870552936133744</v>
      </c>
      <c r="O319" s="50">
        <v>117530.266678125</v>
      </c>
      <c r="P319" s="50">
        <v>21496.674999999999</v>
      </c>
      <c r="Q319" s="50">
        <v>96033.591678124998</v>
      </c>
      <c r="R319" s="50">
        <v>57424.764999651125</v>
      </c>
      <c r="S319" s="50">
        <v>38608.826678473873</v>
      </c>
      <c r="T319" s="50">
        <v>103166728.97570027</v>
      </c>
      <c r="U319" s="50">
        <v>3.7090331912703628E-4</v>
      </c>
      <c r="V319" s="50">
        <v>0.94</v>
      </c>
      <c r="W319" s="50">
        <v>0.99109155839488317</v>
      </c>
      <c r="X319" s="50" t="s">
        <v>7163</v>
      </c>
      <c r="Y319" s="50">
        <v>0.32</v>
      </c>
    </row>
    <row r="320" spans="2:25" x14ac:dyDescent="0.2">
      <c r="B320" s="50" t="s">
        <v>9</v>
      </c>
      <c r="C320" s="50" t="s">
        <v>375</v>
      </c>
      <c r="D320" s="50"/>
      <c r="E320" s="50"/>
      <c r="F320" s="50" t="s">
        <v>14</v>
      </c>
      <c r="G320" s="50" t="s">
        <v>1962</v>
      </c>
      <c r="H320" s="50" t="s">
        <v>15</v>
      </c>
      <c r="I320" s="50" t="s">
        <v>1120</v>
      </c>
      <c r="J320" s="50" t="s">
        <v>16</v>
      </c>
      <c r="K320" s="50" t="s">
        <v>7158</v>
      </c>
      <c r="L320" s="50">
        <v>2</v>
      </c>
      <c r="M320" s="50">
        <v>1.2</v>
      </c>
      <c r="N320" s="50">
        <v>0.86</v>
      </c>
      <c r="O320" s="50">
        <v>94024.213342499992</v>
      </c>
      <c r="P320" s="50">
        <v>4057.3399999999997</v>
      </c>
      <c r="Q320" s="50">
        <v>89966.873342499995</v>
      </c>
      <c r="R320" s="50">
        <v>52610</v>
      </c>
      <c r="S320" s="50">
        <v>37356.873342499995</v>
      </c>
      <c r="T320" s="50">
        <v>103204085.84904277</v>
      </c>
      <c r="U320" s="50">
        <v>3.5887618213134576E-4</v>
      </c>
      <c r="V320" s="50">
        <v>0.4</v>
      </c>
      <c r="W320" s="50">
        <v>0.99145043457701454</v>
      </c>
      <c r="X320" s="50" t="s">
        <v>7163</v>
      </c>
      <c r="Y320" s="50">
        <v>0.32</v>
      </c>
    </row>
    <row r="321" spans="2:25" x14ac:dyDescent="0.2">
      <c r="B321" s="50" t="s">
        <v>9</v>
      </c>
      <c r="C321" s="50" t="s">
        <v>489</v>
      </c>
      <c r="D321" s="50"/>
      <c r="E321" s="50"/>
      <c r="F321" s="50" t="s">
        <v>14</v>
      </c>
      <c r="G321" s="50" t="s">
        <v>1962</v>
      </c>
      <c r="H321" s="50" t="s">
        <v>15</v>
      </c>
      <c r="I321" s="50" t="s">
        <v>1120</v>
      </c>
      <c r="J321" s="50" t="s">
        <v>16</v>
      </c>
      <c r="K321" s="50" t="s">
        <v>7158</v>
      </c>
      <c r="L321" s="50">
        <v>48</v>
      </c>
      <c r="M321" s="50">
        <v>1.8720000000000001</v>
      </c>
      <c r="N321" s="50">
        <v>1.1566319601629698</v>
      </c>
      <c r="O321" s="50">
        <v>146677.7728143</v>
      </c>
      <c r="P321" s="50">
        <v>39091.850400000003</v>
      </c>
      <c r="Q321" s="50">
        <v>107585.9224143</v>
      </c>
      <c r="R321" s="50">
        <v>70756.287702527727</v>
      </c>
      <c r="S321" s="50">
        <v>36829.634711772276</v>
      </c>
      <c r="T321" s="50">
        <v>103240915.48375455</v>
      </c>
      <c r="U321" s="50">
        <v>3.5381116009020882E-4</v>
      </c>
      <c r="V321" s="50">
        <v>0.96099999999999997</v>
      </c>
      <c r="W321" s="50">
        <v>0.99180424573710479</v>
      </c>
      <c r="X321" s="50" t="s">
        <v>7162</v>
      </c>
      <c r="Y321" s="50">
        <v>0.32</v>
      </c>
    </row>
    <row r="322" spans="2:25" x14ac:dyDescent="0.2">
      <c r="B322" s="50" t="s">
        <v>9</v>
      </c>
      <c r="C322" s="50" t="s">
        <v>367</v>
      </c>
      <c r="D322" s="50"/>
      <c r="E322" s="50"/>
      <c r="F322" s="50" t="s">
        <v>14</v>
      </c>
      <c r="G322" s="50" t="s">
        <v>1962</v>
      </c>
      <c r="H322" s="50" t="s">
        <v>15</v>
      </c>
      <c r="I322" s="50" t="s">
        <v>1120</v>
      </c>
      <c r="J322" s="50" t="s">
        <v>16</v>
      </c>
      <c r="K322" s="50" t="s">
        <v>7158</v>
      </c>
      <c r="L322" s="50">
        <v>3</v>
      </c>
      <c r="M322" s="50">
        <v>1.2</v>
      </c>
      <c r="N322" s="50">
        <v>0.86</v>
      </c>
      <c r="O322" s="50">
        <v>94024.213342499992</v>
      </c>
      <c r="P322" s="50">
        <v>4787.34</v>
      </c>
      <c r="Q322" s="50">
        <v>89236.873342499995</v>
      </c>
      <c r="R322" s="50">
        <v>52610</v>
      </c>
      <c r="S322" s="50">
        <v>36626.873342499995</v>
      </c>
      <c r="T322" s="50">
        <v>103277542.35709704</v>
      </c>
      <c r="U322" s="50">
        <v>3.5186329294883929E-4</v>
      </c>
      <c r="V322" s="50">
        <v>0.6</v>
      </c>
      <c r="W322" s="50">
        <v>0.99215610903005358</v>
      </c>
      <c r="X322" s="50" t="s">
        <v>7159</v>
      </c>
      <c r="Y322" s="50">
        <v>0.32</v>
      </c>
    </row>
    <row r="323" spans="2:25" x14ac:dyDescent="0.2">
      <c r="B323" s="50" t="s">
        <v>9</v>
      </c>
      <c r="C323" s="50" t="s">
        <v>260</v>
      </c>
      <c r="D323" s="50"/>
      <c r="E323" s="50"/>
      <c r="F323" s="50" t="s">
        <v>14</v>
      </c>
      <c r="G323" s="50" t="s">
        <v>1962</v>
      </c>
      <c r="H323" s="50" t="s">
        <v>15</v>
      </c>
      <c r="I323" s="50" t="s">
        <v>1120</v>
      </c>
      <c r="J323" s="50" t="s">
        <v>16</v>
      </c>
      <c r="K323" s="50" t="s">
        <v>7158</v>
      </c>
      <c r="L323" s="50">
        <v>6</v>
      </c>
      <c r="M323" s="50">
        <v>0.84</v>
      </c>
      <c r="N323" s="50">
        <v>0.38259958071278827</v>
      </c>
      <c r="O323" s="50">
        <v>65816.94933974999</v>
      </c>
      <c r="P323" s="50">
        <v>6198.1380000000008</v>
      </c>
      <c r="Q323" s="50">
        <v>59618.811339749991</v>
      </c>
      <c r="R323" s="50">
        <v>23405.306908488128</v>
      </c>
      <c r="S323" s="50">
        <v>36213.504431261863</v>
      </c>
      <c r="T323" s="50">
        <v>103313755.86152831</v>
      </c>
      <c r="U323" s="50">
        <v>3.4789218285841958E-4</v>
      </c>
      <c r="V323" s="50">
        <v>0.86</v>
      </c>
      <c r="W323" s="50">
        <v>0.99250400121291205</v>
      </c>
      <c r="X323" s="50" t="s">
        <v>7159</v>
      </c>
      <c r="Y323" s="50">
        <v>0.32</v>
      </c>
    </row>
    <row r="324" spans="2:25" x14ac:dyDescent="0.2">
      <c r="B324" s="50" t="s">
        <v>9</v>
      </c>
      <c r="C324" s="50" t="s">
        <v>211</v>
      </c>
      <c r="D324" s="50"/>
      <c r="E324" s="50"/>
      <c r="F324" s="50" t="s">
        <v>14</v>
      </c>
      <c r="G324" s="50" t="s">
        <v>1962</v>
      </c>
      <c r="H324" s="50" t="s">
        <v>15</v>
      </c>
      <c r="I324" s="50" t="s">
        <v>1120</v>
      </c>
      <c r="J324" s="50" t="s">
        <v>16</v>
      </c>
      <c r="K324" s="50" t="s">
        <v>7158</v>
      </c>
      <c r="L324" s="50">
        <v>90</v>
      </c>
      <c r="M324" s="50">
        <v>1.8</v>
      </c>
      <c r="N324" s="50">
        <v>0.61551433389544685</v>
      </c>
      <c r="O324" s="50">
        <v>141036.32001375</v>
      </c>
      <c r="P324" s="50">
        <v>69596.010000000009</v>
      </c>
      <c r="Q324" s="50">
        <v>71440.310013749986</v>
      </c>
      <c r="R324" s="50">
        <v>37653.731518883091</v>
      </c>
      <c r="S324" s="50">
        <v>33786.578494866895</v>
      </c>
      <c r="T324" s="50">
        <v>103347542.44002317</v>
      </c>
      <c r="U324" s="50">
        <v>3.2457743950761324E-4</v>
      </c>
      <c r="V324" s="50">
        <v>0.98</v>
      </c>
      <c r="W324" s="50">
        <v>0.99282857865241969</v>
      </c>
      <c r="X324" s="50" t="s">
        <v>7162</v>
      </c>
      <c r="Y324" s="50">
        <v>0.32</v>
      </c>
    </row>
    <row r="325" spans="2:25" x14ac:dyDescent="0.2">
      <c r="B325" s="50" t="s">
        <v>9</v>
      </c>
      <c r="C325" s="50" t="s">
        <v>499</v>
      </c>
      <c r="D325" s="50"/>
      <c r="E325" s="50"/>
      <c r="F325" s="50" t="s">
        <v>14</v>
      </c>
      <c r="G325" s="50" t="s">
        <v>1962</v>
      </c>
      <c r="H325" s="50" t="s">
        <v>15</v>
      </c>
      <c r="I325" s="50" t="s">
        <v>1120</v>
      </c>
      <c r="J325" s="50" t="s">
        <v>16</v>
      </c>
      <c r="K325" s="50" t="s">
        <v>7158</v>
      </c>
      <c r="L325" s="50">
        <v>6</v>
      </c>
      <c r="M325" s="50">
        <v>0.72</v>
      </c>
      <c r="N325" s="50">
        <v>0.27937236892460776</v>
      </c>
      <c r="O325" s="50">
        <v>56414.528005499997</v>
      </c>
      <c r="P325" s="50">
        <v>5938.4040000000005</v>
      </c>
      <c r="Q325" s="50">
        <v>50476.124005499994</v>
      </c>
      <c r="R325" s="50">
        <v>17090.442243166992</v>
      </c>
      <c r="S325" s="50">
        <v>33385.681762332999</v>
      </c>
      <c r="T325" s="50">
        <v>103380928.12178551</v>
      </c>
      <c r="U325" s="50">
        <v>3.207261458652993E-4</v>
      </c>
      <c r="V325" s="50">
        <v>0.88</v>
      </c>
      <c r="W325" s="50">
        <v>0.993149304798285</v>
      </c>
      <c r="X325" s="50" t="s">
        <v>7159</v>
      </c>
      <c r="Y325" s="50">
        <v>0.32</v>
      </c>
    </row>
    <row r="326" spans="2:25" x14ac:dyDescent="0.2">
      <c r="B326" s="50" t="s">
        <v>9</v>
      </c>
      <c r="C326" s="50" t="s">
        <v>374</v>
      </c>
      <c r="D326" s="50"/>
      <c r="E326" s="50"/>
      <c r="F326" s="50" t="s">
        <v>14</v>
      </c>
      <c r="G326" s="50" t="s">
        <v>1962</v>
      </c>
      <c r="H326" s="50" t="s">
        <v>15</v>
      </c>
      <c r="I326" s="50" t="s">
        <v>1120</v>
      </c>
      <c r="J326" s="50" t="s">
        <v>16</v>
      </c>
      <c r="K326" s="50" t="s">
        <v>7158</v>
      </c>
      <c r="L326" s="50">
        <v>6</v>
      </c>
      <c r="M326" s="50">
        <v>0.6</v>
      </c>
      <c r="N326" s="50">
        <v>0.13073065902578795</v>
      </c>
      <c r="O326" s="50">
        <v>47012.106671249996</v>
      </c>
      <c r="P326" s="50">
        <v>5678.67</v>
      </c>
      <c r="Q326" s="50">
        <v>41333.436671249998</v>
      </c>
      <c r="R326" s="50">
        <v>7997.3720597054707</v>
      </c>
      <c r="S326" s="50">
        <v>33336.064611544527</v>
      </c>
      <c r="T326" s="50">
        <v>103414264.18639705</v>
      </c>
      <c r="U326" s="50">
        <v>3.2024948890635235E-4</v>
      </c>
      <c r="V326" s="50">
        <v>0.9</v>
      </c>
      <c r="W326" s="50">
        <v>0.9934695542871913</v>
      </c>
      <c r="X326" s="50" t="s">
        <v>7163</v>
      </c>
      <c r="Y326" s="50">
        <v>0.32</v>
      </c>
    </row>
    <row r="327" spans="2:25" x14ac:dyDescent="0.2">
      <c r="B327" s="50" t="s">
        <v>9</v>
      </c>
      <c r="C327" s="50" t="s">
        <v>402</v>
      </c>
      <c r="D327" s="50"/>
      <c r="E327" s="50"/>
      <c r="F327" s="50" t="s">
        <v>14</v>
      </c>
      <c r="G327" s="50" t="s">
        <v>1962</v>
      </c>
      <c r="H327" s="50" t="s">
        <v>32</v>
      </c>
      <c r="I327" s="50" t="s">
        <v>1120</v>
      </c>
      <c r="J327" s="50" t="s">
        <v>33</v>
      </c>
      <c r="K327" s="50" t="s">
        <v>7158</v>
      </c>
      <c r="L327" s="50">
        <v>12</v>
      </c>
      <c r="M327" s="50">
        <v>1.08</v>
      </c>
      <c r="N327" s="50">
        <v>0.65765765765765771</v>
      </c>
      <c r="O327" s="50">
        <v>84621.792008250006</v>
      </c>
      <c r="P327" s="50">
        <v>11097.606</v>
      </c>
      <c r="Q327" s="50">
        <v>73524.186008250006</v>
      </c>
      <c r="R327" s="50">
        <v>40231.824848103919</v>
      </c>
      <c r="S327" s="50">
        <v>33292.361160146087</v>
      </c>
      <c r="T327" s="50">
        <v>103447556.54755719</v>
      </c>
      <c r="U327" s="50">
        <v>3.1982964306861224E-4</v>
      </c>
      <c r="V327" s="50">
        <v>0.91</v>
      </c>
      <c r="W327" s="50">
        <v>0.99378938393025995</v>
      </c>
      <c r="X327" s="50" t="s">
        <v>7160</v>
      </c>
      <c r="Y327" s="50">
        <v>0.32</v>
      </c>
    </row>
    <row r="328" spans="2:25" x14ac:dyDescent="0.2">
      <c r="B328" s="50" t="s">
        <v>9</v>
      </c>
      <c r="C328" s="50" t="s">
        <v>287</v>
      </c>
      <c r="D328" s="50"/>
      <c r="E328" s="50"/>
      <c r="F328" s="50" t="s">
        <v>14</v>
      </c>
      <c r="G328" s="50" t="s">
        <v>1962</v>
      </c>
      <c r="H328" s="50" t="s">
        <v>15</v>
      </c>
      <c r="I328" s="50" t="s">
        <v>1120</v>
      </c>
      <c r="J328" s="50" t="s">
        <v>16</v>
      </c>
      <c r="K328" s="50" t="s">
        <v>7158</v>
      </c>
      <c r="L328" s="50">
        <v>36</v>
      </c>
      <c r="M328" s="50">
        <v>1.08</v>
      </c>
      <c r="N328" s="50">
        <v>0.37499999999999994</v>
      </c>
      <c r="O328" s="50">
        <v>84621.792008250006</v>
      </c>
      <c r="P328" s="50">
        <v>28617.606</v>
      </c>
      <c r="Q328" s="50">
        <v>56004.186008250006</v>
      </c>
      <c r="R328" s="50">
        <v>22940.406976744183</v>
      </c>
      <c r="S328" s="50">
        <v>33063.779031505823</v>
      </c>
      <c r="T328" s="50">
        <v>103480620.32658869</v>
      </c>
      <c r="U328" s="50">
        <v>3.1763372370250862E-4</v>
      </c>
      <c r="V328" s="50">
        <v>0.97000000000000008</v>
      </c>
      <c r="W328" s="50">
        <v>0.99410701765396248</v>
      </c>
      <c r="X328" s="50" t="s">
        <v>7162</v>
      </c>
      <c r="Y328" s="50">
        <v>0.32</v>
      </c>
    </row>
    <row r="329" spans="2:25" x14ac:dyDescent="0.2">
      <c r="B329" s="50" t="s">
        <v>9</v>
      </c>
      <c r="C329" s="50" t="s">
        <v>129</v>
      </c>
      <c r="D329" s="50"/>
      <c r="E329" s="50"/>
      <c r="F329" s="50" t="s">
        <v>14</v>
      </c>
      <c r="G329" s="50" t="s">
        <v>1962</v>
      </c>
      <c r="H329" s="50" t="s">
        <v>32</v>
      </c>
      <c r="I329" s="50" t="s">
        <v>1120</v>
      </c>
      <c r="J329" s="50" t="s">
        <v>33</v>
      </c>
      <c r="K329" s="50" t="s">
        <v>7158</v>
      </c>
      <c r="L329" s="50">
        <v>46</v>
      </c>
      <c r="M329" s="50">
        <v>1.38</v>
      </c>
      <c r="N329" s="50">
        <v>0.63039723661485314</v>
      </c>
      <c r="O329" s="50">
        <v>108127.84534387499</v>
      </c>
      <c r="P329" s="50">
        <v>36566.940999999999</v>
      </c>
      <c r="Q329" s="50">
        <v>71560.90434387498</v>
      </c>
      <c r="R329" s="50">
        <v>38564.184439892349</v>
      </c>
      <c r="S329" s="50">
        <v>32996.71990398263</v>
      </c>
      <c r="T329" s="50">
        <v>103513617.04649267</v>
      </c>
      <c r="U329" s="50">
        <v>3.1698950694908985E-4</v>
      </c>
      <c r="V329" s="50">
        <v>0.97</v>
      </c>
      <c r="W329" s="50">
        <v>0.99442400716091162</v>
      </c>
      <c r="X329" s="50" t="s">
        <v>7163</v>
      </c>
      <c r="Y329" s="50">
        <v>0.32</v>
      </c>
    </row>
    <row r="330" spans="2:25" x14ac:dyDescent="0.2">
      <c r="B330" s="50" t="s">
        <v>9</v>
      </c>
      <c r="C330" s="50" t="s">
        <v>42</v>
      </c>
      <c r="D330" s="50"/>
      <c r="E330" s="50"/>
      <c r="F330" s="50" t="s">
        <v>14</v>
      </c>
      <c r="G330" s="50" t="s">
        <v>1962</v>
      </c>
      <c r="H330" s="50" t="s">
        <v>15</v>
      </c>
      <c r="I330" s="50" t="s">
        <v>1120</v>
      </c>
      <c r="J330" s="50" t="s">
        <v>16</v>
      </c>
      <c r="K330" s="50" t="s">
        <v>7158</v>
      </c>
      <c r="L330" s="50">
        <v>46</v>
      </c>
      <c r="M330" s="50">
        <v>1.38</v>
      </c>
      <c r="N330" s="50">
        <v>0.63699825479930194</v>
      </c>
      <c r="O330" s="50">
        <v>108127.84534387499</v>
      </c>
      <c r="P330" s="50">
        <v>36566.940999999999</v>
      </c>
      <c r="Q330" s="50">
        <v>71560.90434387498</v>
      </c>
      <c r="R330" s="50">
        <v>38967.99788952474</v>
      </c>
      <c r="S330" s="50">
        <v>32592.906454350239</v>
      </c>
      <c r="T330" s="50">
        <v>103546209.95294702</v>
      </c>
      <c r="U330" s="50">
        <v>3.1311019328788761E-4</v>
      </c>
      <c r="V330" s="50">
        <v>0.97</v>
      </c>
      <c r="W330" s="50">
        <v>0.99473711735419945</v>
      </c>
      <c r="X330" s="50" t="s">
        <v>7163</v>
      </c>
      <c r="Y330" s="50">
        <v>0.32</v>
      </c>
    </row>
    <row r="331" spans="2:25" x14ac:dyDescent="0.2">
      <c r="B331" s="50" t="s">
        <v>9</v>
      </c>
      <c r="C331" s="50" t="s">
        <v>463</v>
      </c>
      <c r="D331" s="50"/>
      <c r="E331" s="50"/>
      <c r="F331" s="50" t="s">
        <v>14</v>
      </c>
      <c r="G331" s="50" t="s">
        <v>1962</v>
      </c>
      <c r="H331" s="50" t="s">
        <v>15</v>
      </c>
      <c r="I331" s="50" t="s">
        <v>1120</v>
      </c>
      <c r="J331" s="50" t="s">
        <v>16</v>
      </c>
      <c r="K331" s="50" t="s">
        <v>7158</v>
      </c>
      <c r="L331" s="50">
        <v>67</v>
      </c>
      <c r="M331" s="50">
        <v>1.34</v>
      </c>
      <c r="N331" s="50">
        <v>0.35471331389698735</v>
      </c>
      <c r="O331" s="50">
        <v>104993.704899125</v>
      </c>
      <c r="P331" s="50">
        <v>51810.363000000005</v>
      </c>
      <c r="Q331" s="50">
        <v>53183.341899125</v>
      </c>
      <c r="R331" s="50">
        <v>21699.380748977332</v>
      </c>
      <c r="S331" s="50">
        <v>31483.961150147668</v>
      </c>
      <c r="T331" s="50">
        <v>103577693.91409718</v>
      </c>
      <c r="U331" s="50">
        <v>3.0245689119496498E-4</v>
      </c>
      <c r="V331" s="50">
        <v>0.98</v>
      </c>
      <c r="W331" s="50">
        <v>0.99503957424539446</v>
      </c>
      <c r="X331" s="50" t="s">
        <v>7159</v>
      </c>
      <c r="Y331" s="50">
        <v>0.32</v>
      </c>
    </row>
    <row r="332" spans="2:25" x14ac:dyDescent="0.2">
      <c r="B332" s="50" t="s">
        <v>9</v>
      </c>
      <c r="C332" s="50" t="s">
        <v>1053</v>
      </c>
      <c r="D332" s="50"/>
      <c r="E332" s="50"/>
      <c r="F332" s="50" t="s">
        <v>14</v>
      </c>
      <c r="G332" s="51" t="s">
        <v>1962</v>
      </c>
      <c r="H332" s="50" t="s">
        <v>10</v>
      </c>
      <c r="I332" s="50" t="s">
        <v>1120</v>
      </c>
      <c r="J332" s="50" t="s">
        <v>529</v>
      </c>
      <c r="K332" s="50" t="s">
        <v>7158</v>
      </c>
      <c r="L332" s="50">
        <v>21</v>
      </c>
      <c r="M332" s="50">
        <v>0.84</v>
      </c>
      <c r="N332" s="50">
        <v>0.28316524437548485</v>
      </c>
      <c r="O332" s="50">
        <v>65816.94933974999</v>
      </c>
      <c r="P332" s="50">
        <v>17148.137999999999</v>
      </c>
      <c r="Q332" s="50">
        <v>48668.811339749991</v>
      </c>
      <c r="R332" s="50">
        <v>17322.469193714252</v>
      </c>
      <c r="S332" s="50">
        <v>31346.342146035739</v>
      </c>
      <c r="T332" s="50">
        <v>103609040.25624321</v>
      </c>
      <c r="U332" s="50">
        <v>3.011348270507953E-4</v>
      </c>
      <c r="V332" s="50">
        <v>0.96</v>
      </c>
      <c r="W332" s="50">
        <v>0.99534070907244521</v>
      </c>
      <c r="X332" s="50" t="s">
        <v>7159</v>
      </c>
      <c r="Y332" s="50">
        <v>0.32</v>
      </c>
    </row>
    <row r="333" spans="2:25" x14ac:dyDescent="0.2">
      <c r="B333" s="50" t="s">
        <v>9</v>
      </c>
      <c r="C333" s="50" t="s">
        <v>372</v>
      </c>
      <c r="D333" s="50"/>
      <c r="E333" s="50"/>
      <c r="F333" s="50" t="s">
        <v>14</v>
      </c>
      <c r="G333" s="51" t="s">
        <v>1962</v>
      </c>
      <c r="H333" s="50" t="s">
        <v>15</v>
      </c>
      <c r="I333" s="50" t="s">
        <v>1120</v>
      </c>
      <c r="J333" s="50" t="s">
        <v>16</v>
      </c>
      <c r="K333" s="50" t="s">
        <v>7158</v>
      </c>
      <c r="L333" s="50">
        <v>8</v>
      </c>
      <c r="M333" s="50">
        <v>0.72</v>
      </c>
      <c r="N333" s="50">
        <v>0.3116994022203245</v>
      </c>
      <c r="O333" s="50">
        <v>56414.528005499997</v>
      </c>
      <c r="P333" s="50">
        <v>7398.4040000000005</v>
      </c>
      <c r="Q333" s="50">
        <v>49016.124005499994</v>
      </c>
      <c r="R333" s="50">
        <v>19068.029710245664</v>
      </c>
      <c r="S333" s="50">
        <v>29948.09429525433</v>
      </c>
      <c r="T333" s="50">
        <v>103638988.35053846</v>
      </c>
      <c r="U333" s="50">
        <v>2.8770228290393523E-4</v>
      </c>
      <c r="V333" s="50">
        <v>0.91</v>
      </c>
      <c r="W333" s="50">
        <v>0.99562841135534919</v>
      </c>
      <c r="X333" s="50" t="s">
        <v>7163</v>
      </c>
      <c r="Y333" s="50">
        <v>0.32</v>
      </c>
    </row>
    <row r="334" spans="2:25" x14ac:dyDescent="0.2">
      <c r="B334" s="50" t="s">
        <v>9</v>
      </c>
      <c r="C334" s="50" t="s">
        <v>59</v>
      </c>
      <c r="D334" s="50"/>
      <c r="E334" s="50"/>
      <c r="F334" s="50" t="s">
        <v>14</v>
      </c>
      <c r="G334" s="50" t="s">
        <v>1962</v>
      </c>
      <c r="H334" s="50" t="s">
        <v>15</v>
      </c>
      <c r="I334" s="50" t="s">
        <v>1120</v>
      </c>
      <c r="J334" s="50" t="s">
        <v>16</v>
      </c>
      <c r="K334" s="50" t="s">
        <v>7158</v>
      </c>
      <c r="L334" s="50">
        <v>31</v>
      </c>
      <c r="M334" s="50">
        <v>1.1779999999999999</v>
      </c>
      <c r="N334" s="50">
        <v>0.62032630863358262</v>
      </c>
      <c r="O334" s="50">
        <v>92300.43609788749</v>
      </c>
      <c r="P334" s="50">
        <v>25179.722099999999</v>
      </c>
      <c r="Q334" s="50">
        <v>67120.713997887491</v>
      </c>
      <c r="R334" s="50">
        <v>37948.10127582882</v>
      </c>
      <c r="S334" s="50">
        <v>29172.612722058671</v>
      </c>
      <c r="T334" s="50">
        <v>103668160.96326052</v>
      </c>
      <c r="U334" s="50">
        <v>2.8025246600544624E-4</v>
      </c>
      <c r="V334" s="50">
        <v>0.96199999999999997</v>
      </c>
      <c r="W334" s="50">
        <v>0.99590866382135468</v>
      </c>
      <c r="X334" s="50" t="s">
        <v>7162</v>
      </c>
      <c r="Y334" s="50">
        <v>0.32</v>
      </c>
    </row>
    <row r="335" spans="2:25" x14ac:dyDescent="0.2">
      <c r="B335" s="50" t="s">
        <v>9</v>
      </c>
      <c r="C335" s="50" t="s">
        <v>457</v>
      </c>
      <c r="D335" s="50"/>
      <c r="E335" s="50"/>
      <c r="F335" s="50" t="s">
        <v>14</v>
      </c>
      <c r="G335" s="50" t="s">
        <v>1962</v>
      </c>
      <c r="H335" s="50" t="s">
        <v>15</v>
      </c>
      <c r="I335" s="50" t="s">
        <v>1120</v>
      </c>
      <c r="J335" s="50" t="s">
        <v>16</v>
      </c>
      <c r="K335" s="50" t="s">
        <v>7158</v>
      </c>
      <c r="L335" s="50">
        <v>3</v>
      </c>
      <c r="M335" s="50">
        <v>1.2</v>
      </c>
      <c r="N335" s="50">
        <v>1.0129509713228493</v>
      </c>
      <c r="O335" s="50">
        <v>94024.213342499992</v>
      </c>
      <c r="P335" s="50">
        <v>4787.34</v>
      </c>
      <c r="Q335" s="50">
        <v>89236.873342499995</v>
      </c>
      <c r="R335" s="50">
        <v>61966.686745691979</v>
      </c>
      <c r="S335" s="50">
        <v>27270.186596808016</v>
      </c>
      <c r="T335" s="50">
        <v>103695431.14985733</v>
      </c>
      <c r="U335" s="50">
        <v>2.6197643368450376E-4</v>
      </c>
      <c r="V335" s="50">
        <v>0.6</v>
      </c>
      <c r="W335" s="50">
        <v>0.99617064025503921</v>
      </c>
      <c r="X335" s="50" t="s">
        <v>7160</v>
      </c>
      <c r="Y335" s="50">
        <v>0.32</v>
      </c>
    </row>
    <row r="336" spans="2:25" x14ac:dyDescent="0.2">
      <c r="B336" s="50" t="s">
        <v>9</v>
      </c>
      <c r="C336" s="50" t="s">
        <v>364</v>
      </c>
      <c r="D336" s="50"/>
      <c r="E336" s="50"/>
      <c r="F336" s="50" t="s">
        <v>14</v>
      </c>
      <c r="G336" s="50" t="s">
        <v>1962</v>
      </c>
      <c r="H336" s="50" t="s">
        <v>15</v>
      </c>
      <c r="I336" s="50" t="s">
        <v>1121</v>
      </c>
      <c r="J336" s="50" t="s">
        <v>16</v>
      </c>
      <c r="K336" s="50" t="s">
        <v>7158</v>
      </c>
      <c r="L336" s="50">
        <v>51</v>
      </c>
      <c r="M336" s="50">
        <v>1.53</v>
      </c>
      <c r="N336" s="50">
        <v>0.3</v>
      </c>
      <c r="O336" s="50">
        <v>119880.87201168749</v>
      </c>
      <c r="P336" s="50">
        <v>40541.608500000002</v>
      </c>
      <c r="Q336" s="50">
        <v>79339.263511687488</v>
      </c>
      <c r="R336" s="50">
        <v>55378.125</v>
      </c>
      <c r="S336" s="50">
        <v>23961.138511687488</v>
      </c>
      <c r="T336" s="50">
        <v>103719392.28836901</v>
      </c>
      <c r="U336" s="50">
        <v>2.3018740968377022E-4</v>
      </c>
      <c r="V336" s="50">
        <v>0.97</v>
      </c>
      <c r="W336" s="50">
        <v>0.99640082766472293</v>
      </c>
      <c r="X336" s="50" t="s">
        <v>7160</v>
      </c>
      <c r="Y336" s="50">
        <v>0.3</v>
      </c>
    </row>
    <row r="337" spans="2:25" x14ac:dyDescent="0.2">
      <c r="B337" s="50" t="s">
        <v>9</v>
      </c>
      <c r="C337" s="50" t="s">
        <v>471</v>
      </c>
      <c r="D337" s="50"/>
      <c r="E337" s="50"/>
      <c r="F337" s="50" t="s">
        <v>14</v>
      </c>
      <c r="G337" s="51" t="s">
        <v>1962</v>
      </c>
      <c r="H337" s="50" t="s">
        <v>19</v>
      </c>
      <c r="I337" s="50" t="s">
        <v>1121</v>
      </c>
      <c r="J337" s="50" t="s">
        <v>20</v>
      </c>
      <c r="K337" s="50" t="s">
        <v>7158</v>
      </c>
      <c r="L337" s="50">
        <v>54</v>
      </c>
      <c r="M337" s="50">
        <v>2.16</v>
      </c>
      <c r="N337" s="50">
        <v>0.55000000000000004</v>
      </c>
      <c r="O337" s="50">
        <v>169243.58401650001</v>
      </c>
      <c r="P337" s="50">
        <v>44095.212</v>
      </c>
      <c r="Q337" s="50">
        <v>125148.37201650001</v>
      </c>
      <c r="R337" s="50">
        <v>101526.5625</v>
      </c>
      <c r="S337" s="50">
        <v>23621.809516500012</v>
      </c>
      <c r="T337" s="50">
        <v>103743014.09788552</v>
      </c>
      <c r="U337" s="50">
        <v>2.2692757867053595E-4</v>
      </c>
      <c r="V337" s="50">
        <v>0.96000000000000008</v>
      </c>
      <c r="W337" s="50">
        <v>0.99662775524339342</v>
      </c>
      <c r="X337" s="50" t="s">
        <v>7159</v>
      </c>
      <c r="Y337" s="50">
        <v>0.55000000000000004</v>
      </c>
    </row>
    <row r="338" spans="2:25" x14ac:dyDescent="0.2">
      <c r="B338" s="50" t="s">
        <v>9</v>
      </c>
      <c r="C338" s="50" t="s">
        <v>182</v>
      </c>
      <c r="D338" s="50"/>
      <c r="E338" s="50"/>
      <c r="F338" s="50" t="s">
        <v>14</v>
      </c>
      <c r="G338" s="50" t="s">
        <v>1962</v>
      </c>
      <c r="H338" s="50" t="s">
        <v>15</v>
      </c>
      <c r="I338" s="50" t="s">
        <v>1120</v>
      </c>
      <c r="J338" s="50" t="s">
        <v>16</v>
      </c>
      <c r="K338" s="50" t="s">
        <v>7158</v>
      </c>
      <c r="L338" s="50">
        <v>6</v>
      </c>
      <c r="M338" s="50">
        <v>1.2</v>
      </c>
      <c r="N338" s="50">
        <v>1.0469702402294729</v>
      </c>
      <c r="O338" s="50">
        <v>94024.213342499992</v>
      </c>
      <c r="P338" s="50">
        <v>6977.34</v>
      </c>
      <c r="Q338" s="50">
        <v>87046.873342499995</v>
      </c>
      <c r="R338" s="50">
        <v>64047.795742409959</v>
      </c>
      <c r="S338" s="50">
        <v>22999.077600090037</v>
      </c>
      <c r="T338" s="50">
        <v>103766013.17548561</v>
      </c>
      <c r="U338" s="50">
        <v>2.2094518151958656E-4</v>
      </c>
      <c r="V338" s="50">
        <v>0.79999999999999993</v>
      </c>
      <c r="W338" s="50">
        <v>0.99684870042491303</v>
      </c>
      <c r="X338" s="50" t="s">
        <v>7160</v>
      </c>
      <c r="Y338" s="50">
        <v>0.32</v>
      </c>
    </row>
    <row r="339" spans="2:25" x14ac:dyDescent="0.2">
      <c r="B339" s="50" t="s">
        <v>9</v>
      </c>
      <c r="C339" s="50" t="s">
        <v>272</v>
      </c>
      <c r="D339" s="50"/>
      <c r="E339" s="50"/>
      <c r="F339" s="50" t="s">
        <v>14</v>
      </c>
      <c r="G339" s="50" t="s">
        <v>1962</v>
      </c>
      <c r="H339" s="50" t="s">
        <v>15</v>
      </c>
      <c r="I339" s="50" t="s">
        <v>1120</v>
      </c>
      <c r="J339" s="50" t="s">
        <v>16</v>
      </c>
      <c r="K339" s="50" t="s">
        <v>7158</v>
      </c>
      <c r="L339" s="50">
        <v>63</v>
      </c>
      <c r="M339" s="50">
        <v>1.26</v>
      </c>
      <c r="N339" s="50">
        <v>0.44923076923076927</v>
      </c>
      <c r="O339" s="50">
        <v>98725.424009625</v>
      </c>
      <c r="P339" s="50">
        <v>48717.207000000002</v>
      </c>
      <c r="Q339" s="50">
        <v>50008.217009624997</v>
      </c>
      <c r="R339" s="50">
        <v>27481.431127012529</v>
      </c>
      <c r="S339" s="50">
        <v>22526.785882612468</v>
      </c>
      <c r="T339" s="50">
        <v>103788539.96136822</v>
      </c>
      <c r="U339" s="50">
        <v>2.1640801785316761E-4</v>
      </c>
      <c r="V339" s="50">
        <v>0.98</v>
      </c>
      <c r="W339" s="50">
        <v>0.99706510844276619</v>
      </c>
      <c r="X339" s="50" t="s">
        <v>7159</v>
      </c>
      <c r="Y339" s="50">
        <v>0.32</v>
      </c>
    </row>
    <row r="340" spans="2:25" x14ac:dyDescent="0.2">
      <c r="B340" s="50" t="s">
        <v>9</v>
      </c>
      <c r="C340" s="50" t="s">
        <v>162</v>
      </c>
      <c r="D340" s="50"/>
      <c r="E340" s="50"/>
      <c r="F340" s="50" t="s">
        <v>14</v>
      </c>
      <c r="G340" s="50" t="s">
        <v>1962</v>
      </c>
      <c r="H340" s="50" t="s">
        <v>15</v>
      </c>
      <c r="I340" s="50" t="s">
        <v>1120</v>
      </c>
      <c r="J340" s="50" t="s">
        <v>16</v>
      </c>
      <c r="K340" s="50" t="s">
        <v>7158</v>
      </c>
      <c r="L340" s="50">
        <v>6</v>
      </c>
      <c r="M340" s="50">
        <v>1.02</v>
      </c>
      <c r="N340" s="50">
        <v>0.83279009126466752</v>
      </c>
      <c r="O340" s="50">
        <v>79920.581341124998</v>
      </c>
      <c r="P340" s="50">
        <v>6587.7390000000005</v>
      </c>
      <c r="Q340" s="50">
        <v>73332.842341124997</v>
      </c>
      <c r="R340" s="50">
        <v>50945.449652830415</v>
      </c>
      <c r="S340" s="50">
        <v>22387.392688294582</v>
      </c>
      <c r="T340" s="50">
        <v>103810927.35405651</v>
      </c>
      <c r="U340" s="50">
        <v>2.150689096003636E-4</v>
      </c>
      <c r="V340" s="50">
        <v>0.83000000000000007</v>
      </c>
      <c r="W340" s="50">
        <v>0.99728017735236651</v>
      </c>
      <c r="X340" s="50" t="s">
        <v>7161</v>
      </c>
      <c r="Y340" s="50">
        <v>0.32</v>
      </c>
    </row>
    <row r="341" spans="2:25" x14ac:dyDescent="0.2">
      <c r="B341" s="50" t="s">
        <v>9</v>
      </c>
      <c r="C341" s="50" t="s">
        <v>185</v>
      </c>
      <c r="D341" s="50"/>
      <c r="E341" s="50"/>
      <c r="F341" s="50" t="s">
        <v>14</v>
      </c>
      <c r="G341" s="50" t="s">
        <v>1962</v>
      </c>
      <c r="H341" s="50" t="s">
        <v>15</v>
      </c>
      <c r="I341" s="50" t="s">
        <v>1121</v>
      </c>
      <c r="J341" s="50" t="s">
        <v>16</v>
      </c>
      <c r="K341" s="50" t="s">
        <v>7158</v>
      </c>
      <c r="L341" s="50">
        <v>33</v>
      </c>
      <c r="M341" s="50">
        <v>1.32</v>
      </c>
      <c r="N341" s="50">
        <v>0.29918032786885246</v>
      </c>
      <c r="O341" s="50">
        <v>103426.63467675001</v>
      </c>
      <c r="P341" s="50">
        <v>26947.074000000001</v>
      </c>
      <c r="Q341" s="50">
        <v>76479.560676749999</v>
      </c>
      <c r="R341" s="50">
        <v>55226.818647540982</v>
      </c>
      <c r="S341" s="50">
        <v>21252.742029209017</v>
      </c>
      <c r="T341" s="50">
        <v>103832180.09608571</v>
      </c>
      <c r="U341" s="50">
        <v>2.0416866393868554E-4</v>
      </c>
      <c r="V341" s="50">
        <v>0.96</v>
      </c>
      <c r="W341" s="50">
        <v>0.9974843460163052</v>
      </c>
      <c r="X341" s="50" t="s">
        <v>7163</v>
      </c>
      <c r="Y341" s="50">
        <v>0.29918032786885246</v>
      </c>
    </row>
    <row r="342" spans="2:25" x14ac:dyDescent="0.2">
      <c r="B342" s="50" t="s">
        <v>9</v>
      </c>
      <c r="C342" s="50" t="s">
        <v>118</v>
      </c>
      <c r="D342" s="50"/>
      <c r="E342" s="50"/>
      <c r="F342" s="50" t="s">
        <v>14</v>
      </c>
      <c r="G342" s="50" t="s">
        <v>1962</v>
      </c>
      <c r="H342" s="50" t="s">
        <v>15</v>
      </c>
      <c r="I342" s="50" t="s">
        <v>1120</v>
      </c>
      <c r="J342" s="50" t="s">
        <v>16</v>
      </c>
      <c r="K342" s="50" t="s">
        <v>7158</v>
      </c>
      <c r="L342" s="50">
        <v>19</v>
      </c>
      <c r="M342" s="50">
        <v>1.1399999999999999</v>
      </c>
      <c r="N342" s="50">
        <v>0.86</v>
      </c>
      <c r="O342" s="50">
        <v>89323.002675374984</v>
      </c>
      <c r="P342" s="50">
        <v>16337.473</v>
      </c>
      <c r="Q342" s="50">
        <v>72985.529675374986</v>
      </c>
      <c r="R342" s="50">
        <v>52610</v>
      </c>
      <c r="S342" s="50">
        <v>20375.529675374986</v>
      </c>
      <c r="T342" s="50">
        <v>103852555.62576109</v>
      </c>
      <c r="U342" s="50">
        <v>1.9574155020311881E-4</v>
      </c>
      <c r="V342" s="50">
        <v>0.94</v>
      </c>
      <c r="W342" s="50">
        <v>0.99768008756650828</v>
      </c>
      <c r="X342" s="50" t="s">
        <v>7160</v>
      </c>
      <c r="Y342" s="50">
        <v>0.32</v>
      </c>
    </row>
    <row r="343" spans="2:25" x14ac:dyDescent="0.2">
      <c r="B343" s="50" t="s">
        <v>9</v>
      </c>
      <c r="C343" s="50" t="s">
        <v>106</v>
      </c>
      <c r="D343" s="50"/>
      <c r="E343" s="50"/>
      <c r="F343" s="50" t="s">
        <v>14</v>
      </c>
      <c r="G343" s="50" t="s">
        <v>1962</v>
      </c>
      <c r="H343" s="50" t="s">
        <v>15</v>
      </c>
      <c r="I343" s="50" t="s">
        <v>1120</v>
      </c>
      <c r="J343" s="50" t="s">
        <v>16</v>
      </c>
      <c r="K343" s="50" t="s">
        <v>7158</v>
      </c>
      <c r="L343" s="50">
        <v>16</v>
      </c>
      <c r="M343" s="50">
        <v>1.1200000000000001</v>
      </c>
      <c r="N343" s="50">
        <v>0.8813383925491548</v>
      </c>
      <c r="O343" s="50">
        <v>87755.932453000016</v>
      </c>
      <c r="P343" s="50">
        <v>14104.183999999999</v>
      </c>
      <c r="Q343" s="50">
        <v>73651.748453000022</v>
      </c>
      <c r="R343" s="50">
        <v>53915.363758152365</v>
      </c>
      <c r="S343" s="50">
        <v>19736.384694847657</v>
      </c>
      <c r="T343" s="50">
        <v>103872292.01045594</v>
      </c>
      <c r="U343" s="50">
        <v>1.8960147770997714E-4</v>
      </c>
      <c r="V343" s="50">
        <v>0.92999999999999994</v>
      </c>
      <c r="W343" s="50">
        <v>0.99786968904421824</v>
      </c>
      <c r="X343" s="50" t="s">
        <v>7161</v>
      </c>
      <c r="Y343" s="50">
        <v>0.32</v>
      </c>
    </row>
    <row r="344" spans="2:25" x14ac:dyDescent="0.2">
      <c r="B344" s="50" t="s">
        <v>9</v>
      </c>
      <c r="C344" s="50" t="s">
        <v>363</v>
      </c>
      <c r="D344" s="50"/>
      <c r="E344" s="50"/>
      <c r="F344" s="50" t="s">
        <v>14</v>
      </c>
      <c r="G344" s="50" t="s">
        <v>1962</v>
      </c>
      <c r="H344" s="50" t="s">
        <v>19</v>
      </c>
      <c r="I344" s="50" t="s">
        <v>1120</v>
      </c>
      <c r="J344" s="50" t="s">
        <v>20</v>
      </c>
      <c r="K344" s="50" t="s">
        <v>7158</v>
      </c>
      <c r="L344" s="50">
        <v>57.7</v>
      </c>
      <c r="M344" s="50">
        <v>1.5002</v>
      </c>
      <c r="N344" s="50">
        <v>0.86</v>
      </c>
      <c r="O344" s="50">
        <v>117545.93738034873</v>
      </c>
      <c r="P344" s="50">
        <v>45368.107889999999</v>
      </c>
      <c r="Q344" s="50">
        <v>72177.829490348726</v>
      </c>
      <c r="R344" s="50">
        <v>52610</v>
      </c>
      <c r="S344" s="50">
        <v>19567.829490348726</v>
      </c>
      <c r="T344" s="50">
        <v>103891859.83994628</v>
      </c>
      <c r="U344" s="50">
        <v>1.8798221884657205E-4</v>
      </c>
      <c r="V344" s="50">
        <v>0.97399999999999998</v>
      </c>
      <c r="W344" s="50">
        <v>0.99805767126306477</v>
      </c>
      <c r="X344" s="50" t="s">
        <v>7162</v>
      </c>
      <c r="Y344" s="50">
        <v>0.32</v>
      </c>
    </row>
    <row r="345" spans="2:25" x14ac:dyDescent="0.2">
      <c r="B345" s="50" t="s">
        <v>9</v>
      </c>
      <c r="C345" s="50" t="s">
        <v>390</v>
      </c>
      <c r="D345" s="50"/>
      <c r="E345" s="50"/>
      <c r="F345" s="50" t="s">
        <v>14</v>
      </c>
      <c r="G345" s="50" t="s">
        <v>1962</v>
      </c>
      <c r="H345" s="50" t="s">
        <v>15</v>
      </c>
      <c r="I345" s="50" t="s">
        <v>1121</v>
      </c>
      <c r="J345" s="50" t="s">
        <v>16</v>
      </c>
      <c r="K345" s="50" t="s">
        <v>7158</v>
      </c>
      <c r="L345" s="50">
        <v>99</v>
      </c>
      <c r="M345" s="50">
        <v>1.98</v>
      </c>
      <c r="N345" s="50">
        <v>0.32</v>
      </c>
      <c r="O345" s="50">
        <v>155139.95201512499</v>
      </c>
      <c r="P345" s="50">
        <v>76555.611000000004</v>
      </c>
      <c r="Q345" s="50">
        <v>78584.341015124985</v>
      </c>
      <c r="R345" s="50">
        <v>59070</v>
      </c>
      <c r="S345" s="50">
        <v>19514.341015124985</v>
      </c>
      <c r="T345" s="50">
        <v>103911374.18096142</v>
      </c>
      <c r="U345" s="50">
        <v>1.874683712448113E-4</v>
      </c>
      <c r="V345" s="50">
        <v>0.98</v>
      </c>
      <c r="W345" s="50">
        <v>0.99824513963430961</v>
      </c>
      <c r="X345" s="50" t="s">
        <v>7161</v>
      </c>
      <c r="Y345" s="50">
        <v>0.32</v>
      </c>
    </row>
    <row r="346" spans="2:25" x14ac:dyDescent="0.2">
      <c r="B346" s="50" t="s">
        <v>9</v>
      </c>
      <c r="C346" s="50" t="s">
        <v>34</v>
      </c>
      <c r="D346" s="50"/>
      <c r="E346" s="50"/>
      <c r="F346" s="50" t="s">
        <v>14</v>
      </c>
      <c r="G346" s="50" t="s">
        <v>1962</v>
      </c>
      <c r="H346" s="50" t="s">
        <v>15</v>
      </c>
      <c r="I346" s="50" t="s">
        <v>1120</v>
      </c>
      <c r="J346" s="50" t="s">
        <v>16</v>
      </c>
      <c r="K346" s="50" t="s">
        <v>7158</v>
      </c>
      <c r="L346" s="50">
        <v>5.6</v>
      </c>
      <c r="M346" s="50">
        <v>1.008</v>
      </c>
      <c r="N346" s="50">
        <v>0.87460063897763574</v>
      </c>
      <c r="O346" s="50">
        <v>78980.339207699988</v>
      </c>
      <c r="P346" s="50">
        <v>6269.7655999999988</v>
      </c>
      <c r="Q346" s="50">
        <v>72710.573607699989</v>
      </c>
      <c r="R346" s="50">
        <v>53503.185600713266</v>
      </c>
      <c r="S346" s="50">
        <v>19207.388006986723</v>
      </c>
      <c r="T346" s="50">
        <v>103930581.5689684</v>
      </c>
      <c r="U346" s="50">
        <v>1.8451956654575564E-4</v>
      </c>
      <c r="V346" s="50">
        <v>0.82</v>
      </c>
      <c r="W346" s="50">
        <v>0.99842965920085536</v>
      </c>
      <c r="X346" s="50" t="s">
        <v>7162</v>
      </c>
      <c r="Y346" s="50">
        <v>0.32</v>
      </c>
    </row>
    <row r="347" spans="2:25" x14ac:dyDescent="0.2">
      <c r="B347" s="50" t="s">
        <v>9</v>
      </c>
      <c r="C347" s="50" t="s">
        <v>376</v>
      </c>
      <c r="D347" s="50"/>
      <c r="E347" s="50"/>
      <c r="F347" s="50" t="s">
        <v>14</v>
      </c>
      <c r="G347" s="50" t="s">
        <v>1962</v>
      </c>
      <c r="H347" s="50" t="s">
        <v>15</v>
      </c>
      <c r="I347" s="50" t="s">
        <v>1120</v>
      </c>
      <c r="J347" s="50" t="s">
        <v>16</v>
      </c>
      <c r="K347" s="50" t="s">
        <v>7158</v>
      </c>
      <c r="L347" s="50">
        <v>6</v>
      </c>
      <c r="M347" s="50">
        <v>0.96</v>
      </c>
      <c r="N347" s="50">
        <v>0.86</v>
      </c>
      <c r="O347" s="50">
        <v>75219.370674000005</v>
      </c>
      <c r="P347" s="50">
        <v>6457.8719999999994</v>
      </c>
      <c r="Q347" s="50">
        <v>68761.498674000002</v>
      </c>
      <c r="R347" s="50">
        <v>52610</v>
      </c>
      <c r="S347" s="50">
        <v>16151.498674000002</v>
      </c>
      <c r="T347" s="50">
        <v>103946733.06764241</v>
      </c>
      <c r="U347" s="50">
        <v>1.5516256209885225E-4</v>
      </c>
      <c r="V347" s="50">
        <v>0.84</v>
      </c>
      <c r="W347" s="50">
        <v>0.99858482176295416</v>
      </c>
      <c r="X347" s="50" t="s">
        <v>7161</v>
      </c>
      <c r="Y347" s="50">
        <v>0.32</v>
      </c>
    </row>
    <row r="348" spans="2:25" x14ac:dyDescent="0.2">
      <c r="B348" s="50" t="s">
        <v>9</v>
      </c>
      <c r="C348" s="50" t="s">
        <v>359</v>
      </c>
      <c r="D348" s="50"/>
      <c r="E348" s="50"/>
      <c r="F348" s="50" t="s">
        <v>14</v>
      </c>
      <c r="G348" s="50" t="s">
        <v>1962</v>
      </c>
      <c r="H348" s="50" t="s">
        <v>15</v>
      </c>
      <c r="I348" s="50" t="s">
        <v>1120</v>
      </c>
      <c r="J348" s="50" t="s">
        <v>16</v>
      </c>
      <c r="K348" s="50" t="s">
        <v>7158</v>
      </c>
      <c r="L348" s="50">
        <v>160</v>
      </c>
      <c r="M348" s="50">
        <v>3.2</v>
      </c>
      <c r="N348" s="50">
        <v>1.837248322147651</v>
      </c>
      <c r="O348" s="50">
        <v>250731.23558000001</v>
      </c>
      <c r="P348" s="50">
        <v>123726.24</v>
      </c>
      <c r="Q348" s="50">
        <v>127004.99558</v>
      </c>
      <c r="R348" s="50">
        <v>112392.59793975338</v>
      </c>
      <c r="S348" s="50">
        <v>14612.397640246621</v>
      </c>
      <c r="T348" s="50">
        <v>103961345.46528265</v>
      </c>
      <c r="U348" s="50">
        <v>1.4037688402981991E-4</v>
      </c>
      <c r="V348" s="50">
        <v>0.98000000000000009</v>
      </c>
      <c r="W348" s="50">
        <v>0.99872519864698395</v>
      </c>
      <c r="X348" s="50" t="s">
        <v>7162</v>
      </c>
      <c r="Y348" s="50">
        <v>0.32</v>
      </c>
    </row>
    <row r="349" spans="2:25" x14ac:dyDescent="0.2">
      <c r="B349" s="50" t="s">
        <v>9</v>
      </c>
      <c r="C349" s="50" t="s">
        <v>138</v>
      </c>
      <c r="D349" s="50"/>
      <c r="E349" s="50"/>
      <c r="F349" s="50" t="s">
        <v>14</v>
      </c>
      <c r="G349" s="50" t="s">
        <v>1962</v>
      </c>
      <c r="H349" s="50" t="s">
        <v>32</v>
      </c>
      <c r="I349" s="50" t="s">
        <v>1120</v>
      </c>
      <c r="J349" s="50" t="s">
        <v>33</v>
      </c>
      <c r="K349" s="50" t="s">
        <v>7158</v>
      </c>
      <c r="L349" s="50">
        <v>5</v>
      </c>
      <c r="M349" s="50">
        <v>0.9</v>
      </c>
      <c r="N349" s="50">
        <v>0.83578671900556112</v>
      </c>
      <c r="O349" s="50">
        <v>70518.160006874998</v>
      </c>
      <c r="P349" s="50">
        <v>5598.0050000000001</v>
      </c>
      <c r="Q349" s="50">
        <v>64920.155006875</v>
      </c>
      <c r="R349" s="50">
        <v>51128.766612654144</v>
      </c>
      <c r="S349" s="50">
        <v>13791.388394220856</v>
      </c>
      <c r="T349" s="50">
        <v>103975136.85367687</v>
      </c>
      <c r="U349" s="50">
        <v>1.3248969655010501E-4</v>
      </c>
      <c r="V349" s="50">
        <v>0.82</v>
      </c>
      <c r="W349" s="50">
        <v>0.99885768834353406</v>
      </c>
      <c r="X349" s="50" t="s">
        <v>7159</v>
      </c>
      <c r="Y349" s="50">
        <v>0.32</v>
      </c>
    </row>
    <row r="350" spans="2:25" x14ac:dyDescent="0.2">
      <c r="B350" s="50" t="s">
        <v>9</v>
      </c>
      <c r="C350" s="50" t="s">
        <v>145</v>
      </c>
      <c r="D350" s="50"/>
      <c r="E350" s="50"/>
      <c r="F350" s="50" t="s">
        <v>14</v>
      </c>
      <c r="G350" s="50" t="s">
        <v>1962</v>
      </c>
      <c r="H350" s="50" t="s">
        <v>15</v>
      </c>
      <c r="I350" s="50" t="s">
        <v>1120</v>
      </c>
      <c r="J350" s="50" t="s">
        <v>16</v>
      </c>
      <c r="K350" s="50" t="s">
        <v>7158</v>
      </c>
      <c r="L350" s="50">
        <v>44</v>
      </c>
      <c r="M350" s="50">
        <v>0.88</v>
      </c>
      <c r="N350" s="50">
        <v>0.36868686868686867</v>
      </c>
      <c r="O350" s="50">
        <v>68951.0897845</v>
      </c>
      <c r="P350" s="50">
        <v>34024.716</v>
      </c>
      <c r="Q350" s="50">
        <v>34926.3737845</v>
      </c>
      <c r="R350" s="50">
        <v>22554.204839088557</v>
      </c>
      <c r="S350" s="50">
        <v>12372.168945411442</v>
      </c>
      <c r="T350" s="50">
        <v>103987509.02262229</v>
      </c>
      <c r="U350" s="50">
        <v>1.1885568460468265E-4</v>
      </c>
      <c r="V350" s="50">
        <v>0.98</v>
      </c>
      <c r="W350" s="50">
        <v>0.99897654402813874</v>
      </c>
      <c r="X350" s="50" t="s">
        <v>7163</v>
      </c>
      <c r="Y350" s="50">
        <v>0.32</v>
      </c>
    </row>
    <row r="351" spans="2:25" x14ac:dyDescent="0.2">
      <c r="B351" s="50" t="s">
        <v>9</v>
      </c>
      <c r="C351" s="50" t="s">
        <v>420</v>
      </c>
      <c r="D351" s="50"/>
      <c r="E351" s="50"/>
      <c r="F351" s="50" t="s">
        <v>14</v>
      </c>
      <c r="G351" s="50" t="s">
        <v>1962</v>
      </c>
      <c r="H351" s="50" t="s">
        <v>15</v>
      </c>
      <c r="I351" s="50" t="s">
        <v>1120</v>
      </c>
      <c r="J351" s="50" t="s">
        <v>16</v>
      </c>
      <c r="K351" s="50" t="s">
        <v>7158</v>
      </c>
      <c r="L351" s="50">
        <v>62</v>
      </c>
      <c r="M351" s="50">
        <v>1.24</v>
      </c>
      <c r="N351" s="50">
        <v>0.60330578512396693</v>
      </c>
      <c r="O351" s="50">
        <v>97158.353787249987</v>
      </c>
      <c r="P351" s="50">
        <v>47943.917999999998</v>
      </c>
      <c r="Q351" s="50">
        <v>49214.43578724999</v>
      </c>
      <c r="R351" s="50">
        <v>36906.880645781275</v>
      </c>
      <c r="S351" s="50">
        <v>12307.555141468714</v>
      </c>
      <c r="T351" s="50">
        <v>103999816.57776375</v>
      </c>
      <c r="U351" s="50">
        <v>1.1823495933521615E-4</v>
      </c>
      <c r="V351" s="50">
        <v>0.98</v>
      </c>
      <c r="W351" s="50">
        <v>0.9990947789874739</v>
      </c>
      <c r="X351" s="50" t="s">
        <v>7160</v>
      </c>
      <c r="Y351" s="50">
        <v>0.32</v>
      </c>
    </row>
    <row r="352" spans="2:25" x14ac:dyDescent="0.2">
      <c r="B352" s="50" t="s">
        <v>9</v>
      </c>
      <c r="C352" s="50" t="s">
        <v>246</v>
      </c>
      <c r="D352" s="50"/>
      <c r="E352" s="50"/>
      <c r="F352" s="50" t="s">
        <v>14</v>
      </c>
      <c r="G352" s="50" t="s">
        <v>1962</v>
      </c>
      <c r="H352" s="50" t="s">
        <v>15</v>
      </c>
      <c r="I352" s="50" t="s">
        <v>1120</v>
      </c>
      <c r="J352" s="50" t="s">
        <v>16</v>
      </c>
      <c r="K352" s="50" t="s">
        <v>7158</v>
      </c>
      <c r="L352" s="50">
        <v>23</v>
      </c>
      <c r="M352" s="50">
        <v>0.92</v>
      </c>
      <c r="N352" s="50">
        <v>0.68054692355500312</v>
      </c>
      <c r="O352" s="50">
        <v>72085.230229249995</v>
      </c>
      <c r="P352" s="50">
        <v>18781.293999999998</v>
      </c>
      <c r="Q352" s="50">
        <v>53303.936229250001</v>
      </c>
      <c r="R352" s="50">
        <v>41632.062381661293</v>
      </c>
      <c r="S352" s="50">
        <v>11671.873847588708</v>
      </c>
      <c r="T352" s="50">
        <v>104011488.45161134</v>
      </c>
      <c r="U352" s="50">
        <v>1.1212816143196572E-4</v>
      </c>
      <c r="V352" s="50">
        <v>0.96</v>
      </c>
      <c r="W352" s="50">
        <v>0.99920690714890581</v>
      </c>
      <c r="X352" s="50" t="s">
        <v>7160</v>
      </c>
      <c r="Y352" s="50">
        <v>0.32</v>
      </c>
    </row>
    <row r="353" spans="2:25" x14ac:dyDescent="0.2">
      <c r="B353" s="50" t="s">
        <v>9</v>
      </c>
      <c r="C353" s="50" t="s">
        <v>268</v>
      </c>
      <c r="D353" s="50"/>
      <c r="E353" s="50"/>
      <c r="F353" s="50" t="s">
        <v>14</v>
      </c>
      <c r="G353" s="50" t="s">
        <v>1962</v>
      </c>
      <c r="H353" s="50" t="s">
        <v>32</v>
      </c>
      <c r="I353" s="50" t="s">
        <v>1120</v>
      </c>
      <c r="J353" s="50" t="s">
        <v>33</v>
      </c>
      <c r="K353" s="50" t="s">
        <v>7158</v>
      </c>
      <c r="L353" s="50">
        <v>33</v>
      </c>
      <c r="M353" s="50">
        <v>1.65</v>
      </c>
      <c r="N353" s="50">
        <v>1.4737550471063257</v>
      </c>
      <c r="O353" s="50">
        <v>129283.29334593749</v>
      </c>
      <c r="P353" s="50">
        <v>27661.342499999999</v>
      </c>
      <c r="Q353" s="50">
        <v>101621.95084593749</v>
      </c>
      <c r="R353" s="50">
        <v>90156.108172399749</v>
      </c>
      <c r="S353" s="50">
        <v>11465.842673537743</v>
      </c>
      <c r="T353" s="50">
        <v>104022954.29428488</v>
      </c>
      <c r="U353" s="50">
        <v>1.1014888226516967E-4</v>
      </c>
      <c r="V353" s="50">
        <v>0.95000000000000007</v>
      </c>
      <c r="W353" s="50">
        <v>0.99931705603117094</v>
      </c>
      <c r="X353" s="50" t="s">
        <v>7163</v>
      </c>
      <c r="Y353" s="50">
        <v>0.32</v>
      </c>
    </row>
    <row r="354" spans="2:25" x14ac:dyDescent="0.2">
      <c r="B354" s="50" t="s">
        <v>9</v>
      </c>
      <c r="C354" s="50" t="s">
        <v>200</v>
      </c>
      <c r="D354" s="50"/>
      <c r="E354" s="50"/>
      <c r="F354" s="50" t="s">
        <v>14</v>
      </c>
      <c r="G354" s="50" t="s">
        <v>1962</v>
      </c>
      <c r="H354" s="50" t="s">
        <v>15</v>
      </c>
      <c r="I354" s="50" t="s">
        <v>1120</v>
      </c>
      <c r="J354" s="50" t="s">
        <v>16</v>
      </c>
      <c r="K354" s="50" t="s">
        <v>7158</v>
      </c>
      <c r="L354" s="50">
        <v>54</v>
      </c>
      <c r="M354" s="50">
        <v>1.08</v>
      </c>
      <c r="N354" s="50">
        <v>0.51975792096831619</v>
      </c>
      <c r="O354" s="50">
        <v>84621.792008250006</v>
      </c>
      <c r="P354" s="50">
        <v>41757.606</v>
      </c>
      <c r="Q354" s="50">
        <v>42864.186008250006</v>
      </c>
      <c r="R354" s="50">
        <v>31795.888630398971</v>
      </c>
      <c r="S354" s="50">
        <v>11068.297377851035</v>
      </c>
      <c r="T354" s="50">
        <v>104034022.59166273</v>
      </c>
      <c r="U354" s="50">
        <v>1.0632978486287152E-4</v>
      </c>
      <c r="V354" s="50">
        <v>0.98</v>
      </c>
      <c r="W354" s="50">
        <v>0.99942338581603385</v>
      </c>
      <c r="X354" s="50" t="s">
        <v>7161</v>
      </c>
      <c r="Y354" s="50">
        <v>0.32</v>
      </c>
    </row>
    <row r="355" spans="2:25" x14ac:dyDescent="0.2">
      <c r="B355" s="50" t="s">
        <v>9</v>
      </c>
      <c r="C355" s="50" t="s">
        <v>215</v>
      </c>
      <c r="D355" s="50"/>
      <c r="E355" s="50"/>
      <c r="F355" s="50" t="s">
        <v>14</v>
      </c>
      <c r="G355" s="51" t="s">
        <v>1962</v>
      </c>
      <c r="H355" s="50" t="s">
        <v>15</v>
      </c>
      <c r="I355" s="50" t="s">
        <v>1120</v>
      </c>
      <c r="J355" s="50" t="s">
        <v>16</v>
      </c>
      <c r="K355" s="50" t="s">
        <v>7158</v>
      </c>
      <c r="L355" s="50">
        <v>39</v>
      </c>
      <c r="M355" s="50">
        <v>1.56</v>
      </c>
      <c r="N355" s="50">
        <v>1.3052665799739922</v>
      </c>
      <c r="O355" s="50">
        <v>122231.47734524998</v>
      </c>
      <c r="P355" s="50">
        <v>31846.541999999998</v>
      </c>
      <c r="Q355" s="50">
        <v>90384.935345249978</v>
      </c>
      <c r="R355" s="50">
        <v>79848.924153990389</v>
      </c>
      <c r="S355" s="50">
        <v>10536.011191259589</v>
      </c>
      <c r="T355" s="50">
        <v>104044558.602854</v>
      </c>
      <c r="U355" s="50">
        <v>1.0121627247938553E-4</v>
      </c>
      <c r="V355" s="50">
        <v>0.96</v>
      </c>
      <c r="W355" s="50">
        <v>0.99952460208851324</v>
      </c>
      <c r="X355" s="50" t="s">
        <v>7161</v>
      </c>
      <c r="Y355" s="50">
        <v>0.32</v>
      </c>
    </row>
    <row r="356" spans="2:25" x14ac:dyDescent="0.2">
      <c r="B356" s="50" t="s">
        <v>9</v>
      </c>
      <c r="C356" s="50" t="s">
        <v>946</v>
      </c>
      <c r="D356" s="50"/>
      <c r="E356" s="50"/>
      <c r="F356" s="50" t="s">
        <v>14</v>
      </c>
      <c r="G356" s="50" t="s">
        <v>1962</v>
      </c>
      <c r="H356" s="50" t="s">
        <v>10</v>
      </c>
      <c r="I356" s="50" t="s">
        <v>1120</v>
      </c>
      <c r="J356" s="50" t="s">
        <v>529</v>
      </c>
      <c r="K356" s="50" t="s">
        <v>7158</v>
      </c>
      <c r="L356" s="50">
        <v>12</v>
      </c>
      <c r="M356" s="50">
        <v>0.96</v>
      </c>
      <c r="N356" s="50">
        <v>0.92078708375378415</v>
      </c>
      <c r="O356" s="50">
        <v>75219.370674000005</v>
      </c>
      <c r="P356" s="50">
        <v>10837.871999999999</v>
      </c>
      <c r="Q356" s="50">
        <v>64381.498674000002</v>
      </c>
      <c r="R356" s="50">
        <v>56328.614507309983</v>
      </c>
      <c r="S356" s="50">
        <v>8052.8841666900189</v>
      </c>
      <c r="T356" s="50">
        <v>104052611.48702069</v>
      </c>
      <c r="U356" s="50">
        <v>7.7361622274737035E-5</v>
      </c>
      <c r="V356" s="50">
        <v>0.91999999999999993</v>
      </c>
      <c r="W356" s="50">
        <v>0.99960196371078802</v>
      </c>
      <c r="X356" s="50" t="s">
        <v>7159</v>
      </c>
      <c r="Y356" s="50">
        <v>0.32</v>
      </c>
    </row>
    <row r="357" spans="2:25" x14ac:dyDescent="0.2">
      <c r="B357" s="50" t="s">
        <v>9</v>
      </c>
      <c r="C357" s="50" t="s">
        <v>501</v>
      </c>
      <c r="D357" s="50"/>
      <c r="E357" s="50"/>
      <c r="F357" s="50" t="s">
        <v>14</v>
      </c>
      <c r="G357" s="50" t="s">
        <v>1962</v>
      </c>
      <c r="H357" s="50" t="s">
        <v>15</v>
      </c>
      <c r="I357" s="50" t="s">
        <v>1120</v>
      </c>
      <c r="J357" s="50" t="s">
        <v>16</v>
      </c>
      <c r="K357" s="50" t="s">
        <v>7158</v>
      </c>
      <c r="L357" s="50">
        <v>47</v>
      </c>
      <c r="M357" s="50">
        <v>0.65800000000000003</v>
      </c>
      <c r="N357" s="50">
        <v>0.13660179640718564</v>
      </c>
      <c r="O357" s="50">
        <v>51556.610316137499</v>
      </c>
      <c r="P357" s="50">
        <v>35734.208099999996</v>
      </c>
      <c r="Q357" s="50">
        <v>15822.402216137503</v>
      </c>
      <c r="R357" s="50">
        <v>8356.5354755605076</v>
      </c>
      <c r="S357" s="50">
        <v>7465.8667405769957</v>
      </c>
      <c r="T357" s="50">
        <v>104060077.35376127</v>
      </c>
      <c r="U357" s="50">
        <v>7.1722323428804411E-5</v>
      </c>
      <c r="V357" s="50">
        <v>0.98599999999999999</v>
      </c>
      <c r="W357" s="50">
        <v>0.9996736860342168</v>
      </c>
      <c r="X357" s="50" t="s">
        <v>7162</v>
      </c>
      <c r="Y357" s="50">
        <v>0.32</v>
      </c>
    </row>
    <row r="358" spans="2:25" x14ac:dyDescent="0.2">
      <c r="B358" s="50" t="s">
        <v>9</v>
      </c>
      <c r="C358" s="50" t="s">
        <v>397</v>
      </c>
      <c r="D358" s="50"/>
      <c r="E358" s="50"/>
      <c r="F358" s="50" t="s">
        <v>14</v>
      </c>
      <c r="G358" s="50" t="s">
        <v>1962</v>
      </c>
      <c r="H358" s="50" t="s">
        <v>15</v>
      </c>
      <c r="I358" s="50" t="s">
        <v>1120</v>
      </c>
      <c r="J358" s="50" t="s">
        <v>16</v>
      </c>
      <c r="K358" s="50" t="s">
        <v>7158</v>
      </c>
      <c r="L358" s="50">
        <v>45</v>
      </c>
      <c r="M358" s="50">
        <v>0.9</v>
      </c>
      <c r="N358" s="50">
        <v>0.47915982934033474</v>
      </c>
      <c r="O358" s="50">
        <v>70518.160006874998</v>
      </c>
      <c r="P358" s="50">
        <v>34798.005000000005</v>
      </c>
      <c r="Q358" s="50">
        <v>35720.155006874993</v>
      </c>
      <c r="R358" s="50">
        <v>29312.323978598852</v>
      </c>
      <c r="S358" s="50">
        <v>6407.8310282761413</v>
      </c>
      <c r="T358" s="50">
        <v>104066485.18478955</v>
      </c>
      <c r="U358" s="50">
        <v>6.1558094385653477E-5</v>
      </c>
      <c r="V358" s="50">
        <v>0.98</v>
      </c>
      <c r="W358" s="50">
        <v>0.99973524412860248</v>
      </c>
      <c r="X358" s="50" t="s">
        <v>7160</v>
      </c>
      <c r="Y358" s="50">
        <v>0.32</v>
      </c>
    </row>
    <row r="359" spans="2:25" x14ac:dyDescent="0.2">
      <c r="B359" s="50" t="s">
        <v>9</v>
      </c>
      <c r="C359" s="50" t="s">
        <v>416</v>
      </c>
      <c r="D359" s="50"/>
      <c r="E359" s="50"/>
      <c r="F359" s="50" t="s">
        <v>14</v>
      </c>
      <c r="G359" s="50" t="s">
        <v>1962</v>
      </c>
      <c r="H359" s="50" t="s">
        <v>32</v>
      </c>
      <c r="I359" s="50" t="s">
        <v>1120</v>
      </c>
      <c r="J359" s="50" t="s">
        <v>33</v>
      </c>
      <c r="K359" s="50" t="s">
        <v>7158</v>
      </c>
      <c r="L359" s="50">
        <v>46</v>
      </c>
      <c r="M359" s="50">
        <v>0.92</v>
      </c>
      <c r="N359" s="50">
        <v>0.49457994579945802</v>
      </c>
      <c r="O359" s="50">
        <v>72085.230229249995</v>
      </c>
      <c r="P359" s="50">
        <v>35571.294000000002</v>
      </c>
      <c r="Q359" s="50">
        <v>36513.936229249994</v>
      </c>
      <c r="R359" s="50">
        <v>30255.640637801727</v>
      </c>
      <c r="S359" s="50">
        <v>6258.2955914482664</v>
      </c>
      <c r="T359" s="50">
        <v>104072743.480381</v>
      </c>
      <c r="U359" s="50">
        <v>6.0121552676980071E-5</v>
      </c>
      <c r="V359" s="50">
        <v>0.98</v>
      </c>
      <c r="W359" s="50">
        <v>0.99979536568127947</v>
      </c>
      <c r="X359" s="50" t="s">
        <v>7159</v>
      </c>
      <c r="Y359" s="50">
        <v>0.32</v>
      </c>
    </row>
    <row r="360" spans="2:25" x14ac:dyDescent="0.2">
      <c r="B360" s="50" t="s">
        <v>9</v>
      </c>
      <c r="C360" s="50" t="s">
        <v>493</v>
      </c>
      <c r="D360" s="50"/>
      <c r="E360" s="50"/>
      <c r="F360" s="50" t="s">
        <v>14</v>
      </c>
      <c r="G360" s="50" t="s">
        <v>1962</v>
      </c>
      <c r="H360" s="50" t="s">
        <v>15</v>
      </c>
      <c r="I360" s="50" t="s">
        <v>1120</v>
      </c>
      <c r="J360" s="50" t="s">
        <v>16</v>
      </c>
      <c r="K360" s="50" t="s">
        <v>7158</v>
      </c>
      <c r="L360" s="50">
        <v>10</v>
      </c>
      <c r="M360" s="50">
        <v>0.7</v>
      </c>
      <c r="N360" s="50">
        <v>0.67944899478778853</v>
      </c>
      <c r="O360" s="50">
        <v>54847.457783124992</v>
      </c>
      <c r="P360" s="50">
        <v>8815.1149999999998</v>
      </c>
      <c r="Q360" s="50">
        <v>46032.342783124994</v>
      </c>
      <c r="R360" s="50">
        <v>41564.897227657617</v>
      </c>
      <c r="S360" s="50">
        <v>4467.4455554673768</v>
      </c>
      <c r="T360" s="50">
        <v>104077210.92593646</v>
      </c>
      <c r="U360" s="50">
        <v>4.2917398095032548E-5</v>
      </c>
      <c r="V360" s="50">
        <v>0.93</v>
      </c>
      <c r="W360" s="50">
        <v>0.9998382830793745</v>
      </c>
      <c r="X360" s="50" t="s">
        <v>7159</v>
      </c>
      <c r="Y360" s="50">
        <v>0.32</v>
      </c>
    </row>
    <row r="361" spans="2:25" x14ac:dyDescent="0.2">
      <c r="B361" s="50" t="s">
        <v>9</v>
      </c>
      <c r="C361" s="50" t="s">
        <v>159</v>
      </c>
      <c r="D361" s="50"/>
      <c r="E361" s="50"/>
      <c r="F361" s="50" t="s">
        <v>14</v>
      </c>
      <c r="G361" s="50" t="s">
        <v>1962</v>
      </c>
      <c r="H361" s="50" t="s">
        <v>32</v>
      </c>
      <c r="I361" s="50" t="s">
        <v>1120</v>
      </c>
      <c r="J361" s="50" t="s">
        <v>33</v>
      </c>
      <c r="K361" s="50" t="s">
        <v>7158</v>
      </c>
      <c r="L361" s="50">
        <v>5</v>
      </c>
      <c r="M361" s="50">
        <v>0.55000000000000004</v>
      </c>
      <c r="N361" s="50">
        <v>0.56501547987616108</v>
      </c>
      <c r="O361" s="50">
        <v>43094.431115312502</v>
      </c>
      <c r="P361" s="50">
        <v>4840.4475000000002</v>
      </c>
      <c r="Q361" s="50">
        <v>38253.9836153125</v>
      </c>
      <c r="R361" s="50">
        <v>34564.493484052131</v>
      </c>
      <c r="S361" s="50">
        <v>3689.4901312603688</v>
      </c>
      <c r="T361" s="50">
        <v>104080900.41606772</v>
      </c>
      <c r="U361" s="50">
        <v>3.5443815658192056E-5</v>
      </c>
      <c r="V361" s="50">
        <v>0.89</v>
      </c>
      <c r="W361" s="50">
        <v>0.99987372689503273</v>
      </c>
      <c r="X361" s="50" t="s">
        <v>7163</v>
      </c>
      <c r="Y361" s="50">
        <v>0.32</v>
      </c>
    </row>
    <row r="362" spans="2:25" x14ac:dyDescent="0.2">
      <c r="B362" s="50" t="s">
        <v>9</v>
      </c>
      <c r="C362" s="50" t="s">
        <v>135</v>
      </c>
      <c r="D362" s="50"/>
      <c r="E362" s="50"/>
      <c r="F362" s="50" t="s">
        <v>14</v>
      </c>
      <c r="G362" s="51" t="s">
        <v>1962</v>
      </c>
      <c r="H362" s="50" t="s">
        <v>15</v>
      </c>
      <c r="I362" s="50" t="s">
        <v>1120</v>
      </c>
      <c r="J362" s="50" t="s">
        <v>16</v>
      </c>
      <c r="K362" s="50" t="s">
        <v>7158</v>
      </c>
      <c r="L362" s="50">
        <v>53</v>
      </c>
      <c r="M362" s="50">
        <v>1.325</v>
      </c>
      <c r="N362" s="50">
        <v>0.96306068601583106</v>
      </c>
      <c r="O362" s="50">
        <v>103818.40223234375</v>
      </c>
      <c r="P362" s="50">
        <v>41557.896249999998</v>
      </c>
      <c r="Q362" s="50">
        <v>62260.505982343755</v>
      </c>
      <c r="R362" s="50">
        <v>58914.677548014966</v>
      </c>
      <c r="S362" s="50">
        <v>3345.8284343287887</v>
      </c>
      <c r="T362" s="50">
        <v>104084246.24450205</v>
      </c>
      <c r="U362" s="50">
        <v>3.2142361689899878E-5</v>
      </c>
      <c r="V362" s="50">
        <v>0.97499999999999998</v>
      </c>
      <c r="W362" s="50">
        <v>0.99990586925672265</v>
      </c>
      <c r="X362" s="50" t="s">
        <v>7161</v>
      </c>
      <c r="Y362" s="50">
        <v>0.32</v>
      </c>
    </row>
    <row r="363" spans="2:25" x14ac:dyDescent="0.2">
      <c r="B363" s="50" t="s">
        <v>9</v>
      </c>
      <c r="C363" s="50" t="s">
        <v>113</v>
      </c>
      <c r="D363" s="50"/>
      <c r="E363" s="50"/>
      <c r="F363" s="50" t="s">
        <v>14</v>
      </c>
      <c r="G363" s="50" t="s">
        <v>1962</v>
      </c>
      <c r="H363" s="50" t="s">
        <v>15</v>
      </c>
      <c r="I363" s="50" t="s">
        <v>1120</v>
      </c>
      <c r="J363" s="50" t="s">
        <v>16</v>
      </c>
      <c r="K363" s="50" t="s">
        <v>7158</v>
      </c>
      <c r="L363" s="50">
        <v>8</v>
      </c>
      <c r="M363" s="50">
        <v>0.64</v>
      </c>
      <c r="N363" s="50">
        <v>0.64762242725337116</v>
      </c>
      <c r="O363" s="50">
        <v>50146.247115999999</v>
      </c>
      <c r="P363" s="50">
        <v>7225.2480000000005</v>
      </c>
      <c r="Q363" s="50">
        <v>42920.999115999999</v>
      </c>
      <c r="R363" s="50">
        <v>39617.925462557971</v>
      </c>
      <c r="S363" s="50">
        <v>3303.0736534420284</v>
      </c>
      <c r="T363" s="50">
        <v>104087549.3181555</v>
      </c>
      <c r="U363" s="50">
        <v>3.1731629442802349E-5</v>
      </c>
      <c r="V363" s="50">
        <v>0.92</v>
      </c>
      <c r="W363" s="50">
        <v>0.99993760088616546</v>
      </c>
      <c r="X363" s="50" t="s">
        <v>7159</v>
      </c>
      <c r="Y363" s="50">
        <v>0.32</v>
      </c>
    </row>
    <row r="364" spans="2:25" x14ac:dyDescent="0.2">
      <c r="B364" s="50" t="s">
        <v>9</v>
      </c>
      <c r="C364" s="50" t="s">
        <v>405</v>
      </c>
      <c r="D364" s="50"/>
      <c r="E364" s="50"/>
      <c r="F364" s="50" t="s">
        <v>14</v>
      </c>
      <c r="G364" s="50" t="s">
        <v>1962</v>
      </c>
      <c r="H364" s="50" t="s">
        <v>19</v>
      </c>
      <c r="I364" s="50" t="s">
        <v>1120</v>
      </c>
      <c r="J364" s="50" t="s">
        <v>20</v>
      </c>
      <c r="K364" s="50" t="s">
        <v>7158</v>
      </c>
      <c r="L364" s="50">
        <v>1</v>
      </c>
      <c r="M364" s="50">
        <v>0.48</v>
      </c>
      <c r="N364" s="50">
        <v>0.5342114892060007</v>
      </c>
      <c r="O364" s="50">
        <v>37609.685337000003</v>
      </c>
      <c r="P364" s="50">
        <v>1768.9359999999997</v>
      </c>
      <c r="Q364" s="50">
        <v>35840.749337000001</v>
      </c>
      <c r="R364" s="50">
        <v>32680.077264101976</v>
      </c>
      <c r="S364" s="50">
        <v>3160.6720728980254</v>
      </c>
      <c r="T364" s="50">
        <v>104090709.9902284</v>
      </c>
      <c r="U364" s="50">
        <v>3.0363620533529933E-5</v>
      </c>
      <c r="V364" s="50">
        <v>0.52</v>
      </c>
      <c r="W364" s="50">
        <v>0.999967964506699</v>
      </c>
      <c r="X364" s="50" t="s">
        <v>7160</v>
      </c>
      <c r="Y364" s="50">
        <v>0.32</v>
      </c>
    </row>
    <row r="365" spans="2:25" x14ac:dyDescent="0.2">
      <c r="B365" s="50" t="s">
        <v>9</v>
      </c>
      <c r="C365" s="50" t="s">
        <v>289</v>
      </c>
      <c r="D365" s="50"/>
      <c r="E365" s="50"/>
      <c r="F365" s="50" t="s">
        <v>14</v>
      </c>
      <c r="G365" s="50" t="s">
        <v>1962</v>
      </c>
      <c r="H365" s="50" t="s">
        <v>19</v>
      </c>
      <c r="I365" s="50" t="s">
        <v>1121</v>
      </c>
      <c r="J365" s="50" t="s">
        <v>20</v>
      </c>
      <c r="K365" s="50" t="s">
        <v>7158</v>
      </c>
      <c r="L365" s="50">
        <v>77</v>
      </c>
      <c r="M365" s="50">
        <v>1.54</v>
      </c>
      <c r="N365" s="50">
        <v>0.32</v>
      </c>
      <c r="O365" s="50">
        <v>120664.407122875</v>
      </c>
      <c r="P365" s="50">
        <v>59543.253000000004</v>
      </c>
      <c r="Q365" s="50">
        <v>61121.154122874992</v>
      </c>
      <c r="R365" s="50">
        <v>59070</v>
      </c>
      <c r="S365" s="50">
        <v>2051.154122874992</v>
      </c>
      <c r="T365" s="50">
        <v>104092761.14435127</v>
      </c>
      <c r="U365" s="50">
        <v>1.970481720542955E-5</v>
      </c>
      <c r="V365" s="50">
        <v>0.97999999999999987</v>
      </c>
      <c r="W365" s="50">
        <v>0.99998766932390448</v>
      </c>
      <c r="X365" s="50" t="s">
        <v>7161</v>
      </c>
      <c r="Y365" s="50">
        <v>0.32</v>
      </c>
    </row>
    <row r="366" spans="2:25" x14ac:dyDescent="0.2">
      <c r="B366" s="50" t="s">
        <v>9</v>
      </c>
      <c r="C366" s="50" t="s">
        <v>292</v>
      </c>
      <c r="D366" s="50"/>
      <c r="E366" s="50"/>
      <c r="F366" s="50" t="s">
        <v>14</v>
      </c>
      <c r="G366" s="50" t="s">
        <v>1962</v>
      </c>
      <c r="H366" s="50" t="s">
        <v>32</v>
      </c>
      <c r="I366" s="50" t="s">
        <v>1120</v>
      </c>
      <c r="J366" s="50" t="s">
        <v>33</v>
      </c>
      <c r="K366" s="50" t="s">
        <v>7158</v>
      </c>
      <c r="L366" s="50">
        <v>3</v>
      </c>
      <c r="M366" s="50">
        <v>2.25</v>
      </c>
      <c r="N366" s="50">
        <v>2.7458355722729717</v>
      </c>
      <c r="O366" s="50">
        <v>176295.40001718749</v>
      </c>
      <c r="P366" s="50">
        <v>7060.0125000000007</v>
      </c>
      <c r="Q366" s="50">
        <v>169235.38751718748</v>
      </c>
      <c r="R366" s="50">
        <v>167974.89471776865</v>
      </c>
      <c r="S366" s="50">
        <v>1260.4927994188329</v>
      </c>
      <c r="T366" s="50">
        <v>104094021.63715069</v>
      </c>
      <c r="U366" s="50">
        <v>1.2109173037906337E-5</v>
      </c>
      <c r="V366" s="50">
        <v>0.25</v>
      </c>
      <c r="W366" s="50">
        <v>0.99999977849694244</v>
      </c>
      <c r="X366" s="50" t="s">
        <v>7160</v>
      </c>
      <c r="Y366" s="50">
        <v>0.32</v>
      </c>
    </row>
    <row r="367" spans="2:25" x14ac:dyDescent="0.2">
      <c r="B367" s="50" t="s">
        <v>9</v>
      </c>
      <c r="C367" s="50" t="s">
        <v>261</v>
      </c>
      <c r="D367" s="50"/>
      <c r="E367" s="50"/>
      <c r="F367" s="50" t="s">
        <v>14</v>
      </c>
      <c r="G367" s="50" t="s">
        <v>1962</v>
      </c>
      <c r="H367" s="50" t="s">
        <v>15</v>
      </c>
      <c r="I367" s="50" t="s">
        <v>1120</v>
      </c>
      <c r="J367" s="50" t="s">
        <v>16</v>
      </c>
      <c r="K367" s="50" t="s">
        <v>7158</v>
      </c>
      <c r="L367" s="50">
        <v>8</v>
      </c>
      <c r="M367" s="50">
        <v>0.16</v>
      </c>
      <c r="N367" s="50">
        <v>0.10342873335222443</v>
      </c>
      <c r="O367" s="50">
        <v>12536.561779</v>
      </c>
      <c r="P367" s="50">
        <v>6186.3119999999999</v>
      </c>
      <c r="Q367" s="50">
        <v>6350.2497789999998</v>
      </c>
      <c r="R367" s="50">
        <v>6327.1926298378221</v>
      </c>
      <c r="S367" s="50">
        <v>23.057149162177666</v>
      </c>
      <c r="T367" s="50">
        <v>104094044.69429985</v>
      </c>
      <c r="U367" s="50">
        <v>2.2150305745051204E-7</v>
      </c>
      <c r="V367" s="50">
        <v>0.98</v>
      </c>
      <c r="W367" s="50">
        <v>0.99999999999999989</v>
      </c>
      <c r="X367" s="50" t="s">
        <v>7161</v>
      </c>
      <c r="Y367" s="50">
        <v>0.32</v>
      </c>
    </row>
    <row r="368" spans="2:25" x14ac:dyDescent="0.2">
      <c r="B368" s="50" t="s">
        <v>9</v>
      </c>
      <c r="C368" s="50" t="s">
        <v>7173</v>
      </c>
      <c r="D368" s="50"/>
      <c r="E368" s="50"/>
      <c r="F368" s="50" t="s">
        <v>10</v>
      </c>
      <c r="G368" s="51" t="s">
        <v>527</v>
      </c>
      <c r="H368" s="50" t="s">
        <v>32</v>
      </c>
      <c r="I368" s="50" t="s">
        <v>1120</v>
      </c>
      <c r="J368" s="50" t="s">
        <v>33</v>
      </c>
      <c r="K368" s="50" t="s">
        <v>7158</v>
      </c>
      <c r="L368" s="50">
        <v>32</v>
      </c>
      <c r="M368" s="50">
        <v>1.28</v>
      </c>
      <c r="N368" s="50">
        <v>1.2170354652925128</v>
      </c>
      <c r="O368" s="50">
        <v>100292.494232</v>
      </c>
      <c r="P368" s="50">
        <v>26130.495999999999</v>
      </c>
      <c r="Q368" s="50">
        <v>74161.998231999998</v>
      </c>
      <c r="R368" s="50">
        <v>74451.437010510592</v>
      </c>
      <c r="S368" s="50">
        <v>-289.43877851059369</v>
      </c>
      <c r="T368" s="50">
        <v>104094044.69429985</v>
      </c>
      <c r="U368" s="50">
        <v>-2.7805507928970239E-6</v>
      </c>
      <c r="V368" s="50">
        <v>0.96</v>
      </c>
      <c r="W368" s="50">
        <v>0.99999721944920694</v>
      </c>
      <c r="X368" s="50" t="s">
        <v>7160</v>
      </c>
      <c r="Y368" s="50">
        <v>0.32</v>
      </c>
    </row>
    <row r="369" spans="2:25" x14ac:dyDescent="0.2">
      <c r="B369" s="50" t="s">
        <v>9</v>
      </c>
      <c r="C369" s="50" t="s">
        <v>83</v>
      </c>
      <c r="D369" s="50"/>
      <c r="E369" s="50"/>
      <c r="F369" s="50" t="s">
        <v>10</v>
      </c>
      <c r="G369" s="50" t="s">
        <v>1962</v>
      </c>
      <c r="H369" s="50" t="s">
        <v>15</v>
      </c>
      <c r="I369" s="50" t="s">
        <v>1120</v>
      </c>
      <c r="J369" s="50" t="s">
        <v>16</v>
      </c>
      <c r="K369" s="50" t="s">
        <v>7158</v>
      </c>
      <c r="L369" s="50">
        <v>21.8</v>
      </c>
      <c r="M369" s="50">
        <v>0.436</v>
      </c>
      <c r="N369" s="50">
        <v>0.31037414965986393</v>
      </c>
      <c r="O369" s="50">
        <v>34162.130847774999</v>
      </c>
      <c r="P369" s="50">
        <v>16857.700199999999</v>
      </c>
      <c r="Q369" s="50">
        <v>17304.430647775</v>
      </c>
      <c r="R369" s="50">
        <v>18986.958155355165</v>
      </c>
      <c r="S369" s="50">
        <v>-1682.5275075801655</v>
      </c>
      <c r="T369" s="50">
        <v>104094044.69429985</v>
      </c>
      <c r="U369" s="50">
        <v>-1.6163532818052751E-5</v>
      </c>
      <c r="V369" s="50">
        <v>0.98</v>
      </c>
      <c r="W369" s="50">
        <v>0.99998105591638886</v>
      </c>
      <c r="X369" s="50" t="s">
        <v>7162</v>
      </c>
      <c r="Y369" s="50">
        <v>0.32</v>
      </c>
    </row>
    <row r="370" spans="2:25" x14ac:dyDescent="0.2">
      <c r="B370" s="50" t="s">
        <v>9</v>
      </c>
      <c r="C370" s="50" t="s">
        <v>24</v>
      </c>
      <c r="D370" s="50"/>
      <c r="E370" s="50"/>
      <c r="F370" s="50" t="s">
        <v>10</v>
      </c>
      <c r="G370" s="50" t="s">
        <v>1962</v>
      </c>
      <c r="H370" s="50" t="s">
        <v>15</v>
      </c>
      <c r="I370" s="50" t="s">
        <v>1121</v>
      </c>
      <c r="J370" s="50" t="s">
        <v>16</v>
      </c>
      <c r="K370" s="50" t="s">
        <v>7158</v>
      </c>
      <c r="L370" s="50">
        <v>72</v>
      </c>
      <c r="M370" s="50">
        <v>1.44</v>
      </c>
      <c r="N370" s="50">
        <v>0.32</v>
      </c>
      <c r="O370" s="50">
        <v>112829.05601099999</v>
      </c>
      <c r="P370" s="50">
        <v>55676.807999999997</v>
      </c>
      <c r="Q370" s="50">
        <v>57152.248010999996</v>
      </c>
      <c r="R370" s="50">
        <v>59070</v>
      </c>
      <c r="S370" s="50">
        <v>-1917.751989000004</v>
      </c>
      <c r="T370" s="50">
        <v>104094044.69429985</v>
      </c>
      <c r="U370" s="50">
        <v>-1.8423263258066283E-5</v>
      </c>
      <c r="V370" s="50">
        <v>0.98</v>
      </c>
      <c r="W370" s="50">
        <v>0.99996263265313079</v>
      </c>
      <c r="X370" s="50" t="s">
        <v>7161</v>
      </c>
      <c r="Y370" s="50">
        <v>0.32</v>
      </c>
    </row>
    <row r="371" spans="2:25" x14ac:dyDescent="0.2">
      <c r="B371" s="50" t="s">
        <v>9</v>
      </c>
      <c r="C371" s="50" t="s">
        <v>401</v>
      </c>
      <c r="D371" s="50"/>
      <c r="E371" s="50"/>
      <c r="F371" s="50" t="s">
        <v>10</v>
      </c>
      <c r="G371" s="50" t="s">
        <v>1962</v>
      </c>
      <c r="H371" s="50" t="s">
        <v>32</v>
      </c>
      <c r="I371" s="50" t="s">
        <v>1120</v>
      </c>
      <c r="J371" s="50" t="s">
        <v>33</v>
      </c>
      <c r="K371" s="50" t="s">
        <v>7158</v>
      </c>
      <c r="L371" s="50">
        <v>20</v>
      </c>
      <c r="M371" s="50">
        <v>0.6</v>
      </c>
      <c r="N371" s="50">
        <v>0.56436026285272511</v>
      </c>
      <c r="O371" s="50">
        <v>47012.106671249996</v>
      </c>
      <c r="P371" s="50">
        <v>15898.67</v>
      </c>
      <c r="Q371" s="50">
        <v>31113.436671249998</v>
      </c>
      <c r="R371" s="50">
        <v>34524.41096358357</v>
      </c>
      <c r="S371" s="50">
        <v>-3410.9742923335725</v>
      </c>
      <c r="T371" s="50">
        <v>104094044.69429985</v>
      </c>
      <c r="U371" s="50">
        <v>-3.2768198241799673E-5</v>
      </c>
      <c r="V371" s="50">
        <v>0.97</v>
      </c>
      <c r="W371" s="50">
        <v>0.99992986445488896</v>
      </c>
      <c r="X371" s="50" t="s">
        <v>7160</v>
      </c>
      <c r="Y371" s="50">
        <v>0.32</v>
      </c>
    </row>
    <row r="372" spans="2:25" x14ac:dyDescent="0.2">
      <c r="B372" s="50" t="s">
        <v>9</v>
      </c>
      <c r="C372" s="50" t="s">
        <v>244</v>
      </c>
      <c r="D372" s="50"/>
      <c r="E372" s="50"/>
      <c r="F372" s="50" t="s">
        <v>10</v>
      </c>
      <c r="G372" s="50" t="s">
        <v>1962</v>
      </c>
      <c r="H372" s="50" t="s">
        <v>15</v>
      </c>
      <c r="I372" s="50" t="s">
        <v>1120</v>
      </c>
      <c r="J372" s="50" t="s">
        <v>16</v>
      </c>
      <c r="K372" s="50" t="s">
        <v>7158</v>
      </c>
      <c r="L372" s="50">
        <v>91</v>
      </c>
      <c r="M372" s="50">
        <v>0.91</v>
      </c>
      <c r="N372" s="50">
        <v>0.11128048780487805</v>
      </c>
      <c r="O372" s="50">
        <v>71301.695118062489</v>
      </c>
      <c r="P372" s="50">
        <v>68399.6495</v>
      </c>
      <c r="Q372" s="50">
        <v>2902.0456180624897</v>
      </c>
      <c r="R372" s="50">
        <v>6807.5191435053894</v>
      </c>
      <c r="S372" s="50">
        <v>-3905.4735254428997</v>
      </c>
      <c r="T372" s="50">
        <v>104094044.69429985</v>
      </c>
      <c r="U372" s="50">
        <v>-3.7518702793347812E-5</v>
      </c>
      <c r="V372" s="50">
        <v>0.99</v>
      </c>
      <c r="W372" s="50">
        <v>0.99989234575209562</v>
      </c>
      <c r="X372" s="50" t="s">
        <v>7161</v>
      </c>
      <c r="Y372" s="50">
        <v>0.32</v>
      </c>
    </row>
    <row r="373" spans="2:25" x14ac:dyDescent="0.2">
      <c r="B373" s="50" t="s">
        <v>9</v>
      </c>
      <c r="C373" s="50" t="s">
        <v>149</v>
      </c>
      <c r="D373" s="50"/>
      <c r="E373" s="50"/>
      <c r="F373" s="50" t="s">
        <v>10</v>
      </c>
      <c r="G373" s="50" t="s">
        <v>1962</v>
      </c>
      <c r="H373" s="50" t="s">
        <v>15</v>
      </c>
      <c r="I373" s="50" t="s">
        <v>1120</v>
      </c>
      <c r="J373" s="50" t="s">
        <v>16</v>
      </c>
      <c r="K373" s="50" t="s">
        <v>7158</v>
      </c>
      <c r="L373" s="50">
        <v>64</v>
      </c>
      <c r="M373" s="50">
        <v>0.64</v>
      </c>
      <c r="N373" s="50">
        <v>0.10458452722063037</v>
      </c>
      <c r="O373" s="50">
        <v>50146.247115999999</v>
      </c>
      <c r="P373" s="50">
        <v>48105.248</v>
      </c>
      <c r="Q373" s="50">
        <v>2040.999115999999</v>
      </c>
      <c r="R373" s="50">
        <v>6397.8976477643764</v>
      </c>
      <c r="S373" s="50">
        <v>-4356.8985317643774</v>
      </c>
      <c r="T373" s="50">
        <v>104094044.69429985</v>
      </c>
      <c r="U373" s="50">
        <v>-4.1855406277655762E-5</v>
      </c>
      <c r="V373" s="50">
        <v>0.99</v>
      </c>
      <c r="W373" s="50">
        <v>0.99985049034581797</v>
      </c>
      <c r="X373" s="50" t="s">
        <v>7162</v>
      </c>
      <c r="Y373" s="50">
        <v>0.32</v>
      </c>
    </row>
    <row r="374" spans="2:25" x14ac:dyDescent="0.2">
      <c r="B374" s="50" t="s">
        <v>9</v>
      </c>
      <c r="C374" s="50" t="s">
        <v>445</v>
      </c>
      <c r="D374" s="50"/>
      <c r="E374" s="50"/>
      <c r="F374" s="50" t="s">
        <v>10</v>
      </c>
      <c r="G374" s="50" t="s">
        <v>1962</v>
      </c>
      <c r="H374" s="50" t="s">
        <v>32</v>
      </c>
      <c r="I374" s="50" t="s">
        <v>1120</v>
      </c>
      <c r="J374" s="50" t="s">
        <v>33</v>
      </c>
      <c r="K374" s="50" t="s">
        <v>7158</v>
      </c>
      <c r="L374" s="50">
        <v>22</v>
      </c>
      <c r="M374" s="50">
        <v>0.22</v>
      </c>
      <c r="N374" s="50">
        <v>8.3409506398537475E-2</v>
      </c>
      <c r="O374" s="50">
        <v>17237.772446125</v>
      </c>
      <c r="P374" s="50">
        <v>16536.179</v>
      </c>
      <c r="Q374" s="50">
        <v>701.5934461249999</v>
      </c>
      <c r="R374" s="50">
        <v>5102.5280600314609</v>
      </c>
      <c r="S374" s="50">
        <v>-4400.934613906461</v>
      </c>
      <c r="T374" s="50">
        <v>104094044.69429985</v>
      </c>
      <c r="U374" s="50">
        <v>-4.2278447598332731E-5</v>
      </c>
      <c r="V374" s="50">
        <v>0.9900000000000001</v>
      </c>
      <c r="W374" s="50">
        <v>0.99980821189821967</v>
      </c>
      <c r="X374" s="50" t="s">
        <v>7161</v>
      </c>
      <c r="Y374" s="50">
        <v>0.32</v>
      </c>
    </row>
    <row r="375" spans="2:25" x14ac:dyDescent="0.2">
      <c r="B375" s="50" t="s">
        <v>9</v>
      </c>
      <c r="C375" s="50" t="s">
        <v>366</v>
      </c>
      <c r="D375" s="50"/>
      <c r="E375" s="50"/>
      <c r="F375" s="50" t="s">
        <v>10</v>
      </c>
      <c r="G375" s="50" t="s">
        <v>1962</v>
      </c>
      <c r="H375" s="50" t="s">
        <v>15</v>
      </c>
      <c r="I375" s="50" t="s">
        <v>1120</v>
      </c>
      <c r="J375" s="50" t="s">
        <v>16</v>
      </c>
      <c r="K375" s="50" t="s">
        <v>7158</v>
      </c>
      <c r="L375" s="50">
        <v>16</v>
      </c>
      <c r="M375" s="50">
        <v>0.16</v>
      </c>
      <c r="N375" s="50">
        <v>9.6356916578669474E-2</v>
      </c>
      <c r="O375" s="50">
        <v>12536.561779</v>
      </c>
      <c r="P375" s="50">
        <v>12026.312</v>
      </c>
      <c r="Q375" s="50">
        <v>510.24977899999976</v>
      </c>
      <c r="R375" s="50">
        <v>5894.5783502369786</v>
      </c>
      <c r="S375" s="50">
        <v>-5384.3285712369789</v>
      </c>
      <c r="T375" s="50">
        <v>104094044.69429985</v>
      </c>
      <c r="U375" s="50">
        <v>-5.1725615879846996E-5</v>
      </c>
      <c r="V375" s="50">
        <v>0.99</v>
      </c>
      <c r="W375" s="50">
        <v>0.99975648628233982</v>
      </c>
      <c r="X375" s="50" t="s">
        <v>7163</v>
      </c>
      <c r="Y375" s="50">
        <v>0.32</v>
      </c>
    </row>
    <row r="376" spans="2:25" x14ac:dyDescent="0.2">
      <c r="B376" s="50" t="s">
        <v>9</v>
      </c>
      <c r="C376" s="50" t="s">
        <v>65</v>
      </c>
      <c r="D376" s="50"/>
      <c r="E376" s="50"/>
      <c r="F376" s="50" t="s">
        <v>10</v>
      </c>
      <c r="G376" s="50" t="s">
        <v>1962</v>
      </c>
      <c r="H376" s="50" t="s">
        <v>19</v>
      </c>
      <c r="I376" s="50" t="s">
        <v>1120</v>
      </c>
      <c r="J376" s="50" t="s">
        <v>20</v>
      </c>
      <c r="K376" s="50" t="s">
        <v>7158</v>
      </c>
      <c r="L376" s="50">
        <v>30</v>
      </c>
      <c r="M376" s="50">
        <v>0.3</v>
      </c>
      <c r="N376" s="50">
        <v>0.13073065902578795</v>
      </c>
      <c r="O376" s="50">
        <v>23506.053335624998</v>
      </c>
      <c r="P376" s="50">
        <v>22549.334999999999</v>
      </c>
      <c r="Q376" s="50">
        <v>956.71833562499887</v>
      </c>
      <c r="R376" s="50">
        <v>7997.3720597054707</v>
      </c>
      <c r="S376" s="50">
        <v>-7040.6537240804719</v>
      </c>
      <c r="T376" s="50">
        <v>104094044.69429985</v>
      </c>
      <c r="U376" s="50">
        <v>-6.7637430601887402E-5</v>
      </c>
      <c r="V376" s="50">
        <v>0.99</v>
      </c>
      <c r="W376" s="50">
        <v>0.99968884885173792</v>
      </c>
      <c r="X376" s="50" t="s">
        <v>7163</v>
      </c>
      <c r="Y376" s="50">
        <v>0.32</v>
      </c>
    </row>
    <row r="377" spans="2:25" x14ac:dyDescent="0.2">
      <c r="B377" s="50" t="s">
        <v>9</v>
      </c>
      <c r="C377" s="50" t="s">
        <v>153</v>
      </c>
      <c r="D377" s="50"/>
      <c r="E377" s="50"/>
      <c r="F377" s="50" t="s">
        <v>10</v>
      </c>
      <c r="G377" s="50" t="s">
        <v>1962</v>
      </c>
      <c r="H377" s="50" t="s">
        <v>15</v>
      </c>
      <c r="I377" s="50" t="s">
        <v>1121</v>
      </c>
      <c r="J377" s="50" t="s">
        <v>16</v>
      </c>
      <c r="K377" s="50" t="s">
        <v>7158</v>
      </c>
      <c r="L377" s="50">
        <v>111</v>
      </c>
      <c r="M377" s="50">
        <v>1.998</v>
      </c>
      <c r="N377" s="50">
        <v>0.42941176470588233</v>
      </c>
      <c r="O377" s="50">
        <v>156550.31521526247</v>
      </c>
      <c r="P377" s="50">
        <v>85354.571100000001</v>
      </c>
      <c r="Q377" s="50">
        <v>71195.744115262467</v>
      </c>
      <c r="R377" s="50">
        <v>79266.727941176476</v>
      </c>
      <c r="S377" s="50">
        <v>-8070.9838259140088</v>
      </c>
      <c r="T377" s="50">
        <v>104094044.69429985</v>
      </c>
      <c r="U377" s="50">
        <v>-7.7535500225941095E-5</v>
      </c>
      <c r="V377" s="50">
        <v>0.98199999999999998</v>
      </c>
      <c r="W377" s="50">
        <v>0.99961131335151199</v>
      </c>
      <c r="X377" s="50" t="s">
        <v>7162</v>
      </c>
      <c r="Y377" s="50">
        <v>0.42941176470588233</v>
      </c>
    </row>
    <row r="378" spans="2:25" x14ac:dyDescent="0.2">
      <c r="B378" s="50" t="s">
        <v>9</v>
      </c>
      <c r="C378" s="50" t="s">
        <v>123</v>
      </c>
      <c r="D378" s="50"/>
      <c r="E378" s="50"/>
      <c r="F378" s="50" t="s">
        <v>10</v>
      </c>
      <c r="G378" s="50" t="s">
        <v>1962</v>
      </c>
      <c r="H378" s="50" t="s">
        <v>15</v>
      </c>
      <c r="I378" s="50" t="s">
        <v>1120</v>
      </c>
      <c r="J378" s="50" t="s">
        <v>16</v>
      </c>
      <c r="K378" s="50" t="s">
        <v>7158</v>
      </c>
      <c r="L378" s="50">
        <v>53</v>
      </c>
      <c r="M378" s="50">
        <v>1.0069999999999999</v>
      </c>
      <c r="N378" s="50">
        <v>0.75673807878369037</v>
      </c>
      <c r="O378" s="50">
        <v>78901.985696581236</v>
      </c>
      <c r="P378" s="50">
        <v>40869.601149999995</v>
      </c>
      <c r="Q378" s="50">
        <v>38032.384546581241</v>
      </c>
      <c r="R378" s="50">
        <v>46293.012005592966</v>
      </c>
      <c r="S378" s="50">
        <v>-8260.6274590117246</v>
      </c>
      <c r="T378" s="50">
        <v>104094044.69429985</v>
      </c>
      <c r="U378" s="50">
        <v>-7.9357349243861918E-5</v>
      </c>
      <c r="V378" s="50">
        <v>0.98100000000000009</v>
      </c>
      <c r="W378" s="50">
        <v>0.99953195600226807</v>
      </c>
      <c r="X378" s="50" t="s">
        <v>7162</v>
      </c>
      <c r="Y378" s="50">
        <v>0.32</v>
      </c>
    </row>
    <row r="379" spans="2:25" x14ac:dyDescent="0.2">
      <c r="B379" s="50" t="s">
        <v>9</v>
      </c>
      <c r="C379" s="50" t="s">
        <v>117</v>
      </c>
      <c r="D379" s="50"/>
      <c r="E379" s="50"/>
      <c r="F379" s="50" t="s">
        <v>10</v>
      </c>
      <c r="G379" s="50" t="s">
        <v>1962</v>
      </c>
      <c r="H379" s="50" t="s">
        <v>15</v>
      </c>
      <c r="I379" s="50" t="s">
        <v>1120</v>
      </c>
      <c r="J379" s="50" t="s">
        <v>16</v>
      </c>
      <c r="K379" s="50" t="s">
        <v>7158</v>
      </c>
      <c r="L379" s="50">
        <v>19</v>
      </c>
      <c r="M379" s="50">
        <v>0.19</v>
      </c>
      <c r="N379" s="50">
        <v>0.14565043894652835</v>
      </c>
      <c r="O379" s="50">
        <v>14887.1671125625</v>
      </c>
      <c r="P379" s="50">
        <v>14281.245499999999</v>
      </c>
      <c r="Q379" s="50">
        <v>605.92161256250074</v>
      </c>
      <c r="R379" s="50">
        <v>8910.0809220661122</v>
      </c>
      <c r="S379" s="50">
        <v>-8304.1593095036114</v>
      </c>
      <c r="T379" s="50">
        <v>104094044.69429985</v>
      </c>
      <c r="U379" s="50">
        <v>-7.9775546563600329E-5</v>
      </c>
      <c r="V379" s="50">
        <v>0.98999999999999988</v>
      </c>
      <c r="W379" s="50">
        <v>0.9994521804557045</v>
      </c>
      <c r="X379" s="50" t="s">
        <v>7161</v>
      </c>
      <c r="Y379" s="50">
        <v>0.32</v>
      </c>
    </row>
    <row r="380" spans="2:25" x14ac:dyDescent="0.2">
      <c r="B380" s="50" t="s">
        <v>9</v>
      </c>
      <c r="C380" s="50" t="s">
        <v>370</v>
      </c>
      <c r="D380" s="50"/>
      <c r="E380" s="50"/>
      <c r="F380" s="50" t="s">
        <v>10</v>
      </c>
      <c r="G380" s="50" t="s">
        <v>1962</v>
      </c>
      <c r="H380" s="50" t="s">
        <v>15</v>
      </c>
      <c r="I380" s="50" t="s">
        <v>1120</v>
      </c>
      <c r="J380" s="50" t="s">
        <v>16</v>
      </c>
      <c r="K380" s="50" t="s">
        <v>7158</v>
      </c>
      <c r="L380" s="50">
        <v>4</v>
      </c>
      <c r="M380" s="50">
        <v>0.6</v>
      </c>
      <c r="N380" s="50">
        <v>0.86</v>
      </c>
      <c r="O380" s="50">
        <v>47012.106671249996</v>
      </c>
      <c r="P380" s="50">
        <v>4218.67</v>
      </c>
      <c r="Q380" s="50">
        <v>42793.436671249998</v>
      </c>
      <c r="R380" s="50">
        <v>52610</v>
      </c>
      <c r="S380" s="50">
        <v>-9816.5633287500023</v>
      </c>
      <c r="T380" s="50">
        <v>104094044.69429985</v>
      </c>
      <c r="U380" s="50">
        <v>-9.4304754489836381E-5</v>
      </c>
      <c r="V380" s="50">
        <v>0.85</v>
      </c>
      <c r="W380" s="50">
        <v>0.9993578757012147</v>
      </c>
      <c r="X380" s="50" t="s">
        <v>7163</v>
      </c>
      <c r="Y380" s="50">
        <v>0.32</v>
      </c>
    </row>
    <row r="381" spans="2:25" x14ac:dyDescent="0.2">
      <c r="B381" s="50" t="s">
        <v>9</v>
      </c>
      <c r="C381" s="50" t="s">
        <v>49</v>
      </c>
      <c r="D381" s="50"/>
      <c r="E381" s="50"/>
      <c r="F381" s="50" t="s">
        <v>10</v>
      </c>
      <c r="G381" s="50" t="s">
        <v>1962</v>
      </c>
      <c r="H381" s="50" t="s">
        <v>32</v>
      </c>
      <c r="I381" s="50" t="s">
        <v>1120</v>
      </c>
      <c r="J381" s="50" t="s">
        <v>33</v>
      </c>
      <c r="K381" s="50" t="s">
        <v>7158</v>
      </c>
      <c r="L381" s="50">
        <v>14</v>
      </c>
      <c r="M381" s="50">
        <v>0.28000000000000003</v>
      </c>
      <c r="N381" s="50">
        <v>0.36781995297279141</v>
      </c>
      <c r="O381" s="50">
        <v>21938.983113250004</v>
      </c>
      <c r="P381" s="50">
        <v>10826.046</v>
      </c>
      <c r="Q381" s="50">
        <v>11112.937113250004</v>
      </c>
      <c r="R381" s="50">
        <v>22501.171774300645</v>
      </c>
      <c r="S381" s="50">
        <v>-11388.234661050641</v>
      </c>
      <c r="T381" s="50">
        <v>104094044.69429985</v>
      </c>
      <c r="U381" s="50">
        <v>-1.0940332556483183E-4</v>
      </c>
      <c r="V381" s="50">
        <v>0.98000000000000009</v>
      </c>
      <c r="W381" s="50">
        <v>0.99924847237564984</v>
      </c>
      <c r="X381" s="50" t="s">
        <v>7163</v>
      </c>
      <c r="Y381" s="50">
        <v>0.32</v>
      </c>
    </row>
    <row r="382" spans="2:25" x14ac:dyDescent="0.2">
      <c r="B382" s="50" t="s">
        <v>9</v>
      </c>
      <c r="C382" s="50" t="s">
        <v>360</v>
      </c>
      <c r="D382" s="50"/>
      <c r="E382" s="50"/>
      <c r="F382" s="50" t="s">
        <v>10</v>
      </c>
      <c r="G382" s="50" t="s">
        <v>1962</v>
      </c>
      <c r="H382" s="50" t="s">
        <v>15</v>
      </c>
      <c r="I382" s="50" t="s">
        <v>1120</v>
      </c>
      <c r="J382" s="50" t="s">
        <v>16</v>
      </c>
      <c r="K382" s="50" t="s">
        <v>7158</v>
      </c>
      <c r="L382" s="50">
        <v>7</v>
      </c>
      <c r="M382" s="50">
        <v>0.105</v>
      </c>
      <c r="N382" s="50">
        <v>0.24341447149049683</v>
      </c>
      <c r="O382" s="50">
        <v>8227.1186674687488</v>
      </c>
      <c r="P382" s="50">
        <v>5337.2672499999999</v>
      </c>
      <c r="Q382" s="50">
        <v>2889.8514174687489</v>
      </c>
      <c r="R382" s="50">
        <v>14890.738773389579</v>
      </c>
      <c r="S382" s="50">
        <v>-12000.88735592083</v>
      </c>
      <c r="T382" s="50">
        <v>104094044.69429985</v>
      </c>
      <c r="U382" s="50">
        <v>-1.1528889468330933E-4</v>
      </c>
      <c r="V382" s="50">
        <v>0.98499999999999999</v>
      </c>
      <c r="W382" s="50">
        <v>0.99913318348096658</v>
      </c>
      <c r="X382" s="50" t="s">
        <v>7162</v>
      </c>
      <c r="Y382" s="50">
        <v>0.32</v>
      </c>
    </row>
    <row r="383" spans="2:25" x14ac:dyDescent="0.2">
      <c r="B383" s="50" t="s">
        <v>9</v>
      </c>
      <c r="C383" s="50" t="s">
        <v>168</v>
      </c>
      <c r="D383" s="50"/>
      <c r="E383" s="50"/>
      <c r="F383" s="50" t="s">
        <v>10</v>
      </c>
      <c r="G383" s="50" t="s">
        <v>1962</v>
      </c>
      <c r="H383" s="50" t="s">
        <v>15</v>
      </c>
      <c r="I383" s="50" t="s">
        <v>1120</v>
      </c>
      <c r="J383" s="50" t="s">
        <v>16</v>
      </c>
      <c r="K383" s="50" t="s">
        <v>7158</v>
      </c>
      <c r="L383" s="50">
        <v>22</v>
      </c>
      <c r="M383" s="50">
        <v>0.66</v>
      </c>
      <c r="N383" s="50">
        <v>0.77626541897065082</v>
      </c>
      <c r="O383" s="50">
        <v>51713.317338375004</v>
      </c>
      <c r="P383" s="50">
        <v>17488.537</v>
      </c>
      <c r="Q383" s="50">
        <v>34224.780338375</v>
      </c>
      <c r="R383" s="50">
        <v>47487.585688425512</v>
      </c>
      <c r="S383" s="50">
        <v>-13262.805350050512</v>
      </c>
      <c r="T383" s="50">
        <v>104094044.69429985</v>
      </c>
      <c r="U383" s="50">
        <v>-1.2741175913569605E-4</v>
      </c>
      <c r="V383" s="50">
        <v>0.97</v>
      </c>
      <c r="W383" s="50">
        <v>0.99900577172183092</v>
      </c>
      <c r="X383" s="50" t="s">
        <v>7163</v>
      </c>
      <c r="Y383" s="50">
        <v>0.32</v>
      </c>
    </row>
    <row r="384" spans="2:25" x14ac:dyDescent="0.2">
      <c r="B384" s="50" t="s">
        <v>9</v>
      </c>
      <c r="C384" s="50" t="s">
        <v>66</v>
      </c>
      <c r="D384" s="50"/>
      <c r="E384" s="50"/>
      <c r="F384" s="50" t="s">
        <v>10</v>
      </c>
      <c r="G384" s="50" t="s">
        <v>1962</v>
      </c>
      <c r="H384" s="50" t="s">
        <v>15</v>
      </c>
      <c r="I384" s="50" t="s">
        <v>1120</v>
      </c>
      <c r="J384" s="50" t="s">
        <v>16</v>
      </c>
      <c r="K384" s="50" t="s">
        <v>7158</v>
      </c>
      <c r="L384" s="50">
        <v>55</v>
      </c>
      <c r="M384" s="50">
        <v>1.1000000000000001</v>
      </c>
      <c r="N384" s="50">
        <v>0.93509820666097354</v>
      </c>
      <c r="O384" s="50">
        <v>86188.862230625004</v>
      </c>
      <c r="P384" s="50">
        <v>42530.894999999997</v>
      </c>
      <c r="Q384" s="50">
        <v>43657.967230625007</v>
      </c>
      <c r="R384" s="50">
        <v>57204.089130737004</v>
      </c>
      <c r="S384" s="50">
        <v>-13546.121900111997</v>
      </c>
      <c r="T384" s="50">
        <v>104094044.69429985</v>
      </c>
      <c r="U384" s="50">
        <v>-1.3013349553179365E-4</v>
      </c>
      <c r="V384" s="50">
        <v>0.98</v>
      </c>
      <c r="W384" s="50">
        <v>0.9988756382262991</v>
      </c>
      <c r="X384" s="50" t="s">
        <v>7161</v>
      </c>
      <c r="Y384" s="50">
        <v>0.32</v>
      </c>
    </row>
    <row r="385" spans="2:25" x14ac:dyDescent="0.2">
      <c r="B385" s="50" t="s">
        <v>9</v>
      </c>
      <c r="C385" s="50" t="s">
        <v>486</v>
      </c>
      <c r="D385" s="50"/>
      <c r="E385" s="50"/>
      <c r="F385" s="50" t="s">
        <v>10</v>
      </c>
      <c r="G385" s="50" t="s">
        <v>1962</v>
      </c>
      <c r="H385" s="50" t="s">
        <v>15</v>
      </c>
      <c r="I385" s="50" t="s">
        <v>1120</v>
      </c>
      <c r="J385" s="50" t="s">
        <v>16</v>
      </c>
      <c r="K385" s="50" t="s">
        <v>7158</v>
      </c>
      <c r="L385" s="50">
        <v>65</v>
      </c>
      <c r="M385" s="50">
        <v>0.97499999999999998</v>
      </c>
      <c r="N385" s="50">
        <v>0.66508746355685133</v>
      </c>
      <c r="O385" s="50">
        <v>76394.673340781243</v>
      </c>
      <c r="P385" s="50">
        <v>49560.338749999995</v>
      </c>
      <c r="Q385" s="50">
        <v>26834.334590781247</v>
      </c>
      <c r="R385" s="50">
        <v>40686.338904332501</v>
      </c>
      <c r="S385" s="50">
        <v>-13852.004313551253</v>
      </c>
      <c r="T385" s="50">
        <v>104094044.69429985</v>
      </c>
      <c r="U385" s="50">
        <v>-1.3307201535141984E-4</v>
      </c>
      <c r="V385" s="50">
        <v>0.9850000000000001</v>
      </c>
      <c r="W385" s="50">
        <v>0.9987425662109477</v>
      </c>
      <c r="X385" s="50" t="s">
        <v>7159</v>
      </c>
      <c r="Y385" s="50">
        <v>0.32</v>
      </c>
    </row>
    <row r="386" spans="2:25" x14ac:dyDescent="0.2">
      <c r="B386" s="50" t="s">
        <v>9</v>
      </c>
      <c r="C386" s="50" t="s">
        <v>170</v>
      </c>
      <c r="D386" s="50"/>
      <c r="E386" s="50"/>
      <c r="F386" s="50" t="s">
        <v>10</v>
      </c>
      <c r="G386" s="50" t="s">
        <v>1962</v>
      </c>
      <c r="H386" s="50" t="s">
        <v>32</v>
      </c>
      <c r="I386" s="50" t="s">
        <v>1120</v>
      </c>
      <c r="J386" s="50" t="s">
        <v>33</v>
      </c>
      <c r="K386" s="50" t="s">
        <v>7158</v>
      </c>
      <c r="L386" s="50">
        <v>12</v>
      </c>
      <c r="M386" s="50">
        <v>0.12</v>
      </c>
      <c r="N386" s="50">
        <v>0.24333333333333332</v>
      </c>
      <c r="O386" s="50">
        <v>9402.4213342500007</v>
      </c>
      <c r="P386" s="50">
        <v>9019.7340000000004</v>
      </c>
      <c r="Q386" s="50">
        <v>382.68733425000028</v>
      </c>
      <c r="R386" s="50">
        <v>14885.77519379845</v>
      </c>
      <c r="S386" s="50">
        <v>-14503.08785954845</v>
      </c>
      <c r="T386" s="50">
        <v>104094044.69429985</v>
      </c>
      <c r="U386" s="50">
        <v>-1.3932677803173724E-4</v>
      </c>
      <c r="V386" s="50">
        <v>0.9900000000000001</v>
      </c>
      <c r="W386" s="50">
        <v>0.99860323943291596</v>
      </c>
      <c r="X386" s="50" t="s">
        <v>7163</v>
      </c>
      <c r="Y386" s="50">
        <v>0.32</v>
      </c>
    </row>
    <row r="387" spans="2:25" x14ac:dyDescent="0.2">
      <c r="B387" s="50" t="s">
        <v>9</v>
      </c>
      <c r="C387" s="50" t="s">
        <v>102</v>
      </c>
      <c r="D387" s="50"/>
      <c r="E387" s="50"/>
      <c r="F387" s="50" t="s">
        <v>10</v>
      </c>
      <c r="G387" s="50" t="s">
        <v>1962</v>
      </c>
      <c r="H387" s="50" t="s">
        <v>15</v>
      </c>
      <c r="I387" s="50" t="s">
        <v>1120</v>
      </c>
      <c r="J387" s="50" t="s">
        <v>16</v>
      </c>
      <c r="K387" s="50" t="s">
        <v>7158</v>
      </c>
      <c r="L387" s="50">
        <v>46</v>
      </c>
      <c r="M387" s="50">
        <v>0.46</v>
      </c>
      <c r="N387" s="50">
        <v>0.27915869980879543</v>
      </c>
      <c r="O387" s="50">
        <v>36042.615114624998</v>
      </c>
      <c r="P387" s="50">
        <v>34575.646999999997</v>
      </c>
      <c r="Q387" s="50">
        <v>1466.9681146250005</v>
      </c>
      <c r="R387" s="50">
        <v>17077.371159233404</v>
      </c>
      <c r="S387" s="50">
        <v>-15610.403044608403</v>
      </c>
      <c r="T387" s="50">
        <v>104094044.69429985</v>
      </c>
      <c r="U387" s="50">
        <v>-1.4996442006315105E-4</v>
      </c>
      <c r="V387" s="50">
        <v>0.99</v>
      </c>
      <c r="W387" s="50">
        <v>0.99845327501285286</v>
      </c>
      <c r="X387" s="50" t="s">
        <v>7162</v>
      </c>
      <c r="Y387" s="50">
        <v>0.32</v>
      </c>
    </row>
    <row r="388" spans="2:25" x14ac:dyDescent="0.2">
      <c r="B388" s="50" t="s">
        <v>9</v>
      </c>
      <c r="C388" s="50" t="s">
        <v>52</v>
      </c>
      <c r="D388" s="50"/>
      <c r="E388" s="50"/>
      <c r="F388" s="50" t="s">
        <v>10</v>
      </c>
      <c r="G388" s="50" t="s">
        <v>1962</v>
      </c>
      <c r="H388" s="50" t="s">
        <v>15</v>
      </c>
      <c r="I388" s="50" t="s">
        <v>1120</v>
      </c>
      <c r="J388" s="50" t="s">
        <v>16</v>
      </c>
      <c r="K388" s="50" t="s">
        <v>7158</v>
      </c>
      <c r="L388" s="50">
        <v>17</v>
      </c>
      <c r="M388" s="50">
        <v>0.34</v>
      </c>
      <c r="N388" s="50">
        <v>0.4782181460858172</v>
      </c>
      <c r="O388" s="50">
        <v>26640.193780375001</v>
      </c>
      <c r="P388" s="50">
        <v>13145.912999999999</v>
      </c>
      <c r="Q388" s="50">
        <v>13494.280780375002</v>
      </c>
      <c r="R388" s="50">
        <v>29254.717052994009</v>
      </c>
      <c r="S388" s="50">
        <v>-15760.436272619007</v>
      </c>
      <c r="T388" s="50">
        <v>104094044.69429985</v>
      </c>
      <c r="U388" s="50">
        <v>-1.5140574390114022E-4</v>
      </c>
      <c r="V388" s="50">
        <v>0.98</v>
      </c>
      <c r="W388" s="50">
        <v>0.9983018692689517</v>
      </c>
      <c r="X388" s="50" t="s">
        <v>7162</v>
      </c>
      <c r="Y388" s="50">
        <v>0.32</v>
      </c>
    </row>
    <row r="389" spans="2:25" x14ac:dyDescent="0.2">
      <c r="B389" s="50" t="s">
        <v>9</v>
      </c>
      <c r="C389" s="50" t="s">
        <v>62</v>
      </c>
      <c r="D389" s="50"/>
      <c r="E389" s="50"/>
      <c r="F389" s="50" t="s">
        <v>10</v>
      </c>
      <c r="G389" s="50" t="s">
        <v>1962</v>
      </c>
      <c r="H389" s="50" t="s">
        <v>15</v>
      </c>
      <c r="I389" s="50" t="s">
        <v>1120</v>
      </c>
      <c r="J389" s="50" t="s">
        <v>16</v>
      </c>
      <c r="K389" s="50" t="s">
        <v>7158</v>
      </c>
      <c r="L389" s="50">
        <v>80</v>
      </c>
      <c r="M389" s="50">
        <v>1.6</v>
      </c>
      <c r="N389" s="50">
        <v>1.3040371561271884</v>
      </c>
      <c r="O389" s="50">
        <v>125365.61779</v>
      </c>
      <c r="P389" s="50">
        <v>61863.12</v>
      </c>
      <c r="Q389" s="50">
        <v>63502.497790000001</v>
      </c>
      <c r="R389" s="50">
        <v>79773.714864943468</v>
      </c>
      <c r="S389" s="50">
        <v>-16271.217074943466</v>
      </c>
      <c r="T389" s="50">
        <v>104094044.69429985</v>
      </c>
      <c r="U389" s="50">
        <v>-1.5631266056313086E-4</v>
      </c>
      <c r="V389" s="50">
        <v>0.98000000000000009</v>
      </c>
      <c r="W389" s="50">
        <v>0.99814555660838855</v>
      </c>
      <c r="X389" s="50" t="s">
        <v>7163</v>
      </c>
      <c r="Y389" s="50">
        <v>0.32</v>
      </c>
    </row>
    <row r="390" spans="2:25" x14ac:dyDescent="0.2">
      <c r="B390" s="50" t="s">
        <v>9</v>
      </c>
      <c r="C390" s="50" t="s">
        <v>116</v>
      </c>
      <c r="D390" s="50"/>
      <c r="E390" s="50"/>
      <c r="F390" s="50" t="s">
        <v>10</v>
      </c>
      <c r="G390" s="50" t="s">
        <v>1962</v>
      </c>
      <c r="H390" s="50" t="s">
        <v>15</v>
      </c>
      <c r="I390" s="50" t="s">
        <v>1120</v>
      </c>
      <c r="J390" s="50" t="s">
        <v>16</v>
      </c>
      <c r="K390" s="50" t="s">
        <v>7158</v>
      </c>
      <c r="L390" s="50">
        <v>23</v>
      </c>
      <c r="M390" s="50">
        <v>0.69</v>
      </c>
      <c r="N390" s="50">
        <v>0.86</v>
      </c>
      <c r="O390" s="50">
        <v>54063.922671937493</v>
      </c>
      <c r="P390" s="50">
        <v>18283.470499999999</v>
      </c>
      <c r="Q390" s="50">
        <v>35780.45217193749</v>
      </c>
      <c r="R390" s="50">
        <v>52610</v>
      </c>
      <c r="S390" s="50">
        <v>-16829.54782806251</v>
      </c>
      <c r="T390" s="50">
        <v>104094044.69429985</v>
      </c>
      <c r="U390" s="50">
        <v>-1.6167637521903393E-4</v>
      </c>
      <c r="V390" s="50">
        <v>0.97</v>
      </c>
      <c r="W390" s="50">
        <v>0.99798388023316953</v>
      </c>
      <c r="X390" s="50" t="s">
        <v>7162</v>
      </c>
      <c r="Y390" s="50">
        <v>0.32</v>
      </c>
    </row>
    <row r="391" spans="2:25" x14ac:dyDescent="0.2">
      <c r="B391" s="50" t="s">
        <v>9</v>
      </c>
      <c r="C391" s="50" t="s">
        <v>299</v>
      </c>
      <c r="D391" s="50"/>
      <c r="E391" s="50"/>
      <c r="F391" s="50" t="s">
        <v>10</v>
      </c>
      <c r="G391" s="50" t="s">
        <v>1962</v>
      </c>
      <c r="H391" s="50" t="s">
        <v>15</v>
      </c>
      <c r="I391" s="50" t="s">
        <v>1120</v>
      </c>
      <c r="J391" s="50" t="s">
        <v>16</v>
      </c>
      <c r="K391" s="50" t="s">
        <v>7158</v>
      </c>
      <c r="L391" s="50">
        <v>1.5</v>
      </c>
      <c r="M391" s="50">
        <v>0.69</v>
      </c>
      <c r="N391" s="50">
        <v>1.1242299794661192</v>
      </c>
      <c r="O391" s="50">
        <v>54063.922671937493</v>
      </c>
      <c r="P391" s="50">
        <v>2588.4704999999999</v>
      </c>
      <c r="Q391" s="50">
        <v>51475.45217193749</v>
      </c>
      <c r="R391" s="50">
        <v>68774.115371758759</v>
      </c>
      <c r="S391" s="50">
        <v>-17298.663199821269</v>
      </c>
      <c r="T391" s="50">
        <v>104094044.69429985</v>
      </c>
      <c r="U391" s="50">
        <v>-1.661830246929442E-4</v>
      </c>
      <c r="V391" s="50">
        <v>0.54</v>
      </c>
      <c r="W391" s="50">
        <v>0.99781769720847657</v>
      </c>
      <c r="X391" s="50" t="s">
        <v>7161</v>
      </c>
      <c r="Y391" s="50">
        <v>0.32</v>
      </c>
    </row>
    <row r="392" spans="2:25" x14ac:dyDescent="0.2">
      <c r="B392" s="50" t="s">
        <v>9</v>
      </c>
      <c r="C392" s="50" t="s">
        <v>466</v>
      </c>
      <c r="D392" s="50"/>
      <c r="E392" s="50"/>
      <c r="F392" s="50" t="s">
        <v>10</v>
      </c>
      <c r="G392" s="50" t="s">
        <v>1962</v>
      </c>
      <c r="H392" s="50" t="s">
        <v>15</v>
      </c>
      <c r="I392" s="50" t="s">
        <v>1120</v>
      </c>
      <c r="J392" s="50" t="s">
        <v>16</v>
      </c>
      <c r="K392" s="50" t="s">
        <v>7158</v>
      </c>
      <c r="L392" s="50">
        <v>15</v>
      </c>
      <c r="M392" s="50">
        <v>0.45</v>
      </c>
      <c r="N392" s="50">
        <v>0.67442719881744273</v>
      </c>
      <c r="O392" s="50">
        <v>35259.080003437499</v>
      </c>
      <c r="P392" s="50">
        <v>11924.002500000001</v>
      </c>
      <c r="Q392" s="50">
        <v>23335.077503437496</v>
      </c>
      <c r="R392" s="50">
        <v>41257.691778820539</v>
      </c>
      <c r="S392" s="50">
        <v>-17922.614275383043</v>
      </c>
      <c r="T392" s="50">
        <v>104094044.69429985</v>
      </c>
      <c r="U392" s="50">
        <v>-1.7217713393708178E-4</v>
      </c>
      <c r="V392" s="50">
        <v>0.97000000000000008</v>
      </c>
      <c r="W392" s="50">
        <v>0.99764552007453944</v>
      </c>
      <c r="X392" s="50" t="s">
        <v>7159</v>
      </c>
      <c r="Y392" s="50">
        <v>0.32</v>
      </c>
    </row>
    <row r="393" spans="2:25" x14ac:dyDescent="0.2">
      <c r="B393" s="50" t="s">
        <v>9</v>
      </c>
      <c r="C393" s="50" t="s">
        <v>71</v>
      </c>
      <c r="D393" s="50"/>
      <c r="E393" s="50"/>
      <c r="F393" s="50" t="s">
        <v>10</v>
      </c>
      <c r="G393" s="50" t="s">
        <v>1962</v>
      </c>
      <c r="H393" s="50" t="s">
        <v>19</v>
      </c>
      <c r="I393" s="50" t="s">
        <v>1120</v>
      </c>
      <c r="J393" s="50" t="s">
        <v>20</v>
      </c>
      <c r="K393" s="50" t="s">
        <v>7158</v>
      </c>
      <c r="L393" s="50">
        <v>68</v>
      </c>
      <c r="M393" s="50">
        <v>0.68</v>
      </c>
      <c r="N393" s="50">
        <v>0.36881104749073762</v>
      </c>
      <c r="O393" s="50">
        <v>53280.387560750001</v>
      </c>
      <c r="P393" s="50">
        <v>51111.826000000001</v>
      </c>
      <c r="Q393" s="50">
        <v>2168.5615607500004</v>
      </c>
      <c r="R393" s="50">
        <v>22561.801405218263</v>
      </c>
      <c r="S393" s="50">
        <v>-20393.239844468262</v>
      </c>
      <c r="T393" s="50">
        <v>104094044.69429985</v>
      </c>
      <c r="U393" s="50">
        <v>-1.9591168644045388E-4</v>
      </c>
      <c r="V393" s="50">
        <v>0.98999999999999988</v>
      </c>
      <c r="W393" s="50">
        <v>0.99744960838809893</v>
      </c>
      <c r="X393" s="50" t="s">
        <v>7162</v>
      </c>
      <c r="Y393" s="50">
        <v>0.32</v>
      </c>
    </row>
    <row r="394" spans="2:25" x14ac:dyDescent="0.2">
      <c r="B394" s="50" t="s">
        <v>9</v>
      </c>
      <c r="C394" s="50" t="s">
        <v>252</v>
      </c>
      <c r="D394" s="50"/>
      <c r="E394" s="50"/>
      <c r="F394" s="50" t="s">
        <v>10</v>
      </c>
      <c r="G394" s="50" t="s">
        <v>1962</v>
      </c>
      <c r="H394" s="50" t="s">
        <v>19</v>
      </c>
      <c r="I394" s="50" t="s">
        <v>1120</v>
      </c>
      <c r="J394" s="50" t="s">
        <v>20</v>
      </c>
      <c r="K394" s="50" t="s">
        <v>7158</v>
      </c>
      <c r="L394" s="50">
        <v>71</v>
      </c>
      <c r="M394" s="50">
        <v>0.71</v>
      </c>
      <c r="N394" s="50">
        <v>0.37797721781152915</v>
      </c>
      <c r="O394" s="50">
        <v>55630.992894312491</v>
      </c>
      <c r="P394" s="50">
        <v>53366.759499999993</v>
      </c>
      <c r="Q394" s="50">
        <v>2264.2333943124977</v>
      </c>
      <c r="R394" s="50">
        <v>23122.536545423896</v>
      </c>
      <c r="S394" s="50">
        <v>-20858.303151111399</v>
      </c>
      <c r="T394" s="50">
        <v>104094044.69429985</v>
      </c>
      <c r="U394" s="50">
        <v>-2.0037940895050639E-4</v>
      </c>
      <c r="V394" s="50">
        <v>0.9900000000000001</v>
      </c>
      <c r="W394" s="50">
        <v>0.99724922897914847</v>
      </c>
      <c r="X394" s="50" t="s">
        <v>7161</v>
      </c>
      <c r="Y394" s="50">
        <v>0.32</v>
      </c>
    </row>
    <row r="395" spans="2:25" x14ac:dyDescent="0.2">
      <c r="B395" s="50" t="s">
        <v>9</v>
      </c>
      <c r="C395" s="50" t="s">
        <v>155</v>
      </c>
      <c r="D395" s="50"/>
      <c r="E395" s="50"/>
      <c r="F395" s="50" t="s">
        <v>10</v>
      </c>
      <c r="G395" s="50" t="s">
        <v>1962</v>
      </c>
      <c r="H395" s="50" t="s">
        <v>15</v>
      </c>
      <c r="I395" s="50" t="s">
        <v>1120</v>
      </c>
      <c r="J395" s="50" t="s">
        <v>16</v>
      </c>
      <c r="K395" s="50" t="s">
        <v>7158</v>
      </c>
      <c r="L395" s="50">
        <v>60</v>
      </c>
      <c r="M395" s="50">
        <v>0.6</v>
      </c>
      <c r="N395" s="50">
        <v>0.38246594481313312</v>
      </c>
      <c r="O395" s="50">
        <v>47012.106671249996</v>
      </c>
      <c r="P395" s="50">
        <v>45098.67</v>
      </c>
      <c r="Q395" s="50">
        <v>1913.4366712499977</v>
      </c>
      <c r="R395" s="50">
        <v>23397.131810022016</v>
      </c>
      <c r="S395" s="50">
        <v>-21483.695138772018</v>
      </c>
      <c r="T395" s="50">
        <v>104094044.69429985</v>
      </c>
      <c r="U395" s="50">
        <v>-2.0638736060131648E-4</v>
      </c>
      <c r="V395" s="50">
        <v>0.99</v>
      </c>
      <c r="W395" s="50">
        <v>0.99704284161854717</v>
      </c>
      <c r="X395" s="50" t="s">
        <v>7160</v>
      </c>
      <c r="Y395" s="50">
        <v>0.32</v>
      </c>
    </row>
    <row r="396" spans="2:25" x14ac:dyDescent="0.2">
      <c r="B396" s="50" t="s">
        <v>9</v>
      </c>
      <c r="C396" s="50" t="s">
        <v>238</v>
      </c>
      <c r="D396" s="50"/>
      <c r="E396" s="50"/>
      <c r="F396" s="50" t="s">
        <v>10</v>
      </c>
      <c r="G396" s="50" t="s">
        <v>1962</v>
      </c>
      <c r="H396" s="50" t="s">
        <v>32</v>
      </c>
      <c r="I396" s="50" t="s">
        <v>1120</v>
      </c>
      <c r="J396" s="50" t="s">
        <v>33</v>
      </c>
      <c r="K396" s="50" t="s">
        <v>7158</v>
      </c>
      <c r="L396" s="50">
        <v>51</v>
      </c>
      <c r="M396" s="50">
        <v>0.71399999999999997</v>
      </c>
      <c r="N396" s="50">
        <v>0.7032755298651252</v>
      </c>
      <c r="O396" s="50">
        <v>55944.406938787484</v>
      </c>
      <c r="P396" s="50">
        <v>38775.417300000001</v>
      </c>
      <c r="Q396" s="50">
        <v>17168.989638787483</v>
      </c>
      <c r="R396" s="50">
        <v>43022.471658377021</v>
      </c>
      <c r="S396" s="50">
        <v>-25853.482019589537</v>
      </c>
      <c r="T396" s="50">
        <v>104094044.69429985</v>
      </c>
      <c r="U396" s="50">
        <v>-2.483665813497327E-4</v>
      </c>
      <c r="V396" s="50">
        <v>0.98599999999999999</v>
      </c>
      <c r="W396" s="50">
        <v>0.99679447503719742</v>
      </c>
      <c r="X396" s="50" t="s">
        <v>7162</v>
      </c>
      <c r="Y396" s="50">
        <v>0.32</v>
      </c>
    </row>
    <row r="397" spans="2:25" x14ac:dyDescent="0.2">
      <c r="B397" s="50" t="s">
        <v>9</v>
      </c>
      <c r="C397" s="50" t="s">
        <v>75</v>
      </c>
      <c r="D397" s="50"/>
      <c r="E397" s="50"/>
      <c r="F397" s="50" t="s">
        <v>10</v>
      </c>
      <c r="G397" s="50" t="s">
        <v>1962</v>
      </c>
      <c r="H397" s="50" t="s">
        <v>15</v>
      </c>
      <c r="I397" s="50" t="s">
        <v>1120</v>
      </c>
      <c r="J397" s="50" t="s">
        <v>16</v>
      </c>
      <c r="K397" s="50" t="s">
        <v>7158</v>
      </c>
      <c r="L397" s="50">
        <v>108</v>
      </c>
      <c r="M397" s="50">
        <v>1.08</v>
      </c>
      <c r="N397" s="50">
        <v>0.51168224299065412</v>
      </c>
      <c r="O397" s="50">
        <v>84621.792008250006</v>
      </c>
      <c r="P397" s="50">
        <v>81177.606</v>
      </c>
      <c r="Q397" s="50">
        <v>3444.1860082500061</v>
      </c>
      <c r="R397" s="50">
        <v>31301.863725277108</v>
      </c>
      <c r="S397" s="50">
        <v>-27857.677717027102</v>
      </c>
      <c r="T397" s="50">
        <v>104094044.69429985</v>
      </c>
      <c r="U397" s="50">
        <v>-2.6762028316642573E-4</v>
      </c>
      <c r="V397" s="50">
        <v>0.99</v>
      </c>
      <c r="W397" s="50">
        <v>0.99652685475403102</v>
      </c>
      <c r="X397" s="50" t="s">
        <v>7162</v>
      </c>
      <c r="Y397" s="50">
        <v>0.32</v>
      </c>
    </row>
    <row r="398" spans="2:25" x14ac:dyDescent="0.2">
      <c r="B398" s="50" t="s">
        <v>9</v>
      </c>
      <c r="C398" s="50" t="s">
        <v>134</v>
      </c>
      <c r="D398" s="50"/>
      <c r="E398" s="50"/>
      <c r="F398" s="50" t="s">
        <v>10</v>
      </c>
      <c r="G398" s="50" t="s">
        <v>1962</v>
      </c>
      <c r="H398" s="50" t="s">
        <v>15</v>
      </c>
      <c r="I398" s="50" t="s">
        <v>1120</v>
      </c>
      <c r="J398" s="50" t="s">
        <v>16</v>
      </c>
      <c r="K398" s="50" t="s">
        <v>7158</v>
      </c>
      <c r="L398" s="50">
        <v>46</v>
      </c>
      <c r="M398" s="50">
        <v>0.46</v>
      </c>
      <c r="N398" s="50">
        <v>0.48312375909993382</v>
      </c>
      <c r="O398" s="50">
        <v>36042.615114624998</v>
      </c>
      <c r="P398" s="50">
        <v>34575.646999999997</v>
      </c>
      <c r="Q398" s="50">
        <v>1466.9681146250005</v>
      </c>
      <c r="R398" s="50">
        <v>29554.815077031999</v>
      </c>
      <c r="S398" s="50">
        <v>-28087.846962406999</v>
      </c>
      <c r="T398" s="50">
        <v>104094044.69429985</v>
      </c>
      <c r="U398" s="50">
        <v>-2.6983144948296045E-4</v>
      </c>
      <c r="V398" s="50">
        <v>0.99</v>
      </c>
      <c r="W398" s="50">
        <v>0.99625702330454802</v>
      </c>
      <c r="X398" s="50" t="s">
        <v>7161</v>
      </c>
      <c r="Y398" s="50">
        <v>0.32</v>
      </c>
    </row>
    <row r="399" spans="2:25" x14ac:dyDescent="0.2">
      <c r="B399" s="50" t="s">
        <v>9</v>
      </c>
      <c r="C399" s="50" t="s">
        <v>214</v>
      </c>
      <c r="D399" s="50"/>
      <c r="E399" s="50"/>
      <c r="F399" s="50" t="s">
        <v>10</v>
      </c>
      <c r="G399" s="50" t="s">
        <v>1962</v>
      </c>
      <c r="H399" s="50" t="s">
        <v>15</v>
      </c>
      <c r="I399" s="50" t="s">
        <v>1120</v>
      </c>
      <c r="J399" s="50" t="s">
        <v>16</v>
      </c>
      <c r="K399" s="50" t="s">
        <v>7158</v>
      </c>
      <c r="L399" s="50">
        <v>47</v>
      </c>
      <c r="M399" s="50">
        <v>0.47</v>
      </c>
      <c r="N399" s="50">
        <v>0.50906555090655503</v>
      </c>
      <c r="O399" s="50">
        <v>36826.150225812497</v>
      </c>
      <c r="P399" s="50">
        <v>35327.291499999999</v>
      </c>
      <c r="Q399" s="50">
        <v>1498.8587258124971</v>
      </c>
      <c r="R399" s="50">
        <v>31141.789108364952</v>
      </c>
      <c r="S399" s="50">
        <v>-29642.930382552455</v>
      </c>
      <c r="T399" s="50">
        <v>104094044.69429985</v>
      </c>
      <c r="U399" s="50">
        <v>-2.8477066550355396E-4</v>
      </c>
      <c r="V399" s="50">
        <v>0.99</v>
      </c>
      <c r="W399" s="50">
        <v>0.99597225263904443</v>
      </c>
      <c r="X399" s="50" t="s">
        <v>7163</v>
      </c>
      <c r="Y399" s="50">
        <v>0.32</v>
      </c>
    </row>
    <row r="400" spans="2:25" x14ac:dyDescent="0.2">
      <c r="B400" s="50" t="s">
        <v>9</v>
      </c>
      <c r="C400" s="50" t="s">
        <v>73</v>
      </c>
      <c r="D400" s="50"/>
      <c r="E400" s="50"/>
      <c r="F400" s="50" t="s">
        <v>10</v>
      </c>
      <c r="G400" s="50" t="s">
        <v>1962</v>
      </c>
      <c r="H400" s="50" t="s">
        <v>15</v>
      </c>
      <c r="I400" s="50" t="s">
        <v>1120</v>
      </c>
      <c r="J400" s="50" t="s">
        <v>16</v>
      </c>
      <c r="K400" s="50" t="s">
        <v>7158</v>
      </c>
      <c r="L400" s="50">
        <v>130</v>
      </c>
      <c r="M400" s="50">
        <v>1.3</v>
      </c>
      <c r="N400" s="50">
        <v>0.55386949924127471</v>
      </c>
      <c r="O400" s="50">
        <v>101859.56445437499</v>
      </c>
      <c r="P400" s="50">
        <v>97713.785000000003</v>
      </c>
      <c r="Q400" s="50">
        <v>4145.7794543749915</v>
      </c>
      <c r="R400" s="50">
        <v>33882.644598934261</v>
      </c>
      <c r="S400" s="50">
        <v>-29736.86514455927</v>
      </c>
      <c r="T400" s="50">
        <v>104094044.69429985</v>
      </c>
      <c r="U400" s="50">
        <v>-2.8567306834785381E-4</v>
      </c>
      <c r="V400" s="50">
        <v>0.98999999999999988</v>
      </c>
      <c r="W400" s="50">
        <v>0.99568657957069662</v>
      </c>
      <c r="X400" s="50" t="s">
        <v>7159</v>
      </c>
      <c r="Y400" s="50">
        <v>0.32</v>
      </c>
    </row>
    <row r="401" spans="2:25" x14ac:dyDescent="0.2">
      <c r="B401" s="50" t="s">
        <v>9</v>
      </c>
      <c r="C401" s="50" t="s">
        <v>164</v>
      </c>
      <c r="D401" s="50"/>
      <c r="E401" s="50"/>
      <c r="F401" s="50" t="s">
        <v>10</v>
      </c>
      <c r="G401" s="51" t="s">
        <v>1962</v>
      </c>
      <c r="H401" s="50" t="s">
        <v>32</v>
      </c>
      <c r="I401" s="50" t="s">
        <v>1120</v>
      </c>
      <c r="J401" s="50" t="s">
        <v>33</v>
      </c>
      <c r="K401" s="50" t="s">
        <v>7158</v>
      </c>
      <c r="L401" s="50">
        <v>58</v>
      </c>
      <c r="M401" s="50">
        <v>0.57999999999999996</v>
      </c>
      <c r="N401" s="50">
        <v>0.51748582230623819</v>
      </c>
      <c r="O401" s="50">
        <v>45445.036448874991</v>
      </c>
      <c r="P401" s="50">
        <v>43595.381000000001</v>
      </c>
      <c r="Q401" s="50">
        <v>1849.6554488749898</v>
      </c>
      <c r="R401" s="50">
        <v>31656.894315733942</v>
      </c>
      <c r="S401" s="50">
        <v>-29807.238866858952</v>
      </c>
      <c r="T401" s="50">
        <v>104094044.69429985</v>
      </c>
      <c r="U401" s="50">
        <v>-2.8634912741065953E-4</v>
      </c>
      <c r="V401" s="50">
        <v>0.99</v>
      </c>
      <c r="W401" s="50">
        <v>0.99540023044328596</v>
      </c>
      <c r="X401" s="50" t="s">
        <v>7161</v>
      </c>
      <c r="Y401" s="50">
        <v>0.32</v>
      </c>
    </row>
    <row r="402" spans="2:25" x14ac:dyDescent="0.2">
      <c r="B402" s="50" t="s">
        <v>9</v>
      </c>
      <c r="C402" s="50" t="s">
        <v>187</v>
      </c>
      <c r="D402" s="50"/>
      <c r="E402" s="50"/>
      <c r="F402" s="50" t="s">
        <v>10</v>
      </c>
      <c r="G402" s="50" t="s">
        <v>1962</v>
      </c>
      <c r="H402" s="50" t="s">
        <v>15</v>
      </c>
      <c r="I402" s="50" t="s">
        <v>1120</v>
      </c>
      <c r="J402" s="50" t="s">
        <v>16</v>
      </c>
      <c r="K402" s="50" t="s">
        <v>7158</v>
      </c>
      <c r="L402" s="50">
        <v>18</v>
      </c>
      <c r="M402" s="50">
        <v>0.9</v>
      </c>
      <c r="N402" s="50">
        <v>1.4024975984630164</v>
      </c>
      <c r="O402" s="50">
        <v>70518.160006874998</v>
      </c>
      <c r="P402" s="50">
        <v>15088.005000000001</v>
      </c>
      <c r="Q402" s="50">
        <v>55430.155006874993</v>
      </c>
      <c r="R402" s="50">
        <v>85796.975180394526</v>
      </c>
      <c r="S402" s="50">
        <v>-30366.820173519533</v>
      </c>
      <c r="T402" s="50">
        <v>104094044.69429985</v>
      </c>
      <c r="U402" s="50">
        <v>-2.9172485575615652E-4</v>
      </c>
      <c r="V402" s="50">
        <v>0.95000000000000007</v>
      </c>
      <c r="W402" s="50">
        <v>0.99510850558752983</v>
      </c>
      <c r="X402" s="50" t="s">
        <v>7163</v>
      </c>
      <c r="Y402" s="50">
        <v>0.32</v>
      </c>
    </row>
    <row r="403" spans="2:25" x14ac:dyDescent="0.2">
      <c r="B403" s="50" t="s">
        <v>9</v>
      </c>
      <c r="C403" s="50" t="s">
        <v>455</v>
      </c>
      <c r="D403" s="50"/>
      <c r="E403" s="50"/>
      <c r="F403" s="50" t="s">
        <v>10</v>
      </c>
      <c r="G403" s="50" t="s">
        <v>1962</v>
      </c>
      <c r="H403" s="50" t="s">
        <v>15</v>
      </c>
      <c r="I403" s="50" t="s">
        <v>1120</v>
      </c>
      <c r="J403" s="50" t="s">
        <v>16</v>
      </c>
      <c r="K403" s="50" t="s">
        <v>7158</v>
      </c>
      <c r="L403" s="50">
        <v>96</v>
      </c>
      <c r="M403" s="50">
        <v>0.96</v>
      </c>
      <c r="N403" s="50">
        <v>0.54804804804804808</v>
      </c>
      <c r="O403" s="50">
        <v>75219.370674000005</v>
      </c>
      <c r="P403" s="50">
        <v>72157.872000000003</v>
      </c>
      <c r="Q403" s="50">
        <v>3061.4986740000022</v>
      </c>
      <c r="R403" s="50">
        <v>33526.520706753268</v>
      </c>
      <c r="S403" s="50">
        <v>-30465.022032753266</v>
      </c>
      <c r="T403" s="50">
        <v>104094044.69429985</v>
      </c>
      <c r="U403" s="50">
        <v>-2.9266825131276237E-4</v>
      </c>
      <c r="V403" s="50">
        <v>0.9900000000000001</v>
      </c>
      <c r="W403" s="50">
        <v>0.99481583733621703</v>
      </c>
      <c r="X403" s="50" t="s">
        <v>7161</v>
      </c>
      <c r="Y403" s="50">
        <v>0.32</v>
      </c>
    </row>
    <row r="404" spans="2:25" x14ac:dyDescent="0.2">
      <c r="B404" s="50" t="s">
        <v>9</v>
      </c>
      <c r="C404" s="50" t="s">
        <v>380</v>
      </c>
      <c r="D404" s="50"/>
      <c r="E404" s="50"/>
      <c r="F404" s="50" t="s">
        <v>10</v>
      </c>
      <c r="G404" s="50" t="s">
        <v>1962</v>
      </c>
      <c r="H404" s="50" t="s">
        <v>15</v>
      </c>
      <c r="I404" s="50" t="s">
        <v>1121</v>
      </c>
      <c r="J404" s="50" t="s">
        <v>16</v>
      </c>
      <c r="K404" s="50" t="s">
        <v>7158</v>
      </c>
      <c r="L404" s="50">
        <v>116</v>
      </c>
      <c r="M404" s="50">
        <v>1.1599999999999999</v>
      </c>
      <c r="N404" s="50">
        <v>0.19</v>
      </c>
      <c r="O404" s="50">
        <v>90890.072897749982</v>
      </c>
      <c r="P404" s="50">
        <v>87190.762000000002</v>
      </c>
      <c r="Q404" s="50">
        <v>3699.3108977499796</v>
      </c>
      <c r="R404" s="50">
        <v>35072.8125</v>
      </c>
      <c r="S404" s="50">
        <v>-31373.50160225002</v>
      </c>
      <c r="T404" s="50">
        <v>104094044.69429985</v>
      </c>
      <c r="U404" s="50">
        <v>-3.0139573973118964E-4</v>
      </c>
      <c r="V404" s="50">
        <v>0.99</v>
      </c>
      <c r="W404" s="50">
        <v>0.99451444159648583</v>
      </c>
      <c r="X404" s="50" t="s">
        <v>7163</v>
      </c>
      <c r="Y404" s="50">
        <v>0.19</v>
      </c>
    </row>
    <row r="405" spans="2:25" x14ac:dyDescent="0.2">
      <c r="B405" s="50" t="s">
        <v>9</v>
      </c>
      <c r="C405" s="50" t="s">
        <v>97</v>
      </c>
      <c r="D405" s="50"/>
      <c r="E405" s="50"/>
      <c r="F405" s="50" t="s">
        <v>10</v>
      </c>
      <c r="G405" s="51" t="s">
        <v>1962</v>
      </c>
      <c r="H405" s="50" t="s">
        <v>19</v>
      </c>
      <c r="I405" s="50" t="s">
        <v>1120</v>
      </c>
      <c r="J405" s="50" t="s">
        <v>20</v>
      </c>
      <c r="K405" s="50" t="s">
        <v>7158</v>
      </c>
      <c r="L405" s="50">
        <v>33</v>
      </c>
      <c r="M405" s="50">
        <v>0.66</v>
      </c>
      <c r="N405" s="50">
        <v>0.95193740685543971</v>
      </c>
      <c r="O405" s="50">
        <v>51713.317338375004</v>
      </c>
      <c r="P405" s="50">
        <v>25518.536999999997</v>
      </c>
      <c r="Q405" s="50">
        <v>26194.780338375007</v>
      </c>
      <c r="R405" s="50">
        <v>58234.217412400802</v>
      </c>
      <c r="S405" s="50">
        <v>-32039.437074025795</v>
      </c>
      <c r="T405" s="50">
        <v>104094044.69429985</v>
      </c>
      <c r="U405" s="50">
        <v>-3.07793180369907E-4</v>
      </c>
      <c r="V405" s="50">
        <v>0.98000000000000009</v>
      </c>
      <c r="W405" s="50">
        <v>0.99420664841611595</v>
      </c>
      <c r="X405" s="50" t="s">
        <v>7160</v>
      </c>
      <c r="Y405" s="50">
        <v>0.32</v>
      </c>
    </row>
    <row r="406" spans="2:25" x14ac:dyDescent="0.2">
      <c r="B406" s="50" t="s">
        <v>9</v>
      </c>
      <c r="C406" s="50" t="s">
        <v>242</v>
      </c>
      <c r="D406" s="50"/>
      <c r="E406" s="50"/>
      <c r="F406" s="50" t="s">
        <v>10</v>
      </c>
      <c r="G406" s="50" t="s">
        <v>1962</v>
      </c>
      <c r="H406" s="50" t="s">
        <v>32</v>
      </c>
      <c r="I406" s="50" t="s">
        <v>1121</v>
      </c>
      <c r="J406" s="50" t="s">
        <v>33</v>
      </c>
      <c r="K406" s="50" t="s">
        <v>7158</v>
      </c>
      <c r="L406" s="50">
        <v>240</v>
      </c>
      <c r="M406" s="50">
        <v>2.4</v>
      </c>
      <c r="N406" s="50">
        <v>0.22</v>
      </c>
      <c r="O406" s="50">
        <v>188048.42668499998</v>
      </c>
      <c r="P406" s="50">
        <v>180394.68</v>
      </c>
      <c r="Q406" s="50">
        <v>7653.746684999991</v>
      </c>
      <c r="R406" s="50">
        <v>40610.625</v>
      </c>
      <c r="S406" s="50">
        <v>-32956.878315000009</v>
      </c>
      <c r="T406" s="50">
        <v>104094044.69429985</v>
      </c>
      <c r="U406" s="50">
        <v>-3.1660676085540476E-4</v>
      </c>
      <c r="V406" s="50">
        <v>0.99</v>
      </c>
      <c r="W406" s="50">
        <v>0.99389004165526051</v>
      </c>
      <c r="X406" s="50" t="s">
        <v>7159</v>
      </c>
      <c r="Y406" s="50">
        <v>0.22</v>
      </c>
    </row>
    <row r="407" spans="2:25" x14ac:dyDescent="0.2">
      <c r="B407" s="50" t="s">
        <v>9</v>
      </c>
      <c r="C407" s="50" t="s">
        <v>99</v>
      </c>
      <c r="D407" s="50"/>
      <c r="E407" s="50"/>
      <c r="F407" s="50" t="s">
        <v>10</v>
      </c>
      <c r="G407" s="50" t="s">
        <v>1962</v>
      </c>
      <c r="H407" s="50" t="s">
        <v>15</v>
      </c>
      <c r="I407" s="50" t="s">
        <v>1120</v>
      </c>
      <c r="J407" s="50" t="s">
        <v>16</v>
      </c>
      <c r="K407" s="50" t="s">
        <v>7158</v>
      </c>
      <c r="L407" s="50">
        <v>85</v>
      </c>
      <c r="M407" s="50">
        <v>0.85</v>
      </c>
      <c r="N407" s="50">
        <v>0.60370492887859739</v>
      </c>
      <c r="O407" s="50">
        <v>66600.484450937496</v>
      </c>
      <c r="P407" s="50">
        <v>63889.782500000001</v>
      </c>
      <c r="Q407" s="50">
        <v>2710.701950937495</v>
      </c>
      <c r="R407" s="50">
        <v>36931.298032910476</v>
      </c>
      <c r="S407" s="50">
        <v>-34220.596081972981</v>
      </c>
      <c r="T407" s="50">
        <v>104094044.69429985</v>
      </c>
      <c r="U407" s="50">
        <v>-3.2874691518108422E-4</v>
      </c>
      <c r="V407" s="50">
        <v>0.9900000000000001</v>
      </c>
      <c r="W407" s="50">
        <v>0.99356129474007948</v>
      </c>
      <c r="X407" s="50" t="s">
        <v>7161</v>
      </c>
      <c r="Y407" s="50">
        <v>0.32</v>
      </c>
    </row>
    <row r="408" spans="2:25" x14ac:dyDescent="0.2">
      <c r="B408" s="50" t="s">
        <v>9</v>
      </c>
      <c r="C408" s="50" t="s">
        <v>84</v>
      </c>
      <c r="D408" s="50"/>
      <c r="E408" s="50"/>
      <c r="F408" s="50" t="s">
        <v>10</v>
      </c>
      <c r="G408" s="50" t="s">
        <v>1962</v>
      </c>
      <c r="H408" s="50" t="s">
        <v>15</v>
      </c>
      <c r="I408" s="50" t="s">
        <v>1120</v>
      </c>
      <c r="J408" s="50" t="s">
        <v>16</v>
      </c>
      <c r="K408" s="50" t="s">
        <v>7158</v>
      </c>
      <c r="L408" s="50">
        <v>124</v>
      </c>
      <c r="M408" s="50">
        <v>1.24</v>
      </c>
      <c r="N408" s="50">
        <v>0.63450673620165154</v>
      </c>
      <c r="O408" s="50">
        <v>97158.353787249987</v>
      </c>
      <c r="P408" s="50">
        <v>93203.917999999991</v>
      </c>
      <c r="Q408" s="50">
        <v>3954.4357872499968</v>
      </c>
      <c r="R408" s="50">
        <v>38815.580687870803</v>
      </c>
      <c r="S408" s="50">
        <v>-34861.144900620806</v>
      </c>
      <c r="T408" s="50">
        <v>104094044.69429985</v>
      </c>
      <c r="U408" s="50">
        <v>-3.349004739224029E-4</v>
      </c>
      <c r="V408" s="50">
        <v>0.99</v>
      </c>
      <c r="W408" s="50">
        <v>0.99322639426615711</v>
      </c>
      <c r="X408" s="50" t="s">
        <v>7162</v>
      </c>
      <c r="Y408" s="50">
        <v>0.32</v>
      </c>
    </row>
    <row r="409" spans="2:25" x14ac:dyDescent="0.2">
      <c r="B409" s="50" t="s">
        <v>9</v>
      </c>
      <c r="C409" s="50" t="s">
        <v>386</v>
      </c>
      <c r="D409" s="50"/>
      <c r="E409" s="50"/>
      <c r="F409" s="50" t="s">
        <v>10</v>
      </c>
      <c r="G409" s="50" t="s">
        <v>1962</v>
      </c>
      <c r="H409" s="50" t="s">
        <v>15</v>
      </c>
      <c r="I409" s="50" t="s">
        <v>1120</v>
      </c>
      <c r="J409" s="50" t="s">
        <v>16</v>
      </c>
      <c r="K409" s="50" t="s">
        <v>7158</v>
      </c>
      <c r="L409" s="50">
        <v>53</v>
      </c>
      <c r="M409" s="50">
        <v>0.53</v>
      </c>
      <c r="N409" s="50">
        <v>0.60151615029663807</v>
      </c>
      <c r="O409" s="50">
        <v>41527.360892937504</v>
      </c>
      <c r="P409" s="50">
        <v>39837.158499999998</v>
      </c>
      <c r="Q409" s="50">
        <v>1690.2023929375064</v>
      </c>
      <c r="R409" s="50">
        <v>36797.400775704802</v>
      </c>
      <c r="S409" s="50">
        <v>-35107.198382767296</v>
      </c>
      <c r="T409" s="50">
        <v>104094044.69429985</v>
      </c>
      <c r="U409" s="50">
        <v>-3.3726423529673597E-4</v>
      </c>
      <c r="V409" s="50">
        <v>0.99</v>
      </c>
      <c r="W409" s="50">
        <v>0.99288913003086032</v>
      </c>
      <c r="X409" s="50" t="s">
        <v>7159</v>
      </c>
      <c r="Y409" s="50">
        <v>0.32</v>
      </c>
    </row>
    <row r="410" spans="2:25" x14ac:dyDescent="0.2">
      <c r="B410" s="50" t="s">
        <v>9</v>
      </c>
      <c r="C410" s="50" t="s">
        <v>173</v>
      </c>
      <c r="D410" s="50"/>
      <c r="E410" s="50"/>
      <c r="F410" s="50" t="s">
        <v>10</v>
      </c>
      <c r="G410" s="50" t="s">
        <v>1962</v>
      </c>
      <c r="H410" s="50" t="s">
        <v>15</v>
      </c>
      <c r="I410" s="50" t="s">
        <v>1120</v>
      </c>
      <c r="J410" s="50" t="s">
        <v>16</v>
      </c>
      <c r="K410" s="50" t="s">
        <v>7158</v>
      </c>
      <c r="L410" s="50">
        <v>46</v>
      </c>
      <c r="M410" s="50">
        <v>0.46</v>
      </c>
      <c r="N410" s="50">
        <v>0.60231023102310233</v>
      </c>
      <c r="O410" s="50">
        <v>36042.615114624998</v>
      </c>
      <c r="P410" s="50">
        <v>34575.646999999997</v>
      </c>
      <c r="Q410" s="50">
        <v>1466.9681146250005</v>
      </c>
      <c r="R410" s="50">
        <v>36845.978202471408</v>
      </c>
      <c r="S410" s="50">
        <v>-35379.010087846407</v>
      </c>
      <c r="T410" s="50">
        <v>104094044.69429985</v>
      </c>
      <c r="U410" s="50">
        <v>-3.3987544812718522E-4</v>
      </c>
      <c r="V410" s="50">
        <v>0.99</v>
      </c>
      <c r="W410" s="50">
        <v>0.99254925458273313</v>
      </c>
      <c r="X410" s="50" t="s">
        <v>7162</v>
      </c>
      <c r="Y410" s="50">
        <v>0.32</v>
      </c>
    </row>
    <row r="411" spans="2:25" x14ac:dyDescent="0.2">
      <c r="B411" s="50" t="s">
        <v>9</v>
      </c>
      <c r="C411" s="50" t="s">
        <v>93</v>
      </c>
      <c r="D411" s="50"/>
      <c r="E411" s="50"/>
      <c r="F411" s="50" t="s">
        <v>10</v>
      </c>
      <c r="G411" s="50" t="s">
        <v>1962</v>
      </c>
      <c r="H411" s="50" t="s">
        <v>15</v>
      </c>
      <c r="I411" s="50" t="s">
        <v>1120</v>
      </c>
      <c r="J411" s="50" t="s">
        <v>16</v>
      </c>
      <c r="K411" s="50" t="s">
        <v>7158</v>
      </c>
      <c r="L411" s="50">
        <v>38</v>
      </c>
      <c r="M411" s="50">
        <v>0.76</v>
      </c>
      <c r="N411" s="50">
        <v>1.0728282168517309</v>
      </c>
      <c r="O411" s="50">
        <v>59548.668450249999</v>
      </c>
      <c r="P411" s="50">
        <v>29384.982</v>
      </c>
      <c r="Q411" s="50">
        <v>30163.686450249999</v>
      </c>
      <c r="R411" s="50">
        <v>65629.642428569248</v>
      </c>
      <c r="S411" s="50">
        <v>-35465.955978319253</v>
      </c>
      <c r="T411" s="50">
        <v>104094044.69429985</v>
      </c>
      <c r="U411" s="50">
        <v>-3.4071071099672003E-4</v>
      </c>
      <c r="V411" s="50">
        <v>0.98000000000000009</v>
      </c>
      <c r="W411" s="50">
        <v>0.9922085438717364</v>
      </c>
      <c r="X411" s="50" t="s">
        <v>7162</v>
      </c>
      <c r="Y411" s="50">
        <v>0.32</v>
      </c>
    </row>
    <row r="412" spans="2:25" x14ac:dyDescent="0.2">
      <c r="B412" s="50" t="s">
        <v>9</v>
      </c>
      <c r="C412" s="50" t="s">
        <v>212</v>
      </c>
      <c r="D412" s="50"/>
      <c r="E412" s="50"/>
      <c r="F412" s="50" t="s">
        <v>10</v>
      </c>
      <c r="G412" s="50" t="s">
        <v>1962</v>
      </c>
      <c r="H412" s="50" t="s">
        <v>15</v>
      </c>
      <c r="I412" s="50" t="s">
        <v>1121</v>
      </c>
      <c r="J412" s="50" t="s">
        <v>16</v>
      </c>
      <c r="K412" s="50" t="s">
        <v>7158</v>
      </c>
      <c r="L412" s="50">
        <v>126</v>
      </c>
      <c r="M412" s="50">
        <v>1.26</v>
      </c>
      <c r="N412" s="50">
        <v>0.22</v>
      </c>
      <c r="O412" s="50">
        <v>98725.424009625</v>
      </c>
      <c r="P412" s="50">
        <v>94707.206999999995</v>
      </c>
      <c r="Q412" s="50">
        <v>4018.2170096250047</v>
      </c>
      <c r="R412" s="50">
        <v>40610.625</v>
      </c>
      <c r="S412" s="50">
        <v>-36592.407990374995</v>
      </c>
      <c r="T412" s="50">
        <v>104094044.69429985</v>
      </c>
      <c r="U412" s="50">
        <v>-3.5153219473638901E-4</v>
      </c>
      <c r="V412" s="50">
        <v>0.99</v>
      </c>
      <c r="W412" s="50">
        <v>0.99185701167700002</v>
      </c>
      <c r="X412" s="50" t="s">
        <v>7161</v>
      </c>
      <c r="Y412" s="50">
        <v>0.22</v>
      </c>
    </row>
    <row r="413" spans="2:25" x14ac:dyDescent="0.2">
      <c r="B413" s="50" t="s">
        <v>9</v>
      </c>
      <c r="C413" s="50" t="s">
        <v>147</v>
      </c>
      <c r="D413" s="50"/>
      <c r="E413" s="50"/>
      <c r="F413" s="50" t="s">
        <v>10</v>
      </c>
      <c r="G413" s="50" t="s">
        <v>1962</v>
      </c>
      <c r="H413" s="50" t="s">
        <v>15</v>
      </c>
      <c r="I413" s="50" t="s">
        <v>1121</v>
      </c>
      <c r="J413" s="50" t="s">
        <v>16</v>
      </c>
      <c r="K413" s="50" t="s">
        <v>7158</v>
      </c>
      <c r="L413" s="50">
        <v>92</v>
      </c>
      <c r="M413" s="50">
        <v>1.84</v>
      </c>
      <c r="N413" s="50">
        <v>0.6</v>
      </c>
      <c r="O413" s="50">
        <v>144170.46045849999</v>
      </c>
      <c r="P413" s="50">
        <v>71142.588000000003</v>
      </c>
      <c r="Q413" s="50">
        <v>73027.872458499987</v>
      </c>
      <c r="R413" s="50">
        <v>110756.25</v>
      </c>
      <c r="S413" s="50">
        <v>-37728.377541500013</v>
      </c>
      <c r="T413" s="50">
        <v>104094044.69429985</v>
      </c>
      <c r="U413" s="50">
        <v>-3.6244511059493884E-4</v>
      </c>
      <c r="V413" s="50">
        <v>0.98</v>
      </c>
      <c r="W413" s="50">
        <v>0.99149456656640511</v>
      </c>
      <c r="X413" s="50" t="s">
        <v>7163</v>
      </c>
      <c r="Y413" s="50">
        <v>0.6</v>
      </c>
    </row>
    <row r="414" spans="2:25" x14ac:dyDescent="0.2">
      <c r="B414" s="50" t="s">
        <v>9</v>
      </c>
      <c r="C414" s="50" t="s">
        <v>22</v>
      </c>
      <c r="D414" s="50"/>
      <c r="E414" s="50"/>
      <c r="F414" s="50" t="s">
        <v>10</v>
      </c>
      <c r="G414" s="50" t="s">
        <v>1962</v>
      </c>
      <c r="H414" s="50" t="s">
        <v>15</v>
      </c>
      <c r="I414" s="50" t="s">
        <v>1120</v>
      </c>
      <c r="J414" s="50" t="s">
        <v>16</v>
      </c>
      <c r="K414" s="50" t="s">
        <v>7158</v>
      </c>
      <c r="L414" s="50">
        <v>23</v>
      </c>
      <c r="M414" s="50">
        <v>0.23</v>
      </c>
      <c r="N414" s="50">
        <v>0.62952742324939637</v>
      </c>
      <c r="O414" s="50">
        <v>18021.307557312499</v>
      </c>
      <c r="P414" s="50">
        <v>17287.823499999999</v>
      </c>
      <c r="Q414" s="50">
        <v>733.48405731250023</v>
      </c>
      <c r="R414" s="50">
        <v>38510.974112965974</v>
      </c>
      <c r="S414" s="50">
        <v>-37777.49005565347</v>
      </c>
      <c r="T414" s="50">
        <v>104094044.69429985</v>
      </c>
      <c r="U414" s="50">
        <v>-3.6291691966238056E-4</v>
      </c>
      <c r="V414" s="50">
        <v>0.99</v>
      </c>
      <c r="W414" s="50">
        <v>0.99113164964674272</v>
      </c>
      <c r="X414" s="50" t="s">
        <v>7161</v>
      </c>
      <c r="Y414" s="50">
        <v>0.32</v>
      </c>
    </row>
    <row r="415" spans="2:25" x14ac:dyDescent="0.2">
      <c r="B415" s="50" t="s">
        <v>9</v>
      </c>
      <c r="C415" s="50" t="s">
        <v>186</v>
      </c>
      <c r="D415" s="50"/>
      <c r="E415" s="50"/>
      <c r="F415" s="50" t="s">
        <v>10</v>
      </c>
      <c r="G415" s="50" t="s">
        <v>1962</v>
      </c>
      <c r="H415" s="50" t="s">
        <v>15</v>
      </c>
      <c r="I415" s="50" t="s">
        <v>1120</v>
      </c>
      <c r="J415" s="50" t="s">
        <v>16</v>
      </c>
      <c r="K415" s="50" t="s">
        <v>7158</v>
      </c>
      <c r="L415" s="50">
        <v>47</v>
      </c>
      <c r="M415" s="50">
        <v>0.47</v>
      </c>
      <c r="N415" s="50">
        <v>0.64658990256864479</v>
      </c>
      <c r="O415" s="50">
        <v>36826.150225812497</v>
      </c>
      <c r="P415" s="50">
        <v>35327.291499999999</v>
      </c>
      <c r="Q415" s="50">
        <v>1498.8587258124971</v>
      </c>
      <c r="R415" s="50">
        <v>39554.761365274884</v>
      </c>
      <c r="S415" s="50">
        <v>-38055.902639462387</v>
      </c>
      <c r="T415" s="50">
        <v>104094044.69429985</v>
      </c>
      <c r="U415" s="50">
        <v>-3.6559154513808909E-4</v>
      </c>
      <c r="V415" s="50">
        <v>0.99</v>
      </c>
      <c r="W415" s="50">
        <v>0.99076605810160467</v>
      </c>
      <c r="X415" s="50" t="s">
        <v>7163</v>
      </c>
      <c r="Y415" s="50">
        <v>0.32</v>
      </c>
    </row>
    <row r="416" spans="2:25" x14ac:dyDescent="0.2">
      <c r="B416" s="50" t="s">
        <v>9</v>
      </c>
      <c r="C416" s="50" t="s">
        <v>166</v>
      </c>
      <c r="D416" s="50"/>
      <c r="E416" s="50"/>
      <c r="F416" s="50" t="s">
        <v>10</v>
      </c>
      <c r="G416" s="51" t="s">
        <v>1962</v>
      </c>
      <c r="H416" s="50" t="s">
        <v>19</v>
      </c>
      <c r="I416" s="50" t="s">
        <v>1121</v>
      </c>
      <c r="J416" s="50" t="s">
        <v>20</v>
      </c>
      <c r="K416" s="50" t="s">
        <v>7158</v>
      </c>
      <c r="L416" s="50">
        <v>180</v>
      </c>
      <c r="M416" s="50">
        <v>1.8</v>
      </c>
      <c r="N416" s="50">
        <v>0.25</v>
      </c>
      <c r="O416" s="50">
        <v>141036.32001375</v>
      </c>
      <c r="P416" s="50">
        <v>135296.00999999998</v>
      </c>
      <c r="Q416" s="50">
        <v>5740.3100137500151</v>
      </c>
      <c r="R416" s="50">
        <v>46148.4375</v>
      </c>
      <c r="S416" s="50">
        <v>-40408.127486249985</v>
      </c>
      <c r="T416" s="50">
        <v>104094044.69429985</v>
      </c>
      <c r="U416" s="50">
        <v>-3.8818865771734893E-4</v>
      </c>
      <c r="V416" s="50">
        <v>0.99</v>
      </c>
      <c r="W416" s="50">
        <v>0.99037786944388728</v>
      </c>
      <c r="X416" s="50" t="s">
        <v>7160</v>
      </c>
      <c r="Y416" s="50">
        <v>0.25</v>
      </c>
    </row>
    <row r="417" spans="2:25" x14ac:dyDescent="0.2">
      <c r="B417" s="50" t="s">
        <v>9</v>
      </c>
      <c r="C417" s="50" t="s">
        <v>95</v>
      </c>
      <c r="D417" s="50"/>
      <c r="E417" s="50"/>
      <c r="F417" s="50" t="s">
        <v>10</v>
      </c>
      <c r="G417" s="50" t="s">
        <v>1962</v>
      </c>
      <c r="H417" s="50" t="s">
        <v>15</v>
      </c>
      <c r="I417" s="50" t="s">
        <v>1121</v>
      </c>
      <c r="J417" s="50" t="s">
        <v>16</v>
      </c>
      <c r="K417" s="50" t="s">
        <v>7158</v>
      </c>
      <c r="L417" s="50">
        <v>147</v>
      </c>
      <c r="M417" s="50">
        <v>1.47</v>
      </c>
      <c r="N417" s="50">
        <v>0.25</v>
      </c>
      <c r="O417" s="50">
        <v>115179.66134456248</v>
      </c>
      <c r="P417" s="50">
        <v>110491.7415</v>
      </c>
      <c r="Q417" s="50">
        <v>4687.9198445624788</v>
      </c>
      <c r="R417" s="50">
        <v>46148.4375</v>
      </c>
      <c r="S417" s="50">
        <v>-41460.517655437521</v>
      </c>
      <c r="T417" s="50">
        <v>104094044.69429985</v>
      </c>
      <c r="U417" s="50">
        <v>-3.9829865173552899E-4</v>
      </c>
      <c r="V417" s="50">
        <v>0.99</v>
      </c>
      <c r="W417" s="50">
        <v>0.98997957079215171</v>
      </c>
      <c r="X417" s="50" t="s">
        <v>7161</v>
      </c>
      <c r="Y417" s="50">
        <v>0.25</v>
      </c>
    </row>
    <row r="418" spans="2:25" x14ac:dyDescent="0.2">
      <c r="B418" s="50" t="s">
        <v>9</v>
      </c>
      <c r="C418" s="50" t="s">
        <v>136</v>
      </c>
      <c r="D418" s="50"/>
      <c r="E418" s="50"/>
      <c r="F418" s="50" t="s">
        <v>10</v>
      </c>
      <c r="G418" s="51" t="s">
        <v>1962</v>
      </c>
      <c r="H418" s="50" t="s">
        <v>19</v>
      </c>
      <c r="I418" s="50" t="s">
        <v>1121</v>
      </c>
      <c r="J418" s="50" t="s">
        <v>20</v>
      </c>
      <c r="K418" s="50" t="s">
        <v>7158</v>
      </c>
      <c r="L418" s="50">
        <v>94</v>
      </c>
      <c r="M418" s="50">
        <v>1.88</v>
      </c>
      <c r="N418" s="50">
        <v>0.62931034482758619</v>
      </c>
      <c r="O418" s="50">
        <v>147304.60090324999</v>
      </c>
      <c r="P418" s="50">
        <v>72689.165999999997</v>
      </c>
      <c r="Q418" s="50">
        <v>74615.434903249989</v>
      </c>
      <c r="R418" s="50">
        <v>116166.75646551723</v>
      </c>
      <c r="S418" s="50">
        <v>-41551.321562267243</v>
      </c>
      <c r="T418" s="50">
        <v>104094044.69429985</v>
      </c>
      <c r="U418" s="50">
        <v>-3.9917097740119401E-4</v>
      </c>
      <c r="V418" s="50">
        <v>0.98000000000000009</v>
      </c>
      <c r="W418" s="50">
        <v>0.98958039981475054</v>
      </c>
      <c r="X418" s="50" t="s">
        <v>7162</v>
      </c>
      <c r="Y418" s="50">
        <v>0.62931034482758619</v>
      </c>
    </row>
    <row r="419" spans="2:25" x14ac:dyDescent="0.2">
      <c r="B419" s="50" t="s">
        <v>9</v>
      </c>
      <c r="C419" s="50" t="s">
        <v>110</v>
      </c>
      <c r="D419" s="50"/>
      <c r="E419" s="50"/>
      <c r="F419" s="50" t="s">
        <v>10</v>
      </c>
      <c r="G419" s="50" t="s">
        <v>1962</v>
      </c>
      <c r="H419" s="50" t="s">
        <v>15</v>
      </c>
      <c r="I419" s="50" t="s">
        <v>1121</v>
      </c>
      <c r="J419" s="50" t="s">
        <v>16</v>
      </c>
      <c r="K419" s="50" t="s">
        <v>7158</v>
      </c>
      <c r="L419" s="50">
        <v>114</v>
      </c>
      <c r="M419" s="50">
        <v>1.1399999999999999</v>
      </c>
      <c r="N419" s="50">
        <v>0.25</v>
      </c>
      <c r="O419" s="50">
        <v>89323.002675374984</v>
      </c>
      <c r="P419" s="50">
        <v>85687.472999999998</v>
      </c>
      <c r="Q419" s="50">
        <v>3635.5296753749863</v>
      </c>
      <c r="R419" s="50">
        <v>46148.4375</v>
      </c>
      <c r="S419" s="50">
        <v>-42512.907824625014</v>
      </c>
      <c r="T419" s="50">
        <v>104094044.69429985</v>
      </c>
      <c r="U419" s="50">
        <v>-4.0840864575370856E-4</v>
      </c>
      <c r="V419" s="50">
        <v>0.99</v>
      </c>
      <c r="W419" s="50">
        <v>0.98917199116899679</v>
      </c>
      <c r="X419" s="50" t="s">
        <v>7160</v>
      </c>
      <c r="Y419" s="50">
        <v>0.25</v>
      </c>
    </row>
    <row r="420" spans="2:25" x14ac:dyDescent="0.2">
      <c r="B420" s="50" t="s">
        <v>9</v>
      </c>
      <c r="C420" s="50" t="s">
        <v>389</v>
      </c>
      <c r="D420" s="50"/>
      <c r="E420" s="50"/>
      <c r="F420" s="50" t="s">
        <v>10</v>
      </c>
      <c r="G420" s="50" t="s">
        <v>1962</v>
      </c>
      <c r="H420" s="50" t="s">
        <v>15</v>
      </c>
      <c r="I420" s="50" t="s">
        <v>1121</v>
      </c>
      <c r="J420" s="50" t="s">
        <v>16</v>
      </c>
      <c r="K420" s="50" t="s">
        <v>7158</v>
      </c>
      <c r="L420" s="50">
        <v>96</v>
      </c>
      <c r="M420" s="50">
        <v>0.96</v>
      </c>
      <c r="N420" s="50">
        <v>0.25</v>
      </c>
      <c r="O420" s="50">
        <v>75219.370674000005</v>
      </c>
      <c r="P420" s="50">
        <v>72157.872000000003</v>
      </c>
      <c r="Q420" s="50">
        <v>3061.4986740000022</v>
      </c>
      <c r="R420" s="50">
        <v>46148.4375</v>
      </c>
      <c r="S420" s="50">
        <v>-43086.938825999998</v>
      </c>
      <c r="T420" s="50">
        <v>104094044.69429985</v>
      </c>
      <c r="U420" s="50">
        <v>-4.1392318794544281E-4</v>
      </c>
      <c r="V420" s="50">
        <v>0.9900000000000001</v>
      </c>
      <c r="W420" s="50">
        <v>0.98875806798105137</v>
      </c>
      <c r="X420" s="50" t="s">
        <v>7163</v>
      </c>
      <c r="Y420" s="50">
        <v>0.25</v>
      </c>
    </row>
    <row r="421" spans="2:25" x14ac:dyDescent="0.2">
      <c r="B421" s="50" t="s">
        <v>9</v>
      </c>
      <c r="C421" s="50" t="s">
        <v>228</v>
      </c>
      <c r="D421" s="50"/>
      <c r="E421" s="50"/>
      <c r="F421" s="50" t="s">
        <v>10</v>
      </c>
      <c r="G421" s="50" t="s">
        <v>1962</v>
      </c>
      <c r="H421" s="50" t="s">
        <v>15</v>
      </c>
      <c r="I421" s="50" t="s">
        <v>1121</v>
      </c>
      <c r="J421" s="50" t="s">
        <v>16</v>
      </c>
      <c r="K421" s="50" t="s">
        <v>7158</v>
      </c>
      <c r="L421" s="50">
        <v>110</v>
      </c>
      <c r="M421" s="50">
        <v>1.65</v>
      </c>
      <c r="N421" s="50">
        <v>0.48</v>
      </c>
      <c r="O421" s="50">
        <v>129283.29334593749</v>
      </c>
      <c r="P421" s="50">
        <v>83871.342499999999</v>
      </c>
      <c r="Q421" s="50">
        <v>45411.950845937492</v>
      </c>
      <c r="R421" s="50">
        <v>88605</v>
      </c>
      <c r="S421" s="50">
        <v>-43193.049154062508</v>
      </c>
      <c r="T421" s="50">
        <v>104094044.69429985</v>
      </c>
      <c r="U421" s="50">
        <v>-4.1494255776985619E-4</v>
      </c>
      <c r="V421" s="50">
        <v>0.98499999999999999</v>
      </c>
      <c r="W421" s="50">
        <v>0.98834312542328151</v>
      </c>
      <c r="X421" s="50" t="s">
        <v>7161</v>
      </c>
      <c r="Y421" s="50">
        <v>0.48</v>
      </c>
    </row>
    <row r="422" spans="2:25" x14ac:dyDescent="0.2">
      <c r="B422" s="50" t="s">
        <v>9</v>
      </c>
      <c r="C422" s="50" t="s">
        <v>297</v>
      </c>
      <c r="D422" s="50"/>
      <c r="E422" s="50"/>
      <c r="F422" s="50" t="s">
        <v>10</v>
      </c>
      <c r="G422" s="50" t="s">
        <v>1962</v>
      </c>
      <c r="H422" s="50" t="s">
        <v>32</v>
      </c>
      <c r="I422" s="50" t="s">
        <v>1120</v>
      </c>
      <c r="J422" s="50" t="s">
        <v>33</v>
      </c>
      <c r="K422" s="50" t="s">
        <v>7158</v>
      </c>
      <c r="L422" s="50">
        <v>18</v>
      </c>
      <c r="M422" s="50">
        <v>0.18</v>
      </c>
      <c r="N422" s="50">
        <v>0.71815051647811112</v>
      </c>
      <c r="O422" s="50">
        <v>14103.632001374999</v>
      </c>
      <c r="P422" s="50">
        <v>13529.601000000001</v>
      </c>
      <c r="Q422" s="50">
        <v>574.0310013749986</v>
      </c>
      <c r="R422" s="50">
        <v>43932.440316178399</v>
      </c>
      <c r="S422" s="50">
        <v>-43358.409314803401</v>
      </c>
      <c r="T422" s="50">
        <v>104094044.69429985</v>
      </c>
      <c r="U422" s="50">
        <v>-4.165311228143457E-4</v>
      </c>
      <c r="V422" s="50">
        <v>0.99</v>
      </c>
      <c r="W422" s="50">
        <v>0.98792659430046714</v>
      </c>
      <c r="X422" s="50" t="s">
        <v>7161</v>
      </c>
      <c r="Y422" s="50">
        <v>0.32</v>
      </c>
    </row>
    <row r="423" spans="2:25" x14ac:dyDescent="0.2">
      <c r="B423" s="50" t="s">
        <v>9</v>
      </c>
      <c r="C423" s="50" t="s">
        <v>230</v>
      </c>
      <c r="D423" s="50"/>
      <c r="E423" s="50"/>
      <c r="F423" s="50" t="s">
        <v>10</v>
      </c>
      <c r="G423" s="50" t="s">
        <v>1962</v>
      </c>
      <c r="H423" s="50" t="s">
        <v>15</v>
      </c>
      <c r="I423" s="50" t="s">
        <v>1121</v>
      </c>
      <c r="J423" s="50" t="s">
        <v>16</v>
      </c>
      <c r="K423" s="50" t="s">
        <v>7158</v>
      </c>
      <c r="L423" s="50">
        <v>62</v>
      </c>
      <c r="M423" s="50">
        <v>1.24</v>
      </c>
      <c r="N423" s="50">
        <v>0.51</v>
      </c>
      <c r="O423" s="50">
        <v>97158.353787249987</v>
      </c>
      <c r="P423" s="50">
        <v>47943.917999999998</v>
      </c>
      <c r="Q423" s="50">
        <v>49214.43578724999</v>
      </c>
      <c r="R423" s="50">
        <v>94142.8125</v>
      </c>
      <c r="S423" s="50">
        <v>-44928.37671275001</v>
      </c>
      <c r="T423" s="50">
        <v>104094044.69429985</v>
      </c>
      <c r="U423" s="50">
        <v>-4.3161332470742459E-4</v>
      </c>
      <c r="V423" s="50">
        <v>0.98</v>
      </c>
      <c r="W423" s="50">
        <v>0.98749498097575972</v>
      </c>
      <c r="X423" s="50" t="s">
        <v>7163</v>
      </c>
      <c r="Y423" s="50">
        <v>0.51</v>
      </c>
    </row>
    <row r="424" spans="2:25" x14ac:dyDescent="0.2">
      <c r="B424" s="50" t="s">
        <v>9</v>
      </c>
      <c r="C424" s="50" t="s">
        <v>301</v>
      </c>
      <c r="D424" s="50"/>
      <c r="E424" s="50"/>
      <c r="F424" s="50" t="s">
        <v>10</v>
      </c>
      <c r="G424" s="50" t="s">
        <v>1962</v>
      </c>
      <c r="H424" s="50" t="s">
        <v>15</v>
      </c>
      <c r="I424" s="50" t="s">
        <v>1120</v>
      </c>
      <c r="J424" s="50" t="s">
        <v>16</v>
      </c>
      <c r="K424" s="50" t="s">
        <v>7158</v>
      </c>
      <c r="L424" s="50">
        <v>32</v>
      </c>
      <c r="M424" s="50">
        <v>0.32</v>
      </c>
      <c r="N424" s="50">
        <v>0.75475599669148052</v>
      </c>
      <c r="O424" s="50">
        <v>25073.123557999999</v>
      </c>
      <c r="P424" s="50">
        <v>24052.624</v>
      </c>
      <c r="Q424" s="50">
        <v>1020.4995579999995</v>
      </c>
      <c r="R424" s="50">
        <v>46171.759285975342</v>
      </c>
      <c r="S424" s="50">
        <v>-45151.259727975339</v>
      </c>
      <c r="T424" s="50">
        <v>104094044.69429985</v>
      </c>
      <c r="U424" s="50">
        <v>-4.3375449441487412E-4</v>
      </c>
      <c r="V424" s="50">
        <v>0.99</v>
      </c>
      <c r="W424" s="50">
        <v>0.98706122648134487</v>
      </c>
      <c r="X424" s="50" t="s">
        <v>7161</v>
      </c>
      <c r="Y424" s="50">
        <v>0.32</v>
      </c>
    </row>
    <row r="425" spans="2:25" x14ac:dyDescent="0.2">
      <c r="B425" s="50" t="s">
        <v>9</v>
      </c>
      <c r="C425" s="50" t="s">
        <v>385</v>
      </c>
      <c r="D425" s="50"/>
      <c r="E425" s="50"/>
      <c r="F425" s="50" t="s">
        <v>10</v>
      </c>
      <c r="G425" s="50" t="s">
        <v>1962</v>
      </c>
      <c r="H425" s="50" t="s">
        <v>15</v>
      </c>
      <c r="I425" s="50" t="s">
        <v>1121</v>
      </c>
      <c r="J425" s="50" t="s">
        <v>16</v>
      </c>
      <c r="K425" s="50" t="s">
        <v>7158</v>
      </c>
      <c r="L425" s="50">
        <v>175</v>
      </c>
      <c r="M425" s="50">
        <v>1.75</v>
      </c>
      <c r="N425" s="50">
        <v>0.28000000000000003</v>
      </c>
      <c r="O425" s="50">
        <v>137118.64445781248</v>
      </c>
      <c r="P425" s="50">
        <v>131537.78750000001</v>
      </c>
      <c r="Q425" s="50">
        <v>5580.8569578124734</v>
      </c>
      <c r="R425" s="50">
        <v>51686.250000000007</v>
      </c>
      <c r="S425" s="50">
        <v>-46105.393042187534</v>
      </c>
      <c r="T425" s="50">
        <v>104094044.69429985</v>
      </c>
      <c r="U425" s="50">
        <v>-4.4292056454899433E-4</v>
      </c>
      <c r="V425" s="50">
        <v>0.99</v>
      </c>
      <c r="W425" s="50">
        <v>0.98661830591679589</v>
      </c>
      <c r="X425" s="50" t="s">
        <v>7163</v>
      </c>
      <c r="Y425" s="50">
        <v>0.28000000000000003</v>
      </c>
    </row>
    <row r="426" spans="2:25" x14ac:dyDescent="0.2">
      <c r="B426" s="50" t="s">
        <v>9</v>
      </c>
      <c r="C426" s="50" t="s">
        <v>442</v>
      </c>
      <c r="D426" s="50"/>
      <c r="E426" s="50"/>
      <c r="F426" s="50" t="s">
        <v>10</v>
      </c>
      <c r="G426" s="50" t="s">
        <v>1962</v>
      </c>
      <c r="H426" s="50" t="s">
        <v>15</v>
      </c>
      <c r="I426" s="50" t="s">
        <v>1120</v>
      </c>
      <c r="J426" s="50" t="s">
        <v>16</v>
      </c>
      <c r="K426" s="50" t="s">
        <v>7158</v>
      </c>
      <c r="L426" s="50">
        <v>62</v>
      </c>
      <c r="M426" s="50">
        <v>0.62</v>
      </c>
      <c r="N426" s="50">
        <v>0.80796900940785832</v>
      </c>
      <c r="O426" s="50">
        <v>48579.176893624994</v>
      </c>
      <c r="P426" s="50">
        <v>46601.958999999995</v>
      </c>
      <c r="Q426" s="50">
        <v>1977.2178936249984</v>
      </c>
      <c r="R426" s="50">
        <v>49427.034401101657</v>
      </c>
      <c r="S426" s="50">
        <v>-47449.816507476658</v>
      </c>
      <c r="T426" s="50">
        <v>104094044.69429985</v>
      </c>
      <c r="U426" s="50">
        <v>-4.5583603410575315E-4</v>
      </c>
      <c r="V426" s="50">
        <v>0.99</v>
      </c>
      <c r="W426" s="50">
        <v>0.98616246988269018</v>
      </c>
      <c r="X426" s="50" t="s">
        <v>7160</v>
      </c>
      <c r="Y426" s="50">
        <v>0.32</v>
      </c>
    </row>
    <row r="427" spans="2:25" x14ac:dyDescent="0.2">
      <c r="B427" s="50" t="s">
        <v>9</v>
      </c>
      <c r="C427" s="50" t="s">
        <v>78</v>
      </c>
      <c r="D427" s="50"/>
      <c r="E427" s="50"/>
      <c r="F427" s="50" t="s">
        <v>10</v>
      </c>
      <c r="G427" s="50" t="s">
        <v>1962</v>
      </c>
      <c r="H427" s="50" t="s">
        <v>15</v>
      </c>
      <c r="I427" s="50" t="s">
        <v>1121</v>
      </c>
      <c r="J427" s="50" t="s">
        <v>16</v>
      </c>
      <c r="K427" s="50" t="s">
        <v>7158</v>
      </c>
      <c r="L427" s="50">
        <v>225</v>
      </c>
      <c r="M427" s="50">
        <v>2.25</v>
      </c>
      <c r="N427" s="50">
        <v>0.3</v>
      </c>
      <c r="O427" s="50">
        <v>176295.40001718749</v>
      </c>
      <c r="P427" s="50">
        <v>169120.01249999998</v>
      </c>
      <c r="Q427" s="50">
        <v>7175.3875171875115</v>
      </c>
      <c r="R427" s="50">
        <v>55378.125</v>
      </c>
      <c r="S427" s="50">
        <v>-48202.737482812488</v>
      </c>
      <c r="T427" s="50">
        <v>104094044.69429985</v>
      </c>
      <c r="U427" s="50">
        <v>-4.630691181649516E-4</v>
      </c>
      <c r="V427" s="50">
        <v>0.99</v>
      </c>
      <c r="W427" s="50">
        <v>0.98569940076452522</v>
      </c>
      <c r="X427" s="50" t="s">
        <v>7161</v>
      </c>
      <c r="Y427" s="50">
        <v>0.3</v>
      </c>
    </row>
    <row r="428" spans="2:25" x14ac:dyDescent="0.2">
      <c r="B428" s="50" t="s">
        <v>9</v>
      </c>
      <c r="C428" s="50" t="s">
        <v>58</v>
      </c>
      <c r="D428" s="50"/>
      <c r="E428" s="50"/>
      <c r="F428" s="50" t="s">
        <v>10</v>
      </c>
      <c r="G428" s="50" t="s">
        <v>1962</v>
      </c>
      <c r="H428" s="50" t="s">
        <v>32</v>
      </c>
      <c r="I428" s="50" t="s">
        <v>1121</v>
      </c>
      <c r="J428" s="50" t="s">
        <v>33</v>
      </c>
      <c r="K428" s="50" t="s">
        <v>7158</v>
      </c>
      <c r="L428" s="50">
        <v>220</v>
      </c>
      <c r="M428" s="50">
        <v>2.2000000000000002</v>
      </c>
      <c r="N428" s="50">
        <v>0.3</v>
      </c>
      <c r="O428" s="50">
        <v>172377.72446125001</v>
      </c>
      <c r="P428" s="50">
        <v>165361.79</v>
      </c>
      <c r="Q428" s="50">
        <v>7015.934461249999</v>
      </c>
      <c r="R428" s="50">
        <v>55378.125</v>
      </c>
      <c r="S428" s="50">
        <v>-48362.190538750001</v>
      </c>
      <c r="T428" s="50">
        <v>104094044.69429985</v>
      </c>
      <c r="U428" s="50">
        <v>-4.6460093544043346E-4</v>
      </c>
      <c r="V428" s="50">
        <v>0.9900000000000001</v>
      </c>
      <c r="W428" s="50">
        <v>0.9852347998290848</v>
      </c>
      <c r="X428" s="50" t="s">
        <v>7160</v>
      </c>
      <c r="Y428" s="50">
        <v>0.3</v>
      </c>
    </row>
    <row r="429" spans="2:25" x14ac:dyDescent="0.2">
      <c r="B429" s="50" t="s">
        <v>9</v>
      </c>
      <c r="C429" s="50" t="s">
        <v>251</v>
      </c>
      <c r="D429" s="50"/>
      <c r="E429" s="50"/>
      <c r="F429" s="50" t="s">
        <v>10</v>
      </c>
      <c r="G429" s="51" t="s">
        <v>1962</v>
      </c>
      <c r="H429" s="50" t="s">
        <v>15</v>
      </c>
      <c r="I429" s="50" t="s">
        <v>1121</v>
      </c>
      <c r="J429" s="50" t="s">
        <v>16</v>
      </c>
      <c r="K429" s="50" t="s">
        <v>7158</v>
      </c>
      <c r="L429" s="50">
        <v>160</v>
      </c>
      <c r="M429" s="50">
        <v>1.6</v>
      </c>
      <c r="N429" s="50">
        <v>0.28999999999999998</v>
      </c>
      <c r="O429" s="50">
        <v>125365.61779</v>
      </c>
      <c r="P429" s="50">
        <v>120263.12</v>
      </c>
      <c r="Q429" s="50">
        <v>5102.4977900000085</v>
      </c>
      <c r="R429" s="50">
        <v>53532.187499999993</v>
      </c>
      <c r="S429" s="50">
        <v>-48429.689709999984</v>
      </c>
      <c r="T429" s="50">
        <v>104094044.69429985</v>
      </c>
      <c r="U429" s="50">
        <v>-4.6524937956082688E-4</v>
      </c>
      <c r="V429" s="50">
        <v>0.99</v>
      </c>
      <c r="W429" s="50">
        <v>0.98476955044952397</v>
      </c>
      <c r="X429" s="50" t="s">
        <v>7159</v>
      </c>
      <c r="Y429" s="50">
        <v>0.28999999999999998</v>
      </c>
    </row>
    <row r="430" spans="2:25" x14ac:dyDescent="0.2">
      <c r="B430" s="50" t="s">
        <v>9</v>
      </c>
      <c r="C430" s="50" t="s">
        <v>29</v>
      </c>
      <c r="D430" s="50"/>
      <c r="E430" s="50"/>
      <c r="F430" s="50" t="s">
        <v>10</v>
      </c>
      <c r="G430" s="50" t="s">
        <v>1962</v>
      </c>
      <c r="H430" s="50" t="s">
        <v>15</v>
      </c>
      <c r="I430" s="50" t="s">
        <v>1121</v>
      </c>
      <c r="J430" s="50" t="s">
        <v>16</v>
      </c>
      <c r="K430" s="50" t="s">
        <v>7158</v>
      </c>
      <c r="L430" s="50">
        <v>326</v>
      </c>
      <c r="M430" s="50">
        <v>3.26</v>
      </c>
      <c r="N430" s="50">
        <v>0.32</v>
      </c>
      <c r="O430" s="50">
        <v>255432.44624712496</v>
      </c>
      <c r="P430" s="50">
        <v>245036.10700000002</v>
      </c>
      <c r="Q430" s="50">
        <v>10396.339247124939</v>
      </c>
      <c r="R430" s="50">
        <v>59070</v>
      </c>
      <c r="S430" s="50">
        <v>-48673.660752875061</v>
      </c>
      <c r="T430" s="50">
        <v>104094044.69429985</v>
      </c>
      <c r="U430" s="50">
        <v>-4.6759313557099598E-4</v>
      </c>
      <c r="V430" s="50">
        <v>0.99</v>
      </c>
      <c r="W430" s="50">
        <v>0.98430195731395298</v>
      </c>
      <c r="X430" s="50" t="s">
        <v>7159</v>
      </c>
      <c r="Y430" s="50">
        <v>0.32</v>
      </c>
    </row>
    <row r="431" spans="2:25" x14ac:dyDescent="0.2">
      <c r="B431" s="50" t="s">
        <v>9</v>
      </c>
      <c r="C431" s="50" t="s">
        <v>179</v>
      </c>
      <c r="D431" s="50"/>
      <c r="E431" s="50"/>
      <c r="F431" s="50" t="s">
        <v>10</v>
      </c>
      <c r="G431" s="50" t="s">
        <v>1962</v>
      </c>
      <c r="H431" s="50" t="s">
        <v>15</v>
      </c>
      <c r="I431" s="50" t="s">
        <v>1120</v>
      </c>
      <c r="J431" s="50" t="s">
        <v>16</v>
      </c>
      <c r="K431" s="50" t="s">
        <v>7158</v>
      </c>
      <c r="L431" s="50">
        <v>104</v>
      </c>
      <c r="M431" s="50">
        <v>1.04</v>
      </c>
      <c r="N431" s="50">
        <v>0.86</v>
      </c>
      <c r="O431" s="50">
        <v>81487.651563499996</v>
      </c>
      <c r="P431" s="50">
        <v>78171.028000000006</v>
      </c>
      <c r="Q431" s="50">
        <v>3316.6235634999903</v>
      </c>
      <c r="R431" s="50">
        <v>52610</v>
      </c>
      <c r="S431" s="50">
        <v>-49293.37643650001</v>
      </c>
      <c r="T431" s="50">
        <v>104094044.69429985</v>
      </c>
      <c r="U431" s="50">
        <v>-4.7354655668595898E-4</v>
      </c>
      <c r="V431" s="50">
        <v>0.99</v>
      </c>
      <c r="W431" s="50">
        <v>0.98382841075726701</v>
      </c>
      <c r="X431" s="50" t="s">
        <v>7162</v>
      </c>
      <c r="Y431" s="50">
        <v>0.32</v>
      </c>
    </row>
    <row r="432" spans="2:25" x14ac:dyDescent="0.2">
      <c r="B432" s="50" t="s">
        <v>9</v>
      </c>
      <c r="C432" s="50" t="s">
        <v>439</v>
      </c>
      <c r="D432" s="50"/>
      <c r="E432" s="50"/>
      <c r="F432" s="50" t="s">
        <v>10</v>
      </c>
      <c r="G432" s="50" t="s">
        <v>1962</v>
      </c>
      <c r="H432" s="50" t="s">
        <v>32</v>
      </c>
      <c r="I432" s="50" t="s">
        <v>1120</v>
      </c>
      <c r="J432" s="50" t="s">
        <v>33</v>
      </c>
      <c r="K432" s="50" t="s">
        <v>7158</v>
      </c>
      <c r="L432" s="50">
        <v>78</v>
      </c>
      <c r="M432" s="50">
        <v>0.78</v>
      </c>
      <c r="N432" s="50">
        <v>0.86</v>
      </c>
      <c r="O432" s="50">
        <v>61115.73867262499</v>
      </c>
      <c r="P432" s="50">
        <v>58628.271000000008</v>
      </c>
      <c r="Q432" s="50">
        <v>2487.4676726249818</v>
      </c>
      <c r="R432" s="50">
        <v>52610</v>
      </c>
      <c r="S432" s="50">
        <v>-50122.532327375018</v>
      </c>
      <c r="T432" s="50">
        <v>104094044.69429985</v>
      </c>
      <c r="U432" s="50">
        <v>-4.8151200651846428E-4</v>
      </c>
      <c r="V432" s="50">
        <v>0.99</v>
      </c>
      <c r="W432" s="50">
        <v>0.98334689875074854</v>
      </c>
      <c r="X432" s="50" t="s">
        <v>7161</v>
      </c>
      <c r="Y432" s="50">
        <v>0.32</v>
      </c>
    </row>
    <row r="433" spans="2:25" x14ac:dyDescent="0.2">
      <c r="B433" s="50" t="s">
        <v>9</v>
      </c>
      <c r="C433" s="50" t="s">
        <v>425</v>
      </c>
      <c r="D433" s="50"/>
      <c r="E433" s="50"/>
      <c r="F433" s="50" t="s">
        <v>10</v>
      </c>
      <c r="G433" s="50" t="s">
        <v>1962</v>
      </c>
      <c r="H433" s="50" t="s">
        <v>15</v>
      </c>
      <c r="I433" s="50" t="s">
        <v>1120</v>
      </c>
      <c r="J433" s="50" t="s">
        <v>16</v>
      </c>
      <c r="K433" s="50" t="s">
        <v>7158</v>
      </c>
      <c r="L433" s="50">
        <v>75</v>
      </c>
      <c r="M433" s="50">
        <v>0.75</v>
      </c>
      <c r="N433" s="50">
        <v>0.86</v>
      </c>
      <c r="O433" s="50">
        <v>58765.1333390625</v>
      </c>
      <c r="P433" s="50">
        <v>56373.337499999994</v>
      </c>
      <c r="Q433" s="50">
        <v>2391.7958390625063</v>
      </c>
      <c r="R433" s="50">
        <v>52610</v>
      </c>
      <c r="S433" s="50">
        <v>-50218.204160937494</v>
      </c>
      <c r="T433" s="50">
        <v>104094044.69429985</v>
      </c>
      <c r="U433" s="50">
        <v>-4.824310968837531E-4</v>
      </c>
      <c r="V433" s="50">
        <v>0.99</v>
      </c>
      <c r="W433" s="50">
        <v>0.98286446765386482</v>
      </c>
      <c r="X433" s="50" t="s">
        <v>7160</v>
      </c>
      <c r="Y433" s="50">
        <v>0.32</v>
      </c>
    </row>
    <row r="434" spans="2:25" x14ac:dyDescent="0.2">
      <c r="B434" s="50" t="s">
        <v>9</v>
      </c>
      <c r="C434" s="50" t="s">
        <v>82</v>
      </c>
      <c r="D434" s="50"/>
      <c r="E434" s="50"/>
      <c r="F434" s="50" t="s">
        <v>10</v>
      </c>
      <c r="G434" s="50" t="s">
        <v>1962</v>
      </c>
      <c r="H434" s="50" t="s">
        <v>15</v>
      </c>
      <c r="I434" s="50" t="s">
        <v>1121</v>
      </c>
      <c r="J434" s="50" t="s">
        <v>16</v>
      </c>
      <c r="K434" s="50" t="s">
        <v>7158</v>
      </c>
      <c r="L434" s="50">
        <v>142</v>
      </c>
      <c r="M434" s="50">
        <v>1.42</v>
      </c>
      <c r="N434" s="50">
        <v>0.3</v>
      </c>
      <c r="O434" s="50">
        <v>111261.98578862498</v>
      </c>
      <c r="P434" s="50">
        <v>106733.51899999999</v>
      </c>
      <c r="Q434" s="50">
        <v>4528.4667886249954</v>
      </c>
      <c r="R434" s="50">
        <v>55378.125</v>
      </c>
      <c r="S434" s="50">
        <v>-50849.658211375005</v>
      </c>
      <c r="T434" s="50">
        <v>104094044.69429985</v>
      </c>
      <c r="U434" s="50">
        <v>-4.8849728493794917E-4</v>
      </c>
      <c r="V434" s="50">
        <v>0.9900000000000001</v>
      </c>
      <c r="W434" s="50">
        <v>0.98237597036892688</v>
      </c>
      <c r="X434" s="50" t="s">
        <v>7161</v>
      </c>
      <c r="Y434" s="50">
        <v>0.3</v>
      </c>
    </row>
    <row r="435" spans="2:25" x14ac:dyDescent="0.2">
      <c r="B435" s="50" t="s">
        <v>9</v>
      </c>
      <c r="C435" s="50" t="s">
        <v>227</v>
      </c>
      <c r="D435" s="50"/>
      <c r="E435" s="50"/>
      <c r="F435" s="50" t="s">
        <v>10</v>
      </c>
      <c r="G435" s="50" t="s">
        <v>1962</v>
      </c>
      <c r="H435" s="50" t="s">
        <v>15</v>
      </c>
      <c r="I435" s="50" t="s">
        <v>1120</v>
      </c>
      <c r="J435" s="50" t="s">
        <v>16</v>
      </c>
      <c r="K435" s="50" t="s">
        <v>7158</v>
      </c>
      <c r="L435" s="50">
        <v>13</v>
      </c>
      <c r="M435" s="50">
        <v>0.13</v>
      </c>
      <c r="N435" s="50">
        <v>0.84101382488479259</v>
      </c>
      <c r="O435" s="50">
        <v>10185.956445437499</v>
      </c>
      <c r="P435" s="50">
        <v>9771.3785000000007</v>
      </c>
      <c r="Q435" s="50">
        <v>414.57794543749878</v>
      </c>
      <c r="R435" s="50">
        <v>51448.531775801093</v>
      </c>
      <c r="S435" s="50">
        <v>-51033.953830363593</v>
      </c>
      <c r="T435" s="50">
        <v>104094044.69429985</v>
      </c>
      <c r="U435" s="50">
        <v>-4.9026775720204289E-4</v>
      </c>
      <c r="V435" s="50">
        <v>0.99</v>
      </c>
      <c r="W435" s="50">
        <v>0.98188570261172481</v>
      </c>
      <c r="X435" s="50" t="s">
        <v>7161</v>
      </c>
      <c r="Y435" s="50">
        <v>0.32</v>
      </c>
    </row>
    <row r="436" spans="2:25" x14ac:dyDescent="0.2">
      <c r="B436" s="50" t="s">
        <v>9</v>
      </c>
      <c r="C436" s="50" t="s">
        <v>400</v>
      </c>
      <c r="D436" s="50"/>
      <c r="E436" s="50"/>
      <c r="F436" s="50" t="s">
        <v>10</v>
      </c>
      <c r="G436" s="50" t="s">
        <v>1962</v>
      </c>
      <c r="H436" s="50" t="s">
        <v>15</v>
      </c>
      <c r="I436" s="50" t="s">
        <v>1121</v>
      </c>
      <c r="J436" s="50" t="s">
        <v>16</v>
      </c>
      <c r="K436" s="50" t="s">
        <v>7158</v>
      </c>
      <c r="L436" s="50">
        <v>132</v>
      </c>
      <c r="M436" s="50">
        <v>1.32</v>
      </c>
      <c r="N436" s="50">
        <v>0.3</v>
      </c>
      <c r="O436" s="50">
        <v>103426.63467675001</v>
      </c>
      <c r="P436" s="50">
        <v>99217.074000000008</v>
      </c>
      <c r="Q436" s="50">
        <v>4209.5606767499994</v>
      </c>
      <c r="R436" s="50">
        <v>55378.125</v>
      </c>
      <c r="S436" s="50">
        <v>-51168.564323250001</v>
      </c>
      <c r="T436" s="50">
        <v>104094044.69429985</v>
      </c>
      <c r="U436" s="50">
        <v>-4.9156091948891268E-4</v>
      </c>
      <c r="V436" s="50">
        <v>0.9900000000000001</v>
      </c>
      <c r="W436" s="50">
        <v>0.98139414169223593</v>
      </c>
      <c r="X436" s="50" t="s">
        <v>7160</v>
      </c>
      <c r="Y436" s="50">
        <v>0.3</v>
      </c>
    </row>
    <row r="437" spans="2:25" x14ac:dyDescent="0.2">
      <c r="B437" s="50" t="s">
        <v>9</v>
      </c>
      <c r="C437" s="50" t="s">
        <v>450</v>
      </c>
      <c r="D437" s="50"/>
      <c r="E437" s="50"/>
      <c r="F437" s="50" t="s">
        <v>10</v>
      </c>
      <c r="G437" s="50" t="s">
        <v>1962</v>
      </c>
      <c r="H437" s="50" t="s">
        <v>32</v>
      </c>
      <c r="I437" s="50" t="s">
        <v>1120</v>
      </c>
      <c r="J437" s="50" t="s">
        <v>33</v>
      </c>
      <c r="K437" s="50" t="s">
        <v>7158</v>
      </c>
      <c r="L437" s="50">
        <v>43</v>
      </c>
      <c r="M437" s="50">
        <v>0.43</v>
      </c>
      <c r="N437" s="50">
        <v>0.86</v>
      </c>
      <c r="O437" s="50">
        <v>33692.009781062494</v>
      </c>
      <c r="P437" s="50">
        <v>32320.713499999998</v>
      </c>
      <c r="Q437" s="50">
        <v>1371.2962810624958</v>
      </c>
      <c r="R437" s="50">
        <v>52610</v>
      </c>
      <c r="S437" s="50">
        <v>-51238.703718937504</v>
      </c>
      <c r="T437" s="50">
        <v>104094044.69429985</v>
      </c>
      <c r="U437" s="50">
        <v>-4.9223472744683652E-4</v>
      </c>
      <c r="V437" s="50">
        <v>0.99</v>
      </c>
      <c r="W437" s="50">
        <v>0.98090190696478907</v>
      </c>
      <c r="X437" s="50" t="s">
        <v>7161</v>
      </c>
      <c r="Y437" s="50">
        <v>0.32</v>
      </c>
    </row>
    <row r="438" spans="2:25" x14ac:dyDescent="0.2">
      <c r="B438" s="50" t="s">
        <v>9</v>
      </c>
      <c r="C438" s="50" t="s">
        <v>40</v>
      </c>
      <c r="D438" s="50"/>
      <c r="E438" s="50"/>
      <c r="F438" s="50" t="s">
        <v>10</v>
      </c>
      <c r="G438" s="51" t="s">
        <v>1962</v>
      </c>
      <c r="H438" s="50" t="s">
        <v>15</v>
      </c>
      <c r="I438" s="50" t="s">
        <v>1120</v>
      </c>
      <c r="J438" s="50" t="s">
        <v>16</v>
      </c>
      <c r="K438" s="50" t="s">
        <v>7158</v>
      </c>
      <c r="L438" s="50">
        <v>33</v>
      </c>
      <c r="M438" s="50">
        <v>0.99</v>
      </c>
      <c r="N438" s="50">
        <v>1.6836902800658979</v>
      </c>
      <c r="O438" s="50">
        <v>77569.976007562494</v>
      </c>
      <c r="P438" s="50">
        <v>26232.805499999999</v>
      </c>
      <c r="Q438" s="50">
        <v>51337.170507562492</v>
      </c>
      <c r="R438" s="50">
        <v>102998.7739933336</v>
      </c>
      <c r="S438" s="50">
        <v>-51661.603485771106</v>
      </c>
      <c r="T438" s="50">
        <v>104094044.69429985</v>
      </c>
      <c r="U438" s="50">
        <v>-4.9629739758397609E-4</v>
      </c>
      <c r="V438" s="50">
        <v>0.97</v>
      </c>
      <c r="W438" s="50">
        <v>0.98040560956720513</v>
      </c>
      <c r="X438" s="50" t="s">
        <v>7161</v>
      </c>
      <c r="Y438" s="50">
        <v>0.32</v>
      </c>
    </row>
    <row r="439" spans="2:25" x14ac:dyDescent="0.2">
      <c r="B439" s="50" t="s">
        <v>9</v>
      </c>
      <c r="C439" s="50" t="s">
        <v>239</v>
      </c>
      <c r="D439" s="50"/>
      <c r="E439" s="50"/>
      <c r="F439" s="50" t="s">
        <v>10</v>
      </c>
      <c r="G439" s="50" t="s">
        <v>1962</v>
      </c>
      <c r="H439" s="50" t="s">
        <v>15</v>
      </c>
      <c r="I439" s="50" t="s">
        <v>1121</v>
      </c>
      <c r="J439" s="50" t="s">
        <v>16</v>
      </c>
      <c r="K439" s="50" t="s">
        <v>7158</v>
      </c>
      <c r="L439" s="50">
        <v>130</v>
      </c>
      <c r="M439" s="50">
        <v>1.3</v>
      </c>
      <c r="N439" s="50">
        <v>0.30416666666666664</v>
      </c>
      <c r="O439" s="50">
        <v>101859.56445437499</v>
      </c>
      <c r="P439" s="50">
        <v>97713.785000000003</v>
      </c>
      <c r="Q439" s="50">
        <v>4145.7794543749915</v>
      </c>
      <c r="R439" s="50">
        <v>56147.265624999993</v>
      </c>
      <c r="S439" s="50">
        <v>-52001.486170625001</v>
      </c>
      <c r="T439" s="50">
        <v>104094044.69429985</v>
      </c>
      <c r="U439" s="50">
        <v>-4.9956254772635022E-4</v>
      </c>
      <c r="V439" s="50">
        <v>0.98999999999999988</v>
      </c>
      <c r="W439" s="50">
        <v>0.97990604701947881</v>
      </c>
      <c r="X439" s="50" t="s">
        <v>7159</v>
      </c>
      <c r="Y439" s="50">
        <v>0.30416666666666664</v>
      </c>
    </row>
    <row r="440" spans="2:25" x14ac:dyDescent="0.2">
      <c r="B440" s="50" t="s">
        <v>9</v>
      </c>
      <c r="C440" s="50" t="s">
        <v>105</v>
      </c>
      <c r="D440" s="50"/>
      <c r="E440" s="50"/>
      <c r="F440" s="50" t="s">
        <v>10</v>
      </c>
      <c r="G440" s="50" t="s">
        <v>1962</v>
      </c>
      <c r="H440" s="50" t="s">
        <v>15</v>
      </c>
      <c r="I440" s="50" t="s">
        <v>1121</v>
      </c>
      <c r="J440" s="50" t="s">
        <v>16</v>
      </c>
      <c r="K440" s="50" t="s">
        <v>7158</v>
      </c>
      <c r="L440" s="50">
        <v>392</v>
      </c>
      <c r="M440" s="50">
        <v>3.92</v>
      </c>
      <c r="N440" s="50">
        <v>0.35</v>
      </c>
      <c r="O440" s="50">
        <v>307145.76358549995</v>
      </c>
      <c r="P440" s="50">
        <v>294644.64399999997</v>
      </c>
      <c r="Q440" s="50">
        <v>12501.119585499982</v>
      </c>
      <c r="R440" s="50">
        <v>64607.812499999993</v>
      </c>
      <c r="S440" s="50">
        <v>-52106.69291450001</v>
      </c>
      <c r="T440" s="50">
        <v>104094044.69429985</v>
      </c>
      <c r="U440" s="50">
        <v>-5.0057323709079928E-4</v>
      </c>
      <c r="V440" s="50">
        <v>0.99</v>
      </c>
      <c r="W440" s="50">
        <v>0.97940547378238796</v>
      </c>
      <c r="X440" s="50" t="s">
        <v>7163</v>
      </c>
      <c r="Y440" s="50">
        <v>0.35</v>
      </c>
    </row>
    <row r="441" spans="2:25" x14ac:dyDescent="0.2">
      <c r="B441" s="50" t="s">
        <v>9</v>
      </c>
      <c r="C441" s="50" t="s">
        <v>411</v>
      </c>
      <c r="D441" s="50"/>
      <c r="E441" s="50"/>
      <c r="F441" s="50" t="s">
        <v>10</v>
      </c>
      <c r="G441" s="51" t="s">
        <v>1962</v>
      </c>
      <c r="H441" s="50" t="s">
        <v>32</v>
      </c>
      <c r="I441" s="50" t="s">
        <v>1120</v>
      </c>
      <c r="J441" s="50" t="s">
        <v>33</v>
      </c>
      <c r="K441" s="50" t="s">
        <v>7158</v>
      </c>
      <c r="L441" s="50">
        <v>13</v>
      </c>
      <c r="M441" s="50">
        <v>0.13</v>
      </c>
      <c r="N441" s="50">
        <v>0.86</v>
      </c>
      <c r="O441" s="50">
        <v>10185.956445437499</v>
      </c>
      <c r="P441" s="50">
        <v>9771.3785000000007</v>
      </c>
      <c r="Q441" s="50">
        <v>414.57794543749878</v>
      </c>
      <c r="R441" s="50">
        <v>52610</v>
      </c>
      <c r="S441" s="50">
        <v>-52195.422054562499</v>
      </c>
      <c r="T441" s="50">
        <v>104094044.69429985</v>
      </c>
      <c r="U441" s="50">
        <v>-5.0142563109972706E-4</v>
      </c>
      <c r="V441" s="50">
        <v>0.99</v>
      </c>
      <c r="W441" s="50">
        <v>0.97890404815128829</v>
      </c>
      <c r="X441" s="50" t="s">
        <v>7160</v>
      </c>
      <c r="Y441" s="50">
        <v>0.32</v>
      </c>
    </row>
    <row r="442" spans="2:25" x14ac:dyDescent="0.2">
      <c r="B442" s="50" t="s">
        <v>9</v>
      </c>
      <c r="C442" s="50" t="s">
        <v>284</v>
      </c>
      <c r="D442" s="50"/>
      <c r="E442" s="50"/>
      <c r="F442" s="50" t="s">
        <v>10</v>
      </c>
      <c r="G442" s="51" t="s">
        <v>1962</v>
      </c>
      <c r="H442" s="50" t="s">
        <v>19</v>
      </c>
      <c r="I442" s="50" t="s">
        <v>1121</v>
      </c>
      <c r="J442" s="50" t="s">
        <v>20</v>
      </c>
      <c r="K442" s="50" t="s">
        <v>7158</v>
      </c>
      <c r="L442" s="50">
        <v>85</v>
      </c>
      <c r="M442" s="50">
        <v>0.85</v>
      </c>
      <c r="N442" s="50">
        <v>0.3</v>
      </c>
      <c r="O442" s="50">
        <v>66600.484450937496</v>
      </c>
      <c r="P442" s="50">
        <v>63889.782500000001</v>
      </c>
      <c r="Q442" s="50">
        <v>2710.701950937495</v>
      </c>
      <c r="R442" s="50">
        <v>55378.125</v>
      </c>
      <c r="S442" s="50">
        <v>-52667.423049062505</v>
      </c>
      <c r="T442" s="50">
        <v>104094044.69429985</v>
      </c>
      <c r="U442" s="50">
        <v>-5.0596000187844126E-4</v>
      </c>
      <c r="V442" s="50">
        <v>0.9900000000000001</v>
      </c>
      <c r="W442" s="50">
        <v>0.97839808814940987</v>
      </c>
      <c r="X442" s="50" t="s">
        <v>7162</v>
      </c>
      <c r="Y442" s="50">
        <v>0.3</v>
      </c>
    </row>
    <row r="443" spans="2:25" x14ac:dyDescent="0.2">
      <c r="B443" s="50" t="s">
        <v>9</v>
      </c>
      <c r="C443" s="50" t="s">
        <v>241</v>
      </c>
      <c r="D443" s="50"/>
      <c r="E443" s="50"/>
      <c r="F443" s="50" t="s">
        <v>10</v>
      </c>
      <c r="G443" s="50" t="s">
        <v>1962</v>
      </c>
      <c r="H443" s="50" t="s">
        <v>15</v>
      </c>
      <c r="I443" s="50" t="s">
        <v>1120</v>
      </c>
      <c r="J443" s="50" t="s">
        <v>16</v>
      </c>
      <c r="K443" s="50" t="s">
        <v>7158</v>
      </c>
      <c r="L443" s="50">
        <v>75</v>
      </c>
      <c r="M443" s="50">
        <v>0.75</v>
      </c>
      <c r="N443" s="50">
        <v>0.90699325523606678</v>
      </c>
      <c r="O443" s="50">
        <v>58765.1333390625</v>
      </c>
      <c r="P443" s="50">
        <v>56373.337499999994</v>
      </c>
      <c r="Q443" s="50">
        <v>2391.7958390625063</v>
      </c>
      <c r="R443" s="50">
        <v>55484.785067406367</v>
      </c>
      <c r="S443" s="50">
        <v>-53092.98922834386</v>
      </c>
      <c r="T443" s="50">
        <v>104094044.69429985</v>
      </c>
      <c r="U443" s="50">
        <v>-5.1004828743340404E-4</v>
      </c>
      <c r="V443" s="50">
        <v>0.99</v>
      </c>
      <c r="W443" s="50">
        <v>0.97788803986197648</v>
      </c>
      <c r="X443" s="50" t="s">
        <v>7161</v>
      </c>
      <c r="Y443" s="50">
        <v>0.32</v>
      </c>
    </row>
    <row r="444" spans="2:25" x14ac:dyDescent="0.2">
      <c r="B444" s="50" t="s">
        <v>9</v>
      </c>
      <c r="C444" s="50" t="s">
        <v>207</v>
      </c>
      <c r="D444" s="50"/>
      <c r="E444" s="50"/>
      <c r="F444" s="50" t="s">
        <v>10</v>
      </c>
      <c r="G444" s="50" t="s">
        <v>1962</v>
      </c>
      <c r="H444" s="50" t="s">
        <v>15</v>
      </c>
      <c r="I444" s="50" t="s">
        <v>1121</v>
      </c>
      <c r="J444" s="50" t="s">
        <v>16</v>
      </c>
      <c r="K444" s="50" t="s">
        <v>7158</v>
      </c>
      <c r="L444" s="50">
        <v>164</v>
      </c>
      <c r="M444" s="50">
        <v>1.64</v>
      </c>
      <c r="N444" s="50">
        <v>0.32</v>
      </c>
      <c r="O444" s="50">
        <v>128499.75823474998</v>
      </c>
      <c r="P444" s="50">
        <v>123269.69799999999</v>
      </c>
      <c r="Q444" s="50">
        <v>5230.0602347499953</v>
      </c>
      <c r="R444" s="50">
        <v>59070</v>
      </c>
      <c r="S444" s="50">
        <v>-53839.939765250005</v>
      </c>
      <c r="T444" s="50">
        <v>104094044.69429985</v>
      </c>
      <c r="U444" s="50">
        <v>-5.1722401529660474E-4</v>
      </c>
      <c r="V444" s="50">
        <v>0.9900000000000001</v>
      </c>
      <c r="W444" s="50">
        <v>0.97737081584667984</v>
      </c>
      <c r="X444" s="50" t="s">
        <v>7161</v>
      </c>
      <c r="Y444" s="50">
        <v>0.32</v>
      </c>
    </row>
    <row r="445" spans="2:25" x14ac:dyDescent="0.2">
      <c r="B445" s="50" t="s">
        <v>9</v>
      </c>
      <c r="C445" s="50" t="s">
        <v>446</v>
      </c>
      <c r="D445" s="50"/>
      <c r="E445" s="50"/>
      <c r="F445" s="50" t="s">
        <v>10</v>
      </c>
      <c r="G445" s="50" t="s">
        <v>1962</v>
      </c>
      <c r="H445" s="50" t="s">
        <v>15</v>
      </c>
      <c r="I445" s="50" t="s">
        <v>1120</v>
      </c>
      <c r="J445" s="50" t="s">
        <v>16</v>
      </c>
      <c r="K445" s="50" t="s">
        <v>7158</v>
      </c>
      <c r="L445" s="50">
        <v>54</v>
      </c>
      <c r="M445" s="50">
        <v>1.08</v>
      </c>
      <c r="N445" s="50">
        <v>1.5874874539979924</v>
      </c>
      <c r="O445" s="50">
        <v>84621.792008250006</v>
      </c>
      <c r="P445" s="50">
        <v>41757.606</v>
      </c>
      <c r="Q445" s="50">
        <v>42864.186008250006</v>
      </c>
      <c r="R445" s="50">
        <v>97113.622040505099</v>
      </c>
      <c r="S445" s="50">
        <v>-54249.436032255093</v>
      </c>
      <c r="T445" s="50">
        <v>104094044.69429985</v>
      </c>
      <c r="U445" s="50">
        <v>-5.2115792206531262E-4</v>
      </c>
      <c r="V445" s="50">
        <v>0.98</v>
      </c>
      <c r="W445" s="50">
        <v>0.97684965792461453</v>
      </c>
      <c r="X445" s="50" t="s">
        <v>7161</v>
      </c>
      <c r="Y445" s="50">
        <v>0.32</v>
      </c>
    </row>
    <row r="446" spans="2:25" x14ac:dyDescent="0.2">
      <c r="B446" s="50" t="s">
        <v>9</v>
      </c>
      <c r="C446" s="50" t="s">
        <v>132</v>
      </c>
      <c r="D446" s="50"/>
      <c r="E446" s="50"/>
      <c r="F446" s="50" t="s">
        <v>10</v>
      </c>
      <c r="G446" s="50" t="s">
        <v>1962</v>
      </c>
      <c r="H446" s="50" t="s">
        <v>15</v>
      </c>
      <c r="I446" s="50" t="s">
        <v>1121</v>
      </c>
      <c r="J446" s="50" t="s">
        <v>16</v>
      </c>
      <c r="K446" s="50" t="s">
        <v>7158</v>
      </c>
      <c r="L446" s="50">
        <v>120</v>
      </c>
      <c r="M446" s="50">
        <v>1.2</v>
      </c>
      <c r="N446" s="50">
        <v>0.32</v>
      </c>
      <c r="O446" s="50">
        <v>94024.213342499992</v>
      </c>
      <c r="P446" s="50">
        <v>90197.34</v>
      </c>
      <c r="Q446" s="50">
        <v>3826.8733424999955</v>
      </c>
      <c r="R446" s="50">
        <v>59070</v>
      </c>
      <c r="S446" s="50">
        <v>-55243.126657500005</v>
      </c>
      <c r="T446" s="50">
        <v>104094044.69429985</v>
      </c>
      <c r="U446" s="50">
        <v>-5.3070400732084435E-4</v>
      </c>
      <c r="V446" s="50">
        <v>0.99</v>
      </c>
      <c r="W446" s="50">
        <v>0.97631895391729373</v>
      </c>
      <c r="X446" s="50" t="s">
        <v>7160</v>
      </c>
      <c r="Y446" s="50">
        <v>0.32</v>
      </c>
    </row>
    <row r="447" spans="2:25" x14ac:dyDescent="0.2">
      <c r="B447" s="50" t="s">
        <v>9</v>
      </c>
      <c r="C447" s="50" t="s">
        <v>324</v>
      </c>
      <c r="D447" s="50"/>
      <c r="E447" s="50"/>
      <c r="F447" s="50" t="s">
        <v>10</v>
      </c>
      <c r="G447" s="50" t="s">
        <v>1962</v>
      </c>
      <c r="H447" s="50" t="s">
        <v>19</v>
      </c>
      <c r="I447" s="50" t="s">
        <v>1121</v>
      </c>
      <c r="J447" s="50" t="s">
        <v>20</v>
      </c>
      <c r="K447" s="50" t="s">
        <v>7158</v>
      </c>
      <c r="L447" s="50">
        <v>117</v>
      </c>
      <c r="M447" s="50">
        <v>1.17</v>
      </c>
      <c r="N447" s="50">
        <v>0.32</v>
      </c>
      <c r="O447" s="50">
        <v>91673.608008937503</v>
      </c>
      <c r="P447" s="50">
        <v>87942.406499999997</v>
      </c>
      <c r="Q447" s="50">
        <v>3731.2015089375054</v>
      </c>
      <c r="R447" s="50">
        <v>59070</v>
      </c>
      <c r="S447" s="50">
        <v>-55338.798491062495</v>
      </c>
      <c r="T447" s="50">
        <v>104094044.69429985</v>
      </c>
      <c r="U447" s="50">
        <v>-5.3162309768613333E-4</v>
      </c>
      <c r="V447" s="50">
        <v>0.99</v>
      </c>
      <c r="W447" s="50">
        <v>0.97578733081960756</v>
      </c>
      <c r="X447" s="50" t="s">
        <v>7160</v>
      </c>
      <c r="Y447" s="50">
        <v>0.32</v>
      </c>
    </row>
    <row r="448" spans="2:25" x14ac:dyDescent="0.2">
      <c r="B448" s="50" t="s">
        <v>9</v>
      </c>
      <c r="C448" s="50" t="s">
        <v>94</v>
      </c>
      <c r="D448" s="50"/>
      <c r="E448" s="50"/>
      <c r="F448" s="50" t="s">
        <v>10</v>
      </c>
      <c r="G448" s="50" t="s">
        <v>1962</v>
      </c>
      <c r="H448" s="50" t="s">
        <v>15</v>
      </c>
      <c r="I448" s="50" t="s">
        <v>1121</v>
      </c>
      <c r="J448" s="50" t="s">
        <v>16</v>
      </c>
      <c r="K448" s="50" t="s">
        <v>7158</v>
      </c>
      <c r="L448" s="50">
        <v>88</v>
      </c>
      <c r="M448" s="50">
        <v>0.88</v>
      </c>
      <c r="N448" s="50">
        <v>0.32</v>
      </c>
      <c r="O448" s="50">
        <v>68951.0897845</v>
      </c>
      <c r="P448" s="50">
        <v>66144.716</v>
      </c>
      <c r="Q448" s="50">
        <v>2806.3737844999996</v>
      </c>
      <c r="R448" s="50">
        <v>59070</v>
      </c>
      <c r="S448" s="50">
        <v>-56263.6262155</v>
      </c>
      <c r="T448" s="50">
        <v>104094044.69429985</v>
      </c>
      <c r="U448" s="50">
        <v>-5.4050763788392761E-4</v>
      </c>
      <c r="V448" s="50">
        <v>0.9900000000000001</v>
      </c>
      <c r="W448" s="50">
        <v>0.97524682318172362</v>
      </c>
      <c r="X448" s="50" t="s">
        <v>7160</v>
      </c>
      <c r="Y448" s="50">
        <v>0.32</v>
      </c>
    </row>
    <row r="449" spans="2:25" x14ac:dyDescent="0.2">
      <c r="B449" s="50" t="s">
        <v>9</v>
      </c>
      <c r="C449" s="50" t="s">
        <v>91</v>
      </c>
      <c r="D449" s="50"/>
      <c r="E449" s="50"/>
      <c r="F449" s="50" t="s">
        <v>10</v>
      </c>
      <c r="G449" s="50" t="s">
        <v>1962</v>
      </c>
      <c r="H449" s="50" t="s">
        <v>15</v>
      </c>
      <c r="I449" s="50" t="s">
        <v>1121</v>
      </c>
      <c r="J449" s="50" t="s">
        <v>16</v>
      </c>
      <c r="K449" s="50" t="s">
        <v>7158</v>
      </c>
      <c r="L449" s="50">
        <v>85</v>
      </c>
      <c r="M449" s="50">
        <v>0.85</v>
      </c>
      <c r="N449" s="50">
        <v>0.32</v>
      </c>
      <c r="O449" s="50">
        <v>66600.484450937496</v>
      </c>
      <c r="P449" s="50">
        <v>63889.782500000001</v>
      </c>
      <c r="Q449" s="50">
        <v>2710.701950937495</v>
      </c>
      <c r="R449" s="50">
        <v>59070</v>
      </c>
      <c r="S449" s="50">
        <v>-56359.298049062505</v>
      </c>
      <c r="T449" s="50">
        <v>104094044.69429985</v>
      </c>
      <c r="U449" s="50">
        <v>-5.414267282492167E-4</v>
      </c>
      <c r="V449" s="50">
        <v>0.9900000000000001</v>
      </c>
      <c r="W449" s="50">
        <v>0.97470539645347443</v>
      </c>
      <c r="X449" s="50" t="s">
        <v>7161</v>
      </c>
      <c r="Y449" s="50">
        <v>0.32</v>
      </c>
    </row>
    <row r="450" spans="2:25" x14ac:dyDescent="0.2">
      <c r="B450" s="50" t="s">
        <v>9</v>
      </c>
      <c r="C450" s="50" t="s">
        <v>172</v>
      </c>
      <c r="D450" s="50"/>
      <c r="E450" s="50"/>
      <c r="F450" s="50" t="s">
        <v>10</v>
      </c>
      <c r="G450" s="50" t="s">
        <v>1962</v>
      </c>
      <c r="H450" s="50" t="s">
        <v>15</v>
      </c>
      <c r="I450" s="50" t="s">
        <v>1121</v>
      </c>
      <c r="J450" s="50" t="s">
        <v>16</v>
      </c>
      <c r="K450" s="50" t="s">
        <v>7158</v>
      </c>
      <c r="L450" s="50">
        <v>191</v>
      </c>
      <c r="M450" s="50">
        <v>1.91</v>
      </c>
      <c r="N450" s="50">
        <v>0.34</v>
      </c>
      <c r="O450" s="50">
        <v>149655.20623681246</v>
      </c>
      <c r="P450" s="50">
        <v>143564.09950000001</v>
      </c>
      <c r="Q450" s="50">
        <v>6091.1067368124495</v>
      </c>
      <c r="R450" s="50">
        <v>62761.875</v>
      </c>
      <c r="S450" s="50">
        <v>-56670.76826318755</v>
      </c>
      <c r="T450" s="50">
        <v>104094044.69429985</v>
      </c>
      <c r="U450" s="50">
        <v>-5.4441892837977905E-4</v>
      </c>
      <c r="V450" s="50">
        <v>0.99</v>
      </c>
      <c r="W450" s="50">
        <v>0.97416097752509467</v>
      </c>
      <c r="X450" s="50" t="s">
        <v>7162</v>
      </c>
      <c r="Y450" s="50">
        <v>0.34</v>
      </c>
    </row>
    <row r="451" spans="2:25" x14ac:dyDescent="0.2">
      <c r="B451" s="50" t="s">
        <v>9</v>
      </c>
      <c r="C451" s="50" t="s">
        <v>388</v>
      </c>
      <c r="D451" s="50"/>
      <c r="E451" s="50"/>
      <c r="F451" s="50" t="s">
        <v>10</v>
      </c>
      <c r="G451" s="50" t="s">
        <v>1962</v>
      </c>
      <c r="H451" s="50" t="s">
        <v>19</v>
      </c>
      <c r="I451" s="50" t="s">
        <v>1120</v>
      </c>
      <c r="J451" s="50" t="s">
        <v>20</v>
      </c>
      <c r="K451" s="50" t="s">
        <v>7158</v>
      </c>
      <c r="L451" s="50">
        <v>60</v>
      </c>
      <c r="M451" s="50">
        <v>0.6</v>
      </c>
      <c r="N451" s="50">
        <v>0.96451491128727818</v>
      </c>
      <c r="O451" s="50">
        <v>47012.106671249996</v>
      </c>
      <c r="P451" s="50">
        <v>45098.67</v>
      </c>
      <c r="Q451" s="50">
        <v>1913.4366712499977</v>
      </c>
      <c r="R451" s="50">
        <v>59003.638933515933</v>
      </c>
      <c r="S451" s="50">
        <v>-57090.202262265935</v>
      </c>
      <c r="T451" s="50">
        <v>104094044.69429985</v>
      </c>
      <c r="U451" s="50">
        <v>-5.4844830393445333E-4</v>
      </c>
      <c r="V451" s="50">
        <v>0.99</v>
      </c>
      <c r="W451" s="50">
        <v>0.97361252922116026</v>
      </c>
      <c r="X451" s="50" t="s">
        <v>7163</v>
      </c>
      <c r="Y451" s="50">
        <v>0.32</v>
      </c>
    </row>
    <row r="452" spans="2:25" x14ac:dyDescent="0.2">
      <c r="B452" s="50" t="s">
        <v>9</v>
      </c>
      <c r="C452" s="50" t="s">
        <v>384</v>
      </c>
      <c r="D452" s="50"/>
      <c r="E452" s="50"/>
      <c r="F452" s="50" t="s">
        <v>10</v>
      </c>
      <c r="G452" s="50" t="s">
        <v>1962</v>
      </c>
      <c r="H452" s="50" t="s">
        <v>15</v>
      </c>
      <c r="I452" s="50" t="s">
        <v>1120</v>
      </c>
      <c r="J452" s="50" t="s">
        <v>16</v>
      </c>
      <c r="K452" s="50" t="s">
        <v>7158</v>
      </c>
      <c r="L452" s="50">
        <v>78</v>
      </c>
      <c r="M452" s="50">
        <v>0.78</v>
      </c>
      <c r="N452" s="50">
        <v>0.9871534820824881</v>
      </c>
      <c r="O452" s="50">
        <v>61115.73867262499</v>
      </c>
      <c r="P452" s="50">
        <v>58628.271000000008</v>
      </c>
      <c r="Q452" s="50">
        <v>2487.4676726249818</v>
      </c>
      <c r="R452" s="50">
        <v>60388.540339953135</v>
      </c>
      <c r="S452" s="50">
        <v>-57901.072667328153</v>
      </c>
      <c r="T452" s="50">
        <v>104094044.69429985</v>
      </c>
      <c r="U452" s="50">
        <v>-5.5623809063592663E-4</v>
      </c>
      <c r="V452" s="50">
        <v>0.99</v>
      </c>
      <c r="W452" s="50">
        <v>0.97305629113052439</v>
      </c>
      <c r="X452" s="50" t="s">
        <v>7163</v>
      </c>
      <c r="Y452" s="50">
        <v>0.32</v>
      </c>
    </row>
    <row r="453" spans="2:25" x14ac:dyDescent="0.2">
      <c r="B453" s="50" t="s">
        <v>9</v>
      </c>
      <c r="C453" s="50" t="s">
        <v>183</v>
      </c>
      <c r="D453" s="50"/>
      <c r="E453" s="50"/>
      <c r="F453" s="50" t="s">
        <v>10</v>
      </c>
      <c r="G453" s="50" t="s">
        <v>1962</v>
      </c>
      <c r="H453" s="50" t="s">
        <v>15</v>
      </c>
      <c r="I453" s="50" t="s">
        <v>1121</v>
      </c>
      <c r="J453" s="50" t="s">
        <v>16</v>
      </c>
      <c r="K453" s="50" t="s">
        <v>7158</v>
      </c>
      <c r="L453" s="50">
        <v>170</v>
      </c>
      <c r="M453" s="50">
        <v>1.7</v>
      </c>
      <c r="N453" s="50">
        <v>0.35</v>
      </c>
      <c r="O453" s="50">
        <v>133200.96890187499</v>
      </c>
      <c r="P453" s="50">
        <v>127779.565</v>
      </c>
      <c r="Q453" s="50">
        <v>5421.40390187499</v>
      </c>
      <c r="R453" s="50">
        <v>64607.812499999993</v>
      </c>
      <c r="S453" s="50">
        <v>-59186.408598125003</v>
      </c>
      <c r="T453" s="50">
        <v>104094044.69429985</v>
      </c>
      <c r="U453" s="50">
        <v>-5.6858592412218972E-4</v>
      </c>
      <c r="V453" s="50">
        <v>0.9900000000000001</v>
      </c>
      <c r="W453" s="50">
        <v>0.97248770520640215</v>
      </c>
      <c r="X453" s="50" t="s">
        <v>7160</v>
      </c>
      <c r="Y453" s="50">
        <v>0.35</v>
      </c>
    </row>
    <row r="454" spans="2:25" x14ac:dyDescent="0.2">
      <c r="B454" s="50" t="s">
        <v>9</v>
      </c>
      <c r="C454" s="50" t="s">
        <v>139</v>
      </c>
      <c r="D454" s="50"/>
      <c r="E454" s="50"/>
      <c r="F454" s="50" t="s">
        <v>10</v>
      </c>
      <c r="G454" s="50" t="s">
        <v>1962</v>
      </c>
      <c r="H454" s="50" t="s">
        <v>15</v>
      </c>
      <c r="I454" s="50" t="s">
        <v>1121</v>
      </c>
      <c r="J454" s="50" t="s">
        <v>16</v>
      </c>
      <c r="K454" s="50" t="s">
        <v>7158</v>
      </c>
      <c r="L454" s="50">
        <v>160</v>
      </c>
      <c r="M454" s="50">
        <v>1.6</v>
      </c>
      <c r="N454" s="50">
        <v>0.35</v>
      </c>
      <c r="O454" s="50">
        <v>125365.61779</v>
      </c>
      <c r="P454" s="50">
        <v>120263.12</v>
      </c>
      <c r="Q454" s="50">
        <v>5102.4977900000085</v>
      </c>
      <c r="R454" s="50">
        <v>64607.812499999993</v>
      </c>
      <c r="S454" s="50">
        <v>-59505.314709999984</v>
      </c>
      <c r="T454" s="50">
        <v>104094044.69429985</v>
      </c>
      <c r="U454" s="50">
        <v>-5.7164955867315312E-4</v>
      </c>
      <c r="V454" s="50">
        <v>0.99</v>
      </c>
      <c r="W454" s="50">
        <v>0.97191605564772898</v>
      </c>
      <c r="X454" s="50" t="s">
        <v>7160</v>
      </c>
      <c r="Y454" s="50">
        <v>0.35</v>
      </c>
    </row>
    <row r="455" spans="2:25" x14ac:dyDescent="0.2">
      <c r="B455" s="50" t="s">
        <v>9</v>
      </c>
      <c r="C455" s="50" t="s">
        <v>233</v>
      </c>
      <c r="D455" s="50"/>
      <c r="E455" s="50"/>
      <c r="F455" s="50" t="s">
        <v>10</v>
      </c>
      <c r="G455" s="50" t="s">
        <v>1962</v>
      </c>
      <c r="H455" s="50" t="s">
        <v>15</v>
      </c>
      <c r="I455" s="50" t="s">
        <v>1120</v>
      </c>
      <c r="J455" s="50" t="s">
        <v>16</v>
      </c>
      <c r="K455" s="50" t="s">
        <v>7158</v>
      </c>
      <c r="L455" s="50">
        <v>24</v>
      </c>
      <c r="M455" s="50">
        <v>0.24</v>
      </c>
      <c r="N455" s="50">
        <v>0.98648648648648651</v>
      </c>
      <c r="O455" s="50">
        <v>18804.842668500001</v>
      </c>
      <c r="P455" s="50">
        <v>18039.468000000001</v>
      </c>
      <c r="Q455" s="50">
        <v>765.37466850000055</v>
      </c>
      <c r="R455" s="50">
        <v>60347.737272155879</v>
      </c>
      <c r="S455" s="50">
        <v>-59582.362603655878</v>
      </c>
      <c r="T455" s="50">
        <v>104094044.69429985</v>
      </c>
      <c r="U455" s="50">
        <v>-5.7238973448130973E-4</v>
      </c>
      <c r="V455" s="50">
        <v>0.9900000000000001</v>
      </c>
      <c r="W455" s="50">
        <v>0.97134366591324772</v>
      </c>
      <c r="X455" s="50" t="s">
        <v>7161</v>
      </c>
      <c r="Y455" s="50">
        <v>0.32</v>
      </c>
    </row>
    <row r="456" spans="2:25" x14ac:dyDescent="0.2">
      <c r="B456" s="50" t="s">
        <v>9</v>
      </c>
      <c r="C456" s="50" t="s">
        <v>130</v>
      </c>
      <c r="D456" s="50"/>
      <c r="E456" s="50"/>
      <c r="F456" s="50" t="s">
        <v>10</v>
      </c>
      <c r="G456" s="50" t="s">
        <v>1962</v>
      </c>
      <c r="H456" s="50" t="s">
        <v>15</v>
      </c>
      <c r="I456" s="50" t="s">
        <v>1121</v>
      </c>
      <c r="J456" s="50" t="s">
        <v>16</v>
      </c>
      <c r="K456" s="50" t="s">
        <v>7158</v>
      </c>
      <c r="L456" s="50">
        <v>146</v>
      </c>
      <c r="M456" s="50">
        <v>1.46</v>
      </c>
      <c r="N456" s="50">
        <v>0.35</v>
      </c>
      <c r="O456" s="50">
        <v>114396.12623337499</v>
      </c>
      <c r="P456" s="50">
        <v>109740.09700000001</v>
      </c>
      <c r="Q456" s="50">
        <v>4656.0292333749821</v>
      </c>
      <c r="R456" s="50">
        <v>64607.812499999993</v>
      </c>
      <c r="S456" s="50">
        <v>-59951.783266625011</v>
      </c>
      <c r="T456" s="50">
        <v>104094044.69429985</v>
      </c>
      <c r="U456" s="50">
        <v>-5.759386470445023E-4</v>
      </c>
      <c r="V456" s="50">
        <v>0.99</v>
      </c>
      <c r="W456" s="50">
        <v>0.9707677272662032</v>
      </c>
      <c r="X456" s="50" t="s">
        <v>7161</v>
      </c>
      <c r="Y456" s="50">
        <v>0.35</v>
      </c>
    </row>
    <row r="457" spans="2:25" x14ac:dyDescent="0.2">
      <c r="B457" s="50" t="s">
        <v>9</v>
      </c>
      <c r="C457" s="50" t="s">
        <v>497</v>
      </c>
      <c r="D457" s="50"/>
      <c r="E457" s="50"/>
      <c r="F457" s="50" t="s">
        <v>10</v>
      </c>
      <c r="G457" s="51" t="s">
        <v>1962</v>
      </c>
      <c r="H457" s="50" t="s">
        <v>19</v>
      </c>
      <c r="I457" s="50" t="s">
        <v>1121</v>
      </c>
      <c r="J457" s="50" t="s">
        <v>20</v>
      </c>
      <c r="K457" s="50" t="s">
        <v>7158</v>
      </c>
      <c r="L457" s="50">
        <v>116</v>
      </c>
      <c r="M457" s="50">
        <v>1.1599999999999999</v>
      </c>
      <c r="N457" s="50">
        <v>0.35</v>
      </c>
      <c r="O457" s="50">
        <v>90890.072897749982</v>
      </c>
      <c r="P457" s="50">
        <v>87190.762000000002</v>
      </c>
      <c r="Q457" s="50">
        <v>3699.3108977499796</v>
      </c>
      <c r="R457" s="50">
        <v>64607.812499999993</v>
      </c>
      <c r="S457" s="50">
        <v>-60908.501602250013</v>
      </c>
      <c r="T457" s="50">
        <v>104094044.69429985</v>
      </c>
      <c r="U457" s="50">
        <v>-5.8512955069739295E-4</v>
      </c>
      <c r="V457" s="50">
        <v>0.99</v>
      </c>
      <c r="W457" s="50">
        <v>0.97018259771550586</v>
      </c>
      <c r="X457" s="50" t="s">
        <v>7159</v>
      </c>
      <c r="Y457" s="50">
        <v>0.35</v>
      </c>
    </row>
    <row r="458" spans="2:25" x14ac:dyDescent="0.2">
      <c r="B458" s="50" t="s">
        <v>9</v>
      </c>
      <c r="C458" s="50" t="s">
        <v>387</v>
      </c>
      <c r="D458" s="50"/>
      <c r="E458" s="50"/>
      <c r="F458" s="50" t="s">
        <v>10</v>
      </c>
      <c r="G458" s="50" t="s">
        <v>1962</v>
      </c>
      <c r="H458" s="50" t="s">
        <v>15</v>
      </c>
      <c r="I458" s="50" t="s">
        <v>1120</v>
      </c>
      <c r="J458" s="50" t="s">
        <v>16</v>
      </c>
      <c r="K458" s="50" t="s">
        <v>7158</v>
      </c>
      <c r="L458" s="50">
        <v>58</v>
      </c>
      <c r="M458" s="50">
        <v>0.57999999999999996</v>
      </c>
      <c r="N458" s="50">
        <v>1.0291353383458646</v>
      </c>
      <c r="O458" s="50">
        <v>45445.036448874991</v>
      </c>
      <c r="P458" s="50">
        <v>43595.381000000001</v>
      </c>
      <c r="Q458" s="50">
        <v>1849.6554488749898</v>
      </c>
      <c r="R458" s="50">
        <v>62956.755988809229</v>
      </c>
      <c r="S458" s="50">
        <v>-61107.100539934239</v>
      </c>
      <c r="T458" s="50">
        <v>104094044.69429985</v>
      </c>
      <c r="U458" s="50">
        <v>-5.8703743061758889E-4</v>
      </c>
      <c r="V458" s="50">
        <v>0.99</v>
      </c>
      <c r="W458" s="50">
        <v>0.96959556028488825</v>
      </c>
      <c r="X458" s="50" t="s">
        <v>7163</v>
      </c>
      <c r="Y458" s="50">
        <v>0.32</v>
      </c>
    </row>
    <row r="459" spans="2:25" x14ac:dyDescent="0.2">
      <c r="B459" s="50" t="s">
        <v>9</v>
      </c>
      <c r="C459" s="50" t="s">
        <v>111</v>
      </c>
      <c r="D459" s="50"/>
      <c r="E459" s="50"/>
      <c r="F459" s="50" t="s">
        <v>10</v>
      </c>
      <c r="G459" s="50" t="s">
        <v>1962</v>
      </c>
      <c r="H459" s="50" t="s">
        <v>15</v>
      </c>
      <c r="I459" s="50" t="s">
        <v>1121</v>
      </c>
      <c r="J459" s="50" t="s">
        <v>16</v>
      </c>
      <c r="K459" s="50" t="s">
        <v>7158</v>
      </c>
      <c r="L459" s="50">
        <v>103</v>
      </c>
      <c r="M459" s="50">
        <v>1.03</v>
      </c>
      <c r="N459" s="50">
        <v>0.35</v>
      </c>
      <c r="O459" s="50">
        <v>80704.11645231249</v>
      </c>
      <c r="P459" s="50">
        <v>77419.383499999996</v>
      </c>
      <c r="Q459" s="50">
        <v>3284.7329523124936</v>
      </c>
      <c r="R459" s="50">
        <v>64607.812499999993</v>
      </c>
      <c r="S459" s="50">
        <v>-61323.079547687499</v>
      </c>
      <c r="T459" s="50">
        <v>104094044.69429985</v>
      </c>
      <c r="U459" s="50">
        <v>-5.8911227561364544E-4</v>
      </c>
      <c r="V459" s="50">
        <v>0.99</v>
      </c>
      <c r="W459" s="50">
        <v>0.9690064480092746</v>
      </c>
      <c r="X459" s="50" t="s">
        <v>7161</v>
      </c>
      <c r="Y459" s="50">
        <v>0.35</v>
      </c>
    </row>
    <row r="460" spans="2:25" x14ac:dyDescent="0.2">
      <c r="B460" s="50" t="s">
        <v>9</v>
      </c>
      <c r="C460" s="50" t="s">
        <v>31</v>
      </c>
      <c r="D460" s="50"/>
      <c r="E460" s="50"/>
      <c r="F460" s="50" t="s">
        <v>10</v>
      </c>
      <c r="G460" s="50" t="s">
        <v>1962</v>
      </c>
      <c r="H460" s="50" t="s">
        <v>32</v>
      </c>
      <c r="I460" s="50" t="s">
        <v>1120</v>
      </c>
      <c r="J460" s="50" t="s">
        <v>33</v>
      </c>
      <c r="K460" s="50" t="s">
        <v>7158</v>
      </c>
      <c r="L460" s="50">
        <v>72</v>
      </c>
      <c r="M460" s="50">
        <v>0.72</v>
      </c>
      <c r="N460" s="50">
        <v>1.0541516245487363</v>
      </c>
      <c r="O460" s="50">
        <v>56414.528005499997</v>
      </c>
      <c r="P460" s="50">
        <v>54118.404000000002</v>
      </c>
      <c r="Q460" s="50">
        <v>2296.1240054999944</v>
      </c>
      <c r="R460" s="50">
        <v>64487.112752917456</v>
      </c>
      <c r="S460" s="50">
        <v>-62190.988747417461</v>
      </c>
      <c r="T460" s="50">
        <v>104094044.69429985</v>
      </c>
      <c r="U460" s="50">
        <v>-5.974500167618428E-4</v>
      </c>
      <c r="V460" s="50">
        <v>0.99</v>
      </c>
      <c r="W460" s="50">
        <v>0.96840899799251279</v>
      </c>
      <c r="X460" s="50" t="s">
        <v>7161</v>
      </c>
      <c r="Y460" s="50">
        <v>0.32</v>
      </c>
    </row>
    <row r="461" spans="2:25" x14ac:dyDescent="0.2">
      <c r="B461" s="50" t="s">
        <v>9</v>
      </c>
      <c r="C461" s="50" t="s">
        <v>219</v>
      </c>
      <c r="D461" s="50"/>
      <c r="E461" s="50"/>
      <c r="F461" s="50" t="s">
        <v>10</v>
      </c>
      <c r="G461" s="50" t="s">
        <v>1962</v>
      </c>
      <c r="H461" s="50" t="s">
        <v>19</v>
      </c>
      <c r="I461" s="50" t="s">
        <v>1120</v>
      </c>
      <c r="J461" s="50" t="s">
        <v>20</v>
      </c>
      <c r="K461" s="50" t="s">
        <v>7158</v>
      </c>
      <c r="L461" s="50">
        <v>57</v>
      </c>
      <c r="M461" s="50">
        <v>0.56999999999999995</v>
      </c>
      <c r="N461" s="50">
        <v>1.0849256900212314</v>
      </c>
      <c r="O461" s="50">
        <v>44661.501337687492</v>
      </c>
      <c r="P461" s="50">
        <v>42843.736499999999</v>
      </c>
      <c r="Q461" s="50">
        <v>1817.7648376874931</v>
      </c>
      <c r="R461" s="50">
        <v>66369.698316298818</v>
      </c>
      <c r="S461" s="50">
        <v>-64551.933478611325</v>
      </c>
      <c r="T461" s="50">
        <v>104094044.69429985</v>
      </c>
      <c r="U461" s="50">
        <v>-6.2013089863291828E-4</v>
      </c>
      <c r="V461" s="50">
        <v>0.99</v>
      </c>
      <c r="W461" s="50">
        <v>0.9677888670938799</v>
      </c>
      <c r="X461" s="50" t="s">
        <v>7159</v>
      </c>
      <c r="Y461" s="50">
        <v>0.32</v>
      </c>
    </row>
    <row r="462" spans="2:25" x14ac:dyDescent="0.2">
      <c r="B462" s="50" t="s">
        <v>9</v>
      </c>
      <c r="C462" s="50" t="s">
        <v>181</v>
      </c>
      <c r="D462" s="50"/>
      <c r="E462" s="50"/>
      <c r="F462" s="50" t="s">
        <v>10</v>
      </c>
      <c r="G462" s="50" t="s">
        <v>1962</v>
      </c>
      <c r="H462" s="50" t="s">
        <v>32</v>
      </c>
      <c r="I462" s="50" t="s">
        <v>1120</v>
      </c>
      <c r="J462" s="50" t="s">
        <v>33</v>
      </c>
      <c r="K462" s="50" t="s">
        <v>7158</v>
      </c>
      <c r="L462" s="50">
        <v>5</v>
      </c>
      <c r="M462" s="50">
        <v>0.05</v>
      </c>
      <c r="N462" s="50">
        <v>1.0766961651917404</v>
      </c>
      <c r="O462" s="50">
        <v>3917.6755559375001</v>
      </c>
      <c r="P462" s="50">
        <v>3758.2224999999999</v>
      </c>
      <c r="Q462" s="50">
        <v>159.45305593750027</v>
      </c>
      <c r="R462" s="50">
        <v>65866.261919462166</v>
      </c>
      <c r="S462" s="50">
        <v>-65706.808863524668</v>
      </c>
      <c r="T462" s="50">
        <v>104094044.69429985</v>
      </c>
      <c r="U462" s="50">
        <v>-6.3122543711785224E-4</v>
      </c>
      <c r="V462" s="50">
        <v>0.99</v>
      </c>
      <c r="W462" s="50">
        <v>0.9671576416567621</v>
      </c>
      <c r="X462" s="50" t="s">
        <v>7160</v>
      </c>
      <c r="Y462" s="50">
        <v>0.32</v>
      </c>
    </row>
    <row r="463" spans="2:25" x14ac:dyDescent="0.2">
      <c r="B463" s="50" t="s">
        <v>9</v>
      </c>
      <c r="C463" s="50" t="s">
        <v>311</v>
      </c>
      <c r="D463" s="50"/>
      <c r="E463" s="50"/>
      <c r="F463" s="50" t="s">
        <v>10</v>
      </c>
      <c r="G463" s="51" t="s">
        <v>1962</v>
      </c>
      <c r="H463" s="50" t="s">
        <v>15</v>
      </c>
      <c r="I463" s="50" t="s">
        <v>1120</v>
      </c>
      <c r="J463" s="50" t="s">
        <v>16</v>
      </c>
      <c r="K463" s="50" t="s">
        <v>7158</v>
      </c>
      <c r="L463" s="50">
        <v>77</v>
      </c>
      <c r="M463" s="50">
        <v>1.54</v>
      </c>
      <c r="N463" s="50">
        <v>2.0789259560618389</v>
      </c>
      <c r="O463" s="50">
        <v>120664.407122875</v>
      </c>
      <c r="P463" s="50">
        <v>59543.253000000004</v>
      </c>
      <c r="Q463" s="50">
        <v>61121.154122874992</v>
      </c>
      <c r="R463" s="50">
        <v>127177.08668420157</v>
      </c>
      <c r="S463" s="50">
        <v>-66055.932561326568</v>
      </c>
      <c r="T463" s="50">
        <v>104094044.69429985</v>
      </c>
      <c r="U463" s="50">
        <v>-6.345793628763065E-4</v>
      </c>
      <c r="V463" s="50">
        <v>0.97999999999999987</v>
      </c>
      <c r="W463" s="50">
        <v>0.96652306229388585</v>
      </c>
      <c r="X463" s="50" t="s">
        <v>7161</v>
      </c>
      <c r="Y463" s="50">
        <v>0.32</v>
      </c>
    </row>
    <row r="464" spans="2:25" x14ac:dyDescent="0.2">
      <c r="B464" s="50" t="s">
        <v>9</v>
      </c>
      <c r="C464" s="50" t="s">
        <v>103</v>
      </c>
      <c r="D464" s="50"/>
      <c r="E464" s="50"/>
      <c r="F464" s="50" t="s">
        <v>10</v>
      </c>
      <c r="G464" s="50" t="s">
        <v>1962</v>
      </c>
      <c r="H464" s="50" t="s">
        <v>15</v>
      </c>
      <c r="I464" s="50" t="s">
        <v>1121</v>
      </c>
      <c r="J464" s="50" t="s">
        <v>16</v>
      </c>
      <c r="K464" s="50" t="s">
        <v>7158</v>
      </c>
      <c r="L464" s="50">
        <v>165</v>
      </c>
      <c r="M464" s="50">
        <v>1.65</v>
      </c>
      <c r="N464" s="50">
        <v>0.39</v>
      </c>
      <c r="O464" s="50">
        <v>129283.29334593749</v>
      </c>
      <c r="P464" s="50">
        <v>124021.3425</v>
      </c>
      <c r="Q464" s="50">
        <v>5261.950845937492</v>
      </c>
      <c r="R464" s="50">
        <v>71991.5625</v>
      </c>
      <c r="S464" s="50">
        <v>-66729.611654062508</v>
      </c>
      <c r="T464" s="50">
        <v>104094044.69429985</v>
      </c>
      <c r="U464" s="50">
        <v>-6.410511941392224E-4</v>
      </c>
      <c r="V464" s="50">
        <v>0.99</v>
      </c>
      <c r="W464" s="50">
        <v>0.96588201109974658</v>
      </c>
      <c r="X464" s="50" t="s">
        <v>7163</v>
      </c>
      <c r="Y464" s="50">
        <v>0.39</v>
      </c>
    </row>
    <row r="465" spans="2:25" x14ac:dyDescent="0.2">
      <c r="B465" s="50" t="s">
        <v>9</v>
      </c>
      <c r="C465" s="50" t="s">
        <v>440</v>
      </c>
      <c r="D465" s="50"/>
      <c r="E465" s="50"/>
      <c r="F465" s="50" t="s">
        <v>10</v>
      </c>
      <c r="G465" s="50" t="s">
        <v>1962</v>
      </c>
      <c r="H465" s="50" t="s">
        <v>15</v>
      </c>
      <c r="I465" s="50" t="s">
        <v>1120</v>
      </c>
      <c r="J465" s="50" t="s">
        <v>16</v>
      </c>
      <c r="K465" s="50" t="s">
        <v>7158</v>
      </c>
      <c r="L465" s="50">
        <v>70</v>
      </c>
      <c r="M465" s="50">
        <v>0.7</v>
      </c>
      <c r="N465" s="50">
        <v>1.1593435680254103</v>
      </c>
      <c r="O465" s="50">
        <v>54847.457783124992</v>
      </c>
      <c r="P465" s="50">
        <v>52615.115000000005</v>
      </c>
      <c r="Q465" s="50">
        <v>2232.3427831249865</v>
      </c>
      <c r="R465" s="50">
        <v>70922.168736996333</v>
      </c>
      <c r="S465" s="50">
        <v>-68689.825953871346</v>
      </c>
      <c r="T465" s="50">
        <v>104094044.69429985</v>
      </c>
      <c r="U465" s="50">
        <v>-6.5988237997281676E-4</v>
      </c>
      <c r="V465" s="50">
        <v>0.99</v>
      </c>
      <c r="W465" s="50">
        <v>0.96522212871977375</v>
      </c>
      <c r="X465" s="50" t="s">
        <v>7161</v>
      </c>
      <c r="Y465" s="50">
        <v>0.32</v>
      </c>
    </row>
    <row r="466" spans="2:25" x14ac:dyDescent="0.2">
      <c r="B466" s="50" t="s">
        <v>9</v>
      </c>
      <c r="C466" s="50" t="s">
        <v>271</v>
      </c>
      <c r="D466" s="50"/>
      <c r="E466" s="50"/>
      <c r="F466" s="50" t="s">
        <v>10</v>
      </c>
      <c r="G466" s="50" t="s">
        <v>1962</v>
      </c>
      <c r="H466" s="50" t="s">
        <v>15</v>
      </c>
      <c r="I466" s="50" t="s">
        <v>1121</v>
      </c>
      <c r="J466" s="50" t="s">
        <v>16</v>
      </c>
      <c r="K466" s="50" t="s">
        <v>7158</v>
      </c>
      <c r="L466" s="50">
        <v>65</v>
      </c>
      <c r="M466" s="50">
        <v>1.3</v>
      </c>
      <c r="N466" s="50">
        <v>0.6517857142857143</v>
      </c>
      <c r="O466" s="50">
        <v>101859.56445437499</v>
      </c>
      <c r="P466" s="50">
        <v>50263.785000000003</v>
      </c>
      <c r="Q466" s="50">
        <v>51595.779454374991</v>
      </c>
      <c r="R466" s="50">
        <v>120315.56919642857</v>
      </c>
      <c r="S466" s="50">
        <v>-68719.789742053574</v>
      </c>
      <c r="T466" s="50">
        <v>104094044.69429985</v>
      </c>
      <c r="U466" s="50">
        <v>-6.601702330221456E-4</v>
      </c>
      <c r="V466" s="50">
        <v>0.98000000000000009</v>
      </c>
      <c r="W466" s="50">
        <v>0.96456195848675164</v>
      </c>
      <c r="X466" s="50" t="s">
        <v>7162</v>
      </c>
      <c r="Y466" s="50">
        <v>0.6517857142857143</v>
      </c>
    </row>
    <row r="467" spans="2:25" x14ac:dyDescent="0.2">
      <c r="B467" s="50" t="s">
        <v>9</v>
      </c>
      <c r="C467" s="50" t="s">
        <v>462</v>
      </c>
      <c r="D467" s="50"/>
      <c r="E467" s="50"/>
      <c r="F467" s="50" t="s">
        <v>10</v>
      </c>
      <c r="G467" s="50" t="s">
        <v>1962</v>
      </c>
      <c r="H467" s="50" t="s">
        <v>19</v>
      </c>
      <c r="I467" s="50" t="s">
        <v>1120</v>
      </c>
      <c r="J467" s="50" t="s">
        <v>20</v>
      </c>
      <c r="K467" s="50" t="s">
        <v>7158</v>
      </c>
      <c r="L467" s="50">
        <v>31</v>
      </c>
      <c r="M467" s="50">
        <v>0.31</v>
      </c>
      <c r="N467" s="50">
        <v>1.1842105263157894</v>
      </c>
      <c r="O467" s="50">
        <v>24289.588446812497</v>
      </c>
      <c r="P467" s="50">
        <v>23300.979499999998</v>
      </c>
      <c r="Q467" s="50">
        <v>988.6089468124992</v>
      </c>
      <c r="R467" s="50">
        <v>72443.390452876367</v>
      </c>
      <c r="S467" s="50">
        <v>-71454.781506063868</v>
      </c>
      <c r="T467" s="50">
        <v>104094044.69429985</v>
      </c>
      <c r="U467" s="50">
        <v>-6.8644447159210741E-4</v>
      </c>
      <c r="V467" s="50">
        <v>0.99</v>
      </c>
      <c r="W467" s="50">
        <v>0.96387551401515947</v>
      </c>
      <c r="X467" s="50" t="s">
        <v>7160</v>
      </c>
      <c r="Y467" s="50">
        <v>0.32</v>
      </c>
    </row>
    <row r="468" spans="2:25" x14ac:dyDescent="0.2">
      <c r="B468" s="50" t="s">
        <v>9</v>
      </c>
      <c r="C468" s="50" t="s">
        <v>458</v>
      </c>
      <c r="D468" s="50"/>
      <c r="E468" s="50"/>
      <c r="F468" s="50" t="s">
        <v>10</v>
      </c>
      <c r="G468" s="50" t="s">
        <v>1962</v>
      </c>
      <c r="H468" s="50" t="s">
        <v>15</v>
      </c>
      <c r="I468" s="50" t="s">
        <v>1121</v>
      </c>
      <c r="J468" s="50" t="s">
        <v>16</v>
      </c>
      <c r="K468" s="50" t="s">
        <v>7158</v>
      </c>
      <c r="L468" s="50">
        <v>73</v>
      </c>
      <c r="M468" s="50">
        <v>0.73</v>
      </c>
      <c r="N468" s="50">
        <v>0.4</v>
      </c>
      <c r="O468" s="50">
        <v>57198.063116687495</v>
      </c>
      <c r="P468" s="50">
        <v>54870.048500000004</v>
      </c>
      <c r="Q468" s="50">
        <v>2328.0146166874911</v>
      </c>
      <c r="R468" s="50">
        <v>73837.5</v>
      </c>
      <c r="S468" s="50">
        <v>-71509.485383312509</v>
      </c>
      <c r="T468" s="50">
        <v>104094044.69429985</v>
      </c>
      <c r="U468" s="50">
        <v>-6.8696999519347478E-4</v>
      </c>
      <c r="V468" s="50">
        <v>0.99</v>
      </c>
      <c r="W468" s="50">
        <v>0.96318854401996601</v>
      </c>
      <c r="X468" s="50" t="s">
        <v>7160</v>
      </c>
      <c r="Y468" s="50">
        <v>0.4</v>
      </c>
    </row>
    <row r="469" spans="2:25" x14ac:dyDescent="0.2">
      <c r="B469" s="50" t="s">
        <v>9</v>
      </c>
      <c r="C469" s="50" t="s">
        <v>406</v>
      </c>
      <c r="D469" s="50"/>
      <c r="E469" s="50"/>
      <c r="F469" s="50" t="s">
        <v>10</v>
      </c>
      <c r="G469" s="50" t="s">
        <v>1962</v>
      </c>
      <c r="H469" s="50" t="s">
        <v>15</v>
      </c>
      <c r="I469" s="50" t="s">
        <v>1121</v>
      </c>
      <c r="J469" s="50" t="s">
        <v>16</v>
      </c>
      <c r="K469" s="50" t="s">
        <v>7158</v>
      </c>
      <c r="L469" s="50">
        <v>174</v>
      </c>
      <c r="M469" s="50">
        <v>1.74</v>
      </c>
      <c r="N469" s="50">
        <v>0.44</v>
      </c>
      <c r="O469" s="50">
        <v>136335.10934662499</v>
      </c>
      <c r="P469" s="50">
        <v>130786.143</v>
      </c>
      <c r="Q469" s="50">
        <v>5548.9663466249913</v>
      </c>
      <c r="R469" s="50">
        <v>81221.25</v>
      </c>
      <c r="S469" s="50">
        <v>-75672.283653375009</v>
      </c>
      <c r="T469" s="50">
        <v>104094044.69429985</v>
      </c>
      <c r="U469" s="50">
        <v>-7.2696073897029383E-4</v>
      </c>
      <c r="V469" s="50">
        <v>0.99</v>
      </c>
      <c r="W469" s="50">
        <v>0.96246158328099574</v>
      </c>
      <c r="X469" s="50" t="s">
        <v>7161</v>
      </c>
      <c r="Y469" s="50">
        <v>0.44</v>
      </c>
    </row>
    <row r="470" spans="2:25" x14ac:dyDescent="0.2">
      <c r="B470" s="50" t="s">
        <v>9</v>
      </c>
      <c r="C470" s="50" t="s">
        <v>208</v>
      </c>
      <c r="D470" s="50"/>
      <c r="E470" s="50"/>
      <c r="F470" s="50" t="s">
        <v>10</v>
      </c>
      <c r="G470" s="50" t="s">
        <v>1962</v>
      </c>
      <c r="H470" s="50" t="s">
        <v>15</v>
      </c>
      <c r="I470" s="50" t="s">
        <v>1121</v>
      </c>
      <c r="J470" s="50" t="s">
        <v>16</v>
      </c>
      <c r="K470" s="50" t="s">
        <v>7158</v>
      </c>
      <c r="L470" s="50">
        <v>80</v>
      </c>
      <c r="M470" s="50">
        <v>0.8</v>
      </c>
      <c r="N470" s="50">
        <v>0.43</v>
      </c>
      <c r="O470" s="50">
        <v>62682.808895000002</v>
      </c>
      <c r="P470" s="50">
        <v>60131.56</v>
      </c>
      <c r="Q470" s="50">
        <v>2551.2488950000043</v>
      </c>
      <c r="R470" s="50">
        <v>79375.3125</v>
      </c>
      <c r="S470" s="50">
        <v>-76824.063605000003</v>
      </c>
      <c r="T470" s="50">
        <v>104094044.69429985</v>
      </c>
      <c r="U470" s="50">
        <v>-7.3802554056396328E-4</v>
      </c>
      <c r="V470" s="50">
        <v>0.99</v>
      </c>
      <c r="W470" s="50">
        <v>0.96172355774043172</v>
      </c>
      <c r="X470" s="50" t="s">
        <v>7162</v>
      </c>
      <c r="Y470" s="50">
        <v>0.43</v>
      </c>
    </row>
    <row r="471" spans="2:25" x14ac:dyDescent="0.2">
      <c r="B471" s="50" t="s">
        <v>9</v>
      </c>
      <c r="C471" s="50" t="s">
        <v>193</v>
      </c>
      <c r="D471" s="50"/>
      <c r="E471" s="50"/>
      <c r="F471" s="50" t="s">
        <v>10</v>
      </c>
      <c r="G471" s="50" t="s">
        <v>1962</v>
      </c>
      <c r="H471" s="50" t="s">
        <v>15</v>
      </c>
      <c r="I471" s="50" t="s">
        <v>1120</v>
      </c>
      <c r="J471" s="50" t="s">
        <v>16</v>
      </c>
      <c r="K471" s="50" t="s">
        <v>7158</v>
      </c>
      <c r="L471" s="50">
        <v>65</v>
      </c>
      <c r="M471" s="50">
        <v>0.65</v>
      </c>
      <c r="N471" s="50">
        <v>1.2993948024207904</v>
      </c>
      <c r="O471" s="50">
        <v>50929.782227187497</v>
      </c>
      <c r="P471" s="50">
        <v>48856.892500000002</v>
      </c>
      <c r="Q471" s="50">
        <v>2072.8897271874957</v>
      </c>
      <c r="R471" s="50">
        <v>79489.721575997421</v>
      </c>
      <c r="S471" s="50">
        <v>-77416.831848809932</v>
      </c>
      <c r="T471" s="50">
        <v>104094044.69429985</v>
      </c>
      <c r="U471" s="50">
        <v>-7.4372008577594691E-4</v>
      </c>
      <c r="V471" s="50">
        <v>0.98999999999999988</v>
      </c>
      <c r="W471" s="50">
        <v>0.96097983765465578</v>
      </c>
      <c r="X471" s="50" t="s">
        <v>7163</v>
      </c>
      <c r="Y471" s="50">
        <v>0.32</v>
      </c>
    </row>
    <row r="472" spans="2:25" x14ac:dyDescent="0.2">
      <c r="B472" s="50" t="s">
        <v>9</v>
      </c>
      <c r="C472" s="50" t="s">
        <v>282</v>
      </c>
      <c r="D472" s="50"/>
      <c r="E472" s="50"/>
      <c r="F472" s="50" t="s">
        <v>10</v>
      </c>
      <c r="G472" s="50" t="s">
        <v>1962</v>
      </c>
      <c r="H472" s="50" t="s">
        <v>15</v>
      </c>
      <c r="I472" s="50" t="s">
        <v>1121</v>
      </c>
      <c r="J472" s="50" t="s">
        <v>16</v>
      </c>
      <c r="K472" s="50" t="s">
        <v>7158</v>
      </c>
      <c r="L472" s="50">
        <v>135</v>
      </c>
      <c r="M472" s="50">
        <v>2.7</v>
      </c>
      <c r="N472" s="50">
        <v>1</v>
      </c>
      <c r="O472" s="50">
        <v>211554.48002062499</v>
      </c>
      <c r="P472" s="50">
        <v>104394.01500000001</v>
      </c>
      <c r="Q472" s="50">
        <v>107160.46502062498</v>
      </c>
      <c r="R472" s="50">
        <v>184593.75</v>
      </c>
      <c r="S472" s="50">
        <v>-77433.284979375021</v>
      </c>
      <c r="T472" s="50">
        <v>104094044.69429985</v>
      </c>
      <c r="U472" s="50">
        <v>-7.4387814602438292E-4</v>
      </c>
      <c r="V472" s="50">
        <v>0.98000000000000009</v>
      </c>
      <c r="W472" s="50">
        <v>0.96023595950863139</v>
      </c>
      <c r="X472" s="50" t="s">
        <v>7161</v>
      </c>
      <c r="Y472" s="50">
        <v>1</v>
      </c>
    </row>
    <row r="473" spans="2:25" x14ac:dyDescent="0.2">
      <c r="B473" s="50" t="s">
        <v>9</v>
      </c>
      <c r="C473" s="50" t="s">
        <v>100</v>
      </c>
      <c r="D473" s="50"/>
      <c r="E473" s="50"/>
      <c r="F473" s="50" t="s">
        <v>10</v>
      </c>
      <c r="G473" s="50" t="s">
        <v>1962</v>
      </c>
      <c r="H473" s="50" t="s">
        <v>15</v>
      </c>
      <c r="I473" s="50" t="s">
        <v>1121</v>
      </c>
      <c r="J473" s="50" t="s">
        <v>16</v>
      </c>
      <c r="K473" s="50" t="s">
        <v>7158</v>
      </c>
      <c r="L473" s="50">
        <v>74</v>
      </c>
      <c r="M473" s="50">
        <v>0.74</v>
      </c>
      <c r="N473" s="50">
        <v>0.44</v>
      </c>
      <c r="O473" s="50">
        <v>57981.598227874994</v>
      </c>
      <c r="P473" s="50">
        <v>55621.693000000007</v>
      </c>
      <c r="Q473" s="50">
        <v>2359.9052278749878</v>
      </c>
      <c r="R473" s="50">
        <v>81221.25</v>
      </c>
      <c r="S473" s="50">
        <v>-78861.344772125012</v>
      </c>
      <c r="T473" s="50">
        <v>104094044.69429985</v>
      </c>
      <c r="U473" s="50">
        <v>-7.5759708447992928E-4</v>
      </c>
      <c r="V473" s="50">
        <v>0.9900000000000001</v>
      </c>
      <c r="W473" s="50">
        <v>0.95947836242415141</v>
      </c>
      <c r="X473" s="50" t="s">
        <v>7162</v>
      </c>
      <c r="Y473" s="50">
        <v>0.44</v>
      </c>
    </row>
    <row r="474" spans="2:25" x14ac:dyDescent="0.2">
      <c r="B474" s="50" t="s">
        <v>9</v>
      </c>
      <c r="C474" s="50" t="s">
        <v>142</v>
      </c>
      <c r="D474" s="50"/>
      <c r="E474" s="50"/>
      <c r="F474" s="50" t="s">
        <v>10</v>
      </c>
      <c r="G474" s="50" t="s">
        <v>1962</v>
      </c>
      <c r="H474" s="50" t="s">
        <v>15</v>
      </c>
      <c r="I474" s="50" t="s">
        <v>1121</v>
      </c>
      <c r="J474" s="50" t="s">
        <v>16</v>
      </c>
      <c r="K474" s="50" t="s">
        <v>7158</v>
      </c>
      <c r="L474" s="50">
        <v>175</v>
      </c>
      <c r="M474" s="50">
        <v>1.75</v>
      </c>
      <c r="N474" s="50">
        <v>0.51</v>
      </c>
      <c r="O474" s="50">
        <v>137118.64445781248</v>
      </c>
      <c r="P474" s="50">
        <v>131537.78750000001</v>
      </c>
      <c r="Q474" s="50">
        <v>5580.8569578124734</v>
      </c>
      <c r="R474" s="50">
        <v>94142.8125</v>
      </c>
      <c r="S474" s="50">
        <v>-88561.955542187527</v>
      </c>
      <c r="T474" s="50">
        <v>104094044.69429985</v>
      </c>
      <c r="U474" s="50">
        <v>-8.5078791781291159E-4</v>
      </c>
      <c r="V474" s="50">
        <v>0.99</v>
      </c>
      <c r="W474" s="50">
        <v>0.95862757450633851</v>
      </c>
      <c r="X474" s="50" t="s">
        <v>7161</v>
      </c>
      <c r="Y474" s="50">
        <v>0.51</v>
      </c>
    </row>
    <row r="475" spans="2:25" x14ac:dyDescent="0.2">
      <c r="B475" s="50" t="s">
        <v>9</v>
      </c>
      <c r="C475" s="50" t="s">
        <v>127</v>
      </c>
      <c r="D475" s="50"/>
      <c r="E475" s="50"/>
      <c r="F475" s="50" t="s">
        <v>10</v>
      </c>
      <c r="G475" s="50" t="s">
        <v>1962</v>
      </c>
      <c r="H475" s="50" t="s">
        <v>15</v>
      </c>
      <c r="I475" s="50" t="s">
        <v>1121</v>
      </c>
      <c r="J475" s="50" t="s">
        <v>16</v>
      </c>
      <c r="K475" s="50" t="s">
        <v>7158</v>
      </c>
      <c r="L475" s="50">
        <v>78</v>
      </c>
      <c r="M475" s="50">
        <v>0.78</v>
      </c>
      <c r="N475" s="50">
        <v>0.5</v>
      </c>
      <c r="O475" s="50">
        <v>61115.73867262499</v>
      </c>
      <c r="P475" s="50">
        <v>58628.271000000008</v>
      </c>
      <c r="Q475" s="50">
        <v>2487.4676726249818</v>
      </c>
      <c r="R475" s="50">
        <v>92296.875</v>
      </c>
      <c r="S475" s="50">
        <v>-89809.407327375025</v>
      </c>
      <c r="T475" s="50">
        <v>104094044.69429985</v>
      </c>
      <c r="U475" s="50">
        <v>-8.6277180977187024E-4</v>
      </c>
      <c r="V475" s="50">
        <v>0.99</v>
      </c>
      <c r="W475" s="50">
        <v>0.95776480269656661</v>
      </c>
      <c r="X475" s="50" t="s">
        <v>7161</v>
      </c>
      <c r="Y475" s="50">
        <v>0.5</v>
      </c>
    </row>
    <row r="476" spans="2:25" x14ac:dyDescent="0.2">
      <c r="B476" s="50" t="s">
        <v>9</v>
      </c>
      <c r="C476" s="50" t="s">
        <v>321</v>
      </c>
      <c r="D476" s="50"/>
      <c r="E476" s="50"/>
      <c r="F476" s="50" t="s">
        <v>10</v>
      </c>
      <c r="G476" s="50" t="s">
        <v>1962</v>
      </c>
      <c r="H476" s="50" t="s">
        <v>15</v>
      </c>
      <c r="I476" s="50" t="s">
        <v>1121</v>
      </c>
      <c r="J476" s="50" t="s">
        <v>16</v>
      </c>
      <c r="K476" s="50" t="s">
        <v>7158</v>
      </c>
      <c r="L476" s="50">
        <v>77</v>
      </c>
      <c r="M476" s="50">
        <v>0.77</v>
      </c>
      <c r="N476" s="50">
        <v>0.5</v>
      </c>
      <c r="O476" s="50">
        <v>60332.203561437498</v>
      </c>
      <c r="P476" s="50">
        <v>57876.626499999998</v>
      </c>
      <c r="Q476" s="50">
        <v>2455.5770614374997</v>
      </c>
      <c r="R476" s="50">
        <v>92296.875</v>
      </c>
      <c r="S476" s="50">
        <v>-89841.297938562493</v>
      </c>
      <c r="T476" s="50">
        <v>104094044.69429985</v>
      </c>
      <c r="U476" s="50">
        <v>-8.6307817322696628E-4</v>
      </c>
      <c r="V476" s="50">
        <v>0.9900000000000001</v>
      </c>
      <c r="W476" s="50">
        <v>0.95690172452333966</v>
      </c>
      <c r="X476" s="50" t="s">
        <v>7160</v>
      </c>
      <c r="Y476" s="50">
        <v>0.5</v>
      </c>
    </row>
    <row r="477" spans="2:25" x14ac:dyDescent="0.2">
      <c r="B477" s="50" t="s">
        <v>9</v>
      </c>
      <c r="C477" s="50" t="s">
        <v>128</v>
      </c>
      <c r="D477" s="50"/>
      <c r="E477" s="50"/>
      <c r="F477" s="50" t="s">
        <v>10</v>
      </c>
      <c r="G477" s="50" t="s">
        <v>1962</v>
      </c>
      <c r="H477" s="50" t="s">
        <v>15</v>
      </c>
      <c r="I477" s="50" t="s">
        <v>1120</v>
      </c>
      <c r="J477" s="50" t="s">
        <v>16</v>
      </c>
      <c r="K477" s="50" t="s">
        <v>7158</v>
      </c>
      <c r="L477" s="50">
        <v>82</v>
      </c>
      <c r="M477" s="50">
        <v>0.82</v>
      </c>
      <c r="N477" s="50">
        <v>1.5660066006600659</v>
      </c>
      <c r="O477" s="50">
        <v>64249.879117374992</v>
      </c>
      <c r="P477" s="50">
        <v>61634.848999999995</v>
      </c>
      <c r="Q477" s="50">
        <v>2615.0301173749976</v>
      </c>
      <c r="R477" s="50">
        <v>95799.543326425657</v>
      </c>
      <c r="S477" s="50">
        <v>-93184.513209050667</v>
      </c>
      <c r="T477" s="50">
        <v>104094044.69429985</v>
      </c>
      <c r="U477" s="50">
        <v>-8.951954310423046E-4</v>
      </c>
      <c r="V477" s="50">
        <v>0.9900000000000001</v>
      </c>
      <c r="W477" s="50">
        <v>0.95600652909229733</v>
      </c>
      <c r="X477" s="50" t="s">
        <v>7161</v>
      </c>
      <c r="Y477" s="50">
        <v>0.32</v>
      </c>
    </row>
    <row r="478" spans="2:25" x14ac:dyDescent="0.2">
      <c r="B478" s="50" t="s">
        <v>9</v>
      </c>
      <c r="C478" s="50" t="s">
        <v>140</v>
      </c>
      <c r="D478" s="50"/>
      <c r="E478" s="50"/>
      <c r="F478" s="50" t="s">
        <v>10</v>
      </c>
      <c r="G478" s="51" t="s">
        <v>1962</v>
      </c>
      <c r="H478" s="50" t="s">
        <v>15</v>
      </c>
      <c r="I478" s="50" t="s">
        <v>1121</v>
      </c>
      <c r="J478" s="50" t="s">
        <v>16</v>
      </c>
      <c r="K478" s="50" t="s">
        <v>7158</v>
      </c>
      <c r="L478" s="50">
        <v>312</v>
      </c>
      <c r="M478" s="50">
        <v>3.12</v>
      </c>
      <c r="N478" s="50">
        <v>0.56000000000000005</v>
      </c>
      <c r="O478" s="50">
        <v>244462.95469049996</v>
      </c>
      <c r="P478" s="50">
        <v>234513.08400000003</v>
      </c>
      <c r="Q478" s="50">
        <v>9949.8706904999272</v>
      </c>
      <c r="R478" s="50">
        <v>103372.50000000001</v>
      </c>
      <c r="S478" s="50">
        <v>-93422.629309500087</v>
      </c>
      <c r="T478" s="50">
        <v>104094044.69429985</v>
      </c>
      <c r="U478" s="50">
        <v>-8.974829403916503E-4</v>
      </c>
      <c r="V478" s="50">
        <v>0.99</v>
      </c>
      <c r="W478" s="50">
        <v>0.95510904615190573</v>
      </c>
      <c r="X478" s="50" t="s">
        <v>7162</v>
      </c>
      <c r="Y478" s="50">
        <v>0.56000000000000005</v>
      </c>
    </row>
    <row r="479" spans="2:25" x14ac:dyDescent="0.2">
      <c r="B479" s="50" t="s">
        <v>9</v>
      </c>
      <c r="C479" s="50" t="s">
        <v>64</v>
      </c>
      <c r="D479" s="50"/>
      <c r="E479" s="50"/>
      <c r="F479" s="50" t="s">
        <v>10</v>
      </c>
      <c r="G479" s="50" t="s">
        <v>1962</v>
      </c>
      <c r="H479" s="50" t="s">
        <v>15</v>
      </c>
      <c r="I479" s="50" t="s">
        <v>1120</v>
      </c>
      <c r="J479" s="50" t="s">
        <v>16</v>
      </c>
      <c r="K479" s="50" t="s">
        <v>7158</v>
      </c>
      <c r="L479" s="50">
        <v>54</v>
      </c>
      <c r="M479" s="50">
        <v>0.54</v>
      </c>
      <c r="N479" s="50">
        <v>1.6097023153252481</v>
      </c>
      <c r="O479" s="50">
        <v>42310.896004125003</v>
      </c>
      <c r="P479" s="50">
        <v>40588.803</v>
      </c>
      <c r="Q479" s="50">
        <v>1722.0930041250031</v>
      </c>
      <c r="R479" s="50">
        <v>98472.603266582912</v>
      </c>
      <c r="S479" s="50">
        <v>-96750.510262457916</v>
      </c>
      <c r="T479" s="50">
        <v>104094044.69429985</v>
      </c>
      <c r="U479" s="50">
        <v>-9.2945288605694786E-4</v>
      </c>
      <c r="V479" s="50">
        <v>0.99</v>
      </c>
      <c r="W479" s="50">
        <v>0.95417959326584878</v>
      </c>
      <c r="X479" s="50" t="s">
        <v>7161</v>
      </c>
      <c r="Y479" s="50">
        <v>0.32</v>
      </c>
    </row>
    <row r="480" spans="2:25" x14ac:dyDescent="0.2">
      <c r="B480" s="50" t="s">
        <v>9</v>
      </c>
      <c r="C480" s="50" t="s">
        <v>495</v>
      </c>
      <c r="D480" s="50"/>
      <c r="E480" s="50"/>
      <c r="F480" s="50" t="s">
        <v>10</v>
      </c>
      <c r="G480" s="50" t="s">
        <v>1962</v>
      </c>
      <c r="H480" s="50" t="s">
        <v>15</v>
      </c>
      <c r="I480" s="50" t="s">
        <v>1121</v>
      </c>
      <c r="J480" s="50" t="s">
        <v>16</v>
      </c>
      <c r="K480" s="50" t="s">
        <v>7158</v>
      </c>
      <c r="L480" s="50">
        <v>135</v>
      </c>
      <c r="M480" s="50">
        <v>1.35</v>
      </c>
      <c r="N480" s="50">
        <v>0.55000000000000004</v>
      </c>
      <c r="O480" s="50">
        <v>105777.2400103125</v>
      </c>
      <c r="P480" s="50">
        <v>101472.00749999999</v>
      </c>
      <c r="Q480" s="50">
        <v>4305.232510312504</v>
      </c>
      <c r="R480" s="50">
        <v>101526.5625</v>
      </c>
      <c r="S480" s="50">
        <v>-97221.329989687496</v>
      </c>
      <c r="T480" s="50">
        <v>104094044.69429985</v>
      </c>
      <c r="U480" s="50">
        <v>-9.3397590875831629E-4</v>
      </c>
      <c r="V480" s="50">
        <v>0.99</v>
      </c>
      <c r="W480" s="50">
        <v>0.95324561735709046</v>
      </c>
      <c r="X480" s="50" t="s">
        <v>7159</v>
      </c>
      <c r="Y480" s="50">
        <v>0.55000000000000004</v>
      </c>
    </row>
    <row r="481" spans="2:25" x14ac:dyDescent="0.2">
      <c r="B481" s="50" t="s">
        <v>9</v>
      </c>
      <c r="C481" s="50" t="s">
        <v>225</v>
      </c>
      <c r="D481" s="50"/>
      <c r="E481" s="50"/>
      <c r="F481" s="50" t="s">
        <v>10</v>
      </c>
      <c r="G481" s="50" t="s">
        <v>1962</v>
      </c>
      <c r="H481" s="50" t="s">
        <v>15</v>
      </c>
      <c r="I481" s="50" t="s">
        <v>1121</v>
      </c>
      <c r="J481" s="50" t="s">
        <v>16</v>
      </c>
      <c r="K481" s="50" t="s">
        <v>7158</v>
      </c>
      <c r="L481" s="50">
        <v>130</v>
      </c>
      <c r="M481" s="50">
        <v>1.3</v>
      </c>
      <c r="N481" s="50">
        <v>0.57999999999999996</v>
      </c>
      <c r="O481" s="50">
        <v>101859.56445437499</v>
      </c>
      <c r="P481" s="50">
        <v>97713.785000000003</v>
      </c>
      <c r="Q481" s="50">
        <v>4145.7794543749915</v>
      </c>
      <c r="R481" s="50">
        <v>107064.37499999999</v>
      </c>
      <c r="S481" s="50">
        <v>-102918.59554562499</v>
      </c>
      <c r="T481" s="50">
        <v>104094044.69429985</v>
      </c>
      <c r="U481" s="50">
        <v>-9.8870781558996115E-4</v>
      </c>
      <c r="V481" s="50">
        <v>0.98999999999999988</v>
      </c>
      <c r="W481" s="50">
        <v>0.95225690954150055</v>
      </c>
      <c r="X481" s="50" t="s">
        <v>7162</v>
      </c>
      <c r="Y481" s="50">
        <v>0.57999999999999996</v>
      </c>
    </row>
    <row r="482" spans="2:25" x14ac:dyDescent="0.2">
      <c r="B482" s="50" t="s">
        <v>9</v>
      </c>
      <c r="C482" s="50" t="s">
        <v>421</v>
      </c>
      <c r="D482" s="50"/>
      <c r="E482" s="50"/>
      <c r="F482" s="50" t="s">
        <v>10</v>
      </c>
      <c r="G482" s="50" t="s">
        <v>1962</v>
      </c>
      <c r="H482" s="50" t="s">
        <v>19</v>
      </c>
      <c r="I482" s="50" t="s">
        <v>1120</v>
      </c>
      <c r="J482" s="50" t="s">
        <v>20</v>
      </c>
      <c r="K482" s="50" t="s">
        <v>7158</v>
      </c>
      <c r="L482" s="50">
        <v>9</v>
      </c>
      <c r="M482" s="50">
        <v>0.09</v>
      </c>
      <c r="N482" s="50">
        <v>1.7647058823529413</v>
      </c>
      <c r="O482" s="50">
        <v>7051.8160006874996</v>
      </c>
      <c r="P482" s="50">
        <v>6764.8005000000003</v>
      </c>
      <c r="Q482" s="50">
        <v>287.0155006874993</v>
      </c>
      <c r="R482" s="50">
        <v>107954.85636114913</v>
      </c>
      <c r="S482" s="50">
        <v>-107667.84086046163</v>
      </c>
      <c r="T482" s="50">
        <v>104094044.69429985</v>
      </c>
      <c r="U482" s="50">
        <v>-1.0343323787317248E-3</v>
      </c>
      <c r="V482" s="50">
        <v>0.99</v>
      </c>
      <c r="W482" s="50">
        <v>0.95122257716276881</v>
      </c>
      <c r="X482" s="50" t="s">
        <v>7160</v>
      </c>
      <c r="Y482" s="50">
        <v>0.32</v>
      </c>
    </row>
    <row r="483" spans="2:25" x14ac:dyDescent="0.2">
      <c r="B483" s="50" t="s">
        <v>9</v>
      </c>
      <c r="C483" s="50" t="s">
        <v>151</v>
      </c>
      <c r="D483" s="50"/>
      <c r="E483" s="50"/>
      <c r="F483" s="50" t="s">
        <v>10</v>
      </c>
      <c r="G483" s="50" t="s">
        <v>1962</v>
      </c>
      <c r="H483" s="50" t="s">
        <v>15</v>
      </c>
      <c r="I483" s="50" t="s">
        <v>1121</v>
      </c>
      <c r="J483" s="50" t="s">
        <v>16</v>
      </c>
      <c r="K483" s="50" t="s">
        <v>7158</v>
      </c>
      <c r="L483" s="50">
        <v>329</v>
      </c>
      <c r="M483" s="50">
        <v>3.29</v>
      </c>
      <c r="N483" s="50">
        <v>0.66</v>
      </c>
      <c r="O483" s="50">
        <v>257783.05158068749</v>
      </c>
      <c r="P483" s="50">
        <v>247291.04049999997</v>
      </c>
      <c r="Q483" s="50">
        <v>10492.011080687516</v>
      </c>
      <c r="R483" s="50">
        <v>121831.875</v>
      </c>
      <c r="S483" s="50">
        <v>-111339.86391931248</v>
      </c>
      <c r="T483" s="50">
        <v>104094044.69429985</v>
      </c>
      <c r="U483" s="50">
        <v>-1.0696083935088883E-3</v>
      </c>
      <c r="V483" s="50">
        <v>0.99</v>
      </c>
      <c r="W483" s="50">
        <v>0.95015296876925992</v>
      </c>
      <c r="X483" s="50" t="s">
        <v>7159</v>
      </c>
      <c r="Y483" s="50">
        <v>0.66</v>
      </c>
    </row>
    <row r="484" spans="2:25" x14ac:dyDescent="0.2">
      <c r="B484" s="50" t="s">
        <v>9</v>
      </c>
      <c r="C484" s="50" t="s">
        <v>210</v>
      </c>
      <c r="D484" s="50"/>
      <c r="E484" s="50"/>
      <c r="F484" s="50" t="s">
        <v>10</v>
      </c>
      <c r="G484" s="51" t="s">
        <v>1962</v>
      </c>
      <c r="H484" s="50" t="s">
        <v>15</v>
      </c>
      <c r="I484" s="50" t="s">
        <v>1121</v>
      </c>
      <c r="J484" s="50" t="s">
        <v>16</v>
      </c>
      <c r="K484" s="50" t="s">
        <v>7158</v>
      </c>
      <c r="L484" s="50">
        <v>255</v>
      </c>
      <c r="M484" s="50">
        <v>2.5499999999999998</v>
      </c>
      <c r="N484" s="50">
        <v>0.66</v>
      </c>
      <c r="O484" s="50">
        <v>199801.45335281247</v>
      </c>
      <c r="P484" s="50">
        <v>191669.34749999997</v>
      </c>
      <c r="Q484" s="50">
        <v>8132.1058528124995</v>
      </c>
      <c r="R484" s="50">
        <v>121831.875</v>
      </c>
      <c r="S484" s="50">
        <v>-113699.7691471875</v>
      </c>
      <c r="T484" s="50">
        <v>104094044.69429985</v>
      </c>
      <c r="U484" s="50">
        <v>-1.0922792891860187E-3</v>
      </c>
      <c r="V484" s="50">
        <v>0.99</v>
      </c>
      <c r="W484" s="50">
        <v>0.94906068948007394</v>
      </c>
      <c r="X484" s="50" t="s">
        <v>7162</v>
      </c>
      <c r="Y484" s="50">
        <v>0.66</v>
      </c>
    </row>
    <row r="485" spans="2:25" x14ac:dyDescent="0.2">
      <c r="B485" s="50" t="s">
        <v>9</v>
      </c>
      <c r="C485" s="50" t="s">
        <v>475</v>
      </c>
      <c r="D485" s="50"/>
      <c r="E485" s="50"/>
      <c r="F485" s="50" t="s">
        <v>17</v>
      </c>
      <c r="G485" s="50" t="s">
        <v>1962</v>
      </c>
      <c r="H485" s="50" t="s">
        <v>15</v>
      </c>
      <c r="I485" s="50" t="s">
        <v>1121</v>
      </c>
      <c r="J485" s="50" t="s">
        <v>16</v>
      </c>
      <c r="K485" s="50" t="s">
        <v>7158</v>
      </c>
      <c r="L485" s="50">
        <v>185</v>
      </c>
      <c r="M485" s="50">
        <v>0.92500000000000004</v>
      </c>
      <c r="N485" s="50">
        <v>0.32</v>
      </c>
      <c r="O485" s="50">
        <v>72476.997784843756</v>
      </c>
      <c r="P485" s="50">
        <v>137052.11624999999</v>
      </c>
      <c r="Q485" s="50">
        <v>-64575.118465156236</v>
      </c>
      <c r="R485" s="50">
        <v>59070</v>
      </c>
      <c r="S485" s="50">
        <v>-123645.11846515624</v>
      </c>
      <c r="T485" s="50">
        <v>104094044.69429985</v>
      </c>
      <c r="U485" s="50">
        <v>-1.187821251717842E-3</v>
      </c>
      <c r="V485" s="50">
        <v>0.99499999999999988</v>
      </c>
      <c r="W485" s="50">
        <v>0.94787286822835615</v>
      </c>
      <c r="X485" s="50" t="s">
        <v>7160</v>
      </c>
      <c r="Y485" s="50">
        <v>0.32</v>
      </c>
    </row>
    <row r="486" spans="2:25" x14ac:dyDescent="0.2">
      <c r="B486" s="50" t="s">
        <v>9</v>
      </c>
      <c r="C486" s="50" t="s">
        <v>125</v>
      </c>
      <c r="D486" s="50"/>
      <c r="E486" s="50"/>
      <c r="F486" s="50" t="s">
        <v>10</v>
      </c>
      <c r="G486" s="50" t="s">
        <v>1962</v>
      </c>
      <c r="H486" s="50" t="s">
        <v>15</v>
      </c>
      <c r="I486" s="50" t="s">
        <v>1121</v>
      </c>
      <c r="J486" s="50" t="s">
        <v>16</v>
      </c>
      <c r="K486" s="50" t="s">
        <v>7158</v>
      </c>
      <c r="L486" s="50">
        <v>140</v>
      </c>
      <c r="M486" s="50">
        <v>1.4</v>
      </c>
      <c r="N486" s="50">
        <v>0.75</v>
      </c>
      <c r="O486" s="50">
        <v>109694.91556624998</v>
      </c>
      <c r="P486" s="50">
        <v>105230.23000000001</v>
      </c>
      <c r="Q486" s="50">
        <v>4464.6855662499729</v>
      </c>
      <c r="R486" s="50">
        <v>138445.3125</v>
      </c>
      <c r="S486" s="50">
        <v>-133980.62693375003</v>
      </c>
      <c r="T486" s="50">
        <v>104094044.69429985</v>
      </c>
      <c r="U486" s="50">
        <v>-1.287111355190589E-3</v>
      </c>
      <c r="V486" s="50">
        <v>0.99</v>
      </c>
      <c r="W486" s="50">
        <v>0.9465857568731656</v>
      </c>
      <c r="X486" s="50" t="s">
        <v>7163</v>
      </c>
      <c r="Y486" s="50">
        <v>0.75</v>
      </c>
    </row>
    <row r="487" spans="2:25" x14ac:dyDescent="0.2">
      <c r="B487" s="50" t="s">
        <v>9</v>
      </c>
      <c r="C487" s="50" t="s">
        <v>362</v>
      </c>
      <c r="D487" s="50"/>
      <c r="E487" s="50"/>
      <c r="F487" s="50" t="s">
        <v>17</v>
      </c>
      <c r="G487" s="51" t="s">
        <v>1962</v>
      </c>
      <c r="H487" s="50" t="s">
        <v>19</v>
      </c>
      <c r="I487" s="50" t="s">
        <v>1121</v>
      </c>
      <c r="J487" s="50" t="s">
        <v>20</v>
      </c>
      <c r="K487" s="50" t="s">
        <v>7158</v>
      </c>
      <c r="L487" s="50">
        <v>116</v>
      </c>
      <c r="M487" s="50">
        <v>0</v>
      </c>
      <c r="N487" s="50">
        <v>0.35</v>
      </c>
      <c r="O487" s="50">
        <v>0</v>
      </c>
      <c r="P487" s="50">
        <v>84680</v>
      </c>
      <c r="Q487" s="50">
        <v>-84680</v>
      </c>
      <c r="R487" s="50">
        <v>64607.812499999993</v>
      </c>
      <c r="S487" s="50">
        <v>-149287.8125</v>
      </c>
      <c r="T487" s="50">
        <v>104094044.69429985</v>
      </c>
      <c r="U487" s="50">
        <v>-1.43416285665932E-3</v>
      </c>
      <c r="V487" s="50">
        <v>1</v>
      </c>
      <c r="W487" s="50">
        <v>0.94515159401650628</v>
      </c>
      <c r="X487" s="50" t="s">
        <v>7162</v>
      </c>
      <c r="Y487" s="50">
        <v>0.35</v>
      </c>
    </row>
    <row r="488" spans="2:25" x14ac:dyDescent="0.2">
      <c r="B488" s="50" t="s">
        <v>9</v>
      </c>
      <c r="C488" s="50" t="s">
        <v>51</v>
      </c>
      <c r="D488" s="50"/>
      <c r="E488" s="50"/>
      <c r="F488" s="50" t="s">
        <v>10</v>
      </c>
      <c r="G488" s="50" t="s">
        <v>1962</v>
      </c>
      <c r="H488" s="50" t="s">
        <v>15</v>
      </c>
      <c r="I488" s="50" t="s">
        <v>1121</v>
      </c>
      <c r="J488" s="50" t="s">
        <v>16</v>
      </c>
      <c r="K488" s="50" t="s">
        <v>7158</v>
      </c>
      <c r="L488" s="50">
        <v>285</v>
      </c>
      <c r="M488" s="50">
        <v>2.85</v>
      </c>
      <c r="N488" s="50">
        <v>0.92</v>
      </c>
      <c r="O488" s="50">
        <v>223307.50668843748</v>
      </c>
      <c r="P488" s="50">
        <v>214218.6825</v>
      </c>
      <c r="Q488" s="50">
        <v>9088.8241884374875</v>
      </c>
      <c r="R488" s="50">
        <v>169826.25</v>
      </c>
      <c r="S488" s="50">
        <v>-160737.42581156251</v>
      </c>
      <c r="T488" s="50">
        <v>104094044.69429985</v>
      </c>
      <c r="U488" s="50">
        <v>-1.5441558283532087E-3</v>
      </c>
      <c r="V488" s="50">
        <v>0.98999999999999988</v>
      </c>
      <c r="W488" s="50">
        <v>0.94360743818815307</v>
      </c>
      <c r="X488" s="50" t="s">
        <v>7163</v>
      </c>
      <c r="Y488" s="50">
        <v>0.92</v>
      </c>
    </row>
    <row r="489" spans="2:25" x14ac:dyDescent="0.2">
      <c r="B489" s="50" t="s">
        <v>9</v>
      </c>
      <c r="C489" s="50" t="s">
        <v>131</v>
      </c>
      <c r="D489" s="50"/>
      <c r="E489" s="50"/>
      <c r="F489" s="50" t="s">
        <v>10</v>
      </c>
      <c r="G489" s="51" t="s">
        <v>1962</v>
      </c>
      <c r="H489" s="50" t="s">
        <v>19</v>
      </c>
      <c r="I489" s="50" t="s">
        <v>1121</v>
      </c>
      <c r="J489" s="50" t="s">
        <v>20</v>
      </c>
      <c r="K489" s="50" t="s">
        <v>7158</v>
      </c>
      <c r="L489" s="50">
        <v>79</v>
      </c>
      <c r="M489" s="50">
        <v>0.79</v>
      </c>
      <c r="N489" s="50">
        <v>0.9</v>
      </c>
      <c r="O489" s="50">
        <v>61899.273783812503</v>
      </c>
      <c r="P489" s="50">
        <v>59379.915499999996</v>
      </c>
      <c r="Q489" s="50">
        <v>2519.3582838125076</v>
      </c>
      <c r="R489" s="50">
        <v>166134.375</v>
      </c>
      <c r="S489" s="50">
        <v>-163615.0167161875</v>
      </c>
      <c r="T489" s="50">
        <v>104094044.69429985</v>
      </c>
      <c r="U489" s="50">
        <v>-1.5717999737322821E-3</v>
      </c>
      <c r="V489" s="50">
        <v>0.98999999999999988</v>
      </c>
      <c r="W489" s="50">
        <v>0.94203563821442082</v>
      </c>
      <c r="X489" s="50" t="s">
        <v>7163</v>
      </c>
      <c r="Y489" s="50">
        <v>0.9</v>
      </c>
    </row>
    <row r="490" spans="2:25" x14ac:dyDescent="0.2">
      <c r="B490" s="50" t="s">
        <v>9</v>
      </c>
      <c r="C490" s="50" t="s">
        <v>55</v>
      </c>
      <c r="D490" s="50"/>
      <c r="E490" s="50"/>
      <c r="F490" s="50" t="s">
        <v>17</v>
      </c>
      <c r="G490" s="50" t="s">
        <v>1962</v>
      </c>
      <c r="H490" s="50" t="s">
        <v>15</v>
      </c>
      <c r="I490" s="50" t="s">
        <v>1121</v>
      </c>
      <c r="J490" s="50" t="s">
        <v>16</v>
      </c>
      <c r="K490" s="50" t="s">
        <v>7158</v>
      </c>
      <c r="L490" s="50">
        <v>200</v>
      </c>
      <c r="M490" s="50">
        <v>0.6</v>
      </c>
      <c r="N490" s="50">
        <v>0.35</v>
      </c>
      <c r="O490" s="50">
        <v>47012.106671249996</v>
      </c>
      <c r="P490" s="50">
        <v>147298.66999999998</v>
      </c>
      <c r="Q490" s="50">
        <v>-100286.56332874999</v>
      </c>
      <c r="R490" s="50">
        <v>64607.812499999993</v>
      </c>
      <c r="S490" s="50">
        <v>-164894.37582874999</v>
      </c>
      <c r="T490" s="50">
        <v>104094044.69429985</v>
      </c>
      <c r="U490" s="50">
        <v>-1.5840903897336939E-3</v>
      </c>
      <c r="V490" s="50">
        <v>0.997</v>
      </c>
      <c r="W490" s="50">
        <v>0.9404515478246871</v>
      </c>
      <c r="X490" s="50" t="s">
        <v>7163</v>
      </c>
      <c r="Y490" s="50">
        <v>0.35</v>
      </c>
    </row>
    <row r="491" spans="2:25" x14ac:dyDescent="0.2">
      <c r="B491" s="50" t="s">
        <v>9</v>
      </c>
      <c r="C491" s="50" t="s">
        <v>275</v>
      </c>
      <c r="D491" s="50"/>
      <c r="E491" s="50"/>
      <c r="F491" s="50" t="s">
        <v>10</v>
      </c>
      <c r="G491" s="50" t="s">
        <v>1962</v>
      </c>
      <c r="H491" s="50" t="s">
        <v>15</v>
      </c>
      <c r="I491" s="50" t="s">
        <v>1121</v>
      </c>
      <c r="J491" s="50" t="s">
        <v>16</v>
      </c>
      <c r="K491" s="50" t="s">
        <v>7158</v>
      </c>
      <c r="L491" s="50">
        <v>121</v>
      </c>
      <c r="M491" s="50">
        <v>1.21</v>
      </c>
      <c r="N491" s="50">
        <v>1</v>
      </c>
      <c r="O491" s="50">
        <v>94807.748453687498</v>
      </c>
      <c r="P491" s="50">
        <v>90948.984499999991</v>
      </c>
      <c r="Q491" s="50">
        <v>3858.7639536875067</v>
      </c>
      <c r="R491" s="50">
        <v>184593.75</v>
      </c>
      <c r="S491" s="50">
        <v>-180734.98604631249</v>
      </c>
      <c r="T491" s="50">
        <v>104094044.69429985</v>
      </c>
      <c r="U491" s="50">
        <v>-1.7362663404721123E-3</v>
      </c>
      <c r="V491" s="50">
        <v>0.9900000000000001</v>
      </c>
      <c r="W491" s="50">
        <v>0.93871528148421501</v>
      </c>
      <c r="X491" s="50" t="s">
        <v>7162</v>
      </c>
      <c r="Y491" s="50">
        <v>1</v>
      </c>
    </row>
    <row r="492" spans="2:25" x14ac:dyDescent="0.2">
      <c r="B492" s="50" t="s">
        <v>9</v>
      </c>
      <c r="C492" s="50" t="s">
        <v>143</v>
      </c>
      <c r="D492" s="50"/>
      <c r="E492" s="50"/>
      <c r="F492" s="50" t="s">
        <v>10</v>
      </c>
      <c r="G492" s="50" t="s">
        <v>1962</v>
      </c>
      <c r="H492" s="50" t="s">
        <v>15</v>
      </c>
      <c r="I492" s="50" t="s">
        <v>1121</v>
      </c>
      <c r="J492" s="50" t="s">
        <v>16</v>
      </c>
      <c r="K492" s="50" t="s">
        <v>7158</v>
      </c>
      <c r="L492" s="50">
        <v>104</v>
      </c>
      <c r="M492" s="50">
        <v>1.04</v>
      </c>
      <c r="N492" s="50">
        <v>1</v>
      </c>
      <c r="O492" s="50">
        <v>81487.651563499996</v>
      </c>
      <c r="P492" s="50">
        <v>78171.028000000006</v>
      </c>
      <c r="Q492" s="50">
        <v>3316.6235634999903</v>
      </c>
      <c r="R492" s="50">
        <v>184593.75</v>
      </c>
      <c r="S492" s="50">
        <v>-181277.1264365</v>
      </c>
      <c r="T492" s="50">
        <v>104094044.69429985</v>
      </c>
      <c r="U492" s="50">
        <v>-1.7414745192087504E-3</v>
      </c>
      <c r="V492" s="50">
        <v>0.99</v>
      </c>
      <c r="W492" s="50">
        <v>0.93697380696500632</v>
      </c>
      <c r="X492" s="50" t="s">
        <v>7161</v>
      </c>
      <c r="Y492" s="50">
        <v>1</v>
      </c>
    </row>
    <row r="493" spans="2:25" x14ac:dyDescent="0.2">
      <c r="B493" s="50" t="s">
        <v>9</v>
      </c>
      <c r="C493" s="50" t="s">
        <v>378</v>
      </c>
      <c r="D493" s="50"/>
      <c r="E493" s="50"/>
      <c r="F493" s="50" t="s">
        <v>17</v>
      </c>
      <c r="G493" s="51" t="s">
        <v>1962</v>
      </c>
      <c r="H493" s="50" t="s">
        <v>19</v>
      </c>
      <c r="I493" s="50" t="s">
        <v>1121</v>
      </c>
      <c r="J493" s="50" t="s">
        <v>20</v>
      </c>
      <c r="K493" s="50" t="s">
        <v>7158</v>
      </c>
      <c r="L493" s="50">
        <v>251</v>
      </c>
      <c r="M493" s="50">
        <v>0</v>
      </c>
      <c r="N493" s="50">
        <v>0.32</v>
      </c>
      <c r="O493" s="50">
        <v>0</v>
      </c>
      <c r="P493" s="50">
        <v>183230</v>
      </c>
      <c r="Q493" s="50">
        <v>-183230</v>
      </c>
      <c r="R493" s="50">
        <v>59070</v>
      </c>
      <c r="S493" s="50">
        <v>-242300</v>
      </c>
      <c r="T493" s="50">
        <v>104094044.69429985</v>
      </c>
      <c r="U493" s="50">
        <v>-2.32770280674153E-3</v>
      </c>
      <c r="V493" s="50">
        <v>1</v>
      </c>
      <c r="W493" s="50">
        <v>0.93464610415826477</v>
      </c>
      <c r="X493" s="50" t="s">
        <v>7161</v>
      </c>
      <c r="Y493" s="50">
        <v>0.32</v>
      </c>
    </row>
    <row r="494" spans="2:25" x14ac:dyDescent="0.2">
      <c r="B494" s="50" t="s">
        <v>9</v>
      </c>
      <c r="C494" s="50" t="s">
        <v>391</v>
      </c>
      <c r="D494" s="50"/>
      <c r="E494" s="50"/>
      <c r="F494" s="50" t="s">
        <v>17</v>
      </c>
      <c r="G494" s="51" t="s">
        <v>1962</v>
      </c>
      <c r="H494" s="50" t="s">
        <v>19</v>
      </c>
      <c r="I494" s="50" t="s">
        <v>1121</v>
      </c>
      <c r="J494" s="50" t="s">
        <v>20</v>
      </c>
      <c r="K494" s="50" t="s">
        <v>7158</v>
      </c>
      <c r="L494" s="50">
        <v>300</v>
      </c>
      <c r="M494" s="50">
        <v>0</v>
      </c>
      <c r="N494" s="50">
        <v>0.32</v>
      </c>
      <c r="O494" s="50">
        <v>0</v>
      </c>
      <c r="P494" s="50">
        <v>219000</v>
      </c>
      <c r="Q494" s="50">
        <v>-219000</v>
      </c>
      <c r="R494" s="50">
        <v>59070</v>
      </c>
      <c r="S494" s="50">
        <v>-278070</v>
      </c>
      <c r="T494" s="50">
        <v>104094044.69429985</v>
      </c>
      <c r="U494" s="50">
        <v>-2.6713343766843465E-3</v>
      </c>
      <c r="V494" s="50">
        <v>1</v>
      </c>
      <c r="W494" s="50">
        <v>0.93197476978158045</v>
      </c>
      <c r="X494" s="50" t="s">
        <v>7161</v>
      </c>
      <c r="Y494" s="50">
        <v>0.32</v>
      </c>
    </row>
    <row r="495" spans="2:25" x14ac:dyDescent="0.2">
      <c r="B495" s="50" t="s">
        <v>9</v>
      </c>
      <c r="C495" s="50" t="s">
        <v>30</v>
      </c>
      <c r="D495" s="50"/>
      <c r="E495" s="50"/>
      <c r="F495" s="50" t="s">
        <v>17</v>
      </c>
      <c r="G495" s="51" t="s">
        <v>1962</v>
      </c>
      <c r="H495" s="50" t="s">
        <v>19</v>
      </c>
      <c r="I495" s="50" t="s">
        <v>1121</v>
      </c>
      <c r="J495" s="50" t="s">
        <v>20</v>
      </c>
      <c r="K495" s="50" t="s">
        <v>7158</v>
      </c>
      <c r="L495" s="50">
        <v>400</v>
      </c>
      <c r="M495" s="50">
        <v>0</v>
      </c>
      <c r="N495" s="50">
        <v>0.35</v>
      </c>
      <c r="O495" s="50">
        <v>0</v>
      </c>
      <c r="P495" s="50">
        <v>292000</v>
      </c>
      <c r="Q495" s="50">
        <v>-292000</v>
      </c>
      <c r="R495" s="50">
        <v>64607.812499999993</v>
      </c>
      <c r="S495" s="50">
        <v>-356607.8125</v>
      </c>
      <c r="T495" s="50">
        <v>104094044.69429985</v>
      </c>
      <c r="U495" s="50">
        <v>-3.4258233844911565E-3</v>
      </c>
      <c r="V495" s="50">
        <v>1</v>
      </c>
      <c r="W495" s="50">
        <v>0.92854894639708929</v>
      </c>
      <c r="X495" s="50" t="s">
        <v>7159</v>
      </c>
      <c r="Y495" s="50">
        <v>0.35</v>
      </c>
    </row>
    <row r="496" spans="2:25" x14ac:dyDescent="0.2">
      <c r="B496" s="50" t="s">
        <v>9</v>
      </c>
      <c r="C496" s="50" t="s">
        <v>832</v>
      </c>
      <c r="D496" s="50"/>
      <c r="E496" s="50"/>
      <c r="F496" s="51" t="s">
        <v>528</v>
      </c>
      <c r="G496" s="50" t="s">
        <v>527</v>
      </c>
      <c r="H496" s="50" t="s">
        <v>10</v>
      </c>
      <c r="I496" s="50" t="s">
        <v>1120</v>
      </c>
      <c r="J496" s="50" t="s">
        <v>529</v>
      </c>
      <c r="K496" s="50" t="s">
        <v>7174</v>
      </c>
      <c r="L496" s="50">
        <v>50</v>
      </c>
      <c r="M496" s="50">
        <v>13.5</v>
      </c>
      <c r="N496" s="50">
        <v>0.95737704918032784</v>
      </c>
      <c r="O496" s="150">
        <v>1057772.4001031248</v>
      </c>
      <c r="P496" s="150">
        <v>65720.074999999997</v>
      </c>
      <c r="Q496" s="150">
        <v>992052.32510312484</v>
      </c>
      <c r="R496" s="150">
        <v>58566.984369043086</v>
      </c>
      <c r="S496" s="150">
        <v>933485.34073408181</v>
      </c>
      <c r="T496" s="50" t="s">
        <v>7175</v>
      </c>
      <c r="U496" s="151">
        <v>8.9677112987156232E-3</v>
      </c>
      <c r="V496" s="50">
        <v>0.73</v>
      </c>
      <c r="W496" s="50">
        <v>0.93751665769580494</v>
      </c>
      <c r="X496" s="50" t="s">
        <v>7163</v>
      </c>
      <c r="Y496" s="50">
        <v>0.32</v>
      </c>
    </row>
    <row r="497" spans="2:25" x14ac:dyDescent="0.2">
      <c r="B497" s="50" t="s">
        <v>9</v>
      </c>
      <c r="C497" s="50" t="s">
        <v>945</v>
      </c>
      <c r="D497" s="50"/>
      <c r="E497" s="50"/>
      <c r="F497" s="51" t="s">
        <v>528</v>
      </c>
      <c r="G497" s="50" t="s">
        <v>527</v>
      </c>
      <c r="H497" s="50" t="s">
        <v>535</v>
      </c>
      <c r="I497" s="50">
        <v>0</v>
      </c>
      <c r="J497" s="50" t="s">
        <v>536</v>
      </c>
      <c r="K497" s="50" t="s">
        <v>7174</v>
      </c>
      <c r="L497" s="50">
        <v>12</v>
      </c>
      <c r="M497" s="50">
        <v>12</v>
      </c>
      <c r="N497" s="50">
        <v>0.86</v>
      </c>
      <c r="O497" s="150">
        <v>940242.13342500001</v>
      </c>
      <c r="P497" s="150">
        <v>34733.4</v>
      </c>
      <c r="Q497" s="150">
        <v>905508.73342499998</v>
      </c>
      <c r="R497" s="150">
        <v>59070</v>
      </c>
      <c r="S497" s="150">
        <v>846438.73342499998</v>
      </c>
      <c r="T497" s="50" t="s">
        <v>7175</v>
      </c>
      <c r="U497" s="50">
        <v>8.131480873000899E-3</v>
      </c>
      <c r="V497" s="50">
        <v>0</v>
      </c>
      <c r="W497" s="50">
        <v>0.94564813856880581</v>
      </c>
      <c r="X497" s="50" t="s">
        <v>7161</v>
      </c>
      <c r="Y497" s="50">
        <v>0.32</v>
      </c>
    </row>
    <row r="498" spans="2:25" x14ac:dyDescent="0.2">
      <c r="B498" s="50" t="s">
        <v>9</v>
      </c>
      <c r="C498" s="50" t="s">
        <v>684</v>
      </c>
      <c r="D498" s="50"/>
      <c r="E498" s="50"/>
      <c r="F498" s="51" t="s">
        <v>528</v>
      </c>
      <c r="G498" s="50" t="s">
        <v>527</v>
      </c>
      <c r="H498" s="50" t="s">
        <v>10</v>
      </c>
      <c r="I498" s="50" t="s">
        <v>1120</v>
      </c>
      <c r="J498" s="50" t="s">
        <v>529</v>
      </c>
      <c r="K498" s="50" t="s">
        <v>7174</v>
      </c>
      <c r="L498" s="50">
        <v>50</v>
      </c>
      <c r="M498" s="50">
        <v>11.5</v>
      </c>
      <c r="N498" s="50">
        <v>0.86</v>
      </c>
      <c r="O498" s="150">
        <v>901065.37786562496</v>
      </c>
      <c r="P498" s="150">
        <v>61391.174999999996</v>
      </c>
      <c r="Q498" s="150">
        <v>839674.20286562492</v>
      </c>
      <c r="R498" s="150">
        <v>52610</v>
      </c>
      <c r="S498" s="150">
        <v>787064.20286562492</v>
      </c>
      <c r="T498" s="50" t="s">
        <v>7175</v>
      </c>
      <c r="U498" s="50">
        <v>7.5610877181019392E-3</v>
      </c>
      <c r="V498" s="50">
        <v>0.77</v>
      </c>
      <c r="W498" s="50">
        <v>0.95320922628690774</v>
      </c>
      <c r="X498" s="50" t="s">
        <v>7159</v>
      </c>
      <c r="Y498" s="50">
        <v>0.32</v>
      </c>
    </row>
    <row r="499" spans="2:25" x14ac:dyDescent="0.2">
      <c r="B499" s="50" t="s">
        <v>9</v>
      </c>
      <c r="C499" s="50" t="s">
        <v>1043</v>
      </c>
      <c r="D499" s="50"/>
      <c r="E499" s="50"/>
      <c r="F499" s="51" t="s">
        <v>528</v>
      </c>
      <c r="G499" s="50" t="s">
        <v>527</v>
      </c>
      <c r="H499" s="50" t="s">
        <v>10</v>
      </c>
      <c r="I499" s="50" t="s">
        <v>1120</v>
      </c>
      <c r="J499" s="50" t="s">
        <v>529</v>
      </c>
      <c r="K499" s="50" t="s">
        <v>7174</v>
      </c>
      <c r="L499" s="50">
        <v>28</v>
      </c>
      <c r="M499" s="50">
        <v>6.72</v>
      </c>
      <c r="N499" s="50">
        <v>0.86</v>
      </c>
      <c r="O499" s="150">
        <v>526535.59471799992</v>
      </c>
      <c r="P499" s="150">
        <v>34985.103999999999</v>
      </c>
      <c r="Q499" s="150">
        <v>491550.49071799993</v>
      </c>
      <c r="R499" s="150">
        <v>52610</v>
      </c>
      <c r="S499" s="150">
        <v>438940.49071799993</v>
      </c>
      <c r="T499" s="50" t="s">
        <v>7175</v>
      </c>
      <c r="U499" s="50">
        <v>4.2167685193429333E-3</v>
      </c>
      <c r="V499" s="50">
        <v>0.76</v>
      </c>
      <c r="W499" s="50">
        <v>0.97461267482257152</v>
      </c>
      <c r="X499" s="50" t="s">
        <v>7161</v>
      </c>
      <c r="Y499" s="50">
        <v>0.32</v>
      </c>
    </row>
    <row r="500" spans="2:25" x14ac:dyDescent="0.2">
      <c r="B500" s="50" t="s">
        <v>9</v>
      </c>
      <c r="C500" s="50" t="s">
        <v>857</v>
      </c>
      <c r="D500" s="50"/>
      <c r="E500" s="50"/>
      <c r="F500" s="51" t="s">
        <v>528</v>
      </c>
      <c r="G500" s="50" t="s">
        <v>527</v>
      </c>
      <c r="H500" s="50" t="s">
        <v>23</v>
      </c>
      <c r="I500" s="50" t="s">
        <v>1120</v>
      </c>
      <c r="J500" s="50" t="s">
        <v>543</v>
      </c>
      <c r="K500" s="50" t="s">
        <v>7174</v>
      </c>
      <c r="L500" s="50">
        <v>6</v>
      </c>
      <c r="M500" s="50">
        <v>5.94</v>
      </c>
      <c r="N500" s="50">
        <v>0.86</v>
      </c>
      <c r="O500" s="150">
        <v>465419.856045375</v>
      </c>
      <c r="P500" s="150">
        <v>17236.833000000002</v>
      </c>
      <c r="Q500" s="150">
        <v>448183.02304537501</v>
      </c>
      <c r="R500" s="150">
        <v>52610</v>
      </c>
      <c r="S500" s="150">
        <v>395573.02304537501</v>
      </c>
      <c r="T500" s="50" t="s">
        <v>7175</v>
      </c>
      <c r="U500" s="50">
        <v>3.8001503756250566E-3</v>
      </c>
      <c r="V500" s="50">
        <v>9.9999999999999343E-3</v>
      </c>
      <c r="W500" s="50">
        <v>0.97841282519819661</v>
      </c>
      <c r="X500" s="50" t="s">
        <v>7161</v>
      </c>
      <c r="Y500" s="50">
        <v>0.32</v>
      </c>
    </row>
    <row r="501" spans="2:25" x14ac:dyDescent="0.2">
      <c r="B501" s="50" t="s">
        <v>9</v>
      </c>
      <c r="C501" s="50" t="s">
        <v>991</v>
      </c>
      <c r="D501" s="50"/>
      <c r="E501" s="50"/>
      <c r="F501" s="51" t="s">
        <v>528</v>
      </c>
      <c r="G501" s="50" t="s">
        <v>527</v>
      </c>
      <c r="H501" s="50" t="s">
        <v>23</v>
      </c>
      <c r="I501" s="50" t="s">
        <v>1121</v>
      </c>
      <c r="J501" s="50" t="s">
        <v>543</v>
      </c>
      <c r="K501" s="50" t="s">
        <v>7174</v>
      </c>
      <c r="L501" s="50">
        <v>80</v>
      </c>
      <c r="M501" s="50">
        <v>6.4</v>
      </c>
      <c r="N501" s="50">
        <v>0.32</v>
      </c>
      <c r="O501" s="150">
        <v>501462.47116000002</v>
      </c>
      <c r="P501" s="150">
        <v>72252.479999999996</v>
      </c>
      <c r="Q501" s="150">
        <v>429209.99116000003</v>
      </c>
      <c r="R501" s="150">
        <v>59070</v>
      </c>
      <c r="S501" s="150">
        <v>370139.99116000003</v>
      </c>
      <c r="T501" s="50" t="s">
        <v>7175</v>
      </c>
      <c r="U501" s="50">
        <v>3.5558229315328809E-3</v>
      </c>
      <c r="V501" s="50">
        <v>0.91999999999999993</v>
      </c>
      <c r="W501" s="50">
        <v>0.9819686481297295</v>
      </c>
      <c r="X501" s="50" t="s">
        <v>7161</v>
      </c>
      <c r="Y501" s="50">
        <v>0.32</v>
      </c>
    </row>
    <row r="502" spans="2:25" x14ac:dyDescent="0.2">
      <c r="B502" s="50" t="s">
        <v>9</v>
      </c>
      <c r="C502" s="50" t="s">
        <v>860</v>
      </c>
      <c r="D502" s="50"/>
      <c r="E502" s="50"/>
      <c r="F502" s="51" t="s">
        <v>528</v>
      </c>
      <c r="G502" s="50" t="s">
        <v>527</v>
      </c>
      <c r="H502" s="50" t="s">
        <v>861</v>
      </c>
      <c r="I502" s="50" t="s">
        <v>1120</v>
      </c>
      <c r="J502" s="50" t="s">
        <v>862</v>
      </c>
      <c r="K502" s="50" t="s">
        <v>7174</v>
      </c>
      <c r="L502" s="50">
        <v>15</v>
      </c>
      <c r="M502" s="50">
        <v>4.5</v>
      </c>
      <c r="N502" s="50">
        <v>0.42690058479532167</v>
      </c>
      <c r="O502" s="150">
        <v>352590.80003437499</v>
      </c>
      <c r="P502" s="150">
        <v>20690.025000000001</v>
      </c>
      <c r="Q502" s="150">
        <v>331900.77503437496</v>
      </c>
      <c r="R502" s="150">
        <v>26115.395076839388</v>
      </c>
      <c r="S502" s="150">
        <v>305785.3799575356</v>
      </c>
      <c r="T502" s="50" t="s">
        <v>7175</v>
      </c>
      <c r="U502" s="50">
        <v>2.9375876483189465E-3</v>
      </c>
      <c r="V502" s="50">
        <v>0.7</v>
      </c>
      <c r="W502" s="50">
        <v>0.98490623577804848</v>
      </c>
      <c r="X502" s="50" t="e">
        <v>#N/A</v>
      </c>
      <c r="Y502" s="50">
        <v>0.32</v>
      </c>
    </row>
    <row r="503" spans="2:25" x14ac:dyDescent="0.2">
      <c r="B503" s="50" t="s">
        <v>9</v>
      </c>
      <c r="C503" s="50" t="s">
        <v>999</v>
      </c>
      <c r="D503" s="50"/>
      <c r="E503" s="50"/>
      <c r="F503" s="51" t="s">
        <v>528</v>
      </c>
      <c r="G503" s="50" t="s">
        <v>527</v>
      </c>
      <c r="H503" s="50" t="s">
        <v>23</v>
      </c>
      <c r="I503" s="50" t="s">
        <v>1120</v>
      </c>
      <c r="J503" s="50" t="s">
        <v>543</v>
      </c>
      <c r="K503" s="50" t="s">
        <v>7174</v>
      </c>
      <c r="L503" s="50">
        <v>115</v>
      </c>
      <c r="M503" s="50">
        <v>5.75</v>
      </c>
      <c r="N503" s="50">
        <v>0.86</v>
      </c>
      <c r="O503" s="150">
        <v>450532.68893281248</v>
      </c>
      <c r="P503" s="150">
        <v>96395.587499999994</v>
      </c>
      <c r="Q503" s="150">
        <v>354137.10143281252</v>
      </c>
      <c r="R503" s="150">
        <v>52610</v>
      </c>
      <c r="S503" s="150">
        <v>301527.10143281252</v>
      </c>
      <c r="T503" s="50" t="s">
        <v>7175</v>
      </c>
      <c r="U503" s="50">
        <v>2.8966796546173986E-3</v>
      </c>
      <c r="V503" s="50">
        <v>0.95</v>
      </c>
      <c r="W503" s="50">
        <v>0.98780291543266585</v>
      </c>
      <c r="X503" s="50" t="s">
        <v>7161</v>
      </c>
      <c r="Y503" s="50">
        <v>0.32</v>
      </c>
    </row>
    <row r="504" spans="2:25" x14ac:dyDescent="0.2">
      <c r="B504" s="50" t="s">
        <v>9</v>
      </c>
      <c r="C504" s="50" t="s">
        <v>556</v>
      </c>
      <c r="D504" s="50"/>
      <c r="E504" s="50"/>
      <c r="F504" s="51" t="s">
        <v>528</v>
      </c>
      <c r="G504" s="50" t="s">
        <v>527</v>
      </c>
      <c r="H504" s="50" t="s">
        <v>23</v>
      </c>
      <c r="I504" s="50" t="s">
        <v>1120</v>
      </c>
      <c r="J504" s="50" t="s">
        <v>543</v>
      </c>
      <c r="K504" s="50" t="s">
        <v>7174</v>
      </c>
      <c r="L504" s="50">
        <v>31</v>
      </c>
      <c r="M504" s="50">
        <v>4.34</v>
      </c>
      <c r="N504" s="50">
        <v>0.16898148148148148</v>
      </c>
      <c r="O504" s="150">
        <v>340054.23825537495</v>
      </c>
      <c r="P504" s="150">
        <v>32023.713</v>
      </c>
      <c r="Q504" s="150">
        <v>308030.52525537496</v>
      </c>
      <c r="R504" s="150">
        <v>10337.343884582257</v>
      </c>
      <c r="S504" s="150">
        <v>297693.18137079268</v>
      </c>
      <c r="T504" s="50" t="s">
        <v>7175</v>
      </c>
      <c r="U504" s="50">
        <v>2.8598483443029689E-3</v>
      </c>
      <c r="V504" s="50">
        <v>0.86</v>
      </c>
      <c r="W504" s="50">
        <v>0.99066276377696882</v>
      </c>
      <c r="X504" s="50" t="s">
        <v>7161</v>
      </c>
      <c r="Y504" s="50">
        <v>0.32</v>
      </c>
    </row>
    <row r="505" spans="2:25" x14ac:dyDescent="0.2">
      <c r="B505" s="50" t="s">
        <v>9</v>
      </c>
      <c r="C505" s="50" t="s">
        <v>924</v>
      </c>
      <c r="D505" s="50"/>
      <c r="E505" s="50"/>
      <c r="F505" s="51" t="s">
        <v>528</v>
      </c>
      <c r="G505" s="50" t="s">
        <v>527</v>
      </c>
      <c r="H505" s="50" t="s">
        <v>531</v>
      </c>
      <c r="I505" s="50">
        <v>0</v>
      </c>
      <c r="J505" s="50" t="s">
        <v>532</v>
      </c>
      <c r="K505" s="50" t="s">
        <v>7174</v>
      </c>
      <c r="L505" s="50">
        <v>76</v>
      </c>
      <c r="M505" s="50">
        <v>5.32</v>
      </c>
      <c r="N505" s="50">
        <v>0.86</v>
      </c>
      <c r="O505" s="150">
        <v>416840.67915175</v>
      </c>
      <c r="P505" s="150">
        <v>66994.873999999996</v>
      </c>
      <c r="Q505" s="150">
        <v>349845.80515174998</v>
      </c>
      <c r="R505" s="150">
        <v>59070</v>
      </c>
      <c r="S505" s="150">
        <v>290775.80515174998</v>
      </c>
      <c r="T505" s="50" t="s">
        <v>7175</v>
      </c>
      <c r="U505" s="50">
        <v>2.7933952034018021E-3</v>
      </c>
      <c r="V505" s="50">
        <v>0.93</v>
      </c>
      <c r="W505" s="50">
        <v>0.99628589174426951</v>
      </c>
      <c r="X505" s="50" t="s">
        <v>7161</v>
      </c>
      <c r="Y505" s="50">
        <v>0.32</v>
      </c>
    </row>
    <row r="506" spans="2:25" x14ac:dyDescent="0.2">
      <c r="B506" s="50" t="s">
        <v>9</v>
      </c>
      <c r="C506" s="50" t="s">
        <v>934</v>
      </c>
      <c r="D506" s="50"/>
      <c r="E506" s="50"/>
      <c r="F506" s="51" t="s">
        <v>528</v>
      </c>
      <c r="G506" s="50" t="s">
        <v>527</v>
      </c>
      <c r="H506" s="50" t="s">
        <v>23</v>
      </c>
      <c r="I506" s="50" t="s">
        <v>1120</v>
      </c>
      <c r="J506" s="50" t="s">
        <v>543</v>
      </c>
      <c r="K506" s="50" t="s">
        <v>7174</v>
      </c>
      <c r="L506" s="50">
        <v>37</v>
      </c>
      <c r="M506" s="50">
        <v>4.07</v>
      </c>
      <c r="N506" s="50">
        <v>0.86</v>
      </c>
      <c r="O506" s="150">
        <v>318898.7902533125</v>
      </c>
      <c r="P506" s="150">
        <v>35819.311499999996</v>
      </c>
      <c r="Q506" s="150">
        <v>283079.47875331249</v>
      </c>
      <c r="R506" s="150">
        <v>52610</v>
      </c>
      <c r="S506" s="150">
        <v>230469.47875331249</v>
      </c>
      <c r="T506" s="50" t="s">
        <v>7175</v>
      </c>
      <c r="U506" s="50">
        <v>2.2140505677356289E-3</v>
      </c>
      <c r="V506" s="50">
        <v>0.89</v>
      </c>
      <c r="W506" s="50">
        <v>0.99849994231200512</v>
      </c>
      <c r="X506" s="50" t="s">
        <v>7163</v>
      </c>
      <c r="Y506" s="50">
        <v>0.32</v>
      </c>
    </row>
    <row r="507" spans="2:25" x14ac:dyDescent="0.2">
      <c r="B507" s="50" t="s">
        <v>9</v>
      </c>
      <c r="C507" s="50" t="s">
        <v>1063</v>
      </c>
      <c r="D507" s="50"/>
      <c r="E507" s="50"/>
      <c r="F507" s="51" t="s">
        <v>528</v>
      </c>
      <c r="G507" s="50" t="s">
        <v>527</v>
      </c>
      <c r="H507" s="50" t="s">
        <v>23</v>
      </c>
      <c r="I507" s="50" t="s">
        <v>1120</v>
      </c>
      <c r="J507" s="50" t="s">
        <v>543</v>
      </c>
      <c r="K507" s="50" t="s">
        <v>7174</v>
      </c>
      <c r="L507" s="50">
        <v>52</v>
      </c>
      <c r="M507" s="50">
        <v>4.16</v>
      </c>
      <c r="N507" s="50">
        <v>0.86</v>
      </c>
      <c r="O507" s="150">
        <v>325950.60625399998</v>
      </c>
      <c r="P507" s="150">
        <v>46964.112000000001</v>
      </c>
      <c r="Q507" s="150">
        <v>278986.49425399996</v>
      </c>
      <c r="R507" s="150">
        <v>52610</v>
      </c>
      <c r="S507" s="150">
        <v>226376.49425399996</v>
      </c>
      <c r="T507" s="50" t="s">
        <v>7175</v>
      </c>
      <c r="U507" s="50">
        <v>2.1747305037364568E-3</v>
      </c>
      <c r="V507" s="50">
        <v>0.92</v>
      </c>
      <c r="W507" s="50">
        <v>1.0006746728157416</v>
      </c>
      <c r="X507" s="50" t="s">
        <v>7160</v>
      </c>
      <c r="Y507" s="50">
        <v>0.32</v>
      </c>
    </row>
    <row r="508" spans="2:25" x14ac:dyDescent="0.2">
      <c r="B508" s="50" t="s">
        <v>9</v>
      </c>
      <c r="C508" s="50" t="s">
        <v>597</v>
      </c>
      <c r="D508" s="50"/>
      <c r="E508" s="50"/>
      <c r="F508" s="51" t="s">
        <v>528</v>
      </c>
      <c r="G508" s="50" t="s">
        <v>527</v>
      </c>
      <c r="H508" s="50" t="s">
        <v>10</v>
      </c>
      <c r="I508" s="50" t="s">
        <v>1120</v>
      </c>
      <c r="J508" s="50" t="s">
        <v>529</v>
      </c>
      <c r="K508" s="50" t="s">
        <v>7174</v>
      </c>
      <c r="L508" s="50">
        <v>4</v>
      </c>
      <c r="M508" s="50">
        <v>3.6</v>
      </c>
      <c r="N508" s="50">
        <v>1.2046204620462047</v>
      </c>
      <c r="O508" s="150">
        <v>282072.64002749999</v>
      </c>
      <c r="P508" s="150">
        <v>10712.02</v>
      </c>
      <c r="Q508" s="150">
        <v>271360.62002749997</v>
      </c>
      <c r="R508" s="150">
        <v>73691.956404942815</v>
      </c>
      <c r="S508" s="150">
        <v>197668.66362255716</v>
      </c>
      <c r="T508" s="50" t="s">
        <v>7175</v>
      </c>
      <c r="U508" s="50">
        <v>1.8989430586837542E-3</v>
      </c>
      <c r="V508" s="50">
        <v>9.9999999999999978E-2</v>
      </c>
      <c r="W508" s="50">
        <v>1.0025736158744254</v>
      </c>
      <c r="X508" s="50" t="s">
        <v>7160</v>
      </c>
      <c r="Y508" s="50">
        <v>0.32</v>
      </c>
    </row>
    <row r="509" spans="2:25" x14ac:dyDescent="0.2">
      <c r="B509" s="50" t="s">
        <v>9</v>
      </c>
      <c r="C509" s="50" t="s">
        <v>979</v>
      </c>
      <c r="D509" s="50"/>
      <c r="E509" s="50"/>
      <c r="F509" s="51" t="s">
        <v>528</v>
      </c>
      <c r="G509" s="50" t="s">
        <v>527</v>
      </c>
      <c r="H509" s="50" t="s">
        <v>23</v>
      </c>
      <c r="I509" s="50">
        <v>0</v>
      </c>
      <c r="J509" s="50" t="s">
        <v>543</v>
      </c>
      <c r="K509" s="50" t="s">
        <v>7174</v>
      </c>
      <c r="L509" s="50">
        <v>110</v>
      </c>
      <c r="M509" s="50">
        <v>4.4000000000000004</v>
      </c>
      <c r="N509" s="50">
        <v>0.86</v>
      </c>
      <c r="O509" s="150">
        <v>344755.44892250001</v>
      </c>
      <c r="P509" s="150">
        <v>89823.58</v>
      </c>
      <c r="Q509" s="150">
        <v>254931.8689225</v>
      </c>
      <c r="R509" s="150">
        <v>59070</v>
      </c>
      <c r="S509" s="150">
        <v>195861.8689225</v>
      </c>
      <c r="T509" s="50" t="s">
        <v>7175</v>
      </c>
      <c r="U509" s="50">
        <v>1.8815857285371228E-3</v>
      </c>
      <c r="V509" s="50">
        <v>0.96</v>
      </c>
      <c r="W509" s="50">
        <v>1.0044552016029624</v>
      </c>
      <c r="X509" s="50" t="s">
        <v>7163</v>
      </c>
      <c r="Y509" s="50">
        <v>0.32</v>
      </c>
    </row>
    <row r="510" spans="2:25" x14ac:dyDescent="0.2">
      <c r="B510" s="50" t="s">
        <v>9</v>
      </c>
      <c r="C510" s="50" t="s">
        <v>1037</v>
      </c>
      <c r="D510" s="50"/>
      <c r="E510" s="50"/>
      <c r="F510" s="51" t="s">
        <v>528</v>
      </c>
      <c r="G510" s="50" t="s">
        <v>527</v>
      </c>
      <c r="H510" s="50" t="s">
        <v>23</v>
      </c>
      <c r="I510" s="50" t="s">
        <v>1120</v>
      </c>
      <c r="J510" s="50" t="s">
        <v>543</v>
      </c>
      <c r="K510" s="50" t="s">
        <v>7174</v>
      </c>
      <c r="L510" s="50">
        <v>8</v>
      </c>
      <c r="M510" s="50">
        <v>2.56</v>
      </c>
      <c r="N510" s="50">
        <v>0.64373897707231031</v>
      </c>
      <c r="O510" s="150">
        <v>200584.98846399999</v>
      </c>
      <c r="P510" s="150">
        <v>11380.991999999998</v>
      </c>
      <c r="Q510" s="150">
        <v>189203.996464</v>
      </c>
      <c r="R510" s="150">
        <v>39380.357655551452</v>
      </c>
      <c r="S510" s="150">
        <v>149823.63880844854</v>
      </c>
      <c r="T510" s="50" t="s">
        <v>7175</v>
      </c>
      <c r="U510" s="50">
        <v>1.4393103779226366E-3</v>
      </c>
      <c r="V510" s="50">
        <v>0.67999999999999994</v>
      </c>
      <c r="W510" s="50">
        <v>1.0076131020895256</v>
      </c>
      <c r="X510" s="50" t="s">
        <v>7160</v>
      </c>
      <c r="Y510" s="50">
        <v>0.32</v>
      </c>
    </row>
    <row r="511" spans="2:25" x14ac:dyDescent="0.2">
      <c r="B511" s="50" t="s">
        <v>9</v>
      </c>
      <c r="C511" s="50" t="s">
        <v>973</v>
      </c>
      <c r="D511" s="50"/>
      <c r="E511" s="50"/>
      <c r="F511" s="51" t="s">
        <v>528</v>
      </c>
      <c r="G511" s="50" t="s">
        <v>527</v>
      </c>
      <c r="H511" s="50" t="s">
        <v>23</v>
      </c>
      <c r="I511" s="50" t="s">
        <v>1120</v>
      </c>
      <c r="J511" s="50" t="s">
        <v>543</v>
      </c>
      <c r="K511" s="50" t="s">
        <v>7174</v>
      </c>
      <c r="L511" s="50">
        <v>2</v>
      </c>
      <c r="M511" s="50">
        <v>1.92</v>
      </c>
      <c r="N511" s="50">
        <v>0.11474379126060986</v>
      </c>
      <c r="O511" s="150">
        <v>150438.74134800001</v>
      </c>
      <c r="P511" s="150">
        <v>5615.7439999999997</v>
      </c>
      <c r="Q511" s="150">
        <v>144822.997348</v>
      </c>
      <c r="R511" s="150">
        <v>7019.3847188612608</v>
      </c>
      <c r="S511" s="150">
        <v>137803.61262913875</v>
      </c>
      <c r="T511" s="50" t="s">
        <v>7175</v>
      </c>
      <c r="U511" s="50">
        <v>1.3238376223523268E-3</v>
      </c>
      <c r="V511" s="50">
        <v>4.0000000000000036E-2</v>
      </c>
      <c r="W511" s="50">
        <v>1.0089369397118779</v>
      </c>
      <c r="X511" s="50" t="s">
        <v>7163</v>
      </c>
      <c r="Y511" s="50">
        <v>0.32</v>
      </c>
    </row>
    <row r="512" spans="2:25" x14ac:dyDescent="0.2">
      <c r="B512" s="50" t="s">
        <v>9</v>
      </c>
      <c r="C512" s="50" t="s">
        <v>864</v>
      </c>
      <c r="D512" s="50"/>
      <c r="E512" s="50"/>
      <c r="F512" s="51" t="s">
        <v>528</v>
      </c>
      <c r="G512" s="50" t="s">
        <v>527</v>
      </c>
      <c r="H512" s="50" t="s">
        <v>23</v>
      </c>
      <c r="I512" s="50">
        <v>0</v>
      </c>
      <c r="J512" s="50" t="s">
        <v>543</v>
      </c>
      <c r="K512" s="50" t="s">
        <v>7174</v>
      </c>
      <c r="L512" s="50">
        <v>5</v>
      </c>
      <c r="M512" s="50">
        <v>2.5</v>
      </c>
      <c r="N512" s="50">
        <v>1.3518518518518519</v>
      </c>
      <c r="O512" s="150">
        <v>195883.77779687496</v>
      </c>
      <c r="P512" s="150">
        <v>9061.125</v>
      </c>
      <c r="Q512" s="150">
        <v>186822.65279687496</v>
      </c>
      <c r="R512" s="150">
        <v>59070</v>
      </c>
      <c r="S512" s="150">
        <v>127752.65279687496</v>
      </c>
      <c r="T512" s="50" t="s">
        <v>7175</v>
      </c>
      <c r="U512" s="50">
        <v>1.2272810915557656E-3</v>
      </c>
      <c r="V512" s="50">
        <v>0.5</v>
      </c>
      <c r="W512" s="50">
        <v>1.0101642208034336</v>
      </c>
      <c r="X512" s="50" t="s">
        <v>7161</v>
      </c>
      <c r="Y512" s="50">
        <v>0.32</v>
      </c>
    </row>
    <row r="513" spans="2:25" x14ac:dyDescent="0.2">
      <c r="B513" s="50" t="s">
        <v>9</v>
      </c>
      <c r="C513" s="50" t="s">
        <v>938</v>
      </c>
      <c r="D513" s="50"/>
      <c r="E513" s="50"/>
      <c r="F513" s="51" t="s">
        <v>528</v>
      </c>
      <c r="G513" s="50" t="s">
        <v>527</v>
      </c>
      <c r="H513" s="50" t="s">
        <v>23</v>
      </c>
      <c r="I513" s="50" t="s">
        <v>1120</v>
      </c>
      <c r="J513" s="50" t="s">
        <v>543</v>
      </c>
      <c r="K513" s="50" t="s">
        <v>7174</v>
      </c>
      <c r="L513" s="50">
        <v>5</v>
      </c>
      <c r="M513" s="50">
        <v>1.8</v>
      </c>
      <c r="N513" s="50">
        <v>0.11839117742458644</v>
      </c>
      <c r="O513" s="150">
        <v>141036.32001375</v>
      </c>
      <c r="P513" s="150">
        <v>7546.01</v>
      </c>
      <c r="Q513" s="150">
        <v>133490.31001374999</v>
      </c>
      <c r="R513" s="150">
        <v>7242.5114468691772</v>
      </c>
      <c r="S513" s="150">
        <v>126247.79856688081</v>
      </c>
      <c r="T513" s="50" t="s">
        <v>7175</v>
      </c>
      <c r="U513" s="50">
        <v>1.2128244121711422E-3</v>
      </c>
      <c r="V513" s="50">
        <v>0.64</v>
      </c>
      <c r="W513" s="50">
        <v>1.0113770452156048</v>
      </c>
      <c r="X513" s="50" t="s">
        <v>7161</v>
      </c>
      <c r="Y513" s="50">
        <v>0.32</v>
      </c>
    </row>
    <row r="514" spans="2:25" x14ac:dyDescent="0.2">
      <c r="B514" s="50" t="s">
        <v>9</v>
      </c>
      <c r="C514" s="50" t="s">
        <v>7176</v>
      </c>
      <c r="D514" s="50"/>
      <c r="E514" s="50"/>
      <c r="F514" s="51" t="s">
        <v>528</v>
      </c>
      <c r="G514" s="50" t="s">
        <v>527</v>
      </c>
      <c r="H514" s="50" t="s">
        <v>10</v>
      </c>
      <c r="I514" s="50" t="s">
        <v>1120</v>
      </c>
      <c r="J514" s="50" t="s">
        <v>529</v>
      </c>
      <c r="K514" s="50" t="s">
        <v>7174</v>
      </c>
      <c r="L514" s="50">
        <v>2.5</v>
      </c>
      <c r="M514" s="50">
        <v>2.25</v>
      </c>
      <c r="N514" s="50">
        <v>0.94990240728692266</v>
      </c>
      <c r="O514" s="150">
        <v>176295.40001718749</v>
      </c>
      <c r="P514" s="150">
        <v>6695.0125000000007</v>
      </c>
      <c r="Q514" s="150">
        <v>169600.38751718748</v>
      </c>
      <c r="R514" s="150">
        <v>58109.727496936044</v>
      </c>
      <c r="S514" s="150">
        <v>111490.66002025144</v>
      </c>
      <c r="T514" s="50" t="s">
        <v>7175</v>
      </c>
      <c r="U514" s="50">
        <v>1.0710570460363391E-3</v>
      </c>
      <c r="V514" s="50">
        <v>0.1</v>
      </c>
      <c r="W514" s="50">
        <v>1.0124481022616412</v>
      </c>
      <c r="X514" s="50" t="s">
        <v>7160</v>
      </c>
      <c r="Y514" s="50">
        <v>0.32</v>
      </c>
    </row>
    <row r="515" spans="2:25" x14ac:dyDescent="0.2">
      <c r="B515" s="50" t="s">
        <v>9</v>
      </c>
      <c r="C515" s="50" t="s">
        <v>921</v>
      </c>
      <c r="D515" s="50"/>
      <c r="E515" s="50"/>
      <c r="F515" s="51" t="s">
        <v>528</v>
      </c>
      <c r="G515" s="50" t="s">
        <v>527</v>
      </c>
      <c r="H515" s="50" t="s">
        <v>23</v>
      </c>
      <c r="I515" s="50" t="s">
        <v>1124</v>
      </c>
      <c r="J515" s="50" t="s">
        <v>543</v>
      </c>
      <c r="K515" s="50" t="s">
        <v>7174</v>
      </c>
      <c r="L515" s="50">
        <v>54</v>
      </c>
      <c r="M515" s="50">
        <v>2.7</v>
      </c>
      <c r="N515" s="50">
        <v>0.86</v>
      </c>
      <c r="O515" s="150">
        <v>211554.48002062499</v>
      </c>
      <c r="P515" s="150">
        <v>45264.014999999999</v>
      </c>
      <c r="Q515" s="150">
        <v>166290.46502062498</v>
      </c>
      <c r="R515" s="150">
        <v>59070</v>
      </c>
      <c r="S515" s="150">
        <v>107220.46502062498</v>
      </c>
      <c r="T515" s="50" t="s">
        <v>7175</v>
      </c>
      <c r="U515" s="50">
        <v>1.0300345743650052E-3</v>
      </c>
      <c r="V515" s="50">
        <v>0.95</v>
      </c>
      <c r="W515" s="50">
        <v>1.0134781368360062</v>
      </c>
      <c r="X515" s="50" t="s">
        <v>7163</v>
      </c>
      <c r="Y515" s="50">
        <v>0.32</v>
      </c>
    </row>
    <row r="516" spans="2:25" x14ac:dyDescent="0.2">
      <c r="B516" s="50" t="s">
        <v>9</v>
      </c>
      <c r="C516" s="50" t="s">
        <v>1011</v>
      </c>
      <c r="D516" s="50"/>
      <c r="E516" s="50"/>
      <c r="F516" s="51" t="s">
        <v>528</v>
      </c>
      <c r="G516" s="50" t="s">
        <v>527</v>
      </c>
      <c r="H516" s="50" t="s">
        <v>23</v>
      </c>
      <c r="I516" s="50" t="s">
        <v>1121</v>
      </c>
      <c r="J516" s="50" t="s">
        <v>543</v>
      </c>
      <c r="K516" s="50" t="s">
        <v>7174</v>
      </c>
      <c r="L516" s="50">
        <v>201</v>
      </c>
      <c r="M516" s="50">
        <v>4.0199999999999996</v>
      </c>
      <c r="N516" s="50">
        <v>0.32</v>
      </c>
      <c r="O516" s="150">
        <v>314981.11469737499</v>
      </c>
      <c r="P516" s="150">
        <v>155431.08900000001</v>
      </c>
      <c r="Q516" s="150">
        <v>159550.02569737498</v>
      </c>
      <c r="R516" s="150">
        <v>59070</v>
      </c>
      <c r="S516" s="150">
        <v>100480.02569737498</v>
      </c>
      <c r="T516" s="50" t="s">
        <v>7175</v>
      </c>
      <c r="U516" s="50">
        <v>9.6528121270012706E-4</v>
      </c>
      <c r="V516" s="50">
        <v>0.98</v>
      </c>
      <c r="W516" s="50">
        <v>1.0144434180487063</v>
      </c>
      <c r="X516" s="50" t="s">
        <v>7161</v>
      </c>
      <c r="Y516" s="50">
        <v>0.32</v>
      </c>
    </row>
    <row r="517" spans="2:25" x14ac:dyDescent="0.2">
      <c r="B517" s="50" t="s">
        <v>9</v>
      </c>
      <c r="C517" s="50" t="s">
        <v>7177</v>
      </c>
      <c r="D517" s="50"/>
      <c r="E517" s="50"/>
      <c r="F517" s="51" t="s">
        <v>528</v>
      </c>
      <c r="G517" s="50" t="s">
        <v>527</v>
      </c>
      <c r="H517" s="50" t="e">
        <v>#N/A</v>
      </c>
      <c r="I517" s="50" t="s">
        <v>1120</v>
      </c>
      <c r="J517" s="50" t="e">
        <v>#N/A</v>
      </c>
      <c r="K517" s="50" t="s">
        <v>7174</v>
      </c>
      <c r="L517" s="50">
        <v>6</v>
      </c>
      <c r="M517" s="50">
        <v>2.82</v>
      </c>
      <c r="N517" s="50">
        <v>1.8387909319899245</v>
      </c>
      <c r="O517" s="150">
        <v>220956.90135487495</v>
      </c>
      <c r="P517" s="150">
        <v>10483.749</v>
      </c>
      <c r="Q517" s="150">
        <v>210473.15235487494</v>
      </c>
      <c r="R517" s="150">
        <v>112486.96619998828</v>
      </c>
      <c r="S517" s="150">
        <v>97986.186154886658</v>
      </c>
      <c r="T517" s="50" t="s">
        <v>7175</v>
      </c>
      <c r="U517" s="50">
        <v>9.4132365057625963E-4</v>
      </c>
      <c r="V517" s="50">
        <v>0.53</v>
      </c>
      <c r="W517" s="50">
        <v>1.0153847416992825</v>
      </c>
      <c r="X517" s="50" t="s">
        <v>7160</v>
      </c>
      <c r="Y517" s="50">
        <v>0.32</v>
      </c>
    </row>
    <row r="518" spans="2:25" x14ac:dyDescent="0.2">
      <c r="B518" s="50" t="s">
        <v>9</v>
      </c>
      <c r="C518" s="50" t="s">
        <v>807</v>
      </c>
      <c r="D518" s="50"/>
      <c r="E518" s="50"/>
      <c r="F518" s="51" t="s">
        <v>528</v>
      </c>
      <c r="G518" s="50" t="s">
        <v>527</v>
      </c>
      <c r="H518" s="50" t="s">
        <v>10</v>
      </c>
      <c r="I518" s="50" t="s">
        <v>1120</v>
      </c>
      <c r="J518" s="50" t="s">
        <v>529</v>
      </c>
      <c r="K518" s="50" t="s">
        <v>7174</v>
      </c>
      <c r="L518" s="50">
        <v>2</v>
      </c>
      <c r="M518" s="50">
        <v>1.85</v>
      </c>
      <c r="N518" s="50">
        <v>0.69990412272291458</v>
      </c>
      <c r="O518" s="150">
        <v>144953.99556968751</v>
      </c>
      <c r="P518" s="150">
        <v>5464.2325000000001</v>
      </c>
      <c r="Q518" s="150">
        <v>139489.7630696875</v>
      </c>
      <c r="R518" s="150">
        <v>42816.227786572716</v>
      </c>
      <c r="S518" s="150">
        <v>96673.53528311479</v>
      </c>
      <c r="T518" s="50" t="s">
        <v>7175</v>
      </c>
      <c r="U518" s="50">
        <v>9.2871341071453818E-4</v>
      </c>
      <c r="V518" s="50">
        <v>7.4999999999999956E-2</v>
      </c>
      <c r="W518" s="50">
        <v>1.016313455109997</v>
      </c>
      <c r="X518" s="50" t="s">
        <v>7160</v>
      </c>
      <c r="Y518" s="50">
        <v>0.32</v>
      </c>
    </row>
    <row r="519" spans="2:25" x14ac:dyDescent="0.2">
      <c r="B519" s="50" t="s">
        <v>9</v>
      </c>
      <c r="C519" s="50" t="s">
        <v>897</v>
      </c>
      <c r="D519" s="50"/>
      <c r="E519" s="50"/>
      <c r="F519" s="51" t="s">
        <v>528</v>
      </c>
      <c r="G519" s="50" t="s">
        <v>527</v>
      </c>
      <c r="H519" s="50" t="s">
        <v>23</v>
      </c>
      <c r="I519" s="50" t="s">
        <v>1120</v>
      </c>
      <c r="J519" s="50" t="s">
        <v>543</v>
      </c>
      <c r="K519" s="50" t="s">
        <v>7174</v>
      </c>
      <c r="L519" s="50">
        <v>5</v>
      </c>
      <c r="M519" s="50">
        <v>2</v>
      </c>
      <c r="N519" s="50">
        <v>0.86</v>
      </c>
      <c r="O519" s="150">
        <v>156707.0222375</v>
      </c>
      <c r="P519" s="150">
        <v>7978.9</v>
      </c>
      <c r="Q519" s="150">
        <v>148728.12223750001</v>
      </c>
      <c r="R519" s="150">
        <v>52610</v>
      </c>
      <c r="S519" s="150">
        <v>96118.122237500007</v>
      </c>
      <c r="T519" s="50" t="s">
        <v>7175</v>
      </c>
      <c r="U519" s="50">
        <v>9.2337772559205201E-4</v>
      </c>
      <c r="V519" s="50">
        <v>0.6</v>
      </c>
      <c r="W519" s="50">
        <v>1.0172368328355892</v>
      </c>
      <c r="X519" s="50" t="s">
        <v>7163</v>
      </c>
      <c r="Y519" s="50">
        <v>0.32</v>
      </c>
    </row>
    <row r="520" spans="2:25" x14ac:dyDescent="0.2">
      <c r="B520" s="50" t="s">
        <v>9</v>
      </c>
      <c r="C520" s="50" t="s">
        <v>900</v>
      </c>
      <c r="D520" s="50"/>
      <c r="E520" s="50"/>
      <c r="F520" s="51" t="s">
        <v>528</v>
      </c>
      <c r="G520" s="50" t="s">
        <v>527</v>
      </c>
      <c r="H520" s="50" t="s">
        <v>10</v>
      </c>
      <c r="I520" s="50" t="s">
        <v>1120</v>
      </c>
      <c r="J520" s="50" t="s">
        <v>529</v>
      </c>
      <c r="K520" s="50" t="s">
        <v>7174</v>
      </c>
      <c r="L520" s="50">
        <v>20</v>
      </c>
      <c r="M520" s="50">
        <v>1.8</v>
      </c>
      <c r="N520" s="50">
        <v>0.57753164556962022</v>
      </c>
      <c r="O520" s="150">
        <v>141036.32001375</v>
      </c>
      <c r="P520" s="150">
        <v>18496.009999999998</v>
      </c>
      <c r="Q520" s="150">
        <v>122540.31001375</v>
      </c>
      <c r="R520" s="150">
        <v>35330.162643508978</v>
      </c>
      <c r="S520" s="150">
        <v>87210.147370241029</v>
      </c>
      <c r="T520" s="50" t="s">
        <v>7175</v>
      </c>
      <c r="U520" s="50">
        <v>8.3780150561309317E-4</v>
      </c>
      <c r="V520" s="50">
        <v>0.90999999999999992</v>
      </c>
      <c r="W520" s="50">
        <v>1.0180746343412024</v>
      </c>
      <c r="X520" s="50" t="s">
        <v>7162</v>
      </c>
      <c r="Y520" s="50">
        <v>0.32</v>
      </c>
    </row>
    <row r="521" spans="2:25" x14ac:dyDescent="0.2">
      <c r="B521" s="50" t="s">
        <v>9</v>
      </c>
      <c r="C521" s="50" t="s">
        <v>1027</v>
      </c>
      <c r="D521" s="50"/>
      <c r="E521" s="50"/>
      <c r="F521" s="51" t="s">
        <v>528</v>
      </c>
      <c r="G521" s="50" t="s">
        <v>527</v>
      </c>
      <c r="H521" s="50" t="s">
        <v>23</v>
      </c>
      <c r="I521" s="50" t="s">
        <v>1120</v>
      </c>
      <c r="J521" s="50" t="s">
        <v>543</v>
      </c>
      <c r="K521" s="50" t="s">
        <v>7174</v>
      </c>
      <c r="L521" s="50">
        <v>2</v>
      </c>
      <c r="M521" s="50">
        <v>1.8</v>
      </c>
      <c r="N521" s="50">
        <v>0.86</v>
      </c>
      <c r="O521" s="150">
        <v>141036.32001375</v>
      </c>
      <c r="P521" s="150">
        <v>5356.01</v>
      </c>
      <c r="Q521" s="150">
        <v>135680.31001374999</v>
      </c>
      <c r="R521" s="150">
        <v>52610</v>
      </c>
      <c r="S521" s="150">
        <v>83070.310013749986</v>
      </c>
      <c r="T521" s="50" t="s">
        <v>7175</v>
      </c>
      <c r="U521" s="50">
        <v>7.9803134038751488E-4</v>
      </c>
      <c r="V521" s="50">
        <v>9.9999999999999978E-2</v>
      </c>
      <c r="W521" s="50">
        <v>1.0188726656815899</v>
      </c>
      <c r="X521" s="50" t="s">
        <v>7160</v>
      </c>
      <c r="Y521" s="50">
        <v>0.32</v>
      </c>
    </row>
    <row r="522" spans="2:25" x14ac:dyDescent="0.2">
      <c r="B522" s="50" t="s">
        <v>9</v>
      </c>
      <c r="C522" s="50" t="s">
        <v>1051</v>
      </c>
      <c r="D522" s="50"/>
      <c r="E522" s="50"/>
      <c r="F522" s="51" t="s">
        <v>528</v>
      </c>
      <c r="G522" s="50" t="s">
        <v>527</v>
      </c>
      <c r="H522" s="50" t="s">
        <v>10</v>
      </c>
      <c r="I522" s="50" t="s">
        <v>1120</v>
      </c>
      <c r="J522" s="50" t="s">
        <v>529</v>
      </c>
      <c r="K522" s="50" t="s">
        <v>7174</v>
      </c>
      <c r="L522" s="50">
        <v>19</v>
      </c>
      <c r="M522" s="50">
        <v>1.9</v>
      </c>
      <c r="N522" s="50">
        <v>0.86</v>
      </c>
      <c r="O522" s="150">
        <v>148871.67112562497</v>
      </c>
      <c r="P522" s="150">
        <v>17982.454999999998</v>
      </c>
      <c r="Q522" s="150">
        <v>130889.21612562497</v>
      </c>
      <c r="R522" s="150">
        <v>52610</v>
      </c>
      <c r="S522" s="150">
        <v>78279.216125624967</v>
      </c>
      <c r="T522" s="50" t="s">
        <v>7175</v>
      </c>
      <c r="U522" s="50">
        <v>7.5200475066093295E-4</v>
      </c>
      <c r="V522" s="50">
        <v>0.9</v>
      </c>
      <c r="W522" s="50">
        <v>1.0196246704322507</v>
      </c>
      <c r="X522" s="50" t="s">
        <v>7161</v>
      </c>
      <c r="Y522" s="50">
        <v>0.32</v>
      </c>
    </row>
    <row r="523" spans="2:25" x14ac:dyDescent="0.2">
      <c r="B523" s="50" t="s">
        <v>9</v>
      </c>
      <c r="C523" s="50" t="s">
        <v>939</v>
      </c>
      <c r="D523" s="50"/>
      <c r="E523" s="50"/>
      <c r="F523" s="51" t="s">
        <v>528</v>
      </c>
      <c r="G523" s="50" t="s">
        <v>527</v>
      </c>
      <c r="H523" s="50" t="s">
        <v>23</v>
      </c>
      <c r="I523" s="50" t="s">
        <v>1120</v>
      </c>
      <c r="J523" s="50" t="s">
        <v>543</v>
      </c>
      <c r="K523" s="50" t="s">
        <v>7174</v>
      </c>
      <c r="L523" s="50">
        <v>40</v>
      </c>
      <c r="M523" s="50">
        <v>1.6</v>
      </c>
      <c r="N523" s="50">
        <v>0.36079077429983525</v>
      </c>
      <c r="O523" s="150">
        <v>125365.61779</v>
      </c>
      <c r="P523" s="150">
        <v>32663.119999999999</v>
      </c>
      <c r="Q523" s="150">
        <v>92702.497790000009</v>
      </c>
      <c r="R523" s="150">
        <v>22071.165855714342</v>
      </c>
      <c r="S523" s="150">
        <v>70631.33193428567</v>
      </c>
      <c r="T523" s="50" t="s">
        <v>7175</v>
      </c>
      <c r="U523" s="50">
        <v>6.7853384064106234E-4</v>
      </c>
      <c r="V523" s="50">
        <v>0.96</v>
      </c>
      <c r="W523" s="50">
        <v>1.0210181776714327</v>
      </c>
      <c r="X523" s="50" t="s">
        <v>7161</v>
      </c>
      <c r="Y523" s="50">
        <v>0.32</v>
      </c>
    </row>
    <row r="524" spans="2:25" x14ac:dyDescent="0.2">
      <c r="B524" s="50" t="s">
        <v>9</v>
      </c>
      <c r="C524" s="50" t="s">
        <v>1079</v>
      </c>
      <c r="D524" s="50"/>
      <c r="E524" s="50"/>
      <c r="F524" s="51" t="s">
        <v>528</v>
      </c>
      <c r="G524" s="50" t="s">
        <v>527</v>
      </c>
      <c r="H524" s="50" t="s">
        <v>697</v>
      </c>
      <c r="I524" s="50" t="s">
        <v>1123</v>
      </c>
      <c r="J524" s="50" t="s">
        <v>698</v>
      </c>
      <c r="K524" s="50" t="s">
        <v>7174</v>
      </c>
      <c r="L524" s="50">
        <v>5</v>
      </c>
      <c r="M524" s="50">
        <v>1.75</v>
      </c>
      <c r="N524" s="50">
        <v>0.86</v>
      </c>
      <c r="O524" s="150">
        <v>137118.64445781248</v>
      </c>
      <c r="P524" s="150">
        <v>7437.7874999999995</v>
      </c>
      <c r="Q524" s="150">
        <v>129680.85695781247</v>
      </c>
      <c r="R524" s="150">
        <v>59070</v>
      </c>
      <c r="S524" s="150">
        <v>70610.856957812473</v>
      </c>
      <c r="T524" s="50" t="s">
        <v>7175</v>
      </c>
      <c r="U524" s="50">
        <v>6.7833714373555416E-4</v>
      </c>
      <c r="V524" s="50">
        <v>0.65</v>
      </c>
      <c r="W524" s="50">
        <v>1.0216965148151682</v>
      </c>
      <c r="X524" s="50" t="s">
        <v>7163</v>
      </c>
      <c r="Y524" s="50">
        <v>0.32</v>
      </c>
    </row>
    <row r="525" spans="2:25" x14ac:dyDescent="0.2">
      <c r="B525" s="50" t="s">
        <v>9</v>
      </c>
      <c r="C525" s="50" t="s">
        <v>762</v>
      </c>
      <c r="D525" s="50"/>
      <c r="E525" s="50"/>
      <c r="F525" s="51" t="s">
        <v>528</v>
      </c>
      <c r="G525" s="50" t="s">
        <v>527</v>
      </c>
      <c r="H525" s="50" t="s">
        <v>23</v>
      </c>
      <c r="I525" s="50" t="s">
        <v>1120</v>
      </c>
      <c r="J525" s="50" t="s">
        <v>543</v>
      </c>
      <c r="K525" s="50" t="s">
        <v>7174</v>
      </c>
      <c r="L525" s="50">
        <v>5</v>
      </c>
      <c r="M525" s="50">
        <v>1.25</v>
      </c>
      <c r="N525" s="50">
        <v>0.36893530997304586</v>
      </c>
      <c r="O525" s="150">
        <v>97941.888898437479</v>
      </c>
      <c r="P525" s="150">
        <v>6355.5625000000009</v>
      </c>
      <c r="Q525" s="150">
        <v>91586.326398437479</v>
      </c>
      <c r="R525" s="150">
        <v>22569.403090327844</v>
      </c>
      <c r="S525" s="150">
        <v>69016.923308109632</v>
      </c>
      <c r="T525" s="50" t="s">
        <v>7175</v>
      </c>
      <c r="U525" s="50">
        <v>6.6302470531139784E-4</v>
      </c>
      <c r="V525" s="50">
        <v>0.75</v>
      </c>
      <c r="W525" s="50">
        <v>1.0223595395204796</v>
      </c>
      <c r="X525" s="50" t="s">
        <v>7159</v>
      </c>
      <c r="Y525" s="50">
        <v>0.32</v>
      </c>
    </row>
    <row r="526" spans="2:25" x14ac:dyDescent="0.2">
      <c r="B526" s="50" t="s">
        <v>9</v>
      </c>
      <c r="C526" s="50" t="s">
        <v>620</v>
      </c>
      <c r="D526" s="50"/>
      <c r="E526" s="50"/>
      <c r="F526" s="51" t="s">
        <v>528</v>
      </c>
      <c r="G526" s="50" t="s">
        <v>527</v>
      </c>
      <c r="H526" s="50" t="s">
        <v>621</v>
      </c>
      <c r="I526" s="50" t="s">
        <v>1120</v>
      </c>
      <c r="J526" s="50" t="s">
        <v>622</v>
      </c>
      <c r="K526" s="50" t="s">
        <v>7174</v>
      </c>
      <c r="L526" s="50">
        <v>33</v>
      </c>
      <c r="M526" s="50">
        <v>1.32</v>
      </c>
      <c r="N526" s="50">
        <v>0.24562584118438763</v>
      </c>
      <c r="O526" s="150">
        <v>103426.63467675001</v>
      </c>
      <c r="P526" s="150">
        <v>26947.074000000001</v>
      </c>
      <c r="Q526" s="150">
        <v>76479.560676749999</v>
      </c>
      <c r="R526" s="150">
        <v>15026.018028733293</v>
      </c>
      <c r="S526" s="150">
        <v>61453.542648016708</v>
      </c>
      <c r="T526" s="50" t="s">
        <v>7175</v>
      </c>
      <c r="U526" s="50">
        <v>5.9036559515476188E-4</v>
      </c>
      <c r="V526" s="50">
        <v>0.96</v>
      </c>
      <c r="W526" s="50">
        <v>1.0229499051156343</v>
      </c>
      <c r="X526" s="50" t="s">
        <v>7161</v>
      </c>
      <c r="Y526" s="50">
        <v>0.32</v>
      </c>
    </row>
    <row r="527" spans="2:25" x14ac:dyDescent="0.2">
      <c r="B527" s="50" t="s">
        <v>9</v>
      </c>
      <c r="C527" s="50" t="s">
        <v>955</v>
      </c>
      <c r="D527" s="50"/>
      <c r="E527" s="50"/>
      <c r="F527" s="51" t="s">
        <v>528</v>
      </c>
      <c r="G527" s="50" t="s">
        <v>527</v>
      </c>
      <c r="H527" s="50" t="s">
        <v>10</v>
      </c>
      <c r="I527" s="50">
        <v>0</v>
      </c>
      <c r="J527" s="50" t="s">
        <v>529</v>
      </c>
      <c r="K527" s="50" t="s">
        <v>7174</v>
      </c>
      <c r="L527" s="50">
        <v>2</v>
      </c>
      <c r="M527" s="50">
        <v>1.6</v>
      </c>
      <c r="N527" s="50">
        <v>0.86</v>
      </c>
      <c r="O527" s="150">
        <v>125365.61779</v>
      </c>
      <c r="P527" s="150">
        <v>4923.12</v>
      </c>
      <c r="Q527" s="150">
        <v>120442.49779000001</v>
      </c>
      <c r="R527" s="150">
        <v>59070</v>
      </c>
      <c r="S527" s="150">
        <v>61372.497790000009</v>
      </c>
      <c r="T527" s="50" t="s">
        <v>7175</v>
      </c>
      <c r="U527" s="50">
        <v>5.8958702171903155E-4</v>
      </c>
      <c r="V527" s="50">
        <v>0.19999999999999996</v>
      </c>
      <c r="W527" s="50">
        <v>1.0235394921373533</v>
      </c>
      <c r="X527" s="50" t="s">
        <v>7163</v>
      </c>
      <c r="Y527" s="50">
        <v>0.32</v>
      </c>
    </row>
    <row r="528" spans="2:25" x14ac:dyDescent="0.2">
      <c r="B528" s="50" t="s">
        <v>9</v>
      </c>
      <c r="C528" s="50" t="s">
        <v>696</v>
      </c>
      <c r="D528" s="50"/>
      <c r="E528" s="50"/>
      <c r="F528" s="51" t="s">
        <v>528</v>
      </c>
      <c r="G528" s="50" t="s">
        <v>527</v>
      </c>
      <c r="H528" s="50" t="s">
        <v>697</v>
      </c>
      <c r="I528" s="50" t="s">
        <v>1120</v>
      </c>
      <c r="J528" s="50" t="s">
        <v>698</v>
      </c>
      <c r="K528" s="50" t="s">
        <v>7174</v>
      </c>
      <c r="L528" s="50">
        <v>7</v>
      </c>
      <c r="M528" s="50">
        <v>1.19</v>
      </c>
      <c r="N528" s="50">
        <v>0.4205069124423963</v>
      </c>
      <c r="O528" s="150">
        <v>93240.678231312471</v>
      </c>
      <c r="P528" s="150">
        <v>7685.6954999999998</v>
      </c>
      <c r="Q528" s="150">
        <v>85554.98273131247</v>
      </c>
      <c r="R528" s="150">
        <v>25724.265887900547</v>
      </c>
      <c r="S528" s="150">
        <v>59830.716843411923</v>
      </c>
      <c r="T528" s="50" t="s">
        <v>7175</v>
      </c>
      <c r="U528" s="50">
        <v>5.7477559853804229E-4</v>
      </c>
      <c r="V528" s="50">
        <v>0.83000000000000007</v>
      </c>
      <c r="W528" s="50">
        <v>1.0241142677358914</v>
      </c>
      <c r="X528" s="50" t="s">
        <v>7161</v>
      </c>
      <c r="Y528" s="50">
        <v>0.32</v>
      </c>
    </row>
    <row r="529" spans="2:25" x14ac:dyDescent="0.2">
      <c r="B529" s="50" t="s">
        <v>9</v>
      </c>
      <c r="C529" s="50" t="s">
        <v>614</v>
      </c>
      <c r="D529" s="50"/>
      <c r="E529" s="50"/>
      <c r="F529" s="51" t="s">
        <v>528</v>
      </c>
      <c r="G529" s="50" t="s">
        <v>527</v>
      </c>
      <c r="H529" s="50" t="s">
        <v>10</v>
      </c>
      <c r="I529" s="50" t="s">
        <v>1120</v>
      </c>
      <c r="J529" s="50" t="s">
        <v>529</v>
      </c>
      <c r="K529" s="50" t="s">
        <v>7174</v>
      </c>
      <c r="L529" s="50">
        <v>85</v>
      </c>
      <c r="M529" s="50">
        <v>1.7</v>
      </c>
      <c r="N529" s="50">
        <v>0.1414180550174351</v>
      </c>
      <c r="O529" s="150">
        <v>133200.96890187499</v>
      </c>
      <c r="P529" s="150">
        <v>65729.565000000002</v>
      </c>
      <c r="Q529" s="150">
        <v>67471.40390187499</v>
      </c>
      <c r="R529" s="150">
        <v>8651.1672958921627</v>
      </c>
      <c r="S529" s="150">
        <v>58820.236605982827</v>
      </c>
      <c r="T529" s="50" t="s">
        <v>7175</v>
      </c>
      <c r="U529" s="50">
        <v>5.6506822055694223E-4</v>
      </c>
      <c r="V529" s="50">
        <v>0.98</v>
      </c>
      <c r="W529" s="50">
        <v>1.0246793359564483</v>
      </c>
      <c r="X529" s="50" t="s">
        <v>7159</v>
      </c>
      <c r="Y529" s="50">
        <v>0.32</v>
      </c>
    </row>
    <row r="530" spans="2:25" x14ac:dyDescent="0.2">
      <c r="B530" s="50" t="s">
        <v>9</v>
      </c>
      <c r="C530" s="50" t="s">
        <v>567</v>
      </c>
      <c r="D530" s="50"/>
      <c r="E530" s="50"/>
      <c r="F530" s="51" t="s">
        <v>528</v>
      </c>
      <c r="G530" s="50" t="s">
        <v>527</v>
      </c>
      <c r="H530" s="50" t="s">
        <v>568</v>
      </c>
      <c r="I530" s="50" t="s">
        <v>1120</v>
      </c>
      <c r="J530" s="50" t="s">
        <v>569</v>
      </c>
      <c r="K530" s="50" t="s">
        <v>7174</v>
      </c>
      <c r="L530" s="50">
        <v>1</v>
      </c>
      <c r="M530" s="50">
        <v>0.9</v>
      </c>
      <c r="N530" s="50">
        <v>0.15310402684563759</v>
      </c>
      <c r="O530" s="150">
        <v>70518.160006874998</v>
      </c>
      <c r="P530" s="150">
        <v>2678.0050000000001</v>
      </c>
      <c r="Q530" s="150">
        <v>67840.155006874993</v>
      </c>
      <c r="R530" s="150">
        <v>9366.0498283127836</v>
      </c>
      <c r="S530" s="150">
        <v>58474.105178562211</v>
      </c>
      <c r="T530" s="50" t="s">
        <v>7175</v>
      </c>
      <c r="U530" s="50">
        <v>5.617430406349099E-4</v>
      </c>
      <c r="V530" s="50">
        <v>9.9999999999999978E-2</v>
      </c>
      <c r="W530" s="50">
        <v>1.0252410789970832</v>
      </c>
      <c r="X530" s="50" t="s">
        <v>7161</v>
      </c>
      <c r="Y530" s="50">
        <v>0.32</v>
      </c>
    </row>
    <row r="531" spans="2:25" x14ac:dyDescent="0.2">
      <c r="B531" s="50" t="s">
        <v>9</v>
      </c>
      <c r="C531" s="50" t="s">
        <v>976</v>
      </c>
      <c r="D531" s="50"/>
      <c r="E531" s="50"/>
      <c r="F531" s="51" t="s">
        <v>528</v>
      </c>
      <c r="G531" s="50" t="s">
        <v>527</v>
      </c>
      <c r="H531" s="50" t="s">
        <v>23</v>
      </c>
      <c r="I531" s="50" t="s">
        <v>1120</v>
      </c>
      <c r="J531" s="50" t="s">
        <v>543</v>
      </c>
      <c r="K531" s="50" t="s">
        <v>7174</v>
      </c>
      <c r="L531" s="50">
        <v>40</v>
      </c>
      <c r="M531" s="50">
        <v>1.6</v>
      </c>
      <c r="N531" s="50">
        <v>0.59562663185378584</v>
      </c>
      <c r="O531" s="150">
        <v>125365.61779</v>
      </c>
      <c r="P531" s="150">
        <v>32663.119999999999</v>
      </c>
      <c r="Q531" s="150">
        <v>92702.497790000009</v>
      </c>
      <c r="R531" s="150">
        <v>36437.112909101939</v>
      </c>
      <c r="S531" s="150">
        <v>56265.384880898069</v>
      </c>
      <c r="T531" s="50" t="s">
        <v>7175</v>
      </c>
      <c r="U531" s="50">
        <v>5.4052453285042873E-4</v>
      </c>
      <c r="V531" s="50">
        <v>0.96</v>
      </c>
      <c r="W531" s="50">
        <v>1.0257816035299336</v>
      </c>
      <c r="X531" s="50" t="s">
        <v>7159</v>
      </c>
      <c r="Y531" s="50">
        <v>0.32</v>
      </c>
    </row>
    <row r="532" spans="2:25" x14ac:dyDescent="0.2">
      <c r="B532" s="50" t="s">
        <v>9</v>
      </c>
      <c r="C532" s="50" t="s">
        <v>929</v>
      </c>
      <c r="D532" s="50"/>
      <c r="E532" s="50"/>
      <c r="F532" s="51" t="s">
        <v>528</v>
      </c>
      <c r="G532" s="50" t="s">
        <v>527</v>
      </c>
      <c r="H532" s="50" t="s">
        <v>23</v>
      </c>
      <c r="I532" s="50" t="s">
        <v>1121</v>
      </c>
      <c r="J532" s="50" t="s">
        <v>543</v>
      </c>
      <c r="K532" s="50" t="s">
        <v>7174</v>
      </c>
      <c r="L532" s="50">
        <v>30</v>
      </c>
      <c r="M532" s="50">
        <v>1.8</v>
      </c>
      <c r="N532" s="50">
        <v>0.32</v>
      </c>
      <c r="O532" s="150">
        <v>141036.32001375</v>
      </c>
      <c r="P532" s="150">
        <v>25796.010000000002</v>
      </c>
      <c r="Q532" s="150">
        <v>115240.31001374999</v>
      </c>
      <c r="R532" s="150">
        <v>59070</v>
      </c>
      <c r="S532" s="150">
        <v>56170.310013749986</v>
      </c>
      <c r="T532" s="50" t="s">
        <v>7175</v>
      </c>
      <c r="U532" s="50">
        <v>5.3961117736090673E-4</v>
      </c>
      <c r="V532" s="50">
        <v>0.94</v>
      </c>
      <c r="W532" s="50">
        <v>1.0263212147072946</v>
      </c>
      <c r="X532" s="50" t="s">
        <v>7163</v>
      </c>
      <c r="Y532" s="50">
        <v>0.32</v>
      </c>
    </row>
    <row r="533" spans="2:25" x14ac:dyDescent="0.2">
      <c r="B533" s="50" t="s">
        <v>9</v>
      </c>
      <c r="C533" s="50" t="s">
        <v>191</v>
      </c>
      <c r="D533" s="50"/>
      <c r="E533" s="50"/>
      <c r="F533" s="51" t="s">
        <v>528</v>
      </c>
      <c r="G533" s="50" t="s">
        <v>527</v>
      </c>
      <c r="H533" s="50" t="s">
        <v>15</v>
      </c>
      <c r="I533" s="50" t="s">
        <v>1120</v>
      </c>
      <c r="J533" s="50" t="s">
        <v>16</v>
      </c>
      <c r="K533" s="50" t="s">
        <v>7174</v>
      </c>
      <c r="L533" s="50">
        <v>2</v>
      </c>
      <c r="M533" s="50">
        <v>0.8</v>
      </c>
      <c r="N533" s="50">
        <v>0.14230019493177387</v>
      </c>
      <c r="O533" s="150">
        <v>62682.808895000002</v>
      </c>
      <c r="P533" s="150">
        <v>3191.56</v>
      </c>
      <c r="Q533" s="150">
        <v>59491.248895000004</v>
      </c>
      <c r="R533" s="150">
        <v>8705.131692279796</v>
      </c>
      <c r="S533" s="150">
        <v>50786.117202720212</v>
      </c>
      <c r="T533" s="50" t="s">
        <v>7175</v>
      </c>
      <c r="U533" s="50">
        <v>4.8788686568830428E-4</v>
      </c>
      <c r="V533" s="50">
        <v>0.6</v>
      </c>
      <c r="W533" s="50">
        <v>1.026809101572983</v>
      </c>
      <c r="X533" s="50" t="s">
        <v>7162</v>
      </c>
      <c r="Y533" s="50">
        <v>0.32</v>
      </c>
    </row>
    <row r="534" spans="2:25" x14ac:dyDescent="0.2">
      <c r="B534" s="50" t="s">
        <v>9</v>
      </c>
      <c r="C534" s="50" t="s">
        <v>810</v>
      </c>
      <c r="D534" s="50"/>
      <c r="E534" s="50"/>
      <c r="F534" s="51" t="s">
        <v>528</v>
      </c>
      <c r="G534" s="50" t="s">
        <v>527</v>
      </c>
      <c r="H534" s="50" t="s">
        <v>10</v>
      </c>
      <c r="I534" s="50" t="s">
        <v>1120</v>
      </c>
      <c r="J534" s="50" t="s">
        <v>529</v>
      </c>
      <c r="K534" s="50" t="s">
        <v>7174</v>
      </c>
      <c r="L534" s="50">
        <v>14</v>
      </c>
      <c r="M534" s="50">
        <v>0.84</v>
      </c>
      <c r="N534" s="50">
        <v>0.10150166852057842</v>
      </c>
      <c r="O534" s="150">
        <v>65816.94933974999</v>
      </c>
      <c r="P534" s="150">
        <v>12038.138000000001</v>
      </c>
      <c r="Q534" s="150">
        <v>53778.811339749991</v>
      </c>
      <c r="R534" s="150">
        <v>6209.3055591484081</v>
      </c>
      <c r="S534" s="150">
        <v>47569.505780601583</v>
      </c>
      <c r="T534" s="50" t="s">
        <v>7175</v>
      </c>
      <c r="U534" s="50">
        <v>4.5698585274788991E-4</v>
      </c>
      <c r="V534" s="50">
        <v>0.94000000000000006</v>
      </c>
      <c r="W534" s="50">
        <v>1.0272660874257309</v>
      </c>
      <c r="X534" s="50" t="s">
        <v>7161</v>
      </c>
      <c r="Y534" s="50">
        <v>0.32</v>
      </c>
    </row>
    <row r="535" spans="2:25" x14ac:dyDescent="0.2">
      <c r="B535" s="50" t="s">
        <v>9</v>
      </c>
      <c r="C535" s="50" t="s">
        <v>7178</v>
      </c>
      <c r="D535" s="50"/>
      <c r="E535" s="50"/>
      <c r="F535" s="51" t="s">
        <v>528</v>
      </c>
      <c r="G535" s="50" t="s">
        <v>527</v>
      </c>
      <c r="H535" s="50" t="s">
        <v>10</v>
      </c>
      <c r="I535" s="50" t="s">
        <v>1120</v>
      </c>
      <c r="J535" s="50" t="s">
        <v>529</v>
      </c>
      <c r="K535" s="50" t="s">
        <v>7174</v>
      </c>
      <c r="L535" s="50">
        <v>26</v>
      </c>
      <c r="M535" s="50">
        <v>1.56</v>
      </c>
      <c r="N535" s="50">
        <v>0.86</v>
      </c>
      <c r="O535" s="150">
        <v>122231.47734524998</v>
      </c>
      <c r="P535" s="150">
        <v>22356.541999999998</v>
      </c>
      <c r="Q535" s="150">
        <v>99874.935345249978</v>
      </c>
      <c r="R535" s="150">
        <v>52610</v>
      </c>
      <c r="S535" s="150">
        <v>47264.935345249978</v>
      </c>
      <c r="T535" s="50" t="s">
        <v>7175</v>
      </c>
      <c r="U535" s="50">
        <v>4.5405993670489191E-4</v>
      </c>
      <c r="V535" s="50">
        <v>0.94000000000000006</v>
      </c>
      <c r="W535" s="50">
        <v>1.0277201473624358</v>
      </c>
      <c r="X535" s="50" t="e">
        <v>#N/A</v>
      </c>
      <c r="Y535" s="50">
        <v>0.32</v>
      </c>
    </row>
    <row r="536" spans="2:25" x14ac:dyDescent="0.2">
      <c r="B536" s="50" t="s">
        <v>9</v>
      </c>
      <c r="C536" s="50" t="s">
        <v>940</v>
      </c>
      <c r="D536" s="50"/>
      <c r="E536" s="50"/>
      <c r="F536" s="51" t="s">
        <v>528</v>
      </c>
      <c r="G536" s="50" t="s">
        <v>527</v>
      </c>
      <c r="H536" s="50" t="s">
        <v>23</v>
      </c>
      <c r="I536" s="50" t="s">
        <v>1120</v>
      </c>
      <c r="J536" s="50" t="s">
        <v>543</v>
      </c>
      <c r="K536" s="50" t="s">
        <v>7174</v>
      </c>
      <c r="L536" s="50">
        <v>28</v>
      </c>
      <c r="M536" s="50">
        <v>1.68</v>
      </c>
      <c r="N536" s="50">
        <v>0.98915989159891604</v>
      </c>
      <c r="O536" s="150">
        <v>131633.89867949998</v>
      </c>
      <c r="P536" s="150">
        <v>24076.276000000002</v>
      </c>
      <c r="Q536" s="150">
        <v>107557.62267949998</v>
      </c>
      <c r="R536" s="150">
        <v>60511.281275603455</v>
      </c>
      <c r="S536" s="150">
        <v>47046.341403896527</v>
      </c>
      <c r="T536" s="50" t="s">
        <v>7175</v>
      </c>
      <c r="U536" s="50">
        <v>4.5195997083272881E-4</v>
      </c>
      <c r="V536" s="50">
        <v>0.94000000000000006</v>
      </c>
      <c r="W536" s="50">
        <v>1.0281721073332686</v>
      </c>
      <c r="X536" s="50" t="s">
        <v>7161</v>
      </c>
      <c r="Y536" s="50">
        <v>0.32</v>
      </c>
    </row>
    <row r="537" spans="2:25" x14ac:dyDescent="0.2">
      <c r="B537" s="50" t="s">
        <v>9</v>
      </c>
      <c r="C537" s="50" t="s">
        <v>992</v>
      </c>
      <c r="D537" s="50"/>
      <c r="E537" s="50"/>
      <c r="F537" s="51" t="s">
        <v>528</v>
      </c>
      <c r="G537" s="50" t="s">
        <v>527</v>
      </c>
      <c r="H537" s="50" t="s">
        <v>621</v>
      </c>
      <c r="I537" s="50" t="s">
        <v>1120</v>
      </c>
      <c r="J537" s="50" t="s">
        <v>622</v>
      </c>
      <c r="K537" s="50" t="s">
        <v>7174</v>
      </c>
      <c r="L537" s="50">
        <v>26</v>
      </c>
      <c r="M537" s="50">
        <v>1.04</v>
      </c>
      <c r="N537" s="50">
        <v>0.26306306306306304</v>
      </c>
      <c r="O537" s="150">
        <v>81487.651563499996</v>
      </c>
      <c r="P537" s="150">
        <v>21231.028000000002</v>
      </c>
      <c r="Q537" s="150">
        <v>60256.62356349999</v>
      </c>
      <c r="R537" s="150">
        <v>16092.729939241564</v>
      </c>
      <c r="S537" s="150">
        <v>44163.893624258424</v>
      </c>
      <c r="T537" s="50" t="s">
        <v>7175</v>
      </c>
      <c r="U537" s="50">
        <v>4.2426916692455915E-4</v>
      </c>
      <c r="V537" s="50">
        <v>0.96000000000000008</v>
      </c>
      <c r="W537" s="50">
        <v>1.0285963765001931</v>
      </c>
      <c r="X537" s="50" t="s">
        <v>7161</v>
      </c>
      <c r="Y537" s="50">
        <v>0.32</v>
      </c>
    </row>
    <row r="538" spans="2:25" x14ac:dyDescent="0.2">
      <c r="B538" s="50" t="s">
        <v>9</v>
      </c>
      <c r="C538" s="50" t="s">
        <v>726</v>
      </c>
      <c r="D538" s="50"/>
      <c r="E538" s="50"/>
      <c r="F538" s="51" t="s">
        <v>528</v>
      </c>
      <c r="G538" s="50" t="s">
        <v>527</v>
      </c>
      <c r="H538" s="50" t="s">
        <v>10</v>
      </c>
      <c r="I538" s="50" t="s">
        <v>1120</v>
      </c>
      <c r="J538" s="50" t="s">
        <v>529</v>
      </c>
      <c r="K538" s="50" t="s">
        <v>7174</v>
      </c>
      <c r="L538" s="50">
        <v>12</v>
      </c>
      <c r="M538" s="50">
        <v>0.96</v>
      </c>
      <c r="N538" s="50">
        <v>0.34928229665071769</v>
      </c>
      <c r="O538" s="150">
        <v>75219.370674000005</v>
      </c>
      <c r="P538" s="150">
        <v>10837.871999999999</v>
      </c>
      <c r="Q538" s="150">
        <v>64381.498674000002</v>
      </c>
      <c r="R538" s="150">
        <v>21367.14142650495</v>
      </c>
      <c r="S538" s="150">
        <v>43014.357247495049</v>
      </c>
      <c r="T538" s="50" t="s">
        <v>7175</v>
      </c>
      <c r="U538" s="50">
        <v>4.1322591867592692E-4</v>
      </c>
      <c r="V538" s="50">
        <v>0.91999999999999993</v>
      </c>
      <c r="W538" s="50">
        <v>1.0290096024188691</v>
      </c>
      <c r="X538" s="50" t="s">
        <v>7161</v>
      </c>
      <c r="Y538" s="50">
        <v>0.32</v>
      </c>
    </row>
    <row r="539" spans="2:25" x14ac:dyDescent="0.2">
      <c r="B539" s="50" t="s">
        <v>9</v>
      </c>
      <c r="C539" s="50" t="s">
        <v>1797</v>
      </c>
      <c r="D539" s="50"/>
      <c r="E539" s="50"/>
      <c r="F539" s="51" t="s">
        <v>528</v>
      </c>
      <c r="G539" s="50" t="s">
        <v>527</v>
      </c>
      <c r="H539" s="50" t="s">
        <v>10</v>
      </c>
      <c r="I539" s="50" t="s">
        <v>1120</v>
      </c>
      <c r="J539" s="50" t="s">
        <v>529</v>
      </c>
      <c r="K539" s="50" t="s">
        <v>7174</v>
      </c>
      <c r="L539" s="50">
        <v>70</v>
      </c>
      <c r="M539" s="50">
        <v>1.4</v>
      </c>
      <c r="N539" s="50">
        <v>0.22034409900392393</v>
      </c>
      <c r="O539" s="150">
        <v>109694.91556624998</v>
      </c>
      <c r="P539" s="150">
        <v>54130.229999999996</v>
      </c>
      <c r="Q539" s="150">
        <v>55564.685566249987</v>
      </c>
      <c r="R539" s="150">
        <v>13479.422149530741</v>
      </c>
      <c r="S539" s="150">
        <v>42085.263416719245</v>
      </c>
      <c r="T539" s="50" t="s">
        <v>7175</v>
      </c>
      <c r="U539" s="50">
        <v>4.0430039528499383E-4</v>
      </c>
      <c r="V539" s="50">
        <v>0.97999999999999987</v>
      </c>
      <c r="W539" s="50">
        <v>1.029413902814154</v>
      </c>
      <c r="X539" s="50" t="s">
        <v>7161</v>
      </c>
      <c r="Y539" s="50">
        <v>0.32</v>
      </c>
    </row>
    <row r="540" spans="2:25" x14ac:dyDescent="0.2">
      <c r="B540" s="50" t="s">
        <v>9</v>
      </c>
      <c r="C540" s="50" t="s">
        <v>776</v>
      </c>
      <c r="D540" s="50"/>
      <c r="E540" s="50"/>
      <c r="F540" s="51" t="s">
        <v>528</v>
      </c>
      <c r="G540" s="50" t="s">
        <v>527</v>
      </c>
      <c r="H540" s="50" t="s">
        <v>10</v>
      </c>
      <c r="I540" s="50" t="s">
        <v>1120</v>
      </c>
      <c r="J540" s="50" t="s">
        <v>529</v>
      </c>
      <c r="K540" s="50" t="s">
        <v>7174</v>
      </c>
      <c r="L540" s="50">
        <v>26</v>
      </c>
      <c r="M540" s="50">
        <v>0.91</v>
      </c>
      <c r="N540" s="50">
        <v>0.16828031350852926</v>
      </c>
      <c r="O540" s="150">
        <v>71301.695118062489</v>
      </c>
      <c r="P540" s="150">
        <v>20949.6495</v>
      </c>
      <c r="Q540" s="150">
        <v>50352.04561806249</v>
      </c>
      <c r="R540" s="150">
        <v>10294.450341492704</v>
      </c>
      <c r="S540" s="150">
        <v>40057.595276569788</v>
      </c>
      <c r="T540" s="50" t="s">
        <v>7175</v>
      </c>
      <c r="U540" s="50">
        <v>3.8482120081134025E-4</v>
      </c>
      <c r="V540" s="50">
        <v>0.96499999999999997</v>
      </c>
      <c r="W540" s="50">
        <v>1.0297987240149653</v>
      </c>
      <c r="X540" s="50" t="s">
        <v>7161</v>
      </c>
      <c r="Y540" s="50">
        <v>0.32</v>
      </c>
    </row>
    <row r="541" spans="2:25" x14ac:dyDescent="0.2">
      <c r="B541" s="50" t="s">
        <v>9</v>
      </c>
      <c r="C541" s="50" t="s">
        <v>830</v>
      </c>
      <c r="D541" s="50"/>
      <c r="E541" s="50"/>
      <c r="F541" s="51" t="s">
        <v>528</v>
      </c>
      <c r="G541" s="50" t="s">
        <v>527</v>
      </c>
      <c r="H541" s="50" t="s">
        <v>10</v>
      </c>
      <c r="I541" s="50" t="s">
        <v>1121</v>
      </c>
      <c r="J541" s="50" t="s">
        <v>529</v>
      </c>
      <c r="K541" s="50" t="s">
        <v>7174</v>
      </c>
      <c r="L541" s="50">
        <v>118</v>
      </c>
      <c r="M541" s="50">
        <v>2.36</v>
      </c>
      <c r="N541" s="50">
        <v>0.32</v>
      </c>
      <c r="O541" s="150">
        <v>184914.28624024999</v>
      </c>
      <c r="P541" s="150">
        <v>91248.101999999999</v>
      </c>
      <c r="Q541" s="150">
        <v>93666.18424024999</v>
      </c>
      <c r="R541" s="150">
        <v>59070</v>
      </c>
      <c r="S541" s="150">
        <v>34596.18424024999</v>
      </c>
      <c r="T541" s="50" t="s">
        <v>7175</v>
      </c>
      <c r="U541" s="50">
        <v>3.3235507700609567E-4</v>
      </c>
      <c r="V541" s="50">
        <v>0.98</v>
      </c>
      <c r="W541" s="50">
        <v>1.0301310790919713</v>
      </c>
      <c r="X541" s="50" t="s">
        <v>7159</v>
      </c>
      <c r="Y541" s="50">
        <v>0.32</v>
      </c>
    </row>
    <row r="542" spans="2:25" x14ac:dyDescent="0.2">
      <c r="B542" s="50" t="s">
        <v>9</v>
      </c>
      <c r="C542" s="50" t="s">
        <v>736</v>
      </c>
      <c r="D542" s="50"/>
      <c r="E542" s="50"/>
      <c r="F542" s="51" t="s">
        <v>528</v>
      </c>
      <c r="G542" s="50" t="s">
        <v>527</v>
      </c>
      <c r="H542" s="50" t="s">
        <v>23</v>
      </c>
      <c r="I542" s="50" t="s">
        <v>1121</v>
      </c>
      <c r="J542" s="50" t="s">
        <v>543</v>
      </c>
      <c r="K542" s="50" t="s">
        <v>7174</v>
      </c>
      <c r="L542" s="50">
        <v>117</v>
      </c>
      <c r="M542" s="50">
        <v>2.34</v>
      </c>
      <c r="N542" s="50">
        <v>0.32</v>
      </c>
      <c r="O542" s="150">
        <v>183347.21601787501</v>
      </c>
      <c r="P542" s="150">
        <v>90474.813000000009</v>
      </c>
      <c r="Q542" s="150">
        <v>92872.403017874996</v>
      </c>
      <c r="R542" s="150">
        <v>59070</v>
      </c>
      <c r="S542" s="150">
        <v>33802.403017874996</v>
      </c>
      <c r="T542" s="50" t="s">
        <v>7175</v>
      </c>
      <c r="U542" s="50">
        <v>3.2472946091339653E-4</v>
      </c>
      <c r="V542" s="50">
        <v>0.98</v>
      </c>
      <c r="W542" s="50">
        <v>1.0304558085528848</v>
      </c>
      <c r="X542" s="50" t="s">
        <v>7161</v>
      </c>
      <c r="Y542" s="50">
        <v>0.32</v>
      </c>
    </row>
    <row r="543" spans="2:25" x14ac:dyDescent="0.2">
      <c r="B543" s="50" t="s">
        <v>9</v>
      </c>
      <c r="C543" s="50" t="s">
        <v>578</v>
      </c>
      <c r="D543" s="50"/>
      <c r="E543" s="50"/>
      <c r="F543" s="51" t="s">
        <v>528</v>
      </c>
      <c r="G543" s="50" t="s">
        <v>527</v>
      </c>
      <c r="H543" s="50" t="s">
        <v>10</v>
      </c>
      <c r="I543" s="50" t="s">
        <v>1120</v>
      </c>
      <c r="J543" s="50" t="s">
        <v>529</v>
      </c>
      <c r="K543" s="50" t="s">
        <v>7174</v>
      </c>
      <c r="L543" s="50">
        <v>1.5</v>
      </c>
      <c r="M543" s="50">
        <v>0.67500000000000004</v>
      </c>
      <c r="N543" s="50">
        <v>0.28865164096480822</v>
      </c>
      <c r="O543" s="150">
        <v>52888.620005156248</v>
      </c>
      <c r="P543" s="150">
        <v>2556.0037499999999</v>
      </c>
      <c r="Q543" s="150">
        <v>50332.616255156245</v>
      </c>
      <c r="R543" s="150">
        <v>17658.096315300652</v>
      </c>
      <c r="S543" s="150">
        <v>32674.519939855592</v>
      </c>
      <c r="T543" s="50" t="s">
        <v>7175</v>
      </c>
      <c r="U543" s="50">
        <v>3.1389422935589739E-4</v>
      </c>
      <c r="V543" s="50">
        <v>0.54999999999999993</v>
      </c>
      <c r="W543" s="50">
        <v>1.0307697027822407</v>
      </c>
      <c r="X543" s="50" t="s">
        <v>7163</v>
      </c>
      <c r="Y543" s="50">
        <v>0.32</v>
      </c>
    </row>
    <row r="544" spans="2:25" x14ac:dyDescent="0.2">
      <c r="B544" s="50" t="s">
        <v>9</v>
      </c>
      <c r="C544" s="50" t="s">
        <v>846</v>
      </c>
      <c r="D544" s="50"/>
      <c r="E544" s="50"/>
      <c r="F544" s="51" t="s">
        <v>528</v>
      </c>
      <c r="G544" s="50" t="s">
        <v>527</v>
      </c>
      <c r="H544" s="50" t="s">
        <v>10</v>
      </c>
      <c r="I544" s="50" t="s">
        <v>1120</v>
      </c>
      <c r="J544" s="50" t="s">
        <v>529</v>
      </c>
      <c r="K544" s="50" t="s">
        <v>7174</v>
      </c>
      <c r="L544" s="50">
        <v>50</v>
      </c>
      <c r="M544" s="50">
        <v>1</v>
      </c>
      <c r="N544" s="50">
        <v>0.12050181578078574</v>
      </c>
      <c r="O544" s="150">
        <v>78353.511118750001</v>
      </c>
      <c r="P544" s="150">
        <v>38664.450000000004</v>
      </c>
      <c r="Q544" s="150">
        <v>39689.061118749996</v>
      </c>
      <c r="R544" s="150">
        <v>7371.6285211943459</v>
      </c>
      <c r="S544" s="150">
        <v>32317.432597555649</v>
      </c>
      <c r="T544" s="50" t="s">
        <v>7175</v>
      </c>
      <c r="U544" s="50">
        <v>3.1046379927367104E-4</v>
      </c>
      <c r="V544" s="50">
        <v>0.98</v>
      </c>
      <c r="W544" s="50">
        <v>1.0310801665815144</v>
      </c>
      <c r="X544" s="50" t="s">
        <v>7159</v>
      </c>
      <c r="Y544" s="50">
        <v>0.32</v>
      </c>
    </row>
    <row r="545" spans="2:25" x14ac:dyDescent="0.2">
      <c r="B545" s="50" t="s">
        <v>9</v>
      </c>
      <c r="C545" s="50" t="s">
        <v>564</v>
      </c>
      <c r="D545" s="50"/>
      <c r="E545" s="50"/>
      <c r="F545" s="51" t="s">
        <v>528</v>
      </c>
      <c r="G545" s="50" t="s">
        <v>527</v>
      </c>
      <c r="H545" s="50" t="s">
        <v>23</v>
      </c>
      <c r="I545" s="50" t="s">
        <v>1120</v>
      </c>
      <c r="J545" s="50" t="s">
        <v>543</v>
      </c>
      <c r="K545" s="50" t="s">
        <v>7174</v>
      </c>
      <c r="L545" s="50">
        <v>21.76</v>
      </c>
      <c r="M545" s="50">
        <v>1.3056000000000001</v>
      </c>
      <c r="N545" s="50">
        <v>0.86</v>
      </c>
      <c r="O545" s="150">
        <v>102298.34411664</v>
      </c>
      <c r="P545" s="150">
        <v>18710.70592</v>
      </c>
      <c r="Q545" s="150">
        <v>83587.638196640008</v>
      </c>
      <c r="R545" s="150">
        <v>52610</v>
      </c>
      <c r="S545" s="150">
        <v>30977.638196640008</v>
      </c>
      <c r="T545" s="50" t="s">
        <v>7175</v>
      </c>
      <c r="U545" s="50">
        <v>2.9759279973810387E-4</v>
      </c>
      <c r="V545" s="50">
        <v>0.94</v>
      </c>
      <c r="W545" s="50">
        <v>1.0313777593812525</v>
      </c>
      <c r="X545" s="50" t="s">
        <v>7159</v>
      </c>
      <c r="Y545" s="50">
        <v>0.32</v>
      </c>
    </row>
    <row r="546" spans="2:25" x14ac:dyDescent="0.2">
      <c r="B546" s="50" t="s">
        <v>9</v>
      </c>
      <c r="C546" s="50" t="s">
        <v>986</v>
      </c>
      <c r="D546" s="50"/>
      <c r="E546" s="50"/>
      <c r="F546" s="51" t="s">
        <v>528</v>
      </c>
      <c r="G546" s="50" t="s">
        <v>527</v>
      </c>
      <c r="H546" s="50" t="s">
        <v>23</v>
      </c>
      <c r="I546" s="50" t="s">
        <v>1120</v>
      </c>
      <c r="J546" s="50" t="s">
        <v>543</v>
      </c>
      <c r="K546" s="50" t="s">
        <v>7174</v>
      </c>
      <c r="L546" s="50">
        <v>2.218</v>
      </c>
      <c r="M546" s="50">
        <v>1.06464</v>
      </c>
      <c r="N546" s="50">
        <v>0.86</v>
      </c>
      <c r="O546" s="150">
        <v>83418.282077465992</v>
      </c>
      <c r="P546" s="150">
        <v>3923.5000479999999</v>
      </c>
      <c r="Q546" s="150">
        <v>79494.78202946599</v>
      </c>
      <c r="R546" s="150">
        <v>52610</v>
      </c>
      <c r="S546" s="150">
        <v>26884.78202946599</v>
      </c>
      <c r="T546" s="50" t="s">
        <v>7175</v>
      </c>
      <c r="U546" s="50">
        <v>2.5827396858696752E-4</v>
      </c>
      <c r="V546" s="50">
        <v>0.52</v>
      </c>
      <c r="W546" s="50">
        <v>1.0316360333498396</v>
      </c>
      <c r="X546" s="50" t="s">
        <v>7163</v>
      </c>
      <c r="Y546" s="50">
        <v>0.32</v>
      </c>
    </row>
    <row r="547" spans="2:25" x14ac:dyDescent="0.2">
      <c r="B547" s="50" t="s">
        <v>9</v>
      </c>
      <c r="C547" s="50" t="s">
        <v>708</v>
      </c>
      <c r="D547" s="50"/>
      <c r="E547" s="50"/>
      <c r="F547" s="51" t="s">
        <v>528</v>
      </c>
      <c r="G547" s="50" t="s">
        <v>527</v>
      </c>
      <c r="H547" s="50" t="s">
        <v>10</v>
      </c>
      <c r="I547" s="50" t="s">
        <v>1120</v>
      </c>
      <c r="J547" s="50" t="s">
        <v>529</v>
      </c>
      <c r="K547" s="50" t="s">
        <v>7174</v>
      </c>
      <c r="L547" s="50">
        <v>15</v>
      </c>
      <c r="M547" s="50">
        <v>0.6</v>
      </c>
      <c r="N547" s="50">
        <v>0.13045032165832737</v>
      </c>
      <c r="O547" s="150">
        <v>47012.106671249996</v>
      </c>
      <c r="P547" s="150">
        <v>12248.67</v>
      </c>
      <c r="Q547" s="150">
        <v>34763.436671249998</v>
      </c>
      <c r="R547" s="150">
        <v>7980.2225842379112</v>
      </c>
      <c r="S547" s="150">
        <v>26783.214087012086</v>
      </c>
      <c r="T547" s="50" t="s">
        <v>7175</v>
      </c>
      <c r="U547" s="50">
        <v>2.5729823608707105E-4</v>
      </c>
      <c r="V547" s="50">
        <v>0.96000000000000008</v>
      </c>
      <c r="W547" s="50">
        <v>1.0318933315859267</v>
      </c>
      <c r="X547" s="50" t="s">
        <v>7161</v>
      </c>
      <c r="Y547" s="50">
        <v>0.32</v>
      </c>
    </row>
    <row r="548" spans="2:25" x14ac:dyDescent="0.2">
      <c r="B548" s="50" t="s">
        <v>9</v>
      </c>
      <c r="C548" s="50" t="s">
        <v>893</v>
      </c>
      <c r="D548" s="50"/>
      <c r="E548" s="50"/>
      <c r="F548" s="51" t="s">
        <v>528</v>
      </c>
      <c r="G548" s="50" t="s">
        <v>527</v>
      </c>
      <c r="H548" s="50" t="s">
        <v>23</v>
      </c>
      <c r="I548" s="50" t="s">
        <v>1120</v>
      </c>
      <c r="J548" s="50" t="s">
        <v>543</v>
      </c>
      <c r="K548" s="50" t="s">
        <v>7174</v>
      </c>
      <c r="L548" s="50">
        <v>6</v>
      </c>
      <c r="M548" s="50">
        <v>0.66</v>
      </c>
      <c r="N548" s="50">
        <v>0.31547104580812446</v>
      </c>
      <c r="O548" s="150">
        <v>51713.317338375004</v>
      </c>
      <c r="P548" s="150">
        <v>5808.5370000000003</v>
      </c>
      <c r="Q548" s="150">
        <v>45904.780338375</v>
      </c>
      <c r="R548" s="150">
        <v>19298.757813913286</v>
      </c>
      <c r="S548" s="150">
        <v>26606.022524461714</v>
      </c>
      <c r="T548" s="50" t="s">
        <v>7175</v>
      </c>
      <c r="U548" s="50">
        <v>2.5559601034427527E-4</v>
      </c>
      <c r="V548" s="50">
        <v>0.89</v>
      </c>
      <c r="W548" s="50">
        <v>1.032148927596271</v>
      </c>
      <c r="X548" s="50" t="s">
        <v>7159</v>
      </c>
      <c r="Y548" s="50">
        <v>0.32</v>
      </c>
    </row>
    <row r="549" spans="2:25" x14ac:dyDescent="0.2">
      <c r="B549" s="50" t="s">
        <v>9</v>
      </c>
      <c r="C549" s="50" t="s">
        <v>638</v>
      </c>
      <c r="D549" s="50"/>
      <c r="E549" s="50"/>
      <c r="F549" s="51" t="s">
        <v>528</v>
      </c>
      <c r="G549" s="50" t="s">
        <v>527</v>
      </c>
      <c r="H549" s="50" t="s">
        <v>23</v>
      </c>
      <c r="I549" s="50" t="s">
        <v>1120</v>
      </c>
      <c r="J549" s="50" t="s">
        <v>543</v>
      </c>
      <c r="K549" s="50" t="s">
        <v>7174</v>
      </c>
      <c r="L549" s="50">
        <v>123</v>
      </c>
      <c r="M549" s="50">
        <v>1.845</v>
      </c>
      <c r="N549" s="50">
        <v>0.4236796285548462</v>
      </c>
      <c r="O549" s="150">
        <v>144562.22801409374</v>
      </c>
      <c r="P549" s="150">
        <v>93783.410250000001</v>
      </c>
      <c r="Q549" s="150">
        <v>50778.817764093736</v>
      </c>
      <c r="R549" s="150">
        <v>25918.354951477275</v>
      </c>
      <c r="S549" s="150">
        <v>24860.462812616461</v>
      </c>
      <c r="T549" s="50" t="s">
        <v>7175</v>
      </c>
      <c r="U549" s="50">
        <v>2.3882694620644144E-4</v>
      </c>
      <c r="V549" s="50">
        <v>0.98499999999999999</v>
      </c>
      <c r="W549" s="50">
        <v>1.0323877545424773</v>
      </c>
      <c r="X549" s="50" t="s">
        <v>7162</v>
      </c>
      <c r="Y549" s="50">
        <v>0.32</v>
      </c>
    </row>
    <row r="550" spans="2:25" x14ac:dyDescent="0.2">
      <c r="B550" s="50" t="s">
        <v>9</v>
      </c>
      <c r="C550" s="50" t="s">
        <v>1080</v>
      </c>
      <c r="D550" s="50"/>
      <c r="E550" s="50"/>
      <c r="F550" s="51" t="s">
        <v>528</v>
      </c>
      <c r="G550" s="50" t="s">
        <v>527</v>
      </c>
      <c r="H550" s="50" t="s">
        <v>10</v>
      </c>
      <c r="I550" s="50" t="s">
        <v>1120</v>
      </c>
      <c r="J550" s="50" t="s">
        <v>529</v>
      </c>
      <c r="K550" s="50" t="s">
        <v>7174</v>
      </c>
      <c r="L550" s="50">
        <v>3</v>
      </c>
      <c r="M550" s="50">
        <v>1.2</v>
      </c>
      <c r="N550" s="50">
        <v>1.0844651952461799</v>
      </c>
      <c r="O550" s="150">
        <v>94024.213342499992</v>
      </c>
      <c r="P550" s="150">
        <v>4787.34</v>
      </c>
      <c r="Q550" s="150">
        <v>89236.873342499995</v>
      </c>
      <c r="R550" s="150">
        <v>66341.527816164555</v>
      </c>
      <c r="S550" s="150">
        <v>22895.345526335441</v>
      </c>
      <c r="T550" s="50" t="s">
        <v>7175</v>
      </c>
      <c r="U550" s="50">
        <v>2.1994865886491182E-4</v>
      </c>
      <c r="V550" s="50">
        <v>0.6</v>
      </c>
      <c r="W550" s="50">
        <v>1.0326077032013423</v>
      </c>
      <c r="X550" s="50" t="s">
        <v>7159</v>
      </c>
      <c r="Y550" s="50">
        <v>0.32</v>
      </c>
    </row>
    <row r="551" spans="2:25" x14ac:dyDescent="0.2">
      <c r="B551" s="50" t="s">
        <v>9</v>
      </c>
      <c r="C551" s="50" t="s">
        <v>749</v>
      </c>
      <c r="D551" s="50"/>
      <c r="E551" s="50"/>
      <c r="F551" s="51" t="s">
        <v>528</v>
      </c>
      <c r="G551" s="50" t="s">
        <v>527</v>
      </c>
      <c r="H551" s="50" t="s">
        <v>10</v>
      </c>
      <c r="I551" s="50" t="s">
        <v>1120</v>
      </c>
      <c r="J551" s="50" t="s">
        <v>529</v>
      </c>
      <c r="K551" s="50" t="s">
        <v>7174</v>
      </c>
      <c r="L551" s="50">
        <v>23.5</v>
      </c>
      <c r="M551" s="50">
        <v>0.58750000000000002</v>
      </c>
      <c r="N551" s="50">
        <v>8.231844835363103E-2</v>
      </c>
      <c r="O551" s="150">
        <v>46032.687782265624</v>
      </c>
      <c r="P551" s="150">
        <v>18426.614374999997</v>
      </c>
      <c r="Q551" s="150">
        <v>27606.073407265627</v>
      </c>
      <c r="R551" s="150">
        <v>5035.7832184703821</v>
      </c>
      <c r="S551" s="150">
        <v>22570.290188795247</v>
      </c>
      <c r="T551" s="50" t="s">
        <v>7175</v>
      </c>
      <c r="U551" s="50">
        <v>2.1682595056306028E-4</v>
      </c>
      <c r="V551" s="50">
        <v>0.97500000000000009</v>
      </c>
      <c r="W551" s="50">
        <v>1.0328245291519054</v>
      </c>
      <c r="X551" s="50" t="s">
        <v>7159</v>
      </c>
      <c r="Y551" s="50">
        <v>0.32</v>
      </c>
    </row>
    <row r="552" spans="2:25" x14ac:dyDescent="0.2">
      <c r="B552" s="50" t="s">
        <v>9</v>
      </c>
      <c r="C552" s="50" t="s">
        <v>847</v>
      </c>
      <c r="D552" s="50"/>
      <c r="E552" s="50"/>
      <c r="F552" s="51" t="s">
        <v>528</v>
      </c>
      <c r="G552" s="50" t="s">
        <v>527</v>
      </c>
      <c r="H552" s="50" t="s">
        <v>10</v>
      </c>
      <c r="I552" s="50" t="s">
        <v>1120</v>
      </c>
      <c r="J552" s="50" t="s">
        <v>529</v>
      </c>
      <c r="K552" s="50" t="s">
        <v>7174</v>
      </c>
      <c r="L552" s="50">
        <v>56</v>
      </c>
      <c r="M552" s="50">
        <v>1.1200000000000001</v>
      </c>
      <c r="N552" s="50">
        <v>0.36330457863304583</v>
      </c>
      <c r="O552" s="150">
        <v>87755.932453000016</v>
      </c>
      <c r="P552" s="150">
        <v>43304.184000000001</v>
      </c>
      <c r="Q552" s="150">
        <v>44451.748453000015</v>
      </c>
      <c r="R552" s="150">
        <v>22224.946374284351</v>
      </c>
      <c r="S552" s="150">
        <v>22226.802078715664</v>
      </c>
      <c r="T552" s="50" t="s">
        <v>7175</v>
      </c>
      <c r="U552" s="50">
        <v>2.1352616419114699E-4</v>
      </c>
      <c r="V552" s="50">
        <v>0.98000000000000009</v>
      </c>
      <c r="W552" s="50">
        <v>1.0330380553160965</v>
      </c>
      <c r="X552" s="50" t="s">
        <v>7159</v>
      </c>
      <c r="Y552" s="50">
        <v>0.32</v>
      </c>
    </row>
    <row r="553" spans="2:25" x14ac:dyDescent="0.2">
      <c r="B553" s="50" t="s">
        <v>9</v>
      </c>
      <c r="C553" s="50" t="s">
        <v>894</v>
      </c>
      <c r="D553" s="50"/>
      <c r="E553" s="50"/>
      <c r="F553" s="51" t="s">
        <v>528</v>
      </c>
      <c r="G553" s="50" t="s">
        <v>527</v>
      </c>
      <c r="H553" s="50" t="s">
        <v>10</v>
      </c>
      <c r="I553" s="50" t="s">
        <v>1120</v>
      </c>
      <c r="J553" s="50" t="s">
        <v>529</v>
      </c>
      <c r="K553" s="50" t="s">
        <v>7174</v>
      </c>
      <c r="L553" s="50">
        <v>94</v>
      </c>
      <c r="M553" s="50">
        <v>1.88</v>
      </c>
      <c r="N553" s="50">
        <v>0.86</v>
      </c>
      <c r="O553" s="150">
        <v>147304.60090324999</v>
      </c>
      <c r="P553" s="150">
        <v>72689.165999999997</v>
      </c>
      <c r="Q553" s="150">
        <v>74615.434903249989</v>
      </c>
      <c r="R553" s="150">
        <v>52610</v>
      </c>
      <c r="S553" s="150">
        <v>22005.434903249989</v>
      </c>
      <c r="T553" s="50" t="s">
        <v>7175</v>
      </c>
      <c r="U553" s="50">
        <v>2.1139955669774256E-4</v>
      </c>
      <c r="V553" s="50">
        <v>0.98000000000000009</v>
      </c>
      <c r="W553" s="50">
        <v>1.0332494548727942</v>
      </c>
      <c r="X553" s="50" t="s">
        <v>7162</v>
      </c>
      <c r="Y553" s="50">
        <v>0.32</v>
      </c>
    </row>
    <row r="554" spans="2:25" x14ac:dyDescent="0.2">
      <c r="B554" s="50" t="s">
        <v>9</v>
      </c>
      <c r="C554" s="50" t="s">
        <v>1016</v>
      </c>
      <c r="D554" s="50"/>
      <c r="E554" s="50"/>
      <c r="F554" s="51" t="s">
        <v>528</v>
      </c>
      <c r="G554" s="50" t="s">
        <v>527</v>
      </c>
      <c r="H554" s="50" t="s">
        <v>10</v>
      </c>
      <c r="I554" s="50" t="s">
        <v>1120</v>
      </c>
      <c r="J554" s="50" t="s">
        <v>529</v>
      </c>
      <c r="K554" s="50" t="s">
        <v>7174</v>
      </c>
      <c r="L554" s="50">
        <v>1</v>
      </c>
      <c r="M554" s="50">
        <v>0.62</v>
      </c>
      <c r="N554" s="50">
        <v>0.40751767770748043</v>
      </c>
      <c r="O554" s="150">
        <v>48579.176893624994</v>
      </c>
      <c r="P554" s="150">
        <v>2071.9589999999998</v>
      </c>
      <c r="Q554" s="150">
        <v>46507.217893624991</v>
      </c>
      <c r="R554" s="150">
        <v>24929.657004872726</v>
      </c>
      <c r="S554" s="150">
        <v>21577.560888752265</v>
      </c>
      <c r="T554" s="50" t="s">
        <v>7175</v>
      </c>
      <c r="U554" s="50">
        <v>2.0728910046795255E-4</v>
      </c>
      <c r="V554" s="50">
        <v>0.38</v>
      </c>
      <c r="W554" s="50">
        <v>1.033456743973262</v>
      </c>
      <c r="X554" s="50" t="s">
        <v>7160</v>
      </c>
      <c r="Y554" s="50">
        <v>0.32</v>
      </c>
    </row>
    <row r="555" spans="2:25" x14ac:dyDescent="0.2">
      <c r="B555" s="50" t="s">
        <v>9</v>
      </c>
      <c r="C555" s="50" t="s">
        <v>637</v>
      </c>
      <c r="D555" s="50"/>
      <c r="E555" s="50"/>
      <c r="F555" s="51" t="s">
        <v>528</v>
      </c>
      <c r="G555" s="50" t="s">
        <v>527</v>
      </c>
      <c r="H555" s="50" t="s">
        <v>10</v>
      </c>
      <c r="I555" s="50" t="s">
        <v>1120</v>
      </c>
      <c r="J555" s="50" t="s">
        <v>529</v>
      </c>
      <c r="K555" s="50" t="s">
        <v>7174</v>
      </c>
      <c r="L555" s="50">
        <v>32</v>
      </c>
      <c r="M555" s="50">
        <v>1.28</v>
      </c>
      <c r="N555" s="50">
        <v>0.86</v>
      </c>
      <c r="O555" s="150">
        <v>100292.494232</v>
      </c>
      <c r="P555" s="150">
        <v>26130.495999999999</v>
      </c>
      <c r="Q555" s="150">
        <v>74161.998231999998</v>
      </c>
      <c r="R555" s="150">
        <v>52610</v>
      </c>
      <c r="S555" s="150">
        <v>21551.998231999998</v>
      </c>
      <c r="T555" s="50" t="s">
        <v>7175</v>
      </c>
      <c r="U555" s="50">
        <v>2.0704352775697434E-4</v>
      </c>
      <c r="V555" s="50">
        <v>0.96</v>
      </c>
      <c r="W555" s="50">
        <v>1.0336637875010191</v>
      </c>
      <c r="X555" s="50" t="s">
        <v>7162</v>
      </c>
      <c r="Y555" s="50">
        <v>0.32</v>
      </c>
    </row>
    <row r="556" spans="2:25" x14ac:dyDescent="0.2">
      <c r="B556" s="50" t="s">
        <v>9</v>
      </c>
      <c r="C556" s="50" t="s">
        <v>1026</v>
      </c>
      <c r="D556" s="50"/>
      <c r="E556" s="50"/>
      <c r="F556" s="51" t="s">
        <v>528</v>
      </c>
      <c r="G556" s="50" t="s">
        <v>527</v>
      </c>
      <c r="H556" s="50" t="s">
        <v>23</v>
      </c>
      <c r="I556" s="50">
        <v>0</v>
      </c>
      <c r="J556" s="50" t="s">
        <v>543</v>
      </c>
      <c r="K556" s="50" t="s">
        <v>7174</v>
      </c>
      <c r="L556" s="50">
        <v>1.5</v>
      </c>
      <c r="M556" s="50">
        <v>1.05</v>
      </c>
      <c r="N556" s="50">
        <v>0.71992110453648916</v>
      </c>
      <c r="O556" s="150">
        <v>82271.186674687502</v>
      </c>
      <c r="P556" s="150">
        <v>3367.6724999999997</v>
      </c>
      <c r="Q556" s="150">
        <v>78903.514174687502</v>
      </c>
      <c r="R556" s="150">
        <v>59070</v>
      </c>
      <c r="S556" s="150">
        <v>19833.514174687502</v>
      </c>
      <c r="T556" s="50" t="s">
        <v>7175</v>
      </c>
      <c r="U556" s="50">
        <v>1.9053457124212965E-4</v>
      </c>
      <c r="V556" s="50">
        <v>0.3</v>
      </c>
      <c r="W556" s="50">
        <v>1.0338543220722611</v>
      </c>
      <c r="X556" s="50" t="s">
        <v>7160</v>
      </c>
      <c r="Y556" s="50">
        <v>0.32</v>
      </c>
    </row>
    <row r="557" spans="2:25" x14ac:dyDescent="0.2">
      <c r="B557" s="50" t="s">
        <v>9</v>
      </c>
      <c r="C557" s="50" t="s">
        <v>596</v>
      </c>
      <c r="D557" s="50"/>
      <c r="E557" s="50"/>
      <c r="F557" s="51" t="s">
        <v>528</v>
      </c>
      <c r="G557" s="50" t="s">
        <v>527</v>
      </c>
      <c r="H557" s="50" t="s">
        <v>23</v>
      </c>
      <c r="I557" s="50" t="s">
        <v>1121</v>
      </c>
      <c r="J557" s="50" t="s">
        <v>543</v>
      </c>
      <c r="K557" s="50" t="s">
        <v>7174</v>
      </c>
      <c r="L557" s="50">
        <v>99</v>
      </c>
      <c r="M557" s="50">
        <v>1.98</v>
      </c>
      <c r="N557" s="50">
        <v>0.32</v>
      </c>
      <c r="O557" s="150">
        <v>155139.95201512499</v>
      </c>
      <c r="P557" s="150">
        <v>76555.611000000004</v>
      </c>
      <c r="Q557" s="150">
        <v>78584.341015124985</v>
      </c>
      <c r="R557" s="150">
        <v>59070</v>
      </c>
      <c r="S557" s="150">
        <v>19514.341015124985</v>
      </c>
      <c r="T557" s="50" t="s">
        <v>7175</v>
      </c>
      <c r="U557" s="50">
        <v>1.874683712448113E-4</v>
      </c>
      <c r="V557" s="50">
        <v>0.98</v>
      </c>
      <c r="W557" s="50">
        <v>1.034041790443506</v>
      </c>
      <c r="X557" s="50" t="s">
        <v>7160</v>
      </c>
      <c r="Y557" s="50">
        <v>0.32</v>
      </c>
    </row>
    <row r="558" spans="2:25" x14ac:dyDescent="0.2">
      <c r="B558" s="50" t="s">
        <v>9</v>
      </c>
      <c r="C558" s="50" t="s">
        <v>625</v>
      </c>
      <c r="D558" s="50"/>
      <c r="E558" s="50"/>
      <c r="F558" s="51" t="s">
        <v>528</v>
      </c>
      <c r="G558" s="50" t="s">
        <v>527</v>
      </c>
      <c r="H558" s="50" t="s">
        <v>10</v>
      </c>
      <c r="I558" s="50" t="s">
        <v>1121</v>
      </c>
      <c r="J558" s="50" t="s">
        <v>529</v>
      </c>
      <c r="K558" s="50" t="s">
        <v>7174</v>
      </c>
      <c r="L558" s="50">
        <v>98</v>
      </c>
      <c r="M558" s="50">
        <v>1.96</v>
      </c>
      <c r="N558" s="50">
        <v>0.32</v>
      </c>
      <c r="O558" s="150">
        <v>153572.88179274998</v>
      </c>
      <c r="P558" s="150">
        <v>75782.322</v>
      </c>
      <c r="Q558" s="150">
        <v>77790.559792749977</v>
      </c>
      <c r="R558" s="150">
        <v>59070</v>
      </c>
      <c r="S558" s="150">
        <v>18720.559792749977</v>
      </c>
      <c r="T558" s="50" t="s">
        <v>7175</v>
      </c>
      <c r="U558" s="50">
        <v>1.7984275515211206E-4</v>
      </c>
      <c r="V558" s="50">
        <v>0.98000000000000009</v>
      </c>
      <c r="W558" s="50">
        <v>1.034221633198658</v>
      </c>
      <c r="X558" s="50" t="s">
        <v>7159</v>
      </c>
      <c r="Y558" s="50">
        <v>0.32</v>
      </c>
    </row>
    <row r="559" spans="2:25" x14ac:dyDescent="0.2">
      <c r="B559" s="50" t="s">
        <v>9</v>
      </c>
      <c r="C559" s="50" t="s">
        <v>908</v>
      </c>
      <c r="D559" s="50"/>
      <c r="E559" s="50"/>
      <c r="F559" s="51" t="s">
        <v>528</v>
      </c>
      <c r="G559" s="50" t="s">
        <v>527</v>
      </c>
      <c r="H559" s="50" t="s">
        <v>10</v>
      </c>
      <c r="I559" s="50">
        <v>0</v>
      </c>
      <c r="J559" s="50" t="s">
        <v>529</v>
      </c>
      <c r="K559" s="50" t="s">
        <v>7174</v>
      </c>
      <c r="L559" s="50">
        <v>98</v>
      </c>
      <c r="M559" s="50">
        <v>1.96</v>
      </c>
      <c r="N559" s="50">
        <v>0.86</v>
      </c>
      <c r="O559" s="150">
        <v>153572.88179274998</v>
      </c>
      <c r="P559" s="150">
        <v>75782.322</v>
      </c>
      <c r="Q559" s="150">
        <v>77790.559792749977</v>
      </c>
      <c r="R559" s="150">
        <v>59070</v>
      </c>
      <c r="S559" s="150">
        <v>18720.559792749977</v>
      </c>
      <c r="T559" s="50" t="s">
        <v>7175</v>
      </c>
      <c r="U559" s="50">
        <v>1.7984275515211206E-4</v>
      </c>
      <c r="V559" s="50">
        <v>0.98000000000000009</v>
      </c>
      <c r="W559" s="50">
        <v>1.03440147595381</v>
      </c>
      <c r="X559" s="50" t="s">
        <v>7163</v>
      </c>
      <c r="Y559" s="50">
        <v>0.32</v>
      </c>
    </row>
    <row r="560" spans="2:25" x14ac:dyDescent="0.2">
      <c r="B560" s="50" t="s">
        <v>9</v>
      </c>
      <c r="C560" s="50" t="s">
        <v>687</v>
      </c>
      <c r="D560" s="50"/>
      <c r="E560" s="50"/>
      <c r="F560" s="51" t="s">
        <v>528</v>
      </c>
      <c r="G560" s="50" t="s">
        <v>527</v>
      </c>
      <c r="H560" s="50" t="s">
        <v>23</v>
      </c>
      <c r="I560" s="50" t="s">
        <v>1120</v>
      </c>
      <c r="J560" s="50" t="s">
        <v>543</v>
      </c>
      <c r="K560" s="50" t="s">
        <v>7174</v>
      </c>
      <c r="L560" s="50">
        <v>14</v>
      </c>
      <c r="M560" s="50">
        <v>0.7</v>
      </c>
      <c r="N560" s="50">
        <v>0.42673421667965711</v>
      </c>
      <c r="O560" s="150">
        <v>54847.457783124992</v>
      </c>
      <c r="P560" s="150">
        <v>11735.114999999998</v>
      </c>
      <c r="Q560" s="150">
        <v>43112.342783124994</v>
      </c>
      <c r="R560" s="150">
        <v>26105.217604089255</v>
      </c>
      <c r="S560" s="150">
        <v>17007.125179035738</v>
      </c>
      <c r="T560" s="50" t="s">
        <v>7175</v>
      </c>
      <c r="U560" s="50">
        <v>1.6338230711451107E-4</v>
      </c>
      <c r="V560" s="50">
        <v>0.95000000000000007</v>
      </c>
      <c r="W560" s="50">
        <v>1.0345648582609246</v>
      </c>
      <c r="X560" s="50" t="s">
        <v>7159</v>
      </c>
      <c r="Y560" s="50">
        <v>0.32</v>
      </c>
    </row>
    <row r="561" spans="2:25" x14ac:dyDescent="0.2">
      <c r="B561" s="50" t="s">
        <v>9</v>
      </c>
      <c r="C561" s="50" t="s">
        <v>782</v>
      </c>
      <c r="D561" s="50"/>
      <c r="E561" s="50"/>
      <c r="F561" s="51" t="s">
        <v>528</v>
      </c>
      <c r="G561" s="50" t="s">
        <v>527</v>
      </c>
      <c r="H561" s="50" t="s">
        <v>10</v>
      </c>
      <c r="I561" s="50" t="s">
        <v>1120</v>
      </c>
      <c r="J561" s="50" t="s">
        <v>529</v>
      </c>
      <c r="K561" s="50" t="s">
        <v>7174</v>
      </c>
      <c r="L561" s="50">
        <v>12</v>
      </c>
      <c r="M561" s="50">
        <v>1.08</v>
      </c>
      <c r="N561" s="50">
        <v>0.92505430847212167</v>
      </c>
      <c r="O561" s="150">
        <v>84621.792008250006</v>
      </c>
      <c r="P561" s="150">
        <v>11097.606</v>
      </c>
      <c r="Q561" s="150">
        <v>73524.186008250006</v>
      </c>
      <c r="R561" s="150">
        <v>56589.659498509667</v>
      </c>
      <c r="S561" s="150">
        <v>16934.526509740339</v>
      </c>
      <c r="T561" s="50" t="s">
        <v>7175</v>
      </c>
      <c r="U561" s="50">
        <v>1.6268487365894111E-4</v>
      </c>
      <c r="V561" s="50">
        <v>0.91</v>
      </c>
      <c r="W561" s="50">
        <v>1.0347275431345835</v>
      </c>
      <c r="X561" s="50" t="s">
        <v>7159</v>
      </c>
      <c r="Y561" s="50">
        <v>0.32</v>
      </c>
    </row>
    <row r="562" spans="2:25" x14ac:dyDescent="0.2">
      <c r="B562" s="50" t="s">
        <v>9</v>
      </c>
      <c r="C562" s="50" t="s">
        <v>811</v>
      </c>
      <c r="D562" s="50"/>
      <c r="E562" s="50"/>
      <c r="F562" s="51" t="s">
        <v>528</v>
      </c>
      <c r="G562" s="50" t="s">
        <v>527</v>
      </c>
      <c r="H562" s="50" t="s">
        <v>10</v>
      </c>
      <c r="I562" s="50" t="s">
        <v>1120</v>
      </c>
      <c r="J562" s="50" t="s">
        <v>529</v>
      </c>
      <c r="K562" s="50" t="s">
        <v>7174</v>
      </c>
      <c r="L562" s="50">
        <v>54</v>
      </c>
      <c r="M562" s="50">
        <v>1.08</v>
      </c>
      <c r="N562" s="50">
        <v>0.4434993924665856</v>
      </c>
      <c r="O562" s="150">
        <v>84621.792008250006</v>
      </c>
      <c r="P562" s="150">
        <v>41757.606</v>
      </c>
      <c r="Q562" s="150">
        <v>42864.186008250006</v>
      </c>
      <c r="R562" s="150">
        <v>27130.817485659387</v>
      </c>
      <c r="S562" s="150">
        <v>15733.368522590619</v>
      </c>
      <c r="T562" s="50" t="s">
        <v>7175</v>
      </c>
      <c r="U562" s="50">
        <v>1.5114571221433356E-4</v>
      </c>
      <c r="V562" s="50">
        <v>0.98</v>
      </c>
      <c r="W562" s="50">
        <v>1.0348786888467978</v>
      </c>
      <c r="X562" s="50" t="s">
        <v>7159</v>
      </c>
      <c r="Y562" s="50">
        <v>0.32</v>
      </c>
    </row>
    <row r="563" spans="2:25" x14ac:dyDescent="0.2">
      <c r="B563" s="50" t="s">
        <v>9</v>
      </c>
      <c r="C563" s="50" t="s">
        <v>965</v>
      </c>
      <c r="D563" s="50"/>
      <c r="E563" s="50"/>
      <c r="F563" s="51" t="s">
        <v>528</v>
      </c>
      <c r="G563" s="50" t="s">
        <v>527</v>
      </c>
      <c r="H563" s="50" t="s">
        <v>531</v>
      </c>
      <c r="I563" s="50">
        <v>0</v>
      </c>
      <c r="J563" s="50" t="s">
        <v>532</v>
      </c>
      <c r="K563" s="50" t="s">
        <v>7174</v>
      </c>
      <c r="L563" s="50">
        <v>6</v>
      </c>
      <c r="M563" s="50">
        <v>1.02</v>
      </c>
      <c r="N563" s="50">
        <v>0.86</v>
      </c>
      <c r="O563" s="150">
        <v>79920.581341124998</v>
      </c>
      <c r="P563" s="150">
        <v>6587.7390000000005</v>
      </c>
      <c r="Q563" s="150">
        <v>73332.842341124997</v>
      </c>
      <c r="R563" s="150">
        <v>59070</v>
      </c>
      <c r="S563" s="150">
        <v>14262.842341124997</v>
      </c>
      <c r="T563" s="50" t="s">
        <v>7175</v>
      </c>
      <c r="U563" s="50">
        <v>1.3701881200804203E-4</v>
      </c>
      <c r="V563" s="50">
        <v>0.83000000000000007</v>
      </c>
      <c r="W563" s="50">
        <v>1.0350157076588058</v>
      </c>
      <c r="X563" s="50" t="s">
        <v>7161</v>
      </c>
      <c r="Y563" s="50">
        <v>0.32</v>
      </c>
    </row>
    <row r="564" spans="2:25" x14ac:dyDescent="0.2">
      <c r="B564" s="50" t="s">
        <v>9</v>
      </c>
      <c r="C564" s="50" t="s">
        <v>7179</v>
      </c>
      <c r="D564" s="50"/>
      <c r="E564" s="50"/>
      <c r="F564" s="51" t="s">
        <v>528</v>
      </c>
      <c r="G564" s="50" t="s">
        <v>527</v>
      </c>
      <c r="H564" s="50" t="s">
        <v>10</v>
      </c>
      <c r="I564" s="50" t="s">
        <v>1120</v>
      </c>
      <c r="J564" s="50" t="s">
        <v>529</v>
      </c>
      <c r="K564" s="50" t="s">
        <v>7174</v>
      </c>
      <c r="L564" s="50">
        <v>20</v>
      </c>
      <c r="M564" s="50">
        <v>0.8</v>
      </c>
      <c r="N564" s="50">
        <v>0.52499101042790364</v>
      </c>
      <c r="O564" s="150">
        <v>62682.808895000002</v>
      </c>
      <c r="P564" s="150">
        <v>16331.56</v>
      </c>
      <c r="Q564" s="150">
        <v>46351.248895000004</v>
      </c>
      <c r="R564" s="150">
        <v>32116.019835595358</v>
      </c>
      <c r="S564" s="150">
        <v>14235.229059404646</v>
      </c>
      <c r="T564" s="50" t="s">
        <v>7175</v>
      </c>
      <c r="U564" s="50">
        <v>1.367535395632884E-4</v>
      </c>
      <c r="V564" s="50">
        <v>0.96</v>
      </c>
      <c r="W564" s="50">
        <v>1.0351524611983691</v>
      </c>
      <c r="X564" s="50" t="s">
        <v>7160</v>
      </c>
      <c r="Y564" s="50">
        <v>0.32</v>
      </c>
    </row>
    <row r="565" spans="2:25" x14ac:dyDescent="0.2">
      <c r="B565" s="50" t="s">
        <v>9</v>
      </c>
      <c r="C565" s="50" t="s">
        <v>829</v>
      </c>
      <c r="D565" s="50"/>
      <c r="E565" s="50"/>
      <c r="F565" s="51" t="s">
        <v>528</v>
      </c>
      <c r="G565" s="50" t="s">
        <v>527</v>
      </c>
      <c r="H565" s="50" t="s">
        <v>10</v>
      </c>
      <c r="I565" s="50" t="s">
        <v>1120</v>
      </c>
      <c r="J565" s="50" t="s">
        <v>529</v>
      </c>
      <c r="K565" s="50" t="s">
        <v>7174</v>
      </c>
      <c r="L565" s="50">
        <v>12</v>
      </c>
      <c r="M565" s="50">
        <v>0.36</v>
      </c>
      <c r="N565" s="50">
        <v>0.11324852621780948</v>
      </c>
      <c r="O565" s="150">
        <v>28207.264002749998</v>
      </c>
      <c r="P565" s="150">
        <v>9539.2019999999993</v>
      </c>
      <c r="Q565" s="150">
        <v>18668.062002749997</v>
      </c>
      <c r="R565" s="150">
        <v>6927.9127492080897</v>
      </c>
      <c r="S565" s="150">
        <v>11740.149253541907</v>
      </c>
      <c r="T565" s="50" t="s">
        <v>7175</v>
      </c>
      <c r="U565" s="50">
        <v>1.1278406260434987E-4</v>
      </c>
      <c r="V565" s="50">
        <v>0.97000000000000008</v>
      </c>
      <c r="W565" s="50">
        <v>1.0352652452609734</v>
      </c>
      <c r="X565" s="50" t="s">
        <v>7159</v>
      </c>
      <c r="Y565" s="50">
        <v>0.32</v>
      </c>
    </row>
    <row r="566" spans="2:25" x14ac:dyDescent="0.2">
      <c r="B566" s="50" t="s">
        <v>9</v>
      </c>
      <c r="C566" s="50" t="s">
        <v>1049</v>
      </c>
      <c r="D566" s="50"/>
      <c r="E566" s="50"/>
      <c r="F566" s="51" t="s">
        <v>528</v>
      </c>
      <c r="G566" s="50" t="s">
        <v>527</v>
      </c>
      <c r="H566" s="50" t="s">
        <v>10</v>
      </c>
      <c r="I566" s="50" t="s">
        <v>1120</v>
      </c>
      <c r="J566" s="50" t="s">
        <v>529</v>
      </c>
      <c r="K566" s="50" t="s">
        <v>7174</v>
      </c>
      <c r="L566" s="50">
        <v>9</v>
      </c>
      <c r="M566" s="50">
        <v>0.9</v>
      </c>
      <c r="N566" s="50">
        <v>0.82579185520361997</v>
      </c>
      <c r="O566" s="150">
        <v>70518.160006874998</v>
      </c>
      <c r="P566" s="150">
        <v>8518.0049999999992</v>
      </c>
      <c r="Q566" s="150">
        <v>62000.155006875</v>
      </c>
      <c r="R566" s="150">
        <v>50517.336630537728</v>
      </c>
      <c r="S566" s="150">
        <v>11482.818376337273</v>
      </c>
      <c r="T566" s="50" t="s">
        <v>7175</v>
      </c>
      <c r="U566" s="50">
        <v>1.1031196270698921E-4</v>
      </c>
      <c r="V566" s="50">
        <v>0.89999999999999991</v>
      </c>
      <c r="W566" s="50">
        <v>1.0353755572236805</v>
      </c>
      <c r="X566" s="50" t="s">
        <v>7161</v>
      </c>
      <c r="Y566" s="50">
        <v>0.32</v>
      </c>
    </row>
    <row r="567" spans="2:25" x14ac:dyDescent="0.2">
      <c r="B567" s="50" t="s">
        <v>9</v>
      </c>
      <c r="C567" s="50" t="s">
        <v>613</v>
      </c>
      <c r="D567" s="50"/>
      <c r="E567" s="50"/>
      <c r="F567" s="51" t="s">
        <v>528</v>
      </c>
      <c r="G567" s="50" t="s">
        <v>527</v>
      </c>
      <c r="H567" s="50" t="s">
        <v>10</v>
      </c>
      <c r="I567" s="50" t="s">
        <v>1120</v>
      </c>
      <c r="J567" s="50" t="s">
        <v>529</v>
      </c>
      <c r="K567" s="50" t="s">
        <v>7174</v>
      </c>
      <c r="L567" s="50">
        <v>41</v>
      </c>
      <c r="M567" s="50">
        <v>0.82</v>
      </c>
      <c r="N567" s="50">
        <v>0.35436893203883496</v>
      </c>
      <c r="O567" s="150">
        <v>64249.879117374992</v>
      </c>
      <c r="P567" s="150">
        <v>31704.849000000002</v>
      </c>
      <c r="Q567" s="150">
        <v>32545.03011737499</v>
      </c>
      <c r="R567" s="150">
        <v>21678.313389026869</v>
      </c>
      <c r="S567" s="150">
        <v>10866.716728348121</v>
      </c>
      <c r="T567" s="50" t="s">
        <v>7175</v>
      </c>
      <c r="U567" s="50">
        <v>1.0439326053917068E-4</v>
      </c>
      <c r="V567" s="50">
        <v>0.98</v>
      </c>
      <c r="W567" s="50">
        <v>1.0354799504842196</v>
      </c>
      <c r="X567" s="50" t="s">
        <v>7159</v>
      </c>
      <c r="Y567" s="50">
        <v>0.32</v>
      </c>
    </row>
    <row r="568" spans="2:25" x14ac:dyDescent="0.2">
      <c r="B568" s="50" t="s">
        <v>9</v>
      </c>
      <c r="C568" s="50" t="s">
        <v>1028</v>
      </c>
      <c r="D568" s="50"/>
      <c r="E568" s="50"/>
      <c r="F568" s="51" t="s">
        <v>528</v>
      </c>
      <c r="G568" s="50" t="s">
        <v>527</v>
      </c>
      <c r="H568" s="50" t="s">
        <v>10</v>
      </c>
      <c r="I568" s="50" t="s">
        <v>1120</v>
      </c>
      <c r="J568" s="50" t="s">
        <v>529</v>
      </c>
      <c r="K568" s="50" t="s">
        <v>7174</v>
      </c>
      <c r="L568" s="50">
        <v>8</v>
      </c>
      <c r="M568" s="50">
        <v>0.4</v>
      </c>
      <c r="N568" s="50">
        <v>0.23701298701298701</v>
      </c>
      <c r="O568" s="150">
        <v>31341.404447500001</v>
      </c>
      <c r="P568" s="150">
        <v>6705.78</v>
      </c>
      <c r="Q568" s="150">
        <v>24635.624447500002</v>
      </c>
      <c r="R568" s="150">
        <v>14499.131682271216</v>
      </c>
      <c r="S568" s="150">
        <v>10136.492765228786</v>
      </c>
      <c r="T568" s="50" t="s">
        <v>7175</v>
      </c>
      <c r="U568" s="50">
        <v>9.7378219810723295E-5</v>
      </c>
      <c r="V568" s="50">
        <v>0.95</v>
      </c>
      <c r="W568" s="50">
        <v>1.0355773287040304</v>
      </c>
      <c r="X568" s="50" t="s">
        <v>7160</v>
      </c>
      <c r="Y568" s="50">
        <v>0.32</v>
      </c>
    </row>
    <row r="569" spans="2:25" x14ac:dyDescent="0.2">
      <c r="B569" s="50" t="s">
        <v>9</v>
      </c>
      <c r="C569" s="50" t="s">
        <v>922</v>
      </c>
      <c r="D569" s="50"/>
      <c r="E569" s="50"/>
      <c r="F569" s="51" t="s">
        <v>528</v>
      </c>
      <c r="G569" s="50" t="s">
        <v>527</v>
      </c>
      <c r="H569" s="50" t="s">
        <v>545</v>
      </c>
      <c r="I569" s="50" t="s">
        <v>1120</v>
      </c>
      <c r="J569" s="50" t="s">
        <v>546</v>
      </c>
      <c r="K569" s="50" t="s">
        <v>7174</v>
      </c>
      <c r="L569" s="50">
        <v>3</v>
      </c>
      <c r="M569" s="50">
        <v>0.81</v>
      </c>
      <c r="N569" s="50">
        <v>0.86</v>
      </c>
      <c r="O569" s="150">
        <v>63466.344006187494</v>
      </c>
      <c r="P569" s="150">
        <v>3943.2044999999998</v>
      </c>
      <c r="Q569" s="150">
        <v>59523.139506187494</v>
      </c>
      <c r="R569" s="150">
        <v>52610</v>
      </c>
      <c r="S569" s="150">
        <v>6913.1395061874937</v>
      </c>
      <c r="T569" s="50" t="s">
        <v>7175</v>
      </c>
      <c r="U569" s="50">
        <v>6.6412440082329276E-5</v>
      </c>
      <c r="V569" s="50">
        <v>0.73</v>
      </c>
      <c r="W569" s="50">
        <v>1.0356437411441128</v>
      </c>
      <c r="X569" s="50" t="s">
        <v>7163</v>
      </c>
      <c r="Y569" s="50">
        <v>0.32</v>
      </c>
    </row>
    <row r="570" spans="2:25" x14ac:dyDescent="0.2">
      <c r="B570" s="50" t="s">
        <v>9</v>
      </c>
      <c r="C570" s="50" t="s">
        <v>852</v>
      </c>
      <c r="D570" s="50"/>
      <c r="E570" s="50"/>
      <c r="F570" s="51" t="s">
        <v>528</v>
      </c>
      <c r="G570" s="50" t="s">
        <v>527</v>
      </c>
      <c r="H570" s="50" t="s">
        <v>10</v>
      </c>
      <c r="I570" s="50" t="s">
        <v>1120</v>
      </c>
      <c r="J570" s="50" t="s">
        <v>529</v>
      </c>
      <c r="K570" s="50" t="s">
        <v>7174</v>
      </c>
      <c r="L570" s="50">
        <v>15</v>
      </c>
      <c r="M570" s="50">
        <v>0.75</v>
      </c>
      <c r="N570" s="50">
        <v>0.64288859533245268</v>
      </c>
      <c r="O570" s="150">
        <v>58765.1333390625</v>
      </c>
      <c r="P570" s="150">
        <v>12573.3375</v>
      </c>
      <c r="Q570" s="150">
        <v>46191.795839062499</v>
      </c>
      <c r="R570" s="150">
        <v>39328.336047023644</v>
      </c>
      <c r="S570" s="150">
        <v>6863.4597920388551</v>
      </c>
      <c r="T570" s="50" t="s">
        <v>7175</v>
      </c>
      <c r="U570" s="50">
        <v>6.5935182096105987E-5</v>
      </c>
      <c r="V570" s="50">
        <v>0.95</v>
      </c>
      <c r="W570" s="50">
        <v>1.035709676326209</v>
      </c>
      <c r="X570" s="50" t="s">
        <v>7161</v>
      </c>
      <c r="Y570" s="50">
        <v>0.32</v>
      </c>
    </row>
    <row r="571" spans="2:25" x14ac:dyDescent="0.2">
      <c r="B571" s="50" t="s">
        <v>9</v>
      </c>
      <c r="C571" s="50" t="s">
        <v>663</v>
      </c>
      <c r="D571" s="50"/>
      <c r="E571" s="50"/>
      <c r="F571" s="51" t="s">
        <v>528</v>
      </c>
      <c r="G571" s="50" t="s">
        <v>527</v>
      </c>
      <c r="H571" s="50" t="s">
        <v>23</v>
      </c>
      <c r="I571" s="50" t="s">
        <v>1120</v>
      </c>
      <c r="J571" s="50" t="s">
        <v>543</v>
      </c>
      <c r="K571" s="50" t="s">
        <v>7174</v>
      </c>
      <c r="L571" s="50">
        <v>11</v>
      </c>
      <c r="M571" s="50">
        <v>0.44</v>
      </c>
      <c r="N571" s="50">
        <v>0.30945315811784657</v>
      </c>
      <c r="O571" s="150">
        <v>34475.54489225</v>
      </c>
      <c r="P571" s="150">
        <v>8982.3580000000002</v>
      </c>
      <c r="Q571" s="150">
        <v>25493.18689225</v>
      </c>
      <c r="R571" s="150">
        <v>18930.617033232451</v>
      </c>
      <c r="S571" s="150">
        <v>6562.5698590175489</v>
      </c>
      <c r="T571" s="50" t="s">
        <v>7175</v>
      </c>
      <c r="U571" s="50">
        <v>6.3044623525681026E-5</v>
      </c>
      <c r="V571" s="50">
        <v>0.96000000000000008</v>
      </c>
      <c r="W571" s="50">
        <v>1.0357727209497347</v>
      </c>
      <c r="X571" s="50" t="s">
        <v>7163</v>
      </c>
      <c r="Y571" s="50">
        <v>0.32</v>
      </c>
    </row>
    <row r="572" spans="2:25" x14ac:dyDescent="0.2">
      <c r="B572" s="50" t="s">
        <v>9</v>
      </c>
      <c r="C572" s="50" t="s">
        <v>1031</v>
      </c>
      <c r="D572" s="50"/>
      <c r="E572" s="50"/>
      <c r="F572" s="51" t="s">
        <v>528</v>
      </c>
      <c r="G572" s="50" t="s">
        <v>527</v>
      </c>
      <c r="H572" s="50" t="s">
        <v>23</v>
      </c>
      <c r="I572" s="50" t="s">
        <v>1123</v>
      </c>
      <c r="J572" s="50" t="s">
        <v>543</v>
      </c>
      <c r="K572" s="50" t="s">
        <v>7174</v>
      </c>
      <c r="L572" s="50">
        <v>17</v>
      </c>
      <c r="M572" s="50">
        <v>1.02</v>
      </c>
      <c r="N572" s="50">
        <v>0.15807708964919878</v>
      </c>
      <c r="O572" s="150">
        <v>79920.581341124998</v>
      </c>
      <c r="P572" s="150">
        <v>14617.739</v>
      </c>
      <c r="Q572" s="150">
        <v>65302.842341124997</v>
      </c>
      <c r="R572" s="150">
        <v>59070</v>
      </c>
      <c r="S572" s="150">
        <v>6232.8423411249969</v>
      </c>
      <c r="T572" s="50" t="s">
        <v>7175</v>
      </c>
      <c r="U572" s="50">
        <v>5.9877031000470917E-5</v>
      </c>
      <c r="V572" s="50">
        <v>0.94000000000000006</v>
      </c>
      <c r="W572" s="50">
        <v>1.0358325979807352</v>
      </c>
      <c r="X572" s="50" t="s">
        <v>7160</v>
      </c>
      <c r="Y572" s="50">
        <v>0.32</v>
      </c>
    </row>
    <row r="573" spans="2:25" x14ac:dyDescent="0.2">
      <c r="B573" s="50" t="s">
        <v>9</v>
      </c>
      <c r="C573" s="50" t="s">
        <v>758</v>
      </c>
      <c r="D573" s="50"/>
      <c r="E573" s="50"/>
      <c r="F573" s="51" t="s">
        <v>528</v>
      </c>
      <c r="G573" s="50" t="s">
        <v>527</v>
      </c>
      <c r="H573" s="50" t="s">
        <v>621</v>
      </c>
      <c r="I573" s="50" t="s">
        <v>1120</v>
      </c>
      <c r="J573" s="50" t="s">
        <v>622</v>
      </c>
      <c r="K573" s="50" t="s">
        <v>7174</v>
      </c>
      <c r="L573" s="50">
        <v>25</v>
      </c>
      <c r="M573" s="50">
        <v>1</v>
      </c>
      <c r="N573" s="50">
        <v>0.86</v>
      </c>
      <c r="O573" s="150">
        <v>78353.511118750001</v>
      </c>
      <c r="P573" s="150">
        <v>20414.45</v>
      </c>
      <c r="Q573" s="150">
        <v>57939.061118750004</v>
      </c>
      <c r="R573" s="150">
        <v>52610</v>
      </c>
      <c r="S573" s="150">
        <v>5329.0611187500035</v>
      </c>
      <c r="T573" s="50" t="s">
        <v>7175</v>
      </c>
      <c r="U573" s="50">
        <v>5.1194678181640692E-5</v>
      </c>
      <c r="V573" s="50">
        <v>0.96</v>
      </c>
      <c r="W573" s="50">
        <v>1.0358837926589168</v>
      </c>
      <c r="X573" s="50" t="s">
        <v>7163</v>
      </c>
      <c r="Y573" s="50">
        <v>0.32</v>
      </c>
    </row>
    <row r="574" spans="2:25" x14ac:dyDescent="0.2">
      <c r="B574" s="50" t="s">
        <v>9</v>
      </c>
      <c r="C574" s="50" t="s">
        <v>541</v>
      </c>
      <c r="D574" s="50"/>
      <c r="E574" s="50"/>
      <c r="F574" s="51" t="s">
        <v>528</v>
      </c>
      <c r="G574" s="50" t="s">
        <v>527</v>
      </c>
      <c r="H574" s="50" t="s">
        <v>10</v>
      </c>
      <c r="I574" s="50" t="s">
        <v>1120</v>
      </c>
      <c r="J574" s="50" t="s">
        <v>529</v>
      </c>
      <c r="K574" s="50" t="s">
        <v>7174</v>
      </c>
      <c r="L574" s="50">
        <v>15</v>
      </c>
      <c r="M574" s="50">
        <v>0.45</v>
      </c>
      <c r="N574" s="50">
        <v>0.29626623376623379</v>
      </c>
      <c r="O574" s="150">
        <v>35259.080003437499</v>
      </c>
      <c r="P574" s="150">
        <v>11924.002500000001</v>
      </c>
      <c r="Q574" s="150">
        <v>23335.077503437496</v>
      </c>
      <c r="R574" s="150">
        <v>18123.914602839024</v>
      </c>
      <c r="S574" s="150">
        <v>5211.1629005984723</v>
      </c>
      <c r="T574" s="50" t="s">
        <v>7175</v>
      </c>
      <c r="U574" s="50">
        <v>5.0062065662857594E-5</v>
      </c>
      <c r="V574" s="50">
        <v>0.97000000000000008</v>
      </c>
      <c r="W574" s="50">
        <v>1.0359338547245798</v>
      </c>
      <c r="X574" s="50" t="s">
        <v>7161</v>
      </c>
      <c r="Y574" s="50">
        <v>0.32</v>
      </c>
    </row>
    <row r="575" spans="2:25" x14ac:dyDescent="0.2">
      <c r="B575" s="50" t="s">
        <v>9</v>
      </c>
      <c r="C575" s="50" t="s">
        <v>792</v>
      </c>
      <c r="D575" s="50"/>
      <c r="E575" s="50"/>
      <c r="F575" s="51" t="s">
        <v>528</v>
      </c>
      <c r="G575" s="50" t="s">
        <v>527</v>
      </c>
      <c r="H575" s="50" t="s">
        <v>10</v>
      </c>
      <c r="I575" s="50" t="s">
        <v>1120</v>
      </c>
      <c r="J575" s="50" t="s">
        <v>529</v>
      </c>
      <c r="K575" s="50" t="s">
        <v>7174</v>
      </c>
      <c r="L575" s="50">
        <v>70</v>
      </c>
      <c r="M575" s="50">
        <v>1.4</v>
      </c>
      <c r="N575" s="50">
        <v>0.86</v>
      </c>
      <c r="O575" s="150">
        <v>109694.91556624998</v>
      </c>
      <c r="P575" s="150">
        <v>54130.229999999996</v>
      </c>
      <c r="Q575" s="150">
        <v>55564.685566249987</v>
      </c>
      <c r="R575" s="150">
        <v>52610</v>
      </c>
      <c r="S575" s="150">
        <v>2954.6855662499875</v>
      </c>
      <c r="T575" s="50" t="s">
        <v>7175</v>
      </c>
      <c r="U575" s="50">
        <v>2.8384770472962368E-5</v>
      </c>
      <c r="V575" s="50">
        <v>0.97999999999999987</v>
      </c>
      <c r="W575" s="50">
        <v>1.0359622394950527</v>
      </c>
      <c r="X575" s="50" t="s">
        <v>7159</v>
      </c>
      <c r="Y575" s="50">
        <v>0.32</v>
      </c>
    </row>
    <row r="576" spans="2:25" x14ac:dyDescent="0.2">
      <c r="B576" s="50" t="s">
        <v>9</v>
      </c>
      <c r="C576" s="50" t="s">
        <v>7180</v>
      </c>
      <c r="D576" s="50"/>
      <c r="E576" s="50"/>
      <c r="F576" s="51" t="s">
        <v>528</v>
      </c>
      <c r="G576" s="50" t="s">
        <v>527</v>
      </c>
      <c r="H576" s="50" t="s">
        <v>10</v>
      </c>
      <c r="I576" s="50" t="s">
        <v>1120</v>
      </c>
      <c r="J576" s="50" t="s">
        <v>529</v>
      </c>
      <c r="K576" s="50" t="s">
        <v>7174</v>
      </c>
      <c r="L576" s="50">
        <v>10</v>
      </c>
      <c r="M576" s="50">
        <v>0.4</v>
      </c>
      <c r="N576" s="50">
        <v>0.34090909090909094</v>
      </c>
      <c r="O576" s="150">
        <v>31341.404447500001</v>
      </c>
      <c r="P576" s="150">
        <v>8165.78</v>
      </c>
      <c r="Q576" s="150">
        <v>23175.624447500002</v>
      </c>
      <c r="R576" s="150">
        <v>20854.915433403807</v>
      </c>
      <c r="S576" s="150">
        <v>2320.7090140961955</v>
      </c>
      <c r="T576" s="50" t="s">
        <v>7175</v>
      </c>
      <c r="U576" s="50">
        <v>2.2294349507808844E-5</v>
      </c>
      <c r="V576" s="50">
        <v>0.96</v>
      </c>
      <c r="W576" s="50">
        <v>1.0359845338445606</v>
      </c>
      <c r="X576" s="50" t="s">
        <v>7160</v>
      </c>
      <c r="Y576" s="50">
        <v>0.32</v>
      </c>
    </row>
    <row r="577" spans="2:25" x14ac:dyDescent="0.2">
      <c r="B577" s="50" t="s">
        <v>9</v>
      </c>
      <c r="C577" s="50" t="s">
        <v>719</v>
      </c>
      <c r="D577" s="50"/>
      <c r="E577" s="50"/>
      <c r="F577" s="51" t="s">
        <v>528</v>
      </c>
      <c r="G577" s="50" t="s">
        <v>527</v>
      </c>
      <c r="H577" s="50" t="s">
        <v>23</v>
      </c>
      <c r="I577" s="50" t="s">
        <v>1120</v>
      </c>
      <c r="J577" s="50" t="s">
        <v>543</v>
      </c>
      <c r="K577" s="50" t="s">
        <v>7174</v>
      </c>
      <c r="L577" s="50">
        <v>14</v>
      </c>
      <c r="M577" s="50">
        <v>0.84</v>
      </c>
      <c r="N577" s="50">
        <v>0.86</v>
      </c>
      <c r="O577" s="150">
        <v>65816.94933974999</v>
      </c>
      <c r="P577" s="150">
        <v>12038.138000000001</v>
      </c>
      <c r="Q577" s="150">
        <v>53778.811339749991</v>
      </c>
      <c r="R577" s="150">
        <v>52610</v>
      </c>
      <c r="S577" s="150">
        <v>1168.811339749991</v>
      </c>
      <c r="T577" s="50" t="s">
        <v>7175</v>
      </c>
      <c r="U577" s="50">
        <v>1.1228416987566578E-5</v>
      </c>
      <c r="V577" s="50">
        <v>0.94000000000000006</v>
      </c>
      <c r="W577" s="50">
        <v>1.0359957622615481</v>
      </c>
      <c r="X577" s="50" t="s">
        <v>7161</v>
      </c>
      <c r="Y577" s="50">
        <v>0.32</v>
      </c>
    </row>
    <row r="578" spans="2:25" x14ac:dyDescent="0.2">
      <c r="B578" s="50" t="s">
        <v>9</v>
      </c>
      <c r="C578" s="50" t="s">
        <v>863</v>
      </c>
      <c r="D578" s="50"/>
      <c r="E578" s="50"/>
      <c r="F578" s="51" t="s">
        <v>528</v>
      </c>
      <c r="G578" s="50" t="s">
        <v>527</v>
      </c>
      <c r="H578" s="50" t="s">
        <v>697</v>
      </c>
      <c r="I578" s="50" t="s">
        <v>1123</v>
      </c>
      <c r="J578" s="50" t="s">
        <v>698</v>
      </c>
      <c r="K578" s="50" t="s">
        <v>7174</v>
      </c>
      <c r="L578" s="50">
        <v>1</v>
      </c>
      <c r="M578" s="50">
        <v>0.8</v>
      </c>
      <c r="N578" s="50">
        <v>0.86</v>
      </c>
      <c r="O578" s="150">
        <v>62682.808895000002</v>
      </c>
      <c r="P578" s="150">
        <v>2461.56</v>
      </c>
      <c r="Q578" s="150">
        <v>60221.248895000004</v>
      </c>
      <c r="R578" s="150">
        <v>59070</v>
      </c>
      <c r="S578" s="150">
        <v>1151.2488950000043</v>
      </c>
      <c r="T578" s="50" t="s">
        <v>7175</v>
      </c>
      <c r="U578" s="50">
        <v>1.1059699893312401E-5</v>
      </c>
      <c r="V578" s="50">
        <v>0.19999999999999996</v>
      </c>
      <c r="W578" s="50">
        <v>1.0360068219614413</v>
      </c>
      <c r="X578" s="50" t="s">
        <v>7161</v>
      </c>
      <c r="Y578" s="50">
        <v>0.32</v>
      </c>
    </row>
    <row r="579" spans="2:25" x14ac:dyDescent="0.2">
      <c r="B579" s="50" t="s">
        <v>9</v>
      </c>
      <c r="C579" s="50" t="s">
        <v>1013</v>
      </c>
      <c r="D579" s="50"/>
      <c r="E579" s="50"/>
      <c r="F579" s="51" t="s">
        <v>528</v>
      </c>
      <c r="G579" s="50" t="s">
        <v>527</v>
      </c>
      <c r="H579" s="50" t="s">
        <v>23</v>
      </c>
      <c r="I579" s="50" t="s">
        <v>1121</v>
      </c>
      <c r="J579" s="50" t="s">
        <v>543</v>
      </c>
      <c r="K579" s="50" t="s">
        <v>7174</v>
      </c>
      <c r="L579" s="50">
        <v>75</v>
      </c>
      <c r="M579" s="50">
        <v>1.5</v>
      </c>
      <c r="N579" s="50">
        <v>0.32</v>
      </c>
      <c r="O579" s="150">
        <v>117530.266678125</v>
      </c>
      <c r="P579" s="150">
        <v>57996.675000000003</v>
      </c>
      <c r="Q579" s="150">
        <v>59533.591678124998</v>
      </c>
      <c r="R579" s="150">
        <v>59070</v>
      </c>
      <c r="S579" s="150">
        <v>463.591678124998</v>
      </c>
      <c r="T579" s="50" t="s">
        <v>7175</v>
      </c>
      <c r="U579" s="50">
        <v>4.4535850200312575E-6</v>
      </c>
      <c r="V579" s="50">
        <v>0.98</v>
      </c>
      <c r="W579" s="50">
        <v>1.0360112755464614</v>
      </c>
      <c r="X579" s="50" t="s">
        <v>7163</v>
      </c>
      <c r="Y579" s="50">
        <v>0.32</v>
      </c>
    </row>
    <row r="580" spans="2:25" x14ac:dyDescent="0.2">
      <c r="B580" s="50" t="s">
        <v>9</v>
      </c>
      <c r="C580" s="50" t="s">
        <v>7181</v>
      </c>
      <c r="D580" s="50"/>
      <c r="E580" s="50"/>
      <c r="F580" s="51" t="s">
        <v>528</v>
      </c>
      <c r="G580" s="50" t="s">
        <v>527</v>
      </c>
      <c r="H580" s="50" t="s">
        <v>10</v>
      </c>
      <c r="I580" s="50" t="s">
        <v>1120</v>
      </c>
      <c r="J580" s="50" t="s">
        <v>529</v>
      </c>
      <c r="K580" s="50" t="s">
        <v>7174</v>
      </c>
      <c r="L580" s="50">
        <v>21</v>
      </c>
      <c r="M580" s="50">
        <v>1.68</v>
      </c>
      <c r="N580" s="50">
        <v>1.8434343434343436</v>
      </c>
      <c r="O580" s="150">
        <v>131633.89867949998</v>
      </c>
      <c r="P580" s="150">
        <v>18966.276000000002</v>
      </c>
      <c r="Q580" s="150">
        <v>112667.62267949998</v>
      </c>
      <c r="R580" s="150">
        <v>112771.02419544282</v>
      </c>
      <c r="S580" s="150">
        <v>-103.40151594283816</v>
      </c>
      <c r="T580" s="50" t="s">
        <v>7175</v>
      </c>
      <c r="U580" s="50">
        <v>-9.9334708576753372E-7</v>
      </c>
      <c r="V580" s="50">
        <v>0.92</v>
      </c>
      <c r="W580" s="50">
        <v>1.0360102821993757</v>
      </c>
      <c r="X580" s="50" t="s">
        <v>7160</v>
      </c>
      <c r="Y580" s="50">
        <v>0.32</v>
      </c>
    </row>
    <row r="581" spans="2:25" x14ac:dyDescent="0.2">
      <c r="B581" s="50" t="s">
        <v>9</v>
      </c>
      <c r="C581" s="50" t="s">
        <v>918</v>
      </c>
      <c r="D581" s="50"/>
      <c r="E581" s="50"/>
      <c r="F581" s="51" t="s">
        <v>528</v>
      </c>
      <c r="G581" s="50" t="s">
        <v>527</v>
      </c>
      <c r="H581" s="50" t="s">
        <v>23</v>
      </c>
      <c r="I581" s="50" t="s">
        <v>1120</v>
      </c>
      <c r="J581" s="50" t="s">
        <v>543</v>
      </c>
      <c r="K581" s="50" t="s">
        <v>7174</v>
      </c>
      <c r="L581" s="50">
        <v>2.5</v>
      </c>
      <c r="M581" s="50">
        <v>0.7</v>
      </c>
      <c r="N581" s="50">
        <v>0.86</v>
      </c>
      <c r="O581" s="150">
        <v>54847.457783124992</v>
      </c>
      <c r="P581" s="150">
        <v>3340.1149999999998</v>
      </c>
      <c r="Q581" s="150">
        <v>51507.342783124994</v>
      </c>
      <c r="R581" s="150">
        <v>52610</v>
      </c>
      <c r="S581" s="150">
        <v>-1102.6572168750063</v>
      </c>
      <c r="T581" s="50" t="s">
        <v>7175</v>
      </c>
      <c r="U581" s="50">
        <v>-1.0592894340048517E-5</v>
      </c>
      <c r="V581" s="50">
        <v>0.72</v>
      </c>
      <c r="W581" s="50">
        <v>1.0359996893050356</v>
      </c>
      <c r="X581" s="50" t="s">
        <v>7161</v>
      </c>
      <c r="Y581" s="50">
        <v>0.32</v>
      </c>
    </row>
    <row r="582" spans="2:25" x14ac:dyDescent="0.2">
      <c r="B582" s="50" t="s">
        <v>9</v>
      </c>
      <c r="C582" s="50" t="s">
        <v>573</v>
      </c>
      <c r="D582" s="50"/>
      <c r="E582" s="50"/>
      <c r="F582" s="51" t="s">
        <v>528</v>
      </c>
      <c r="G582" s="50" t="s">
        <v>527</v>
      </c>
      <c r="H582" s="50" t="s">
        <v>535</v>
      </c>
      <c r="I582" s="50" t="s">
        <v>1120</v>
      </c>
      <c r="J582" s="50" t="s">
        <v>536</v>
      </c>
      <c r="K582" s="50" t="s">
        <v>7174</v>
      </c>
      <c r="L582" s="50">
        <v>94</v>
      </c>
      <c r="M582" s="50">
        <v>0.94</v>
      </c>
      <c r="N582" s="50">
        <v>0.11994742030890569</v>
      </c>
      <c r="O582" s="150">
        <v>73652.300451624993</v>
      </c>
      <c r="P582" s="150">
        <v>70654.582999999999</v>
      </c>
      <c r="Q582" s="150">
        <v>2997.7174516249943</v>
      </c>
      <c r="R582" s="150">
        <v>7337.7137005250324</v>
      </c>
      <c r="S582" s="150">
        <v>-4339.9962489000382</v>
      </c>
      <c r="T582" s="50" t="s">
        <v>7175</v>
      </c>
      <c r="U582" s="50">
        <v>-4.1693031158944818E-5</v>
      </c>
      <c r="V582" s="50">
        <v>0.99</v>
      </c>
      <c r="W582" s="50">
        <v>1.0359579962738767</v>
      </c>
      <c r="X582" s="50" t="s">
        <v>7161</v>
      </c>
      <c r="Y582" s="50">
        <v>0.32</v>
      </c>
    </row>
    <row r="583" spans="2:25" x14ac:dyDescent="0.2">
      <c r="B583" s="50" t="s">
        <v>9</v>
      </c>
      <c r="C583" s="50" t="s">
        <v>1012</v>
      </c>
      <c r="D583" s="50"/>
      <c r="E583" s="50"/>
      <c r="F583" s="51" t="s">
        <v>528</v>
      </c>
      <c r="G583" s="50" t="s">
        <v>527</v>
      </c>
      <c r="H583" s="50" t="s">
        <v>10</v>
      </c>
      <c r="I583" s="50" t="s">
        <v>1120</v>
      </c>
      <c r="J583" s="50" t="s">
        <v>529</v>
      </c>
      <c r="K583" s="50" t="s">
        <v>7174</v>
      </c>
      <c r="L583" s="50">
        <v>20</v>
      </c>
      <c r="M583" s="50">
        <v>0.2</v>
      </c>
      <c r="N583" s="50">
        <v>8.6288416075650118E-2</v>
      </c>
      <c r="O583" s="150">
        <v>15670.70222375</v>
      </c>
      <c r="P583" s="150">
        <v>15032.89</v>
      </c>
      <c r="Q583" s="150">
        <v>637.81222375000107</v>
      </c>
      <c r="R583" s="150">
        <v>5278.6436857441313</v>
      </c>
      <c r="S583" s="150">
        <v>-4640.8314619941302</v>
      </c>
      <c r="T583" s="50" t="s">
        <v>7175</v>
      </c>
      <c r="U583" s="50">
        <v>-4.4583064051581235E-5</v>
      </c>
      <c r="V583" s="50">
        <v>0.99</v>
      </c>
      <c r="W583" s="50">
        <v>1.0359134132098251</v>
      </c>
      <c r="X583" s="50" t="s">
        <v>7163</v>
      </c>
      <c r="Y583" s="50">
        <v>0.32</v>
      </c>
    </row>
    <row r="584" spans="2:25" x14ac:dyDescent="0.2">
      <c r="B584" s="50" t="s">
        <v>9</v>
      </c>
      <c r="C584" s="50" t="s">
        <v>718</v>
      </c>
      <c r="D584" s="50"/>
      <c r="E584" s="50"/>
      <c r="F584" s="51" t="s">
        <v>528</v>
      </c>
      <c r="G584" s="50" t="s">
        <v>527</v>
      </c>
      <c r="H584" s="50" t="s">
        <v>23</v>
      </c>
      <c r="I584" s="50" t="s">
        <v>1120</v>
      </c>
      <c r="J584" s="50" t="s">
        <v>543</v>
      </c>
      <c r="K584" s="50" t="s">
        <v>7174</v>
      </c>
      <c r="L584" s="50">
        <v>82</v>
      </c>
      <c r="M584" s="50">
        <v>0.82</v>
      </c>
      <c r="N584" s="50">
        <v>0.12118193891102257</v>
      </c>
      <c r="O584" s="150">
        <v>64249.879117374992</v>
      </c>
      <c r="P584" s="150">
        <v>61634.848999999995</v>
      </c>
      <c r="Q584" s="150">
        <v>2615.0301173749976</v>
      </c>
      <c r="R584" s="150">
        <v>7413.2346582661603</v>
      </c>
      <c r="S584" s="150">
        <v>-4798.2045408911627</v>
      </c>
      <c r="T584" s="50" t="s">
        <v>7175</v>
      </c>
      <c r="U584" s="50">
        <v>-4.6094899616806901E-5</v>
      </c>
      <c r="V584" s="50">
        <v>0.9900000000000001</v>
      </c>
      <c r="W584" s="50">
        <v>1.0358673183102083</v>
      </c>
      <c r="X584" s="50" t="s">
        <v>7163</v>
      </c>
      <c r="Y584" s="50">
        <v>0.32</v>
      </c>
    </row>
    <row r="585" spans="2:25" x14ac:dyDescent="0.2">
      <c r="B585" s="50" t="s">
        <v>9</v>
      </c>
      <c r="C585" s="50" t="s">
        <v>664</v>
      </c>
      <c r="D585" s="50"/>
      <c r="E585" s="50"/>
      <c r="F585" s="51" t="s">
        <v>528</v>
      </c>
      <c r="G585" s="50" t="s">
        <v>527</v>
      </c>
      <c r="H585" s="50" t="s">
        <v>10</v>
      </c>
      <c r="I585" s="50" t="s">
        <v>1120</v>
      </c>
      <c r="J585" s="50" t="s">
        <v>529</v>
      </c>
      <c r="K585" s="50" t="s">
        <v>7174</v>
      </c>
      <c r="L585" s="50">
        <v>43</v>
      </c>
      <c r="M585" s="50">
        <v>0.64500000000000002</v>
      </c>
      <c r="N585" s="50">
        <v>0.37487161930845603</v>
      </c>
      <c r="O585" s="150">
        <v>50538.014671593752</v>
      </c>
      <c r="P585" s="150">
        <v>32786.070249999997</v>
      </c>
      <c r="Q585" s="150">
        <v>17751.944421593755</v>
      </c>
      <c r="R585" s="150">
        <v>22932.553362578918</v>
      </c>
      <c r="S585" s="150">
        <v>-5180.6089409851629</v>
      </c>
      <c r="T585" s="50" t="s">
        <v>7175</v>
      </c>
      <c r="U585" s="50">
        <v>-4.9768543015111136E-5</v>
      </c>
      <c r="V585" s="50">
        <v>0.98499999999999988</v>
      </c>
      <c r="W585" s="50">
        <v>1.0358175497671931</v>
      </c>
      <c r="X585" s="50" t="s">
        <v>7163</v>
      </c>
      <c r="Y585" s="50">
        <v>0.32</v>
      </c>
    </row>
    <row r="586" spans="2:25" x14ac:dyDescent="0.2">
      <c r="B586" s="50" t="s">
        <v>9</v>
      </c>
      <c r="C586" s="50" t="s">
        <v>742</v>
      </c>
      <c r="D586" s="50"/>
      <c r="E586" s="50"/>
      <c r="F586" s="51" t="s">
        <v>528</v>
      </c>
      <c r="G586" s="50" t="s">
        <v>527</v>
      </c>
      <c r="H586" s="50" t="s">
        <v>10</v>
      </c>
      <c r="I586" s="50" t="s">
        <v>1120</v>
      </c>
      <c r="J586" s="50" t="s">
        <v>529</v>
      </c>
      <c r="K586" s="50" t="s">
        <v>7174</v>
      </c>
      <c r="L586" s="50">
        <v>8</v>
      </c>
      <c r="M586" s="50">
        <v>0.08</v>
      </c>
      <c r="N586" s="50">
        <v>8.9002682272616443E-2</v>
      </c>
      <c r="O586" s="150">
        <v>6268.2808894999998</v>
      </c>
      <c r="P586" s="150">
        <v>6013.1559999999999</v>
      </c>
      <c r="Q586" s="150">
        <v>255.12488949999988</v>
      </c>
      <c r="R586" s="150">
        <v>5444.6873422818035</v>
      </c>
      <c r="S586" s="150">
        <v>-5189.5624527818036</v>
      </c>
      <c r="T586" s="50" t="s">
        <v>7175</v>
      </c>
      <c r="U586" s="50">
        <v>-4.9854556694596211E-5</v>
      </c>
      <c r="V586" s="50">
        <v>0.99</v>
      </c>
      <c r="W586" s="50">
        <v>1.0357676952104984</v>
      </c>
      <c r="X586" s="50" t="s">
        <v>7161</v>
      </c>
      <c r="Y586" s="50">
        <v>0.32</v>
      </c>
    </row>
    <row r="587" spans="2:25" x14ac:dyDescent="0.2">
      <c r="B587" s="50" t="s">
        <v>9</v>
      </c>
      <c r="C587" s="50" t="s">
        <v>1025</v>
      </c>
      <c r="D587" s="50"/>
      <c r="E587" s="50"/>
      <c r="F587" s="51" t="s">
        <v>528</v>
      </c>
      <c r="G587" s="50" t="s">
        <v>527</v>
      </c>
      <c r="H587" s="50" t="s">
        <v>10</v>
      </c>
      <c r="I587" s="50" t="s">
        <v>1120</v>
      </c>
      <c r="J587" s="50" t="s">
        <v>529</v>
      </c>
      <c r="K587" s="50" t="s">
        <v>7174</v>
      </c>
      <c r="L587" s="50">
        <v>14</v>
      </c>
      <c r="M587" s="50">
        <v>0.28000000000000003</v>
      </c>
      <c r="N587" s="50">
        <v>0.27557568893922235</v>
      </c>
      <c r="O587" s="150">
        <v>21938.983113250004</v>
      </c>
      <c r="P587" s="150">
        <v>10826.046</v>
      </c>
      <c r="Q587" s="150">
        <v>11112.937113250004</v>
      </c>
      <c r="R587" s="150">
        <v>16858.182552433125</v>
      </c>
      <c r="S587" s="150">
        <v>-5745.2454391831216</v>
      </c>
      <c r="T587" s="50" t="s">
        <v>7175</v>
      </c>
      <c r="U587" s="50">
        <v>-5.5192835056564278E-5</v>
      </c>
      <c r="V587" s="50">
        <v>0.98000000000000009</v>
      </c>
      <c r="W587" s="50">
        <v>1.0357125023754419</v>
      </c>
      <c r="X587" s="50" t="s">
        <v>7160</v>
      </c>
      <c r="Y587" s="50">
        <v>0.32</v>
      </c>
    </row>
    <row r="588" spans="2:25" x14ac:dyDescent="0.2">
      <c r="B588" s="50" t="s">
        <v>9</v>
      </c>
      <c r="C588" s="50" t="s">
        <v>710</v>
      </c>
      <c r="D588" s="50"/>
      <c r="E588" s="50"/>
      <c r="F588" s="51" t="s">
        <v>528</v>
      </c>
      <c r="G588" s="50" t="s">
        <v>527</v>
      </c>
      <c r="H588" s="50" t="s">
        <v>10</v>
      </c>
      <c r="I588" s="50" t="s">
        <v>1120</v>
      </c>
      <c r="J588" s="50" t="s">
        <v>529</v>
      </c>
      <c r="K588" s="50" t="s">
        <v>7174</v>
      </c>
      <c r="L588" s="50">
        <v>78</v>
      </c>
      <c r="M588" s="50">
        <v>0.78</v>
      </c>
      <c r="N588" s="50">
        <v>0.13783987915407855</v>
      </c>
      <c r="O588" s="150">
        <v>61115.73867262499</v>
      </c>
      <c r="P588" s="150">
        <v>58628.271000000008</v>
      </c>
      <c r="Q588" s="150">
        <v>2487.4676726249818</v>
      </c>
      <c r="R588" s="150">
        <v>8432.2744677861319</v>
      </c>
      <c r="S588" s="150">
        <v>-5944.8067951611501</v>
      </c>
      <c r="T588" s="50" t="s">
        <v>7175</v>
      </c>
      <c r="U588" s="50">
        <v>-5.7109960638187072E-5</v>
      </c>
      <c r="V588" s="50">
        <v>0.99</v>
      </c>
      <c r="W588" s="50">
        <v>1.0356553924148038</v>
      </c>
      <c r="X588" s="50" t="s">
        <v>7161</v>
      </c>
      <c r="Y588" s="50">
        <v>0.32</v>
      </c>
    </row>
    <row r="589" spans="2:25" x14ac:dyDescent="0.2">
      <c r="B589" s="50" t="s">
        <v>9</v>
      </c>
      <c r="C589" s="50" t="s">
        <v>744</v>
      </c>
      <c r="D589" s="50"/>
      <c r="E589" s="50"/>
      <c r="F589" s="51" t="s">
        <v>528</v>
      </c>
      <c r="G589" s="50" t="s">
        <v>527</v>
      </c>
      <c r="H589" s="50" t="s">
        <v>10</v>
      </c>
      <c r="I589" s="50" t="s">
        <v>1120</v>
      </c>
      <c r="J589" s="50" t="s">
        <v>529</v>
      </c>
      <c r="K589" s="50" t="s">
        <v>7174</v>
      </c>
      <c r="L589" s="50">
        <v>19</v>
      </c>
      <c r="M589" s="50">
        <v>0.95</v>
      </c>
      <c r="N589" s="50">
        <v>1.0537712017322265</v>
      </c>
      <c r="O589" s="150">
        <v>74435.835562812485</v>
      </c>
      <c r="P589" s="150">
        <v>15926.227499999999</v>
      </c>
      <c r="Q589" s="150">
        <v>58509.608062812484</v>
      </c>
      <c r="R589" s="150">
        <v>64463.840608293525</v>
      </c>
      <c r="S589" s="150">
        <v>-5954.2325454810416</v>
      </c>
      <c r="T589" s="50" t="s">
        <v>7175</v>
      </c>
      <c r="U589" s="50">
        <v>-5.7200510970317722E-5</v>
      </c>
      <c r="V589" s="50">
        <v>0.95000000000000007</v>
      </c>
      <c r="W589" s="50">
        <v>1.0355981919038335</v>
      </c>
      <c r="X589" s="50" t="s">
        <v>7163</v>
      </c>
      <c r="Y589" s="50">
        <v>0.32</v>
      </c>
    </row>
    <row r="590" spans="2:25" x14ac:dyDescent="0.2">
      <c r="B590" s="50" t="s">
        <v>9</v>
      </c>
      <c r="C590" s="50" t="s">
        <v>997</v>
      </c>
      <c r="D590" s="50"/>
      <c r="E590" s="50"/>
      <c r="F590" s="51" t="s">
        <v>528</v>
      </c>
      <c r="G590" s="50" t="s">
        <v>527</v>
      </c>
      <c r="H590" s="50" t="s">
        <v>10</v>
      </c>
      <c r="I590" s="50" t="s">
        <v>1120</v>
      </c>
      <c r="J590" s="50" t="s">
        <v>529</v>
      </c>
      <c r="K590" s="50" t="s">
        <v>7174</v>
      </c>
      <c r="L590" s="50">
        <v>23</v>
      </c>
      <c r="M590" s="50">
        <v>0.23</v>
      </c>
      <c r="N590" s="50">
        <v>0.11413383364602876</v>
      </c>
      <c r="O590" s="150">
        <v>18021.307557312499</v>
      </c>
      <c r="P590" s="150">
        <v>17287.823499999999</v>
      </c>
      <c r="Q590" s="150">
        <v>733.48405731250023</v>
      </c>
      <c r="R590" s="150">
        <v>6982.0709164157824</v>
      </c>
      <c r="S590" s="150">
        <v>-6248.5868591032822</v>
      </c>
      <c r="T590" s="50" t="s">
        <v>7175</v>
      </c>
      <c r="U590" s="50">
        <v>-6.0028283822133509E-5</v>
      </c>
      <c r="V590" s="50">
        <v>0.99</v>
      </c>
      <c r="W590" s="50">
        <v>1.0355381636200114</v>
      </c>
      <c r="X590" s="50" t="s">
        <v>7160</v>
      </c>
      <c r="Y590" s="50">
        <v>0.32</v>
      </c>
    </row>
    <row r="591" spans="2:25" x14ac:dyDescent="0.2">
      <c r="B591" s="50" t="s">
        <v>9</v>
      </c>
      <c r="C591" s="50" t="s">
        <v>746</v>
      </c>
      <c r="D591" s="50"/>
      <c r="E591" s="50"/>
      <c r="F591" s="51" t="s">
        <v>528</v>
      </c>
      <c r="G591" s="50" t="s">
        <v>527</v>
      </c>
      <c r="H591" s="50" t="s">
        <v>10</v>
      </c>
      <c r="I591" s="50" t="s">
        <v>1120</v>
      </c>
      <c r="J591" s="50" t="s">
        <v>529</v>
      </c>
      <c r="K591" s="50" t="s">
        <v>7174</v>
      </c>
      <c r="L591" s="50">
        <v>33</v>
      </c>
      <c r="M591" s="50">
        <v>0.33</v>
      </c>
      <c r="N591" s="50">
        <v>0.12215528781793841</v>
      </c>
      <c r="O591" s="150">
        <v>25856.658669187502</v>
      </c>
      <c r="P591" s="150">
        <v>24804.268500000002</v>
      </c>
      <c r="Q591" s="150">
        <v>1052.3901691874999</v>
      </c>
      <c r="R591" s="150">
        <v>7472.7787117462094</v>
      </c>
      <c r="S591" s="150">
        <v>-6420.3885425587096</v>
      </c>
      <c r="T591" s="50" t="s">
        <v>7175</v>
      </c>
      <c r="U591" s="50">
        <v>-6.1678730626847165E-5</v>
      </c>
      <c r="V591" s="50">
        <v>0.9900000000000001</v>
      </c>
      <c r="W591" s="50">
        <v>1.0354764848893845</v>
      </c>
      <c r="X591" s="50" t="s">
        <v>7159</v>
      </c>
      <c r="Y591" s="50">
        <v>0.32</v>
      </c>
    </row>
    <row r="592" spans="2:25" x14ac:dyDescent="0.2">
      <c r="B592" s="50" t="s">
        <v>9</v>
      </c>
      <c r="C592" s="50" t="s">
        <v>869</v>
      </c>
      <c r="D592" s="50"/>
      <c r="E592" s="50"/>
      <c r="F592" s="51" t="s">
        <v>528</v>
      </c>
      <c r="G592" s="50" t="s">
        <v>527</v>
      </c>
      <c r="H592" s="50" t="s">
        <v>10</v>
      </c>
      <c r="I592" s="50" t="s">
        <v>1120</v>
      </c>
      <c r="J592" s="50" t="s">
        <v>529</v>
      </c>
      <c r="K592" s="50" t="s">
        <v>7174</v>
      </c>
      <c r="L592" s="50">
        <v>79</v>
      </c>
      <c r="M592" s="50">
        <v>0.79</v>
      </c>
      <c r="N592" s="50">
        <v>0.15107615894039736</v>
      </c>
      <c r="O592" s="150">
        <v>61899.273783812503</v>
      </c>
      <c r="P592" s="150">
        <v>59379.915499999996</v>
      </c>
      <c r="Q592" s="150">
        <v>2519.3582838125076</v>
      </c>
      <c r="R592" s="150">
        <v>9241.9961882026801</v>
      </c>
      <c r="S592" s="150">
        <v>-6722.6379043901725</v>
      </c>
      <c r="T592" s="50" t="s">
        <v>7175</v>
      </c>
      <c r="U592" s="50">
        <v>-6.4582348818638049E-5</v>
      </c>
      <c r="V592" s="50">
        <v>0.98999999999999988</v>
      </c>
      <c r="W592" s="50">
        <v>1.0354119025405659</v>
      </c>
      <c r="X592" s="50" t="s">
        <v>7162</v>
      </c>
      <c r="Y592" s="50">
        <v>0.32</v>
      </c>
    </row>
    <row r="593" spans="2:25" x14ac:dyDescent="0.2">
      <c r="B593" s="50" t="s">
        <v>9</v>
      </c>
      <c r="C593" s="50" t="s">
        <v>1052</v>
      </c>
      <c r="D593" s="50"/>
      <c r="E593" s="50"/>
      <c r="F593" s="51" t="s">
        <v>528</v>
      </c>
      <c r="G593" s="50" t="s">
        <v>527</v>
      </c>
      <c r="H593" s="50" t="s">
        <v>10</v>
      </c>
      <c r="I593" s="50" t="s">
        <v>1120</v>
      </c>
      <c r="J593" s="50" t="s">
        <v>529</v>
      </c>
      <c r="K593" s="50" t="s">
        <v>7174</v>
      </c>
      <c r="L593" s="50">
        <v>30</v>
      </c>
      <c r="M593" s="50">
        <v>0.3</v>
      </c>
      <c r="N593" s="50">
        <v>0.12638504155124652</v>
      </c>
      <c r="O593" s="150">
        <v>23506.053335624998</v>
      </c>
      <c r="P593" s="150">
        <v>22549.334999999999</v>
      </c>
      <c r="Q593" s="150">
        <v>956.71833562499887</v>
      </c>
      <c r="R593" s="150">
        <v>7731.5314372221856</v>
      </c>
      <c r="S593" s="150">
        <v>-6774.8131015971867</v>
      </c>
      <c r="T593" s="50" t="s">
        <v>7175</v>
      </c>
      <c r="U593" s="50">
        <v>-6.5083580155745195E-5</v>
      </c>
      <c r="V593" s="50">
        <v>0.99</v>
      </c>
      <c r="W593" s="50">
        <v>1.0353468189604103</v>
      </c>
      <c r="X593" s="50" t="s">
        <v>7161</v>
      </c>
      <c r="Y593" s="50">
        <v>0.32</v>
      </c>
    </row>
    <row r="594" spans="2:25" x14ac:dyDescent="0.2">
      <c r="B594" s="50" t="s">
        <v>9</v>
      </c>
      <c r="C594" s="50" t="s">
        <v>1004</v>
      </c>
      <c r="D594" s="50"/>
      <c r="E594" s="50"/>
      <c r="F594" s="51" t="s">
        <v>528</v>
      </c>
      <c r="G594" s="50" t="s">
        <v>527</v>
      </c>
      <c r="H594" s="50" t="s">
        <v>10</v>
      </c>
      <c r="I594" s="50" t="s">
        <v>1120</v>
      </c>
      <c r="J594" s="50" t="s">
        <v>529</v>
      </c>
      <c r="K594" s="50" t="s">
        <v>7174</v>
      </c>
      <c r="L594" s="50">
        <v>48</v>
      </c>
      <c r="M594" s="50">
        <v>0.48</v>
      </c>
      <c r="N594" s="50">
        <v>0.13789195315451455</v>
      </c>
      <c r="O594" s="150">
        <v>37609.685337000003</v>
      </c>
      <c r="P594" s="150">
        <v>36078.936000000002</v>
      </c>
      <c r="Q594" s="150">
        <v>1530.7493370000011</v>
      </c>
      <c r="R594" s="150">
        <v>8435.4600644872226</v>
      </c>
      <c r="S594" s="150">
        <v>-6904.7107274872214</v>
      </c>
      <c r="T594" s="50" t="s">
        <v>7175</v>
      </c>
      <c r="U594" s="50">
        <v>-6.6331467354974639E-5</v>
      </c>
      <c r="V594" s="50">
        <v>0.9900000000000001</v>
      </c>
      <c r="W594" s="50">
        <v>1.0352804874930552</v>
      </c>
      <c r="X594" s="50" t="s">
        <v>7160</v>
      </c>
      <c r="Y594" s="50">
        <v>0.32</v>
      </c>
    </row>
    <row r="595" spans="2:25" x14ac:dyDescent="0.2">
      <c r="B595" s="50" t="s">
        <v>9</v>
      </c>
      <c r="C595" s="50" t="s">
        <v>806</v>
      </c>
      <c r="D595" s="50"/>
      <c r="E595" s="50"/>
      <c r="F595" s="51" t="s">
        <v>528</v>
      </c>
      <c r="G595" s="50" t="s">
        <v>527</v>
      </c>
      <c r="H595" s="50" t="s">
        <v>10</v>
      </c>
      <c r="I595" s="50" t="s">
        <v>1120</v>
      </c>
      <c r="J595" s="50" t="s">
        <v>529</v>
      </c>
      <c r="K595" s="50" t="s">
        <v>7174</v>
      </c>
      <c r="L595" s="50">
        <v>88</v>
      </c>
      <c r="M595" s="50">
        <v>0.88</v>
      </c>
      <c r="N595" s="50">
        <v>0.1655328798185941</v>
      </c>
      <c r="O595" s="150">
        <v>68951.0897845</v>
      </c>
      <c r="P595" s="150">
        <v>66144.716</v>
      </c>
      <c r="Q595" s="150">
        <v>2806.3737844999996</v>
      </c>
      <c r="R595" s="150">
        <v>10126.377682856088</v>
      </c>
      <c r="S595" s="150">
        <v>-7320.003898356088</v>
      </c>
      <c r="T595" s="50" t="s">
        <v>7175</v>
      </c>
      <c r="U595" s="50">
        <v>-7.0321063225598049E-5</v>
      </c>
      <c r="V595" s="50">
        <v>0.9900000000000001</v>
      </c>
      <c r="W595" s="50">
        <v>1.0352101664298297</v>
      </c>
      <c r="X595" s="50" t="s">
        <v>7163</v>
      </c>
      <c r="Y595" s="50">
        <v>0.32</v>
      </c>
    </row>
    <row r="596" spans="2:25" x14ac:dyDescent="0.2">
      <c r="B596" s="50" t="s">
        <v>9</v>
      </c>
      <c r="C596" s="50" t="s">
        <v>1822</v>
      </c>
      <c r="D596" s="50"/>
      <c r="E596" s="50"/>
      <c r="F596" s="51" t="s">
        <v>528</v>
      </c>
      <c r="G596" s="50" t="s">
        <v>527</v>
      </c>
      <c r="H596" s="50" t="e">
        <v>#N/A</v>
      </c>
      <c r="I596" s="50" t="s">
        <v>1120</v>
      </c>
      <c r="J596" s="50" t="e">
        <v>#N/A</v>
      </c>
      <c r="K596" s="50" t="s">
        <v>7174</v>
      </c>
      <c r="L596" s="50">
        <v>72</v>
      </c>
      <c r="M596" s="50">
        <v>0.72</v>
      </c>
      <c r="N596" s="50">
        <v>0.15725980180956484</v>
      </c>
      <c r="O596" s="150">
        <v>56414.528005499997</v>
      </c>
      <c r="P596" s="150">
        <v>54118.404000000002</v>
      </c>
      <c r="Q596" s="150">
        <v>2296.1240054999944</v>
      </c>
      <c r="R596" s="150">
        <v>9620.2769455827984</v>
      </c>
      <c r="S596" s="150">
        <v>-7324.152940082804</v>
      </c>
      <c r="T596" s="50" t="s">
        <v>7175</v>
      </c>
      <c r="U596" s="50">
        <v>-7.0360921814424147E-5</v>
      </c>
      <c r="V596" s="50">
        <v>0.99</v>
      </c>
      <c r="W596" s="50">
        <v>1.0351398055080152</v>
      </c>
      <c r="X596" s="50" t="s">
        <v>7160</v>
      </c>
      <c r="Y596" s="50">
        <v>0.32</v>
      </c>
    </row>
    <row r="597" spans="2:25" x14ac:dyDescent="0.2">
      <c r="B597" s="50" t="s">
        <v>9</v>
      </c>
      <c r="C597" s="50" t="s">
        <v>653</v>
      </c>
      <c r="D597" s="50"/>
      <c r="E597" s="50"/>
      <c r="F597" s="51" t="s">
        <v>528</v>
      </c>
      <c r="G597" s="50" t="s">
        <v>527</v>
      </c>
      <c r="H597" s="50" t="s">
        <v>10</v>
      </c>
      <c r="I597" s="50" t="s">
        <v>1120</v>
      </c>
      <c r="J597" s="50" t="s">
        <v>529</v>
      </c>
      <c r="K597" s="50" t="s">
        <v>7174</v>
      </c>
      <c r="L597" s="50">
        <v>57</v>
      </c>
      <c r="M597" s="50">
        <v>1.1399999999999999</v>
      </c>
      <c r="N597" s="50">
        <v>0.86</v>
      </c>
      <c r="O597" s="150">
        <v>89323.002675374984</v>
      </c>
      <c r="P597" s="150">
        <v>44077.472999999998</v>
      </c>
      <c r="Q597" s="150">
        <v>45245.529675374986</v>
      </c>
      <c r="R597" s="150">
        <v>52610</v>
      </c>
      <c r="S597" s="150">
        <v>-7364.4703246250137</v>
      </c>
      <c r="T597" s="50" t="s">
        <v>7175</v>
      </c>
      <c r="U597" s="50">
        <v>-7.0748238732126902E-5</v>
      </c>
      <c r="V597" s="50">
        <v>0.98</v>
      </c>
      <c r="W597" s="50">
        <v>1.0350690572692831</v>
      </c>
      <c r="X597" s="50" t="s">
        <v>7162</v>
      </c>
      <c r="Y597" s="50">
        <v>0.32</v>
      </c>
    </row>
    <row r="598" spans="2:25" x14ac:dyDescent="0.2">
      <c r="B598" s="50" t="s">
        <v>9</v>
      </c>
      <c r="C598" s="50" t="s">
        <v>747</v>
      </c>
      <c r="D598" s="50"/>
      <c r="E598" s="50"/>
      <c r="F598" s="51" t="s">
        <v>528</v>
      </c>
      <c r="G598" s="50" t="s">
        <v>527</v>
      </c>
      <c r="H598" s="50" t="s">
        <v>10</v>
      </c>
      <c r="I598" s="50" t="s">
        <v>1120</v>
      </c>
      <c r="J598" s="50" t="s">
        <v>529</v>
      </c>
      <c r="K598" s="50" t="s">
        <v>7174</v>
      </c>
      <c r="L598" s="50">
        <v>17</v>
      </c>
      <c r="M598" s="50">
        <v>0.17</v>
      </c>
      <c r="N598" s="50">
        <v>0.13082437275985664</v>
      </c>
      <c r="O598" s="150">
        <v>13320.0968901875</v>
      </c>
      <c r="P598" s="150">
        <v>12777.9565</v>
      </c>
      <c r="Q598" s="150">
        <v>542.14039018750009</v>
      </c>
      <c r="R598" s="150">
        <v>8003.1049429023933</v>
      </c>
      <c r="S598" s="150">
        <v>-7460.9645527148932</v>
      </c>
      <c r="T598" s="50" t="s">
        <v>7175</v>
      </c>
      <c r="U598" s="50">
        <v>-7.1675229592874613E-5</v>
      </c>
      <c r="V598" s="50">
        <v>0.98999999999999988</v>
      </c>
      <c r="W598" s="50">
        <v>1.0349973820396903</v>
      </c>
      <c r="X598" s="50" t="s">
        <v>7159</v>
      </c>
      <c r="Y598" s="50">
        <v>0.32</v>
      </c>
    </row>
    <row r="599" spans="2:25" x14ac:dyDescent="0.2">
      <c r="B599" s="50" t="s">
        <v>9</v>
      </c>
      <c r="C599" s="50" t="s">
        <v>636</v>
      </c>
      <c r="D599" s="50"/>
      <c r="E599" s="50"/>
      <c r="F599" s="51" t="s">
        <v>528</v>
      </c>
      <c r="G599" s="50" t="s">
        <v>527</v>
      </c>
      <c r="H599" s="50" t="s">
        <v>10</v>
      </c>
      <c r="I599" s="50" t="s">
        <v>1120</v>
      </c>
      <c r="J599" s="50" t="s">
        <v>529</v>
      </c>
      <c r="K599" s="50" t="s">
        <v>7174</v>
      </c>
      <c r="L599" s="50">
        <v>67</v>
      </c>
      <c r="M599" s="50">
        <v>0.67</v>
      </c>
      <c r="N599" s="50">
        <v>0.16086381665932128</v>
      </c>
      <c r="O599" s="150">
        <v>52496.852449562502</v>
      </c>
      <c r="P599" s="150">
        <v>50360.181499999999</v>
      </c>
      <c r="Q599" s="150">
        <v>2136.6709495625037</v>
      </c>
      <c r="R599" s="150">
        <v>9840.7504586591785</v>
      </c>
      <c r="S599" s="150">
        <v>-7704.0795090966749</v>
      </c>
      <c r="T599" s="50" t="s">
        <v>7175</v>
      </c>
      <c r="U599" s="50">
        <v>-7.4010761439060002E-5</v>
      </c>
      <c r="V599" s="50">
        <v>0.99</v>
      </c>
      <c r="W599" s="50">
        <v>1.0349233712782513</v>
      </c>
      <c r="X599" s="50" t="s">
        <v>7162</v>
      </c>
      <c r="Y599" s="50">
        <v>0.32</v>
      </c>
    </row>
    <row r="600" spans="2:25" x14ac:dyDescent="0.2">
      <c r="B600" s="50" t="s">
        <v>9</v>
      </c>
      <c r="C600" s="50" t="s">
        <v>1061</v>
      </c>
      <c r="D600" s="50"/>
      <c r="E600" s="50"/>
      <c r="F600" s="51" t="s">
        <v>528</v>
      </c>
      <c r="G600" s="50" t="s">
        <v>527</v>
      </c>
      <c r="H600" s="50" t="s">
        <v>10</v>
      </c>
      <c r="I600" s="50" t="s">
        <v>1120</v>
      </c>
      <c r="J600" s="50" t="s">
        <v>529</v>
      </c>
      <c r="K600" s="50" t="s">
        <v>7174</v>
      </c>
      <c r="L600" s="50">
        <v>50</v>
      </c>
      <c r="M600" s="50">
        <v>1.5</v>
      </c>
      <c r="N600" s="50">
        <v>1.4132347764871525</v>
      </c>
      <c r="O600" s="150">
        <v>117530.266678125</v>
      </c>
      <c r="P600" s="150">
        <v>39746.674999999996</v>
      </c>
      <c r="Q600" s="150">
        <v>77783.591678124998</v>
      </c>
      <c r="R600" s="150">
        <v>86453.815803475693</v>
      </c>
      <c r="S600" s="150">
        <v>-8670.2241253506945</v>
      </c>
      <c r="T600" s="50" t="s">
        <v>7175</v>
      </c>
      <c r="U600" s="50">
        <v>-8.3292220518600642E-5</v>
      </c>
      <c r="V600" s="50">
        <v>0.97</v>
      </c>
      <c r="W600" s="50">
        <v>1.0348400790577328</v>
      </c>
      <c r="X600" s="50" t="s">
        <v>7160</v>
      </c>
      <c r="Y600" s="50">
        <v>0.32</v>
      </c>
    </row>
    <row r="601" spans="2:25" x14ac:dyDescent="0.2">
      <c r="B601" s="50" t="s">
        <v>9</v>
      </c>
      <c r="C601" s="50" t="s">
        <v>755</v>
      </c>
      <c r="D601" s="50"/>
      <c r="E601" s="50"/>
      <c r="F601" s="51" t="s">
        <v>528</v>
      </c>
      <c r="G601" s="50" t="s">
        <v>527</v>
      </c>
      <c r="H601" s="50" t="s">
        <v>10</v>
      </c>
      <c r="I601" s="50" t="s">
        <v>1120</v>
      </c>
      <c r="J601" s="50" t="s">
        <v>529</v>
      </c>
      <c r="K601" s="50" t="s">
        <v>7174</v>
      </c>
      <c r="L601" s="50">
        <v>105</v>
      </c>
      <c r="M601" s="50">
        <v>1.05</v>
      </c>
      <c r="N601" s="50">
        <v>0.2150854449027696</v>
      </c>
      <c r="O601" s="150">
        <v>82271.186674687502</v>
      </c>
      <c r="P601" s="150">
        <v>78922.672500000001</v>
      </c>
      <c r="Q601" s="150">
        <v>3348.5141746875015</v>
      </c>
      <c r="R601" s="150">
        <v>13157.727042249659</v>
      </c>
      <c r="S601" s="150">
        <v>-9809.212867562157</v>
      </c>
      <c r="T601" s="50" t="s">
        <v>7175</v>
      </c>
      <c r="U601" s="50">
        <v>-9.4234140832643676E-5</v>
      </c>
      <c r="V601" s="50">
        <v>0.99</v>
      </c>
      <c r="W601" s="50">
        <v>1.0347458449169002</v>
      </c>
      <c r="X601" s="50" t="s">
        <v>7162</v>
      </c>
      <c r="Y601" s="50">
        <v>0.32</v>
      </c>
    </row>
    <row r="602" spans="2:25" x14ac:dyDescent="0.2">
      <c r="B602" s="50" t="s">
        <v>9</v>
      </c>
      <c r="C602" s="50" t="s">
        <v>566</v>
      </c>
      <c r="D602" s="50"/>
      <c r="E602" s="50"/>
      <c r="F602" s="51" t="s">
        <v>528</v>
      </c>
      <c r="G602" s="50" t="s">
        <v>527</v>
      </c>
      <c r="H602" s="50" t="s">
        <v>10</v>
      </c>
      <c r="I602" s="50" t="s">
        <v>1121</v>
      </c>
      <c r="J602" s="50" t="s">
        <v>529</v>
      </c>
      <c r="K602" s="50" t="s">
        <v>7174</v>
      </c>
      <c r="L602" s="50">
        <v>62</v>
      </c>
      <c r="M602" s="50">
        <v>1.24</v>
      </c>
      <c r="N602" s="50">
        <v>0.32</v>
      </c>
      <c r="O602" s="150">
        <v>97158.353787249987</v>
      </c>
      <c r="P602" s="150">
        <v>47943.917999999998</v>
      </c>
      <c r="Q602" s="150">
        <v>49214.43578724999</v>
      </c>
      <c r="R602" s="150">
        <v>59070</v>
      </c>
      <c r="S602" s="150">
        <v>-9855.5642127500105</v>
      </c>
      <c r="T602" s="50" t="s">
        <v>7175</v>
      </c>
      <c r="U602" s="50">
        <v>-9.4679424185058084E-5</v>
      </c>
      <c r="V602" s="50">
        <v>0.98</v>
      </c>
      <c r="W602" s="50">
        <v>1.0346511654927153</v>
      </c>
      <c r="X602" s="50" t="s">
        <v>7159</v>
      </c>
      <c r="Y602" s="50">
        <v>0.32</v>
      </c>
    </row>
    <row r="603" spans="2:25" x14ac:dyDescent="0.2">
      <c r="B603" s="50" t="s">
        <v>9</v>
      </c>
      <c r="C603" s="50" t="s">
        <v>1082</v>
      </c>
      <c r="D603" s="50"/>
      <c r="E603" s="50"/>
      <c r="F603" s="51" t="s">
        <v>528</v>
      </c>
      <c r="G603" s="50" t="s">
        <v>527</v>
      </c>
      <c r="H603" s="50" t="s">
        <v>10</v>
      </c>
      <c r="I603" s="50" t="s">
        <v>1120</v>
      </c>
      <c r="J603" s="50" t="s">
        <v>529</v>
      </c>
      <c r="K603" s="50" t="s">
        <v>7174</v>
      </c>
      <c r="L603" s="50">
        <v>21</v>
      </c>
      <c r="M603" s="50">
        <v>0.21</v>
      </c>
      <c r="N603" s="50">
        <v>0.17848410757946209</v>
      </c>
      <c r="O603" s="150">
        <v>16454.237334937498</v>
      </c>
      <c r="P603" s="150">
        <v>15784.5345</v>
      </c>
      <c r="Q603" s="150">
        <v>669.70283493749776</v>
      </c>
      <c r="R603" s="150">
        <v>10918.661511343606</v>
      </c>
      <c r="S603" s="150">
        <v>-10248.958676406108</v>
      </c>
      <c r="T603" s="50" t="s">
        <v>7175</v>
      </c>
      <c r="U603" s="50">
        <v>-9.8458645799622165E-5</v>
      </c>
      <c r="V603" s="50">
        <v>0.99</v>
      </c>
      <c r="W603" s="50">
        <v>1.0345527068469156</v>
      </c>
      <c r="X603" s="50" t="s">
        <v>7162</v>
      </c>
      <c r="Y603" s="50">
        <v>0.32</v>
      </c>
    </row>
    <row r="604" spans="2:25" x14ac:dyDescent="0.2">
      <c r="B604" s="50" t="s">
        <v>9</v>
      </c>
      <c r="C604" s="50" t="s">
        <v>781</v>
      </c>
      <c r="D604" s="50"/>
      <c r="E604" s="50"/>
      <c r="F604" s="51" t="s">
        <v>528</v>
      </c>
      <c r="G604" s="50" t="s">
        <v>527</v>
      </c>
      <c r="H604" s="50" t="s">
        <v>10</v>
      </c>
      <c r="I604" s="50" t="s">
        <v>1120</v>
      </c>
      <c r="J604" s="50" t="s">
        <v>529</v>
      </c>
      <c r="K604" s="50" t="s">
        <v>7174</v>
      </c>
      <c r="L604" s="50">
        <v>44</v>
      </c>
      <c r="M604" s="50">
        <v>0.88</v>
      </c>
      <c r="N604" s="50">
        <v>0.76173913043478259</v>
      </c>
      <c r="O604" s="150">
        <v>68951.0897845</v>
      </c>
      <c r="P604" s="150">
        <v>34024.716</v>
      </c>
      <c r="Q604" s="150">
        <v>34926.3737845</v>
      </c>
      <c r="R604" s="150">
        <v>46598.948432760357</v>
      </c>
      <c r="S604" s="150">
        <v>-11672.574648260357</v>
      </c>
      <c r="T604" s="50" t="s">
        <v>7175</v>
      </c>
      <c r="U604" s="50">
        <v>-1.1213489381203325E-4</v>
      </c>
      <c r="V604" s="50">
        <v>0.98</v>
      </c>
      <c r="W604" s="50">
        <v>1.0344405719531036</v>
      </c>
      <c r="X604" s="50" t="s">
        <v>7163</v>
      </c>
      <c r="Y604" s="50">
        <v>0.32</v>
      </c>
    </row>
    <row r="605" spans="2:25" x14ac:dyDescent="0.2">
      <c r="B605" s="50" t="s">
        <v>9</v>
      </c>
      <c r="C605" s="50" t="s">
        <v>989</v>
      </c>
      <c r="D605" s="50"/>
      <c r="E605" s="50"/>
      <c r="F605" s="51" t="s">
        <v>528</v>
      </c>
      <c r="G605" s="50" t="s">
        <v>527</v>
      </c>
      <c r="H605" s="50" t="s">
        <v>10</v>
      </c>
      <c r="I605" s="50" t="s">
        <v>1120</v>
      </c>
      <c r="J605" s="50" t="s">
        <v>529</v>
      </c>
      <c r="K605" s="50" t="s">
        <v>7174</v>
      </c>
      <c r="L605" s="50">
        <v>57</v>
      </c>
      <c r="M605" s="50">
        <v>0.56999999999999995</v>
      </c>
      <c r="N605" s="50">
        <v>0.23747560182173066</v>
      </c>
      <c r="O605" s="150">
        <v>44661.501337687492</v>
      </c>
      <c r="P605" s="150">
        <v>42843.736499999999</v>
      </c>
      <c r="Q605" s="150">
        <v>1817.7648376874931</v>
      </c>
      <c r="R605" s="150">
        <v>14527.431874234011</v>
      </c>
      <c r="S605" s="150">
        <v>-12709.667036546518</v>
      </c>
      <c r="T605" s="50" t="s">
        <v>7175</v>
      </c>
      <c r="U605" s="50">
        <v>-1.2209792667651519E-4</v>
      </c>
      <c r="V605" s="50">
        <v>0.99</v>
      </c>
      <c r="W605" s="50">
        <v>1.0343184740264271</v>
      </c>
      <c r="X605" s="50" t="s">
        <v>7161</v>
      </c>
      <c r="Y605" s="50">
        <v>0.32</v>
      </c>
    </row>
    <row r="606" spans="2:25" x14ac:dyDescent="0.2">
      <c r="B606" s="50" t="s">
        <v>9</v>
      </c>
      <c r="C606" s="50" t="s">
        <v>745</v>
      </c>
      <c r="D606" s="50"/>
      <c r="E606" s="50"/>
      <c r="F606" s="51" t="s">
        <v>528</v>
      </c>
      <c r="G606" s="50" t="s">
        <v>527</v>
      </c>
      <c r="H606" s="50" t="s">
        <v>10</v>
      </c>
      <c r="I606" s="50" t="s">
        <v>1120</v>
      </c>
      <c r="J606" s="50" t="s">
        <v>529</v>
      </c>
      <c r="K606" s="50" t="s">
        <v>7174</v>
      </c>
      <c r="L606" s="50">
        <v>40</v>
      </c>
      <c r="M606" s="50">
        <v>0.4</v>
      </c>
      <c r="N606" s="50">
        <v>0.24092409240924093</v>
      </c>
      <c r="O606" s="150">
        <v>31341.404447500001</v>
      </c>
      <c r="P606" s="150">
        <v>30065.78</v>
      </c>
      <c r="Q606" s="150">
        <v>1275.6244475000021</v>
      </c>
      <c r="R606" s="150">
        <v>14738.391280988564</v>
      </c>
      <c r="S606" s="150">
        <v>-13462.766833488562</v>
      </c>
      <c r="T606" s="50" t="s">
        <v>7175</v>
      </c>
      <c r="U606" s="50">
        <v>-1.2933272862079284E-4</v>
      </c>
      <c r="V606" s="50">
        <v>0.99</v>
      </c>
      <c r="W606" s="50">
        <v>1.0341891412978064</v>
      </c>
      <c r="X606" s="50" t="s">
        <v>7160</v>
      </c>
      <c r="Y606" s="50">
        <v>0.32</v>
      </c>
    </row>
    <row r="607" spans="2:25" x14ac:dyDescent="0.2">
      <c r="B607" s="50" t="s">
        <v>9</v>
      </c>
      <c r="C607" s="50" t="s">
        <v>619</v>
      </c>
      <c r="D607" s="50"/>
      <c r="E607" s="50"/>
      <c r="F607" s="51" t="s">
        <v>528</v>
      </c>
      <c r="G607" s="50" t="s">
        <v>527</v>
      </c>
      <c r="H607" s="50" t="s">
        <v>10</v>
      </c>
      <c r="I607" s="50" t="s">
        <v>1120</v>
      </c>
      <c r="J607" s="50" t="s">
        <v>529</v>
      </c>
      <c r="K607" s="50" t="s">
        <v>7174</v>
      </c>
      <c r="L607" s="50">
        <v>37</v>
      </c>
      <c r="M607" s="50">
        <v>0.37</v>
      </c>
      <c r="N607" s="50">
        <v>0.26642335766423358</v>
      </c>
      <c r="O607" s="150">
        <v>28990.799113937497</v>
      </c>
      <c r="P607" s="150">
        <v>27810.846500000003</v>
      </c>
      <c r="Q607" s="150">
        <v>1179.9526139374939</v>
      </c>
      <c r="R607" s="150">
        <v>16298.294007808523</v>
      </c>
      <c r="S607" s="150">
        <v>-15118.341393871029</v>
      </c>
      <c r="T607" s="50" t="s">
        <v>7175</v>
      </c>
      <c r="U607" s="50">
        <v>-1.4523733262810666E-4</v>
      </c>
      <c r="V607" s="50">
        <v>0.9900000000000001</v>
      </c>
      <c r="W607" s="50">
        <v>1.0339068137169503</v>
      </c>
      <c r="X607" s="50" t="s">
        <v>7161</v>
      </c>
      <c r="Y607" s="50">
        <v>0.32</v>
      </c>
    </row>
    <row r="608" spans="2:25" x14ac:dyDescent="0.2">
      <c r="B608" s="50" t="s">
        <v>9</v>
      </c>
      <c r="C608" s="50" t="s">
        <v>668</v>
      </c>
      <c r="D608" s="50"/>
      <c r="E608" s="50"/>
      <c r="F608" s="51" t="s">
        <v>528</v>
      </c>
      <c r="G608" s="50" t="s">
        <v>527</v>
      </c>
      <c r="H608" s="50" t="s">
        <v>23</v>
      </c>
      <c r="I608" s="50">
        <v>0</v>
      </c>
      <c r="J608" s="50" t="s">
        <v>543</v>
      </c>
      <c r="K608" s="50" t="s">
        <v>7174</v>
      </c>
      <c r="L608" s="50">
        <v>55</v>
      </c>
      <c r="M608" s="50">
        <v>1.1000000000000001</v>
      </c>
      <c r="N608" s="50">
        <v>0.82803992740471877</v>
      </c>
      <c r="O608" s="150">
        <v>86188.862230625004</v>
      </c>
      <c r="P608" s="150">
        <v>42530.894999999997</v>
      </c>
      <c r="Q608" s="150">
        <v>43657.967230625007</v>
      </c>
      <c r="R608" s="150">
        <v>59070</v>
      </c>
      <c r="S608" s="150">
        <v>-15412.032769374993</v>
      </c>
      <c r="T608" s="50" t="s">
        <v>7175</v>
      </c>
      <c r="U608" s="50">
        <v>-1.4805873683395215E-4</v>
      </c>
      <c r="V608" s="50">
        <v>0.98</v>
      </c>
      <c r="W608" s="50">
        <v>1.0337587549801164</v>
      </c>
      <c r="X608" s="50" t="s">
        <v>7162</v>
      </c>
      <c r="Y608" s="50">
        <v>0.32</v>
      </c>
    </row>
    <row r="609" spans="2:25" x14ac:dyDescent="0.2">
      <c r="B609" s="50" t="s">
        <v>9</v>
      </c>
      <c r="C609" s="50" t="s">
        <v>880</v>
      </c>
      <c r="D609" s="50"/>
      <c r="E609" s="50"/>
      <c r="F609" s="51" t="s">
        <v>528</v>
      </c>
      <c r="G609" s="50" t="s">
        <v>527</v>
      </c>
      <c r="H609" s="50" t="s">
        <v>10</v>
      </c>
      <c r="I609" s="50" t="s">
        <v>1120</v>
      </c>
      <c r="J609" s="50" t="s">
        <v>529</v>
      </c>
      <c r="K609" s="50" t="s">
        <v>7174</v>
      </c>
      <c r="L609" s="50">
        <v>12</v>
      </c>
      <c r="M609" s="50">
        <v>0.6</v>
      </c>
      <c r="N609" s="50">
        <v>0.86</v>
      </c>
      <c r="O609" s="150">
        <v>47012.106671249996</v>
      </c>
      <c r="P609" s="150">
        <v>10058.67</v>
      </c>
      <c r="Q609" s="150">
        <v>36953.436671249998</v>
      </c>
      <c r="R609" s="150">
        <v>52610</v>
      </c>
      <c r="S609" s="150">
        <v>-15656.563328750002</v>
      </c>
      <c r="T609" s="50" t="s">
        <v>7175</v>
      </c>
      <c r="U609" s="50">
        <v>-1.5040786794988812E-4</v>
      </c>
      <c r="V609" s="50">
        <v>0.95000000000000007</v>
      </c>
      <c r="W609" s="50">
        <v>1.0336083471121664</v>
      </c>
      <c r="X609" s="50" t="s">
        <v>7163</v>
      </c>
      <c r="Y609" s="50">
        <v>0.32</v>
      </c>
    </row>
    <row r="610" spans="2:25" x14ac:dyDescent="0.2">
      <c r="B610" s="50" t="s">
        <v>9</v>
      </c>
      <c r="C610" s="50" t="s">
        <v>1005</v>
      </c>
      <c r="D610" s="50"/>
      <c r="E610" s="50"/>
      <c r="F610" s="51" t="s">
        <v>528</v>
      </c>
      <c r="G610" s="50" t="s">
        <v>527</v>
      </c>
      <c r="H610" s="50" t="s">
        <v>23</v>
      </c>
      <c r="I610" s="50" t="s">
        <v>1120</v>
      </c>
      <c r="J610" s="50" t="s">
        <v>543</v>
      </c>
      <c r="K610" s="50" t="s">
        <v>7174</v>
      </c>
      <c r="L610" s="50">
        <v>4</v>
      </c>
      <c r="M610" s="50">
        <v>0.52</v>
      </c>
      <c r="N610" s="50">
        <v>0.86</v>
      </c>
      <c r="O610" s="150">
        <v>40743.825781749998</v>
      </c>
      <c r="P610" s="150">
        <v>4045.5140000000001</v>
      </c>
      <c r="Q610" s="150">
        <v>36698.311781749995</v>
      </c>
      <c r="R610" s="150">
        <v>52610</v>
      </c>
      <c r="S610" s="150">
        <v>-15911.688218250005</v>
      </c>
      <c r="T610" s="50" t="s">
        <v>7175</v>
      </c>
      <c r="U610" s="50">
        <v>-1.5285877559065896E-4</v>
      </c>
      <c r="V610" s="50">
        <v>0.87</v>
      </c>
      <c r="W610" s="50">
        <v>1.0334554883365759</v>
      </c>
      <c r="X610" s="50" t="s">
        <v>7160</v>
      </c>
      <c r="Y610" s="50">
        <v>0.32</v>
      </c>
    </row>
    <row r="611" spans="2:25" x14ac:dyDescent="0.2">
      <c r="B611" s="50" t="s">
        <v>9</v>
      </c>
      <c r="C611" s="50" t="s">
        <v>586</v>
      </c>
      <c r="D611" s="50"/>
      <c r="E611" s="50"/>
      <c r="F611" s="51" t="s">
        <v>528</v>
      </c>
      <c r="G611" s="50" t="s">
        <v>527</v>
      </c>
      <c r="H611" s="50" t="s">
        <v>10</v>
      </c>
      <c r="I611" s="50" t="s">
        <v>1120</v>
      </c>
      <c r="J611" s="50" t="s">
        <v>529</v>
      </c>
      <c r="K611" s="50" t="s">
        <v>7174</v>
      </c>
      <c r="L611" s="50">
        <v>68</v>
      </c>
      <c r="M611" s="50">
        <v>0.68</v>
      </c>
      <c r="N611" s="50">
        <v>0.29698942229454839</v>
      </c>
      <c r="O611" s="150">
        <v>53280.387560750001</v>
      </c>
      <c r="P611" s="150">
        <v>51111.826000000001</v>
      </c>
      <c r="Q611" s="150">
        <v>2168.5615607500004</v>
      </c>
      <c r="R611" s="150">
        <v>18168.155240600223</v>
      </c>
      <c r="S611" s="150">
        <v>-15999.593679850223</v>
      </c>
      <c r="T611" s="50" t="s">
        <v>7175</v>
      </c>
      <c r="U611" s="50">
        <v>-1.5370325676975405E-4</v>
      </c>
      <c r="V611" s="50">
        <v>0.98999999999999988</v>
      </c>
      <c r="W611" s="50">
        <v>1.0333017850798061</v>
      </c>
      <c r="X611" s="50" t="s">
        <v>7161</v>
      </c>
      <c r="Y611" s="50">
        <v>0.32</v>
      </c>
    </row>
    <row r="612" spans="2:25" x14ac:dyDescent="0.2">
      <c r="B612" s="50" t="s">
        <v>9</v>
      </c>
      <c r="C612" s="50" t="s">
        <v>657</v>
      </c>
      <c r="D612" s="50"/>
      <c r="E612" s="50"/>
      <c r="F612" s="51" t="s">
        <v>528</v>
      </c>
      <c r="G612" s="50" t="s">
        <v>527</v>
      </c>
      <c r="H612" s="50" t="s">
        <v>10</v>
      </c>
      <c r="I612" s="50" t="s">
        <v>1120</v>
      </c>
      <c r="J612" s="50" t="s">
        <v>529</v>
      </c>
      <c r="K612" s="50" t="s">
        <v>7174</v>
      </c>
      <c r="L612" s="50">
        <v>9</v>
      </c>
      <c r="M612" s="50">
        <v>0.09</v>
      </c>
      <c r="N612" s="50">
        <v>0.26947212993724623</v>
      </c>
      <c r="O612" s="150">
        <v>7051.8160006874996</v>
      </c>
      <c r="P612" s="150">
        <v>6764.8005000000003</v>
      </c>
      <c r="Q612" s="150">
        <v>287.0155006874993</v>
      </c>
      <c r="R612" s="150">
        <v>16484.800879068051</v>
      </c>
      <c r="S612" s="150">
        <v>-16197.785378380551</v>
      </c>
      <c r="T612" s="50" t="s">
        <v>7175</v>
      </c>
      <c r="U612" s="50">
        <v>-1.5560722446658406E-4</v>
      </c>
      <c r="V612" s="50">
        <v>0.99</v>
      </c>
      <c r="W612" s="50">
        <v>1.0331461778553395</v>
      </c>
      <c r="X612" s="50" t="s">
        <v>7159</v>
      </c>
      <c r="Y612" s="50">
        <v>0.32</v>
      </c>
    </row>
    <row r="613" spans="2:25" x14ac:dyDescent="0.2">
      <c r="B613" s="50" t="s">
        <v>9</v>
      </c>
      <c r="C613" s="50" t="s">
        <v>761</v>
      </c>
      <c r="D613" s="50"/>
      <c r="E613" s="50"/>
      <c r="F613" s="51" t="s">
        <v>528</v>
      </c>
      <c r="G613" s="50" t="s">
        <v>527</v>
      </c>
      <c r="H613" s="50" t="s">
        <v>10</v>
      </c>
      <c r="I613" s="50" t="s">
        <v>1120</v>
      </c>
      <c r="J613" s="50" t="s">
        <v>529</v>
      </c>
      <c r="K613" s="50" t="s">
        <v>7174</v>
      </c>
      <c r="L613" s="50">
        <v>52</v>
      </c>
      <c r="M613" s="50">
        <v>0.52</v>
      </c>
      <c r="N613" s="50">
        <v>0.29554655870445345</v>
      </c>
      <c r="O613" s="150">
        <v>40743.825781749998</v>
      </c>
      <c r="P613" s="150">
        <v>39085.514000000003</v>
      </c>
      <c r="Q613" s="150">
        <v>1658.3117817499951</v>
      </c>
      <c r="R613" s="150">
        <v>18079.888899350342</v>
      </c>
      <c r="S613" s="150">
        <v>-16421.577117600347</v>
      </c>
      <c r="T613" s="50" t="s">
        <v>7175</v>
      </c>
      <c r="U613" s="50">
        <v>-1.5775712401056876E-4</v>
      </c>
      <c r="V613" s="50">
        <v>0.99</v>
      </c>
      <c r="W613" s="50">
        <v>1.0329884207313289</v>
      </c>
      <c r="X613" s="50" t="s">
        <v>7161</v>
      </c>
      <c r="Y613" s="50">
        <v>0.32</v>
      </c>
    </row>
    <row r="614" spans="2:25" x14ac:dyDescent="0.2">
      <c r="B614" s="50" t="s">
        <v>9</v>
      </c>
      <c r="C614" s="50" t="s">
        <v>423</v>
      </c>
      <c r="D614" s="50"/>
      <c r="E614" s="50"/>
      <c r="F614" s="51" t="s">
        <v>528</v>
      </c>
      <c r="G614" s="50" t="s">
        <v>527</v>
      </c>
      <c r="H614" s="50" t="s">
        <v>19</v>
      </c>
      <c r="I614" s="50" t="s">
        <v>1120</v>
      </c>
      <c r="J614" s="50" t="s">
        <v>20</v>
      </c>
      <c r="K614" s="50" t="s">
        <v>7174</v>
      </c>
      <c r="L614" s="50">
        <v>31</v>
      </c>
      <c r="M614" s="50">
        <v>0.31</v>
      </c>
      <c r="N614" s="50">
        <v>0.28876582278481011</v>
      </c>
      <c r="O614" s="150">
        <v>24289.588446812497</v>
      </c>
      <c r="P614" s="150">
        <v>23300.979499999998</v>
      </c>
      <c r="Q614" s="150">
        <v>988.6089468124992</v>
      </c>
      <c r="R614" s="150">
        <v>17665.081321754489</v>
      </c>
      <c r="S614" s="150">
        <v>-16676.47237494199</v>
      </c>
      <c r="T614" s="50" t="s">
        <v>7175</v>
      </c>
      <c r="U614" s="50">
        <v>-1.6020582564465561E-4</v>
      </c>
      <c r="V614" s="50">
        <v>0.99</v>
      </c>
      <c r="W614" s="50">
        <v>1.0328282149056842</v>
      </c>
      <c r="X614" s="50" t="s">
        <v>7160</v>
      </c>
      <c r="Y614" s="50">
        <v>0.32</v>
      </c>
    </row>
    <row r="615" spans="2:25" x14ac:dyDescent="0.2">
      <c r="B615" s="50" t="s">
        <v>9</v>
      </c>
      <c r="C615" s="50" t="s">
        <v>778</v>
      </c>
      <c r="D615" s="50"/>
      <c r="E615" s="50"/>
      <c r="F615" s="51" t="s">
        <v>528</v>
      </c>
      <c r="G615" s="50" t="s">
        <v>527</v>
      </c>
      <c r="H615" s="50" t="s">
        <v>10</v>
      </c>
      <c r="I615" s="50" t="s">
        <v>1120</v>
      </c>
      <c r="J615" s="50" t="s">
        <v>529</v>
      </c>
      <c r="K615" s="50" t="s">
        <v>7174</v>
      </c>
      <c r="L615" s="50">
        <v>45</v>
      </c>
      <c r="M615" s="50">
        <v>0.9</v>
      </c>
      <c r="N615" s="50">
        <v>0.86</v>
      </c>
      <c r="O615" s="150">
        <v>70518.160006874998</v>
      </c>
      <c r="P615" s="150">
        <v>34798.005000000005</v>
      </c>
      <c r="Q615" s="150">
        <v>35720.155006874993</v>
      </c>
      <c r="R615" s="150">
        <v>52610</v>
      </c>
      <c r="S615" s="150">
        <v>-16889.844993125007</v>
      </c>
      <c r="T615" s="50" t="s">
        <v>7175</v>
      </c>
      <c r="U615" s="50">
        <v>-1.6225563184451693E-4</v>
      </c>
      <c r="V615" s="50">
        <v>0.98</v>
      </c>
      <c r="W615" s="50">
        <v>1.0326659592738396</v>
      </c>
      <c r="X615" s="50" t="s">
        <v>7159</v>
      </c>
      <c r="Y615" s="50">
        <v>0.32</v>
      </c>
    </row>
    <row r="616" spans="2:25" x14ac:dyDescent="0.2">
      <c r="B616" s="50" t="s">
        <v>9</v>
      </c>
      <c r="C616" s="50" t="s">
        <v>1075</v>
      </c>
      <c r="D616" s="50"/>
      <c r="E616" s="50"/>
      <c r="F616" s="51" t="s">
        <v>528</v>
      </c>
      <c r="G616" s="50" t="s">
        <v>527</v>
      </c>
      <c r="H616" s="50" t="s">
        <v>10</v>
      </c>
      <c r="I616" s="50" t="s">
        <v>1120</v>
      </c>
      <c r="J616" s="50" t="s">
        <v>529</v>
      </c>
      <c r="K616" s="50" t="s">
        <v>7174</v>
      </c>
      <c r="L616" s="50">
        <v>10</v>
      </c>
      <c r="M616" s="50">
        <v>0.1</v>
      </c>
      <c r="N616" s="50">
        <v>0.28482247366367541</v>
      </c>
      <c r="O616" s="150">
        <v>7835.3511118750002</v>
      </c>
      <c r="P616" s="150">
        <v>7516.4449999999997</v>
      </c>
      <c r="Q616" s="150">
        <v>318.90611187500053</v>
      </c>
      <c r="R616" s="150">
        <v>17423.849231913908</v>
      </c>
      <c r="S616" s="150">
        <v>-17104.943120038908</v>
      </c>
      <c r="T616" s="50" t="s">
        <v>7175</v>
      </c>
      <c r="U616" s="50">
        <v>-1.6432201448480721E-4</v>
      </c>
      <c r="V616" s="50">
        <v>0.99</v>
      </c>
      <c r="W616" s="50">
        <v>1.0325016372593547</v>
      </c>
      <c r="X616" s="50" t="s">
        <v>7159</v>
      </c>
      <c r="Y616" s="50">
        <v>0.32</v>
      </c>
    </row>
    <row r="617" spans="2:25" x14ac:dyDescent="0.2">
      <c r="B617" s="50" t="s">
        <v>9</v>
      </c>
      <c r="C617" s="50" t="s">
        <v>994</v>
      </c>
      <c r="D617" s="50"/>
      <c r="E617" s="50"/>
      <c r="F617" s="51" t="s">
        <v>528</v>
      </c>
      <c r="G617" s="50" t="s">
        <v>527</v>
      </c>
      <c r="H617" s="50" t="s">
        <v>23</v>
      </c>
      <c r="I617" s="50" t="s">
        <v>1120</v>
      </c>
      <c r="J617" s="50" t="s">
        <v>543</v>
      </c>
      <c r="K617" s="50" t="s">
        <v>7174</v>
      </c>
      <c r="L617" s="50">
        <v>48</v>
      </c>
      <c r="M617" s="50">
        <v>0.48</v>
      </c>
      <c r="N617" s="50">
        <v>0.31424881618596645</v>
      </c>
      <c r="O617" s="150">
        <v>37609.685337000003</v>
      </c>
      <c r="P617" s="150">
        <v>36078.936000000002</v>
      </c>
      <c r="Q617" s="150">
        <v>1530.7493370000011</v>
      </c>
      <c r="R617" s="150">
        <v>19223.988627376388</v>
      </c>
      <c r="S617" s="150">
        <v>-17693.239290376387</v>
      </c>
      <c r="T617" s="50" t="s">
        <v>7175</v>
      </c>
      <c r="U617" s="50">
        <v>-1.6997359783969717E-4</v>
      </c>
      <c r="V617" s="50">
        <v>0.9900000000000001</v>
      </c>
      <c r="W617" s="50">
        <v>1.032331663661515</v>
      </c>
      <c r="X617" s="50" t="s">
        <v>7161</v>
      </c>
      <c r="Y617" s="50">
        <v>0.32</v>
      </c>
    </row>
    <row r="618" spans="2:25" x14ac:dyDescent="0.2">
      <c r="B618" s="50" t="s">
        <v>9</v>
      </c>
      <c r="C618" s="50" t="s">
        <v>720</v>
      </c>
      <c r="D618" s="50"/>
      <c r="E618" s="50"/>
      <c r="F618" s="51" t="s">
        <v>528</v>
      </c>
      <c r="G618" s="50" t="s">
        <v>527</v>
      </c>
      <c r="H618" s="50" t="s">
        <v>10</v>
      </c>
      <c r="I618" s="50" t="s">
        <v>1120</v>
      </c>
      <c r="J618" s="50" t="s">
        <v>529</v>
      </c>
      <c r="K618" s="50" t="s">
        <v>7174</v>
      </c>
      <c r="L618" s="50">
        <v>84</v>
      </c>
      <c r="M618" s="50">
        <v>0.84</v>
      </c>
      <c r="N618" s="50">
        <v>0.34032634032634035</v>
      </c>
      <c r="O618" s="150">
        <v>65816.94933974999</v>
      </c>
      <c r="P618" s="150">
        <v>63138.137999999999</v>
      </c>
      <c r="Q618" s="150">
        <v>2678.811339749991</v>
      </c>
      <c r="R618" s="150">
        <v>20819.266005312522</v>
      </c>
      <c r="S618" s="150">
        <v>-18140.454665562531</v>
      </c>
      <c r="T618" s="50" t="s">
        <v>7175</v>
      </c>
      <c r="U618" s="50">
        <v>-1.7426986067105811E-4</v>
      </c>
      <c r="V618" s="50">
        <v>0.99</v>
      </c>
      <c r="W618" s="50">
        <v>1.0321573938008439</v>
      </c>
      <c r="X618" s="50" t="s">
        <v>7160</v>
      </c>
      <c r="Y618" s="50">
        <v>0.32</v>
      </c>
    </row>
    <row r="619" spans="2:25" x14ac:dyDescent="0.2">
      <c r="B619" s="50" t="s">
        <v>9</v>
      </c>
      <c r="C619" s="50" t="s">
        <v>943</v>
      </c>
      <c r="D619" s="50"/>
      <c r="E619" s="50"/>
      <c r="F619" s="51" t="s">
        <v>528</v>
      </c>
      <c r="G619" s="50" t="s">
        <v>527</v>
      </c>
      <c r="H619" s="50" t="s">
        <v>10</v>
      </c>
      <c r="I619" s="50" t="s">
        <v>1120</v>
      </c>
      <c r="J619" s="50" t="s">
        <v>529</v>
      </c>
      <c r="K619" s="50" t="s">
        <v>7174</v>
      </c>
      <c r="L619" s="50">
        <v>125</v>
      </c>
      <c r="M619" s="50">
        <v>1.25</v>
      </c>
      <c r="N619" s="50">
        <v>0.36186384666226046</v>
      </c>
      <c r="O619" s="150">
        <v>97941.888898437479</v>
      </c>
      <c r="P619" s="150">
        <v>93955.562500000015</v>
      </c>
      <c r="Q619" s="150">
        <v>3986.3263984374644</v>
      </c>
      <c r="R619" s="150">
        <v>22136.810433606421</v>
      </c>
      <c r="S619" s="150">
        <v>-18150.484035168956</v>
      </c>
      <c r="T619" s="50" t="s">
        <v>7175</v>
      </c>
      <c r="U619" s="50">
        <v>-1.7436620979108586E-4</v>
      </c>
      <c r="V619" s="50">
        <v>0.99</v>
      </c>
      <c r="W619" s="50">
        <v>1.0319830275910529</v>
      </c>
      <c r="X619" s="50" t="s">
        <v>7163</v>
      </c>
      <c r="Y619" s="50">
        <v>0.32</v>
      </c>
    </row>
    <row r="620" spans="2:25" x14ac:dyDescent="0.2">
      <c r="B620" s="50" t="s">
        <v>9</v>
      </c>
      <c r="C620" s="50" t="s">
        <v>671</v>
      </c>
      <c r="D620" s="50"/>
      <c r="E620" s="50"/>
      <c r="F620" s="51" t="s">
        <v>528</v>
      </c>
      <c r="G620" s="50" t="s">
        <v>527</v>
      </c>
      <c r="H620" s="50" t="s">
        <v>10</v>
      </c>
      <c r="I620" s="50" t="s">
        <v>1120</v>
      </c>
      <c r="J620" s="50" t="s">
        <v>529</v>
      </c>
      <c r="K620" s="50" t="s">
        <v>7174</v>
      </c>
      <c r="L620" s="50">
        <v>60</v>
      </c>
      <c r="M620" s="50">
        <v>0.6</v>
      </c>
      <c r="N620" s="50">
        <v>0.32942238267148016</v>
      </c>
      <c r="O620" s="150">
        <v>47012.106671249996</v>
      </c>
      <c r="P620" s="150">
        <v>45098.67</v>
      </c>
      <c r="Q620" s="150">
        <v>1913.4366712499977</v>
      </c>
      <c r="R620" s="150">
        <v>20152.222735286708</v>
      </c>
      <c r="S620" s="150">
        <v>-18238.786064036711</v>
      </c>
      <c r="T620" s="50" t="s">
        <v>7175</v>
      </c>
      <c r="U620" s="50">
        <v>-1.7521450067196266E-4</v>
      </c>
      <c r="V620" s="50">
        <v>0.99</v>
      </c>
      <c r="W620" s="50">
        <v>1.0318078130903809</v>
      </c>
      <c r="X620" s="50" t="s">
        <v>7161</v>
      </c>
      <c r="Y620" s="50">
        <v>0.32</v>
      </c>
    </row>
    <row r="621" spans="2:25" x14ac:dyDescent="0.2">
      <c r="B621" s="50" t="s">
        <v>9</v>
      </c>
      <c r="C621" s="50" t="s">
        <v>1030</v>
      </c>
      <c r="D621" s="50"/>
      <c r="E621" s="50"/>
      <c r="F621" s="51" t="s">
        <v>528</v>
      </c>
      <c r="G621" s="50" t="s">
        <v>527</v>
      </c>
      <c r="H621" s="50" t="s">
        <v>10</v>
      </c>
      <c r="I621" s="50" t="s">
        <v>1120</v>
      </c>
      <c r="J621" s="50" t="s">
        <v>529</v>
      </c>
      <c r="K621" s="50" t="s">
        <v>7174</v>
      </c>
      <c r="L621" s="50">
        <v>68</v>
      </c>
      <c r="M621" s="50">
        <v>0.68</v>
      </c>
      <c r="N621" s="50">
        <v>0.33379058070416096</v>
      </c>
      <c r="O621" s="150">
        <v>53280.387560750001</v>
      </c>
      <c r="P621" s="150">
        <v>51111.826000000001</v>
      </c>
      <c r="Q621" s="150">
        <v>2168.5615607500004</v>
      </c>
      <c r="R621" s="150">
        <v>20419.444710285941</v>
      </c>
      <c r="S621" s="150">
        <v>-18250.883149535941</v>
      </c>
      <c r="T621" s="50" t="s">
        <v>7175</v>
      </c>
      <c r="U621" s="50">
        <v>-1.7533071371310979E-4</v>
      </c>
      <c r="V621" s="50">
        <v>0.98999999999999988</v>
      </c>
      <c r="W621" s="50">
        <v>1.0316324823766678</v>
      </c>
      <c r="X621" s="50" t="s">
        <v>7160</v>
      </c>
      <c r="Y621" s="50">
        <v>0.32</v>
      </c>
    </row>
    <row r="622" spans="2:25" x14ac:dyDescent="0.2">
      <c r="B622" s="50" t="s">
        <v>9</v>
      </c>
      <c r="C622" s="50" t="s">
        <v>890</v>
      </c>
      <c r="D622" s="50"/>
      <c r="E622" s="50"/>
      <c r="F622" s="51" t="s">
        <v>528</v>
      </c>
      <c r="G622" s="50" t="s">
        <v>527</v>
      </c>
      <c r="H622" s="50" t="s">
        <v>23</v>
      </c>
      <c r="I622" s="50" t="s">
        <v>1120</v>
      </c>
      <c r="J622" s="50" t="s">
        <v>543</v>
      </c>
      <c r="K622" s="50" t="s">
        <v>7174</v>
      </c>
      <c r="L622" s="50">
        <v>11</v>
      </c>
      <c r="M622" s="50">
        <v>0.55000000000000004</v>
      </c>
      <c r="N622" s="50">
        <v>0.86</v>
      </c>
      <c r="O622" s="150">
        <v>43094.431115312502</v>
      </c>
      <c r="P622" s="150">
        <v>9220.4475000000002</v>
      </c>
      <c r="Q622" s="150">
        <v>33873.9836153125</v>
      </c>
      <c r="R622" s="150">
        <v>52610</v>
      </c>
      <c r="S622" s="150">
        <v>-18736.0163846875</v>
      </c>
      <c r="T622" s="50" t="s">
        <v>7175</v>
      </c>
      <c r="U622" s="50">
        <v>-1.7999124195539572E-4</v>
      </c>
      <c r="V622" s="50">
        <v>0.95</v>
      </c>
      <c r="W622" s="50">
        <v>1.0314524911347125</v>
      </c>
      <c r="X622" s="50" t="s">
        <v>7162</v>
      </c>
      <c r="Y622" s="50">
        <v>0.32</v>
      </c>
    </row>
    <row r="623" spans="2:25" x14ac:dyDescent="0.2">
      <c r="B623" s="50" t="s">
        <v>9</v>
      </c>
      <c r="C623" s="50" t="s">
        <v>834</v>
      </c>
      <c r="D623" s="50"/>
      <c r="E623" s="50"/>
      <c r="F623" s="51" t="s">
        <v>528</v>
      </c>
      <c r="G623" s="50" t="s">
        <v>527</v>
      </c>
      <c r="H623" s="50" t="s">
        <v>10</v>
      </c>
      <c r="I623" s="50" t="s">
        <v>1120</v>
      </c>
      <c r="J623" s="50" t="s">
        <v>529</v>
      </c>
      <c r="K623" s="50" t="s">
        <v>7174</v>
      </c>
      <c r="L623" s="50">
        <v>82</v>
      </c>
      <c r="M623" s="50">
        <v>0.82</v>
      </c>
      <c r="N623" s="50">
        <v>0.3563293198828506</v>
      </c>
      <c r="O623" s="150">
        <v>64249.879117374992</v>
      </c>
      <c r="P623" s="150">
        <v>61634.848999999995</v>
      </c>
      <c r="Q623" s="150">
        <v>2615.0301173749976</v>
      </c>
      <c r="R623" s="150">
        <v>21798.23897562415</v>
      </c>
      <c r="S623" s="150">
        <v>-19183.208858249152</v>
      </c>
      <c r="T623" s="50" t="s">
        <v>7175</v>
      </c>
      <c r="U623" s="50">
        <v>-1.8428728477777766E-4</v>
      </c>
      <c r="V623" s="50">
        <v>0.9900000000000001</v>
      </c>
      <c r="W623" s="50">
        <v>1.0312682038499348</v>
      </c>
      <c r="X623" s="50" t="s">
        <v>7162</v>
      </c>
      <c r="Y623" s="50">
        <v>0.32</v>
      </c>
    </row>
    <row r="624" spans="2:25" x14ac:dyDescent="0.2">
      <c r="B624" s="50" t="s">
        <v>9</v>
      </c>
      <c r="C624" s="50" t="s">
        <v>990</v>
      </c>
      <c r="D624" s="50"/>
      <c r="E624" s="50"/>
      <c r="F624" s="51" t="s">
        <v>528</v>
      </c>
      <c r="G624" s="50" t="s">
        <v>527</v>
      </c>
      <c r="H624" s="50" t="s">
        <v>23</v>
      </c>
      <c r="I624" s="50" t="s">
        <v>1120</v>
      </c>
      <c r="J624" s="50" t="s">
        <v>543</v>
      </c>
      <c r="K624" s="50" t="s">
        <v>7174</v>
      </c>
      <c r="L624" s="50">
        <v>90</v>
      </c>
      <c r="M624" s="50">
        <v>0.9</v>
      </c>
      <c r="N624" s="50">
        <v>0.36079077429983525</v>
      </c>
      <c r="O624" s="150">
        <v>70518.160006874998</v>
      </c>
      <c r="P624" s="150">
        <v>67648.00499999999</v>
      </c>
      <c r="Q624" s="150">
        <v>2870.1550068750075</v>
      </c>
      <c r="R624" s="150">
        <v>22071.165855714342</v>
      </c>
      <c r="S624" s="150">
        <v>-19201.010848839334</v>
      </c>
      <c r="T624" s="50" t="s">
        <v>7175</v>
      </c>
      <c r="U624" s="50">
        <v>-1.8445830311645845E-4</v>
      </c>
      <c r="V624" s="50">
        <v>0.99</v>
      </c>
      <c r="W624" s="50">
        <v>1.0310837455468183</v>
      </c>
      <c r="X624" s="50" t="s">
        <v>7161</v>
      </c>
      <c r="Y624" s="50">
        <v>0.32</v>
      </c>
    </row>
    <row r="625" spans="2:25" x14ac:dyDescent="0.2">
      <c r="B625" s="50" t="s">
        <v>9</v>
      </c>
      <c r="C625" s="50" t="s">
        <v>674</v>
      </c>
      <c r="D625" s="50"/>
      <c r="E625" s="50"/>
      <c r="F625" s="51" t="s">
        <v>528</v>
      </c>
      <c r="G625" s="50" t="s">
        <v>527</v>
      </c>
      <c r="H625" s="50" t="s">
        <v>10</v>
      </c>
      <c r="I625" s="50" t="s">
        <v>1120</v>
      </c>
      <c r="J625" s="50" t="s">
        <v>529</v>
      </c>
      <c r="K625" s="50" t="s">
        <v>7174</v>
      </c>
      <c r="L625" s="50">
        <v>86</v>
      </c>
      <c r="M625" s="50">
        <v>0.86</v>
      </c>
      <c r="N625" s="50">
        <v>0.36282306163021866</v>
      </c>
      <c r="O625" s="150">
        <v>67384.019562124988</v>
      </c>
      <c r="P625" s="150">
        <v>64641.426999999996</v>
      </c>
      <c r="Q625" s="150">
        <v>2742.5925621249917</v>
      </c>
      <c r="R625" s="150">
        <v>22195.489851588143</v>
      </c>
      <c r="S625" s="150">
        <v>-19452.897289463152</v>
      </c>
      <c r="T625" s="50" t="s">
        <v>7175</v>
      </c>
      <c r="U625" s="50">
        <v>-1.8687809995847327E-4</v>
      </c>
      <c r="V625" s="50">
        <v>0.99</v>
      </c>
      <c r="W625" s="50">
        <v>1.0308968674468597</v>
      </c>
      <c r="X625" s="50" t="s">
        <v>7163</v>
      </c>
      <c r="Y625" s="50">
        <v>0.32</v>
      </c>
    </row>
    <row r="626" spans="2:25" x14ac:dyDescent="0.2">
      <c r="B626" s="50" t="s">
        <v>9</v>
      </c>
      <c r="C626" s="50" t="s">
        <v>582</v>
      </c>
      <c r="D626" s="50"/>
      <c r="E626" s="50"/>
      <c r="F626" s="51" t="s">
        <v>528</v>
      </c>
      <c r="G626" s="50" t="s">
        <v>527</v>
      </c>
      <c r="H626" s="50" t="s">
        <v>10</v>
      </c>
      <c r="I626" s="50" t="s">
        <v>1120</v>
      </c>
      <c r="J626" s="50" t="s">
        <v>529</v>
      </c>
      <c r="K626" s="50" t="s">
        <v>7174</v>
      </c>
      <c r="L626" s="50">
        <v>16</v>
      </c>
      <c r="M626" s="50">
        <v>0</v>
      </c>
      <c r="N626" s="50">
        <v>0.128929706817379</v>
      </c>
      <c r="O626" s="150">
        <v>0</v>
      </c>
      <c r="P626" s="150">
        <v>11680</v>
      </c>
      <c r="Q626" s="150">
        <v>-11680</v>
      </c>
      <c r="R626" s="150">
        <v>7887.1998554212896</v>
      </c>
      <c r="S626" s="150">
        <v>-19567.199855421291</v>
      </c>
      <c r="T626" s="50" t="s">
        <v>7175</v>
      </c>
      <c r="U626" s="50">
        <v>-1.8797617013428228E-4</v>
      </c>
      <c r="V626" s="50">
        <v>1</v>
      </c>
      <c r="W626" s="50">
        <v>1.0307088912767255</v>
      </c>
      <c r="X626" s="50" t="s">
        <v>7163</v>
      </c>
      <c r="Y626" s="50">
        <v>0.32</v>
      </c>
    </row>
    <row r="627" spans="2:25" x14ac:dyDescent="0.2">
      <c r="B627" s="50" t="s">
        <v>9</v>
      </c>
      <c r="C627" s="50" t="s">
        <v>1046</v>
      </c>
      <c r="D627" s="50"/>
      <c r="E627" s="50"/>
      <c r="F627" s="51" t="s">
        <v>528</v>
      </c>
      <c r="G627" s="50" t="s">
        <v>527</v>
      </c>
      <c r="H627" s="50" t="s">
        <v>23</v>
      </c>
      <c r="I627" s="50" t="s">
        <v>1120</v>
      </c>
      <c r="J627" s="50" t="s">
        <v>543</v>
      </c>
      <c r="K627" s="50" t="s">
        <v>7174</v>
      </c>
      <c r="L627" s="50">
        <v>19</v>
      </c>
      <c r="M627" s="50">
        <v>0.38</v>
      </c>
      <c r="N627" s="50">
        <v>0.57389937106918243</v>
      </c>
      <c r="O627" s="150">
        <v>29774.334225125</v>
      </c>
      <c r="P627" s="150">
        <v>14692.491</v>
      </c>
      <c r="Q627" s="150">
        <v>15081.843225125</v>
      </c>
      <c r="R627" s="150">
        <v>35107.960362732199</v>
      </c>
      <c r="S627" s="150">
        <v>-20026.117137607202</v>
      </c>
      <c r="T627" s="50" t="s">
        <v>7175</v>
      </c>
      <c r="U627" s="50">
        <v>-1.9238484964648341E-4</v>
      </c>
      <c r="V627" s="50">
        <v>0.98000000000000009</v>
      </c>
      <c r="W627" s="50">
        <v>1.0305165064270789</v>
      </c>
      <c r="X627" s="50" t="s">
        <v>7161</v>
      </c>
      <c r="Y627" s="50">
        <v>0.32</v>
      </c>
    </row>
    <row r="628" spans="2:25" x14ac:dyDescent="0.2">
      <c r="B628" s="50" t="s">
        <v>9</v>
      </c>
      <c r="C628" s="50" t="s">
        <v>692</v>
      </c>
      <c r="D628" s="50"/>
      <c r="E628" s="50"/>
      <c r="F628" s="51" t="s">
        <v>528</v>
      </c>
      <c r="G628" s="50" t="s">
        <v>527</v>
      </c>
      <c r="H628" s="50" t="s">
        <v>10</v>
      </c>
      <c r="I628" s="50" t="s">
        <v>1120</v>
      </c>
      <c r="J628" s="50" t="s">
        <v>529</v>
      </c>
      <c r="K628" s="50" t="s">
        <v>7174</v>
      </c>
      <c r="L628" s="50">
        <v>41</v>
      </c>
      <c r="M628" s="50">
        <v>0.82</v>
      </c>
      <c r="N628" s="50">
        <v>0.86</v>
      </c>
      <c r="O628" s="150">
        <v>64249.879117374992</v>
      </c>
      <c r="P628" s="150">
        <v>31704.849000000002</v>
      </c>
      <c r="Q628" s="150">
        <v>32545.03011737499</v>
      </c>
      <c r="R628" s="150">
        <v>52610</v>
      </c>
      <c r="S628" s="150">
        <v>-20064.96988262501</v>
      </c>
      <c r="T628" s="50" t="s">
        <v>7175</v>
      </c>
      <c r="U628" s="50">
        <v>-1.9275809621531364E-4</v>
      </c>
      <c r="V628" s="50">
        <v>0.98</v>
      </c>
      <c r="W628" s="50">
        <v>1.0303237483308636</v>
      </c>
      <c r="X628" s="50" t="s">
        <v>7163</v>
      </c>
      <c r="Y628" s="50">
        <v>0.32</v>
      </c>
    </row>
    <row r="629" spans="2:25" x14ac:dyDescent="0.2">
      <c r="B629" s="50" t="s">
        <v>9</v>
      </c>
      <c r="C629" s="50" t="s">
        <v>901</v>
      </c>
      <c r="D629" s="50"/>
      <c r="E629" s="50"/>
      <c r="F629" s="51" t="s">
        <v>528</v>
      </c>
      <c r="G629" s="50" t="s">
        <v>527</v>
      </c>
      <c r="H629" s="50" t="s">
        <v>561</v>
      </c>
      <c r="I629" s="50" t="s">
        <v>1120</v>
      </c>
      <c r="J629" s="50" t="s">
        <v>562</v>
      </c>
      <c r="K629" s="50" t="s">
        <v>7174</v>
      </c>
      <c r="L629" s="50">
        <v>14</v>
      </c>
      <c r="M629" s="50">
        <v>0.56000000000000005</v>
      </c>
      <c r="N629" s="50">
        <v>0.86</v>
      </c>
      <c r="O629" s="150">
        <v>43877.966226500008</v>
      </c>
      <c r="P629" s="150">
        <v>11432.091999999999</v>
      </c>
      <c r="Q629" s="150">
        <v>32445.874226500011</v>
      </c>
      <c r="R629" s="150">
        <v>52610</v>
      </c>
      <c r="S629" s="150">
        <v>-20164.125773499989</v>
      </c>
      <c r="T629" s="50" t="s">
        <v>7175</v>
      </c>
      <c r="U629" s="50">
        <v>-1.9371065686531218E-4</v>
      </c>
      <c r="V629" s="50">
        <v>0.96</v>
      </c>
      <c r="W629" s="50">
        <v>1.0301300376739984</v>
      </c>
      <c r="X629" s="50" t="s">
        <v>7159</v>
      </c>
      <c r="Y629" s="50">
        <v>0.32</v>
      </c>
    </row>
    <row r="630" spans="2:25" x14ac:dyDescent="0.2">
      <c r="B630" s="50" t="s">
        <v>9</v>
      </c>
      <c r="C630" s="50" t="s">
        <v>1009</v>
      </c>
      <c r="D630" s="50"/>
      <c r="E630" s="50"/>
      <c r="F630" s="51" t="s">
        <v>528</v>
      </c>
      <c r="G630" s="50" t="s">
        <v>527</v>
      </c>
      <c r="H630" s="50" t="s">
        <v>10</v>
      </c>
      <c r="I630" s="50" t="s">
        <v>1120</v>
      </c>
      <c r="J630" s="50" t="s">
        <v>529</v>
      </c>
      <c r="K630" s="50" t="s">
        <v>7174</v>
      </c>
      <c r="L630" s="50">
        <v>42</v>
      </c>
      <c r="M630" s="50">
        <v>0.42</v>
      </c>
      <c r="N630" s="50">
        <v>0.35609756097560974</v>
      </c>
      <c r="O630" s="150">
        <v>32908.474669874995</v>
      </c>
      <c r="P630" s="150">
        <v>31569.069</v>
      </c>
      <c r="Q630" s="150">
        <v>1339.4056698749955</v>
      </c>
      <c r="R630" s="150">
        <v>21784.061259217244</v>
      </c>
      <c r="S630" s="150">
        <v>-20444.655589342248</v>
      </c>
      <c r="T630" s="50" t="s">
        <v>7175</v>
      </c>
      <c r="U630" s="50">
        <v>-1.9640562194872413E-4</v>
      </c>
      <c r="V630" s="50">
        <v>0.99</v>
      </c>
      <c r="W630" s="50">
        <v>1.0299336320520496</v>
      </c>
      <c r="X630" s="50" t="s">
        <v>7163</v>
      </c>
      <c r="Y630" s="50">
        <v>0.32</v>
      </c>
    </row>
    <row r="631" spans="2:25" x14ac:dyDescent="0.2">
      <c r="B631" s="50" t="s">
        <v>9</v>
      </c>
      <c r="C631" s="50" t="s">
        <v>715</v>
      </c>
      <c r="D631" s="50"/>
      <c r="E631" s="50"/>
      <c r="F631" s="51" t="s">
        <v>528</v>
      </c>
      <c r="G631" s="50" t="s">
        <v>527</v>
      </c>
      <c r="H631" s="50" t="s">
        <v>10</v>
      </c>
      <c r="I631" s="50" t="s">
        <v>1120</v>
      </c>
      <c r="J631" s="50" t="s">
        <v>529</v>
      </c>
      <c r="K631" s="50" t="s">
        <v>7174</v>
      </c>
      <c r="L631" s="50">
        <v>60</v>
      </c>
      <c r="M631" s="50">
        <v>0.6</v>
      </c>
      <c r="N631" s="50">
        <v>0.36943319838056682</v>
      </c>
      <c r="O631" s="150">
        <v>47012.106671249996</v>
      </c>
      <c r="P631" s="150">
        <v>45098.67</v>
      </c>
      <c r="Q631" s="150">
        <v>1913.4366712499977</v>
      </c>
      <c r="R631" s="150">
        <v>22599.861124187933</v>
      </c>
      <c r="S631" s="150">
        <v>-20686.424452937936</v>
      </c>
      <c r="T631" s="50" t="s">
        <v>7175</v>
      </c>
      <c r="U631" s="50">
        <v>-1.9872822228869273E-4</v>
      </c>
      <c r="V631" s="50">
        <v>0.99</v>
      </c>
      <c r="W631" s="50">
        <v>1.029734903829761</v>
      </c>
      <c r="X631" s="50" t="s">
        <v>7161</v>
      </c>
      <c r="Y631" s="50">
        <v>0.32</v>
      </c>
    </row>
    <row r="632" spans="2:25" x14ac:dyDescent="0.2">
      <c r="B632" s="50" t="s">
        <v>9</v>
      </c>
      <c r="C632" s="50" t="s">
        <v>551</v>
      </c>
      <c r="D632" s="50"/>
      <c r="E632" s="50"/>
      <c r="F632" s="51" t="s">
        <v>528</v>
      </c>
      <c r="G632" s="50" t="s">
        <v>527</v>
      </c>
      <c r="H632" s="50" t="s">
        <v>23</v>
      </c>
      <c r="I632" s="50" t="s">
        <v>1120</v>
      </c>
      <c r="J632" s="50" t="s">
        <v>543</v>
      </c>
      <c r="K632" s="50" t="s">
        <v>7174</v>
      </c>
      <c r="L632" s="50">
        <v>32</v>
      </c>
      <c r="M632" s="50">
        <v>0.32</v>
      </c>
      <c r="N632" s="50">
        <v>0.35819430814524039</v>
      </c>
      <c r="O632" s="150">
        <v>25073.123557999999</v>
      </c>
      <c r="P632" s="150">
        <v>24052.624</v>
      </c>
      <c r="Q632" s="150">
        <v>1020.4995579999995</v>
      </c>
      <c r="R632" s="150">
        <v>21912.328548280348</v>
      </c>
      <c r="S632" s="150">
        <v>-20891.828990280348</v>
      </c>
      <c r="T632" s="50" t="s">
        <v>7175</v>
      </c>
      <c r="U632" s="50">
        <v>-2.0070148154618088E-4</v>
      </c>
      <c r="V632" s="50">
        <v>0.99</v>
      </c>
      <c r="W632" s="50">
        <v>1.0295342023482148</v>
      </c>
      <c r="X632" s="50" t="s">
        <v>7161</v>
      </c>
      <c r="Y632" s="50">
        <v>0.32</v>
      </c>
    </row>
    <row r="633" spans="2:25" x14ac:dyDescent="0.2">
      <c r="B633" s="50" t="s">
        <v>9</v>
      </c>
      <c r="C633" s="50" t="s">
        <v>724</v>
      </c>
      <c r="D633" s="50"/>
      <c r="E633" s="50"/>
      <c r="F633" s="51" t="s">
        <v>528</v>
      </c>
      <c r="G633" s="50" t="s">
        <v>527</v>
      </c>
      <c r="H633" s="50" t="s">
        <v>10</v>
      </c>
      <c r="I633" s="50" t="s">
        <v>1120</v>
      </c>
      <c r="J633" s="50" t="s">
        <v>529</v>
      </c>
      <c r="K633" s="50" t="s">
        <v>7174</v>
      </c>
      <c r="L633" s="50">
        <v>45</v>
      </c>
      <c r="M633" s="50">
        <v>0.45</v>
      </c>
      <c r="N633" s="50">
        <v>0.36609829488465395</v>
      </c>
      <c r="O633" s="150">
        <v>35259.080003437499</v>
      </c>
      <c r="P633" s="150">
        <v>33824.002499999995</v>
      </c>
      <c r="Q633" s="150">
        <v>1435.0775034375038</v>
      </c>
      <c r="R633" s="150">
        <v>22395.850341722842</v>
      </c>
      <c r="S633" s="150">
        <v>-20960.772838285338</v>
      </c>
      <c r="T633" s="50" t="s">
        <v>7175</v>
      </c>
      <c r="U633" s="50">
        <v>-2.0136380423915973E-4</v>
      </c>
      <c r="V633" s="50">
        <v>0.99</v>
      </c>
      <c r="W633" s="50">
        <v>1.0293328385439757</v>
      </c>
      <c r="X633" s="50" t="s">
        <v>7162</v>
      </c>
      <c r="Y633" s="50">
        <v>0.32</v>
      </c>
    </row>
    <row r="634" spans="2:25" x14ac:dyDescent="0.2">
      <c r="B634" s="50" t="s">
        <v>9</v>
      </c>
      <c r="C634" s="50" t="s">
        <v>728</v>
      </c>
      <c r="D634" s="50"/>
      <c r="E634" s="50"/>
      <c r="F634" s="51" t="s">
        <v>528</v>
      </c>
      <c r="G634" s="50" t="s">
        <v>527</v>
      </c>
      <c r="H634" s="50" t="s">
        <v>10</v>
      </c>
      <c r="I634" s="50" t="s">
        <v>1120</v>
      </c>
      <c r="J634" s="50" t="s">
        <v>529</v>
      </c>
      <c r="K634" s="50" t="s">
        <v>7174</v>
      </c>
      <c r="L634" s="50">
        <v>21</v>
      </c>
      <c r="M634" s="50">
        <v>0.21</v>
      </c>
      <c r="N634" s="50">
        <v>0.35517353227375931</v>
      </c>
      <c r="O634" s="150">
        <v>16454.237334937498</v>
      </c>
      <c r="P634" s="150">
        <v>15784.5345</v>
      </c>
      <c r="Q634" s="150">
        <v>669.70283493749776</v>
      </c>
      <c r="R634" s="150">
        <v>21727.534340607534</v>
      </c>
      <c r="S634" s="150">
        <v>-21057.831505670038</v>
      </c>
      <c r="T634" s="50" t="s">
        <v>7175</v>
      </c>
      <c r="U634" s="50">
        <v>-2.0229621749747571E-4</v>
      </c>
      <c r="V634" s="50">
        <v>0.99</v>
      </c>
      <c r="W634" s="50">
        <v>1.0291305423264783</v>
      </c>
      <c r="X634" s="50" t="s">
        <v>7163</v>
      </c>
      <c r="Y634" s="50">
        <v>0.32</v>
      </c>
    </row>
    <row r="635" spans="2:25" x14ac:dyDescent="0.2">
      <c r="B635" s="50" t="s">
        <v>9</v>
      </c>
      <c r="C635" s="50" t="s">
        <v>950</v>
      </c>
      <c r="D635" s="50"/>
      <c r="E635" s="50"/>
      <c r="F635" s="51" t="s">
        <v>528</v>
      </c>
      <c r="G635" s="50" t="s">
        <v>527</v>
      </c>
      <c r="H635" s="50" t="s">
        <v>561</v>
      </c>
      <c r="I635" s="50">
        <v>0</v>
      </c>
      <c r="J635" s="50" t="s">
        <v>562</v>
      </c>
      <c r="K635" s="50" t="s">
        <v>7174</v>
      </c>
      <c r="L635" s="50">
        <v>47</v>
      </c>
      <c r="M635" s="50">
        <v>0.94</v>
      </c>
      <c r="N635" s="50">
        <v>0.86</v>
      </c>
      <c r="O635" s="150">
        <v>73652.300451624993</v>
      </c>
      <c r="P635" s="150">
        <v>36344.582999999999</v>
      </c>
      <c r="Q635" s="150">
        <v>37307.717451624994</v>
      </c>
      <c r="R635" s="150">
        <v>59070</v>
      </c>
      <c r="S635" s="150">
        <v>-21762.282548375006</v>
      </c>
      <c r="T635" s="50" t="s">
        <v>7175</v>
      </c>
      <c r="U635" s="50">
        <v>-2.0906366557554566E-4</v>
      </c>
      <c r="V635" s="50">
        <v>0.98000000000000009</v>
      </c>
      <c r="W635" s="50">
        <v>1.0289214786609027</v>
      </c>
      <c r="X635" s="50" t="s">
        <v>7159</v>
      </c>
      <c r="Y635" s="50">
        <v>0.32</v>
      </c>
    </row>
    <row r="636" spans="2:25" x14ac:dyDescent="0.2">
      <c r="B636" s="50" t="s">
        <v>9</v>
      </c>
      <c r="C636" s="50" t="s">
        <v>661</v>
      </c>
      <c r="D636" s="50"/>
      <c r="E636" s="50"/>
      <c r="F636" s="51" t="s">
        <v>528</v>
      </c>
      <c r="G636" s="50" t="s">
        <v>527</v>
      </c>
      <c r="H636" s="50" t="s">
        <v>10</v>
      </c>
      <c r="I636" s="50" t="s">
        <v>1120</v>
      </c>
      <c r="J636" s="50" t="s">
        <v>529</v>
      </c>
      <c r="K636" s="50" t="s">
        <v>7174</v>
      </c>
      <c r="L636" s="50">
        <v>17</v>
      </c>
      <c r="M636" s="50">
        <v>0.17</v>
      </c>
      <c r="N636" s="50">
        <v>0.36868686868686867</v>
      </c>
      <c r="O636" s="150">
        <v>13320.0968901875</v>
      </c>
      <c r="P636" s="150">
        <v>12777.9565</v>
      </c>
      <c r="Q636" s="150">
        <v>542.14039018750009</v>
      </c>
      <c r="R636" s="150">
        <v>22554.204839088557</v>
      </c>
      <c r="S636" s="150">
        <v>-22012.064448901059</v>
      </c>
      <c r="T636" s="50" t="s">
        <v>7175</v>
      </c>
      <c r="U636" s="50">
        <v>-2.1146324473744302E-4</v>
      </c>
      <c r="V636" s="50">
        <v>0.98999999999999988</v>
      </c>
      <c r="W636" s="50">
        <v>1.0287100154161652</v>
      </c>
      <c r="X636" s="50" t="s">
        <v>7163</v>
      </c>
      <c r="Y636" s="50">
        <v>0.32</v>
      </c>
    </row>
    <row r="637" spans="2:25" x14ac:dyDescent="0.2">
      <c r="B637" s="50" t="s">
        <v>9</v>
      </c>
      <c r="C637" s="50" t="s">
        <v>610</v>
      </c>
      <c r="D637" s="50"/>
      <c r="E637" s="50"/>
      <c r="F637" s="51" t="s">
        <v>528</v>
      </c>
      <c r="G637" s="50" t="s">
        <v>527</v>
      </c>
      <c r="H637" s="50" t="s">
        <v>10</v>
      </c>
      <c r="I637" s="50" t="s">
        <v>1120</v>
      </c>
      <c r="J637" s="50" t="s">
        <v>529</v>
      </c>
      <c r="K637" s="50" t="s">
        <v>7174</v>
      </c>
      <c r="L637" s="50">
        <v>12</v>
      </c>
      <c r="M637" s="50">
        <v>0.12</v>
      </c>
      <c r="N637" s="50">
        <v>0.36622073578595316</v>
      </c>
      <c r="O637" s="150">
        <v>9402.4213342500007</v>
      </c>
      <c r="P637" s="150">
        <v>9019.7340000000004</v>
      </c>
      <c r="Q637" s="150">
        <v>382.68733425000028</v>
      </c>
      <c r="R637" s="150">
        <v>22403.340592673248</v>
      </c>
      <c r="S637" s="150">
        <v>-22020.653258423248</v>
      </c>
      <c r="T637" s="50" t="s">
        <v>7175</v>
      </c>
      <c r="U637" s="50">
        <v>-2.1154575483249612E-4</v>
      </c>
      <c r="V637" s="50">
        <v>0.9900000000000001</v>
      </c>
      <c r="W637" s="50">
        <v>1.0284984696613328</v>
      </c>
      <c r="X637" s="50" t="s">
        <v>7162</v>
      </c>
      <c r="Y637" s="50">
        <v>0.32</v>
      </c>
    </row>
    <row r="638" spans="2:25" x14ac:dyDescent="0.2">
      <c r="B638" s="50" t="s">
        <v>9</v>
      </c>
      <c r="C638" s="50" t="s">
        <v>729</v>
      </c>
      <c r="D638" s="50"/>
      <c r="E638" s="50"/>
      <c r="F638" s="51" t="s">
        <v>528</v>
      </c>
      <c r="G638" s="50" t="s">
        <v>527</v>
      </c>
      <c r="H638" s="50" t="s">
        <v>10</v>
      </c>
      <c r="I638" s="50" t="s">
        <v>1120</v>
      </c>
      <c r="J638" s="50" t="s">
        <v>529</v>
      </c>
      <c r="K638" s="50" t="s">
        <v>7174</v>
      </c>
      <c r="L638" s="50">
        <v>94</v>
      </c>
      <c r="M638" s="50">
        <v>0.94</v>
      </c>
      <c r="N638" s="50">
        <v>0.41165413533834588</v>
      </c>
      <c r="O638" s="150">
        <v>73652.300451624993</v>
      </c>
      <c r="P638" s="150">
        <v>70654.582999999999</v>
      </c>
      <c r="Q638" s="150">
        <v>2997.7174516249943</v>
      </c>
      <c r="R638" s="150">
        <v>25182.702395523695</v>
      </c>
      <c r="S638" s="150">
        <v>-22184.9849438987</v>
      </c>
      <c r="T638" s="50" t="s">
        <v>7175</v>
      </c>
      <c r="U638" s="50">
        <v>-2.1312443962621372E-4</v>
      </c>
      <c r="V638" s="50">
        <v>0.99</v>
      </c>
      <c r="W638" s="50">
        <v>1.0282853452217067</v>
      </c>
      <c r="X638" s="50" t="s">
        <v>7162</v>
      </c>
      <c r="Y638" s="50">
        <v>0.32</v>
      </c>
    </row>
    <row r="639" spans="2:25" x14ac:dyDescent="0.2">
      <c r="B639" s="50" t="s">
        <v>9</v>
      </c>
      <c r="C639" s="50" t="s">
        <v>882</v>
      </c>
      <c r="D639" s="50"/>
      <c r="E639" s="50"/>
      <c r="F639" s="51" t="s">
        <v>528</v>
      </c>
      <c r="G639" s="50" t="s">
        <v>527</v>
      </c>
      <c r="H639" s="50" t="s">
        <v>10</v>
      </c>
      <c r="I639" s="50" t="s">
        <v>1120</v>
      </c>
      <c r="J639" s="50" t="s">
        <v>529</v>
      </c>
      <c r="K639" s="50" t="s">
        <v>7174</v>
      </c>
      <c r="L639" s="50">
        <v>75</v>
      </c>
      <c r="M639" s="50">
        <v>0.75</v>
      </c>
      <c r="N639" s="50">
        <v>0.40286975717439294</v>
      </c>
      <c r="O639" s="150">
        <v>58765.1333390625</v>
      </c>
      <c r="P639" s="150">
        <v>56373.337499999994</v>
      </c>
      <c r="Q639" s="150">
        <v>2391.7958390625063</v>
      </c>
      <c r="R639" s="150">
        <v>24645.323168540479</v>
      </c>
      <c r="S639" s="150">
        <v>-22253.527329477973</v>
      </c>
      <c r="T639" s="50" t="s">
        <v>7175</v>
      </c>
      <c r="U639" s="50">
        <v>-2.1378290559110697E-4</v>
      </c>
      <c r="V639" s="50">
        <v>0.99</v>
      </c>
      <c r="W639" s="50">
        <v>1.0280715623161156</v>
      </c>
      <c r="X639" s="50" t="s">
        <v>7162</v>
      </c>
      <c r="Y639" s="50">
        <v>0.32</v>
      </c>
    </row>
    <row r="640" spans="2:25" x14ac:dyDescent="0.2">
      <c r="B640" s="50" t="s">
        <v>9</v>
      </c>
      <c r="C640" s="50" t="s">
        <v>1020</v>
      </c>
      <c r="D640" s="50"/>
      <c r="E640" s="50"/>
      <c r="F640" s="51" t="s">
        <v>528</v>
      </c>
      <c r="G640" s="50" t="s">
        <v>527</v>
      </c>
      <c r="H640" s="50" t="s">
        <v>10</v>
      </c>
      <c r="I640" s="50" t="s">
        <v>1120</v>
      </c>
      <c r="J640" s="50" t="s">
        <v>529</v>
      </c>
      <c r="K640" s="50" t="s">
        <v>7174</v>
      </c>
      <c r="L640" s="50">
        <v>68</v>
      </c>
      <c r="M640" s="50">
        <v>0.68</v>
      </c>
      <c r="N640" s="50">
        <v>0.39992695398100803</v>
      </c>
      <c r="O640" s="150">
        <v>53280.387560750001</v>
      </c>
      <c r="P640" s="150">
        <v>51111.826000000001</v>
      </c>
      <c r="Q640" s="150">
        <v>2168.5615607500004</v>
      </c>
      <c r="R640" s="150">
        <v>24465.298894117248</v>
      </c>
      <c r="S640" s="150">
        <v>-22296.737333367248</v>
      </c>
      <c r="T640" s="50" t="s">
        <v>7175</v>
      </c>
      <c r="U640" s="50">
        <v>-2.1419801102788937E-4</v>
      </c>
      <c r="V640" s="50">
        <v>0.98999999999999988</v>
      </c>
      <c r="W640" s="50">
        <v>1.0278573643050877</v>
      </c>
      <c r="X640" s="50" t="s">
        <v>7160</v>
      </c>
      <c r="Y640" s="50">
        <v>0.32</v>
      </c>
    </row>
    <row r="641" spans="2:25" x14ac:dyDescent="0.2">
      <c r="B641" s="50" t="s">
        <v>9</v>
      </c>
      <c r="C641" s="50" t="s">
        <v>917</v>
      </c>
      <c r="D641" s="50"/>
      <c r="E641" s="50"/>
      <c r="F641" s="51" t="s">
        <v>528</v>
      </c>
      <c r="G641" s="50" t="s">
        <v>527</v>
      </c>
      <c r="H641" s="50" t="s">
        <v>10</v>
      </c>
      <c r="I641" s="50" t="s">
        <v>1120</v>
      </c>
      <c r="J641" s="50" t="s">
        <v>529</v>
      </c>
      <c r="K641" s="50" t="s">
        <v>7174</v>
      </c>
      <c r="L641" s="50">
        <v>38</v>
      </c>
      <c r="M641" s="50">
        <v>0.76</v>
      </c>
      <c r="N641" s="50">
        <v>0.86</v>
      </c>
      <c r="O641" s="150">
        <v>59548.668450249999</v>
      </c>
      <c r="P641" s="150">
        <v>29384.982</v>
      </c>
      <c r="Q641" s="150">
        <v>30163.686450249999</v>
      </c>
      <c r="R641" s="150">
        <v>52610</v>
      </c>
      <c r="S641" s="150">
        <v>-22446.313549750001</v>
      </c>
      <c r="T641" s="50" t="s">
        <v>7175</v>
      </c>
      <c r="U641" s="50">
        <v>-2.1563494449341108E-4</v>
      </c>
      <c r="V641" s="50">
        <v>0.98000000000000009</v>
      </c>
      <c r="W641" s="50">
        <v>1.0276417293605942</v>
      </c>
      <c r="X641" s="50" t="s">
        <v>7161</v>
      </c>
      <c r="Y641" s="50">
        <v>0.32</v>
      </c>
    </row>
    <row r="642" spans="2:25" x14ac:dyDescent="0.2">
      <c r="B642" s="50" t="s">
        <v>9</v>
      </c>
      <c r="C642" s="50" t="s">
        <v>679</v>
      </c>
      <c r="D642" s="50"/>
      <c r="E642" s="50"/>
      <c r="F642" s="51" t="s">
        <v>528</v>
      </c>
      <c r="G642" s="50" t="s">
        <v>527</v>
      </c>
      <c r="H642" s="50" t="s">
        <v>10</v>
      </c>
      <c r="I642" s="50" t="s">
        <v>1120</v>
      </c>
      <c r="J642" s="50" t="s">
        <v>529</v>
      </c>
      <c r="K642" s="50" t="s">
        <v>7174</v>
      </c>
      <c r="L642" s="50">
        <v>38</v>
      </c>
      <c r="M642" s="50">
        <v>0.76</v>
      </c>
      <c r="N642" s="50">
        <v>0.86</v>
      </c>
      <c r="O642" s="150">
        <v>59548.668450249999</v>
      </c>
      <c r="P642" s="150">
        <v>29384.982</v>
      </c>
      <c r="Q642" s="150">
        <v>30163.686450249999</v>
      </c>
      <c r="R642" s="150">
        <v>52610</v>
      </c>
      <c r="S642" s="150">
        <v>-22446.313549750001</v>
      </c>
      <c r="T642" s="50" t="s">
        <v>7175</v>
      </c>
      <c r="U642" s="50">
        <v>-2.1563494449341108E-4</v>
      </c>
      <c r="V642" s="50">
        <v>0.98000000000000009</v>
      </c>
      <c r="W642" s="50">
        <v>1.0274260944161007</v>
      </c>
      <c r="X642" s="50" t="s">
        <v>7162</v>
      </c>
      <c r="Y642" s="50">
        <v>0.32</v>
      </c>
    </row>
    <row r="643" spans="2:25" x14ac:dyDescent="0.2">
      <c r="B643" s="50" t="s">
        <v>9</v>
      </c>
      <c r="C643" s="50" t="s">
        <v>870</v>
      </c>
      <c r="D643" s="50"/>
      <c r="E643" s="50"/>
      <c r="F643" s="51" t="s">
        <v>528</v>
      </c>
      <c r="G643" s="50" t="s">
        <v>527</v>
      </c>
      <c r="H643" s="50" t="s">
        <v>10</v>
      </c>
      <c r="I643" s="50" t="s">
        <v>1120</v>
      </c>
      <c r="J643" s="50" t="s">
        <v>529</v>
      </c>
      <c r="K643" s="50" t="s">
        <v>7174</v>
      </c>
      <c r="L643" s="50">
        <v>13</v>
      </c>
      <c r="M643" s="50">
        <v>0.52</v>
      </c>
      <c r="N643" s="50">
        <v>0.86</v>
      </c>
      <c r="O643" s="150">
        <v>40743.825781749998</v>
      </c>
      <c r="P643" s="150">
        <v>10615.514000000001</v>
      </c>
      <c r="Q643" s="150">
        <v>30128.311781749995</v>
      </c>
      <c r="R643" s="150">
        <v>52610</v>
      </c>
      <c r="S643" s="150">
        <v>-22481.688218250005</v>
      </c>
      <c r="T643" s="50" t="s">
        <v>7175</v>
      </c>
      <c r="U643" s="50">
        <v>-2.1597477823321717E-4</v>
      </c>
      <c r="V643" s="50">
        <v>0.96000000000000008</v>
      </c>
      <c r="W643" s="50">
        <v>1.0272101196378673</v>
      </c>
      <c r="X643" s="50" t="s">
        <v>7163</v>
      </c>
      <c r="Y643" s="50">
        <v>0.32</v>
      </c>
    </row>
    <row r="644" spans="2:25" x14ac:dyDescent="0.2">
      <c r="B644" s="50" t="s">
        <v>9</v>
      </c>
      <c r="C644" s="50" t="s">
        <v>854</v>
      </c>
      <c r="D644" s="50"/>
      <c r="E644" s="50"/>
      <c r="F644" s="51" t="s">
        <v>528</v>
      </c>
      <c r="G644" s="50" t="s">
        <v>527</v>
      </c>
      <c r="H644" s="50" t="s">
        <v>10</v>
      </c>
      <c r="I644" s="50" t="s">
        <v>1120</v>
      </c>
      <c r="J644" s="50" t="s">
        <v>529</v>
      </c>
      <c r="K644" s="50" t="s">
        <v>7174</v>
      </c>
      <c r="L644" s="50">
        <v>81</v>
      </c>
      <c r="M644" s="50">
        <v>1.2150000000000001</v>
      </c>
      <c r="N644" s="50">
        <v>0.91511461318051579</v>
      </c>
      <c r="O644" s="150">
        <v>95199.516009281244</v>
      </c>
      <c r="P644" s="150">
        <v>61759.806749999996</v>
      </c>
      <c r="Q644" s="150">
        <v>33439.709259281248</v>
      </c>
      <c r="R644" s="150">
        <v>55981.604417938295</v>
      </c>
      <c r="S644" s="150">
        <v>-22541.895158657047</v>
      </c>
      <c r="T644" s="50" t="s">
        <v>7175</v>
      </c>
      <c r="U644" s="50">
        <v>-2.1655316809772725E-4</v>
      </c>
      <c r="V644" s="50">
        <v>0.98499999999999999</v>
      </c>
      <c r="W644" s="50">
        <v>1.0269935664697696</v>
      </c>
      <c r="X644" s="50" t="s">
        <v>7162</v>
      </c>
      <c r="Y644" s="50">
        <v>0.32</v>
      </c>
    </row>
    <row r="645" spans="2:25" x14ac:dyDescent="0.2">
      <c r="B645" s="50" t="s">
        <v>9</v>
      </c>
      <c r="C645" s="50" t="s">
        <v>883</v>
      </c>
      <c r="D645" s="50"/>
      <c r="E645" s="50"/>
      <c r="F645" s="51" t="s">
        <v>528</v>
      </c>
      <c r="G645" s="50" t="s">
        <v>527</v>
      </c>
      <c r="H645" s="50" t="s">
        <v>10</v>
      </c>
      <c r="I645" s="50" t="s">
        <v>1120</v>
      </c>
      <c r="J645" s="50" t="s">
        <v>529</v>
      </c>
      <c r="K645" s="50" t="s">
        <v>7174</v>
      </c>
      <c r="L645" s="50">
        <v>29</v>
      </c>
      <c r="M645" s="50">
        <v>0.28999999999999998</v>
      </c>
      <c r="N645" s="50">
        <v>0.38995726495726502</v>
      </c>
      <c r="O645" s="150">
        <v>22722.518224437496</v>
      </c>
      <c r="P645" s="150">
        <v>21797.690500000001</v>
      </c>
      <c r="Q645" s="150">
        <v>924.82772443749491</v>
      </c>
      <c r="R645" s="150">
        <v>23855.408964420596</v>
      </c>
      <c r="S645" s="150">
        <v>-22930.581239983101</v>
      </c>
      <c r="T645" s="50" t="s">
        <v>7175</v>
      </c>
      <c r="U645" s="50">
        <v>-2.2028715770748385E-4</v>
      </c>
      <c r="V645" s="50">
        <v>0.99</v>
      </c>
      <c r="W645" s="50">
        <v>1.0267732793120621</v>
      </c>
      <c r="X645" s="50" t="s">
        <v>7159</v>
      </c>
      <c r="Y645" s="50">
        <v>0.32</v>
      </c>
    </row>
    <row r="646" spans="2:25" x14ac:dyDescent="0.2">
      <c r="B646" s="50" t="s">
        <v>9</v>
      </c>
      <c r="C646" s="50" t="s">
        <v>629</v>
      </c>
      <c r="D646" s="50"/>
      <c r="E646" s="50"/>
      <c r="F646" s="51" t="s">
        <v>528</v>
      </c>
      <c r="G646" s="50" t="s">
        <v>527</v>
      </c>
      <c r="H646" s="50" t="s">
        <v>10</v>
      </c>
      <c r="I646" s="50" t="s">
        <v>1120</v>
      </c>
      <c r="J646" s="50" t="s">
        <v>529</v>
      </c>
      <c r="K646" s="50" t="s">
        <v>7174</v>
      </c>
      <c r="L646" s="50">
        <v>65</v>
      </c>
      <c r="M646" s="50">
        <v>0.65</v>
      </c>
      <c r="N646" s="50">
        <v>0.4088872292755788</v>
      </c>
      <c r="O646" s="150">
        <v>50929.782227187497</v>
      </c>
      <c r="P646" s="150">
        <v>48856.892500000002</v>
      </c>
      <c r="Q646" s="150">
        <v>2072.8897271874957</v>
      </c>
      <c r="R646" s="150">
        <v>25013.438525800233</v>
      </c>
      <c r="S646" s="150">
        <v>-22940.548798612737</v>
      </c>
      <c r="T646" s="50" t="s">
        <v>7175</v>
      </c>
      <c r="U646" s="50">
        <v>-2.2038291302815477E-4</v>
      </c>
      <c r="V646" s="50">
        <v>0.98999999999999988</v>
      </c>
      <c r="W646" s="50">
        <v>1.026552896399034</v>
      </c>
      <c r="X646" s="50" t="s">
        <v>7162</v>
      </c>
      <c r="Y646" s="50">
        <v>0.32</v>
      </c>
    </row>
    <row r="647" spans="2:25" x14ac:dyDescent="0.2">
      <c r="B647" s="50" t="s">
        <v>9</v>
      </c>
      <c r="C647" s="50" t="s">
        <v>570</v>
      </c>
      <c r="D647" s="50"/>
      <c r="E647" s="50"/>
      <c r="F647" s="51" t="s">
        <v>528</v>
      </c>
      <c r="G647" s="50" t="s">
        <v>527</v>
      </c>
      <c r="H647" s="50" t="s">
        <v>10</v>
      </c>
      <c r="I647" s="50" t="s">
        <v>1120</v>
      </c>
      <c r="J647" s="50" t="s">
        <v>529</v>
      </c>
      <c r="K647" s="50" t="s">
        <v>7174</v>
      </c>
      <c r="L647" s="50">
        <v>33</v>
      </c>
      <c r="M647" s="50">
        <v>0.33</v>
      </c>
      <c r="N647" s="50">
        <v>0.39303661162957643</v>
      </c>
      <c r="O647" s="150">
        <v>25856.658669187502</v>
      </c>
      <c r="P647" s="150">
        <v>24804.268500000002</v>
      </c>
      <c r="Q647" s="150">
        <v>1052.3901691874999</v>
      </c>
      <c r="R647" s="150">
        <v>24043.786206781417</v>
      </c>
      <c r="S647" s="150">
        <v>-22991.396037593917</v>
      </c>
      <c r="T647" s="50" t="s">
        <v>7175</v>
      </c>
      <c r="U647" s="50">
        <v>-2.2087138707228002E-4</v>
      </c>
      <c r="V647" s="50">
        <v>0.9900000000000001</v>
      </c>
      <c r="W647" s="50">
        <v>1.0263320250119616</v>
      </c>
      <c r="X647" s="50" t="s">
        <v>7161</v>
      </c>
      <c r="Y647" s="50">
        <v>0.32</v>
      </c>
    </row>
    <row r="648" spans="2:25" x14ac:dyDescent="0.2">
      <c r="B648" s="50" t="s">
        <v>9</v>
      </c>
      <c r="C648" s="50" t="s">
        <v>1006</v>
      </c>
      <c r="D648" s="50"/>
      <c r="E648" s="50"/>
      <c r="F648" s="51" t="s">
        <v>528</v>
      </c>
      <c r="G648" s="50" t="s">
        <v>527</v>
      </c>
      <c r="H648" s="50" t="s">
        <v>23</v>
      </c>
      <c r="I648" s="50" t="s">
        <v>1120</v>
      </c>
      <c r="J648" s="50" t="s">
        <v>543</v>
      </c>
      <c r="K648" s="50" t="s">
        <v>7174</v>
      </c>
      <c r="L648" s="50">
        <v>19</v>
      </c>
      <c r="M648" s="50">
        <v>0.56999999999999995</v>
      </c>
      <c r="N648" s="50">
        <v>0.86</v>
      </c>
      <c r="O648" s="150">
        <v>44661.501337687492</v>
      </c>
      <c r="P648" s="150">
        <v>15103.736499999999</v>
      </c>
      <c r="Q648" s="150">
        <v>29557.764837687493</v>
      </c>
      <c r="R648" s="150">
        <v>52610</v>
      </c>
      <c r="S648" s="150">
        <v>-23052.235162312507</v>
      </c>
      <c r="T648" s="50" t="s">
        <v>7175</v>
      </c>
      <c r="U648" s="50">
        <v>-2.2145585014024188E-4</v>
      </c>
      <c r="V648" s="50">
        <v>0.97</v>
      </c>
      <c r="W648" s="50">
        <v>1.0261105691618213</v>
      </c>
      <c r="X648" s="50" t="s">
        <v>7160</v>
      </c>
      <c r="Y648" s="50">
        <v>0.32</v>
      </c>
    </row>
    <row r="649" spans="2:25" x14ac:dyDescent="0.2">
      <c r="B649" s="50" t="s">
        <v>9</v>
      </c>
      <c r="C649" s="50" t="s">
        <v>739</v>
      </c>
      <c r="D649" s="50"/>
      <c r="E649" s="50"/>
      <c r="F649" s="51" t="s">
        <v>528</v>
      </c>
      <c r="G649" s="50" t="s">
        <v>527</v>
      </c>
      <c r="H649" s="50" t="s">
        <v>10</v>
      </c>
      <c r="I649" s="50" t="s">
        <v>1120</v>
      </c>
      <c r="J649" s="50" t="s">
        <v>529</v>
      </c>
      <c r="K649" s="50" t="s">
        <v>7174</v>
      </c>
      <c r="L649" s="50">
        <v>44</v>
      </c>
      <c r="M649" s="50">
        <v>0.88</v>
      </c>
      <c r="N649" s="50">
        <v>0.95052083333333326</v>
      </c>
      <c r="O649" s="150">
        <v>68951.0897845</v>
      </c>
      <c r="P649" s="150">
        <v>34024.716</v>
      </c>
      <c r="Q649" s="150">
        <v>34926.3737845</v>
      </c>
      <c r="R649" s="150">
        <v>58147.559350775184</v>
      </c>
      <c r="S649" s="150">
        <v>-23221.185566275184</v>
      </c>
      <c r="T649" s="50" t="s">
        <v>7175</v>
      </c>
      <c r="U649" s="50">
        <v>-2.2307890556535142E-4</v>
      </c>
      <c r="V649" s="50">
        <v>0.98</v>
      </c>
      <c r="W649" s="50">
        <v>1.025887490256256</v>
      </c>
      <c r="X649" s="50" t="s">
        <v>7161</v>
      </c>
      <c r="Y649" s="50">
        <v>0.32</v>
      </c>
    </row>
    <row r="650" spans="2:25" x14ac:dyDescent="0.2">
      <c r="B650" s="50" t="s">
        <v>9</v>
      </c>
      <c r="C650" s="50" t="s">
        <v>677</v>
      </c>
      <c r="D650" s="50"/>
      <c r="E650" s="50"/>
      <c r="F650" s="51" t="s">
        <v>528</v>
      </c>
      <c r="G650" s="50" t="s">
        <v>527</v>
      </c>
      <c r="H650" s="50" t="s">
        <v>10</v>
      </c>
      <c r="I650" s="50" t="s">
        <v>1120</v>
      </c>
      <c r="J650" s="50" t="s">
        <v>529</v>
      </c>
      <c r="K650" s="50" t="s">
        <v>7174</v>
      </c>
      <c r="L650" s="50">
        <v>4</v>
      </c>
      <c r="M650" s="50">
        <v>0.04</v>
      </c>
      <c r="N650" s="50">
        <v>0.38522427440633245</v>
      </c>
      <c r="O650" s="150">
        <v>3134.1404447499999</v>
      </c>
      <c r="P650" s="150">
        <v>3006.578</v>
      </c>
      <c r="Q650" s="150">
        <v>127.56244474999994</v>
      </c>
      <c r="R650" s="150">
        <v>23565.871019205988</v>
      </c>
      <c r="S650" s="150">
        <v>-23438.308574455987</v>
      </c>
      <c r="T650" s="50" t="s">
        <v>7175</v>
      </c>
      <c r="U650" s="50">
        <v>-2.2516474062746704E-4</v>
      </c>
      <c r="V650" s="50">
        <v>0.99</v>
      </c>
      <c r="W650" s="50">
        <v>1.0256623255156285</v>
      </c>
      <c r="X650" s="50" t="s">
        <v>7159</v>
      </c>
      <c r="Y650" s="50">
        <v>0.32</v>
      </c>
    </row>
    <row r="651" spans="2:25" x14ac:dyDescent="0.2">
      <c r="B651" s="50" t="s">
        <v>9</v>
      </c>
      <c r="C651" s="50" t="s">
        <v>803</v>
      </c>
      <c r="D651" s="50"/>
      <c r="E651" s="50"/>
      <c r="F651" s="51" t="s">
        <v>528</v>
      </c>
      <c r="G651" s="50" t="s">
        <v>527</v>
      </c>
      <c r="H651" s="50" t="s">
        <v>23</v>
      </c>
      <c r="I651" s="50" t="s">
        <v>1120</v>
      </c>
      <c r="J651" s="50" t="s">
        <v>543</v>
      </c>
      <c r="K651" s="50" t="s">
        <v>7174</v>
      </c>
      <c r="L651" s="50">
        <v>6</v>
      </c>
      <c r="M651" s="50">
        <v>0.48</v>
      </c>
      <c r="N651" s="50">
        <v>0.91022443890274307</v>
      </c>
      <c r="O651" s="150">
        <v>37609.685337000003</v>
      </c>
      <c r="P651" s="150">
        <v>5418.9359999999997</v>
      </c>
      <c r="Q651" s="150">
        <v>32190.749337000001</v>
      </c>
      <c r="R651" s="150">
        <v>55682.450849620131</v>
      </c>
      <c r="S651" s="150">
        <v>-23491.70151262013</v>
      </c>
      <c r="T651" s="50" t="s">
        <v>7175</v>
      </c>
      <c r="U651" s="50">
        <v>-2.256776704335952E-4</v>
      </c>
      <c r="V651" s="50">
        <v>0.91999999999999993</v>
      </c>
      <c r="W651" s="50">
        <v>1.0254366478451948</v>
      </c>
      <c r="X651" s="50" t="s">
        <v>7159</v>
      </c>
      <c r="Y651" s="50">
        <v>0.32</v>
      </c>
    </row>
    <row r="652" spans="2:25" x14ac:dyDescent="0.2">
      <c r="B652" s="50" t="s">
        <v>9</v>
      </c>
      <c r="C652" s="50" t="s">
        <v>977</v>
      </c>
      <c r="D652" s="50"/>
      <c r="E652" s="50"/>
      <c r="F652" s="51" t="s">
        <v>528</v>
      </c>
      <c r="G652" s="50" t="s">
        <v>527</v>
      </c>
      <c r="H652" s="50" t="s">
        <v>23</v>
      </c>
      <c r="I652" s="50" t="s">
        <v>1120</v>
      </c>
      <c r="J652" s="50" t="s">
        <v>543</v>
      </c>
      <c r="K652" s="50" t="s">
        <v>7174</v>
      </c>
      <c r="L652" s="50">
        <v>70</v>
      </c>
      <c r="M652" s="50">
        <v>0.7</v>
      </c>
      <c r="N652" s="50">
        <v>0.42196531791907516</v>
      </c>
      <c r="O652" s="150">
        <v>54847.457783124992</v>
      </c>
      <c r="P652" s="150">
        <v>52615.115000000005</v>
      </c>
      <c r="Q652" s="150">
        <v>2232.3427831249865</v>
      </c>
      <c r="R652" s="150">
        <v>25813.482995026217</v>
      </c>
      <c r="S652" s="150">
        <v>-23581.140211901231</v>
      </c>
      <c r="T652" s="50" t="s">
        <v>7175</v>
      </c>
      <c r="U652" s="50">
        <v>-2.265368809633019E-4</v>
      </c>
      <c r="V652" s="50">
        <v>0.99</v>
      </c>
      <c r="W652" s="50">
        <v>1.0252101109642315</v>
      </c>
      <c r="X652" s="50" t="s">
        <v>7159</v>
      </c>
      <c r="Y652" s="50">
        <v>0.32</v>
      </c>
    </row>
    <row r="653" spans="2:25" x14ac:dyDescent="0.2">
      <c r="B653" s="50" t="s">
        <v>9</v>
      </c>
      <c r="C653" s="50" t="s">
        <v>1000</v>
      </c>
      <c r="D653" s="50"/>
      <c r="E653" s="50"/>
      <c r="F653" s="51" t="s">
        <v>528</v>
      </c>
      <c r="G653" s="50" t="s">
        <v>527</v>
      </c>
      <c r="H653" s="50" t="s">
        <v>10</v>
      </c>
      <c r="I653" s="50" t="s">
        <v>1120</v>
      </c>
      <c r="J653" s="50" t="s">
        <v>529</v>
      </c>
      <c r="K653" s="50" t="s">
        <v>7174</v>
      </c>
      <c r="L653" s="50">
        <v>2</v>
      </c>
      <c r="M653" s="50">
        <v>0.3</v>
      </c>
      <c r="N653" s="50">
        <v>0.73737373737373735</v>
      </c>
      <c r="O653" s="150">
        <v>23506.053335624998</v>
      </c>
      <c r="P653" s="150">
        <v>2109.335</v>
      </c>
      <c r="Q653" s="150">
        <v>21396.718335624999</v>
      </c>
      <c r="R653" s="150">
        <v>45108.409678177115</v>
      </c>
      <c r="S653" s="150">
        <v>-23711.691342552116</v>
      </c>
      <c r="T653" s="50" t="s">
        <v>7175</v>
      </c>
      <c r="U653" s="50">
        <v>-2.2779104618509037E-4</v>
      </c>
      <c r="V653" s="50">
        <v>0.85</v>
      </c>
      <c r="W653" s="50">
        <v>1.0249823199180463</v>
      </c>
      <c r="X653" s="50" t="s">
        <v>7160</v>
      </c>
      <c r="Y653" s="50">
        <v>0.32</v>
      </c>
    </row>
    <row r="654" spans="2:25" x14ac:dyDescent="0.2">
      <c r="B654" s="50" t="s">
        <v>9</v>
      </c>
      <c r="C654" s="50" t="s">
        <v>666</v>
      </c>
      <c r="D654" s="50"/>
      <c r="E654" s="50"/>
      <c r="F654" s="51" t="s">
        <v>528</v>
      </c>
      <c r="G654" s="50" t="s">
        <v>527</v>
      </c>
      <c r="H654" s="50" t="s">
        <v>10</v>
      </c>
      <c r="I654" s="50" t="s">
        <v>1120</v>
      </c>
      <c r="J654" s="50" t="s">
        <v>529</v>
      </c>
      <c r="K654" s="50" t="s">
        <v>7174</v>
      </c>
      <c r="L654" s="50">
        <v>32</v>
      </c>
      <c r="M654" s="50">
        <v>0.32</v>
      </c>
      <c r="N654" s="50">
        <v>0.41227409638554213</v>
      </c>
      <c r="O654" s="150">
        <v>25073.123557999999</v>
      </c>
      <c r="P654" s="150">
        <v>24052.624</v>
      </c>
      <c r="Q654" s="150">
        <v>1020.4995579999995</v>
      </c>
      <c r="R654" s="150">
        <v>25220.628152143454</v>
      </c>
      <c r="S654" s="150">
        <v>-24200.128594143454</v>
      </c>
      <c r="T654" s="50" t="s">
        <v>7175</v>
      </c>
      <c r="U654" s="50">
        <v>-2.3248331511388224E-4</v>
      </c>
      <c r="V654" s="50">
        <v>0.99</v>
      </c>
      <c r="W654" s="50">
        <v>1.0247498366029324</v>
      </c>
      <c r="X654" s="50" t="s">
        <v>7162</v>
      </c>
      <c r="Y654" s="50">
        <v>0.32</v>
      </c>
    </row>
    <row r="655" spans="2:25" x14ac:dyDescent="0.2">
      <c r="B655" s="50" t="s">
        <v>9</v>
      </c>
      <c r="C655" s="50" t="s">
        <v>1041</v>
      </c>
      <c r="D655" s="50"/>
      <c r="E655" s="50"/>
      <c r="F655" s="51" t="s">
        <v>528</v>
      </c>
      <c r="G655" s="50" t="s">
        <v>527</v>
      </c>
      <c r="H655" s="50" t="s">
        <v>10</v>
      </c>
      <c r="I655" s="50" t="s">
        <v>1120</v>
      </c>
      <c r="J655" s="50" t="s">
        <v>529</v>
      </c>
      <c r="K655" s="50" t="s">
        <v>7174</v>
      </c>
      <c r="L655" s="50">
        <v>53</v>
      </c>
      <c r="M655" s="50">
        <v>0.53</v>
      </c>
      <c r="N655" s="50">
        <v>0.43590764331210191</v>
      </c>
      <c r="O655" s="150">
        <v>41527.360892937504</v>
      </c>
      <c r="P655" s="150">
        <v>39837.158499999998</v>
      </c>
      <c r="Q655" s="150">
        <v>1690.2023929375064</v>
      </c>
      <c r="R655" s="150">
        <v>26666.396644941491</v>
      </c>
      <c r="S655" s="150">
        <v>-24976.194252003985</v>
      </c>
      <c r="T655" s="50" t="s">
        <v>7175</v>
      </c>
      <c r="U655" s="50">
        <v>-2.3993874313706703E-4</v>
      </c>
      <c r="V655" s="50">
        <v>0.99</v>
      </c>
      <c r="W655" s="50">
        <v>1.0245098978597953</v>
      </c>
      <c r="X655" s="50" t="s">
        <v>7161</v>
      </c>
      <c r="Y655" s="50">
        <v>0.32</v>
      </c>
    </row>
    <row r="656" spans="2:25" x14ac:dyDescent="0.2">
      <c r="B656" s="50" t="s">
        <v>9</v>
      </c>
      <c r="C656" s="50" t="s">
        <v>815</v>
      </c>
      <c r="D656" s="50"/>
      <c r="E656" s="50"/>
      <c r="F656" s="51" t="s">
        <v>528</v>
      </c>
      <c r="G656" s="50" t="s">
        <v>527</v>
      </c>
      <c r="H656" s="50" t="s">
        <v>10</v>
      </c>
      <c r="I656" s="50" t="s">
        <v>1120</v>
      </c>
      <c r="J656" s="50" t="s">
        <v>529</v>
      </c>
      <c r="K656" s="50" t="s">
        <v>7174</v>
      </c>
      <c r="L656" s="50">
        <v>118</v>
      </c>
      <c r="M656" s="50">
        <v>1.18</v>
      </c>
      <c r="N656" s="50">
        <v>0.47947454844006571</v>
      </c>
      <c r="O656" s="150">
        <v>92457.143120124994</v>
      </c>
      <c r="P656" s="150">
        <v>88694.051000000007</v>
      </c>
      <c r="Q656" s="150">
        <v>3763.0921201249876</v>
      </c>
      <c r="R656" s="150">
        <v>29331.576736548668</v>
      </c>
      <c r="S656" s="150">
        <v>-25568.484616423681</v>
      </c>
      <c r="T656" s="50" t="s">
        <v>7175</v>
      </c>
      <c r="U656" s="50">
        <v>-2.4562869750630224E-4</v>
      </c>
      <c r="V656" s="50">
        <v>0.99</v>
      </c>
      <c r="W656" s="50">
        <v>1.024264269162289</v>
      </c>
      <c r="X656" s="50" t="s">
        <v>7162</v>
      </c>
      <c r="Y656" s="50">
        <v>0.32</v>
      </c>
    </row>
    <row r="657" spans="2:25" x14ac:dyDescent="0.2">
      <c r="B657" s="50" t="s">
        <v>9</v>
      </c>
      <c r="C657" s="50" t="s">
        <v>805</v>
      </c>
      <c r="D657" s="50"/>
      <c r="E657" s="50"/>
      <c r="F657" s="51" t="s">
        <v>528</v>
      </c>
      <c r="G657" s="50" t="s">
        <v>527</v>
      </c>
      <c r="H657" s="50" t="s">
        <v>535</v>
      </c>
      <c r="I657" s="50" t="s">
        <v>1120</v>
      </c>
      <c r="J657" s="50" t="s">
        <v>536</v>
      </c>
      <c r="K657" s="50" t="s">
        <v>7174</v>
      </c>
      <c r="L657" s="50">
        <v>5</v>
      </c>
      <c r="M657" s="50">
        <v>0.4</v>
      </c>
      <c r="N657" s="50">
        <v>0.86</v>
      </c>
      <c r="O657" s="150">
        <v>31341.404447500001</v>
      </c>
      <c r="P657" s="150">
        <v>4515.78</v>
      </c>
      <c r="Q657" s="150">
        <v>26825.624447500002</v>
      </c>
      <c r="R657" s="150">
        <v>52610</v>
      </c>
      <c r="S657" s="150">
        <v>-25784.375552499998</v>
      </c>
      <c r="T657" s="50" t="s">
        <v>7175</v>
      </c>
      <c r="U657" s="50">
        <v>-2.477026964243992E-4</v>
      </c>
      <c r="V657" s="50">
        <v>0.91999999999999993</v>
      </c>
      <c r="W657" s="50">
        <v>1.0240165664658645</v>
      </c>
      <c r="X657" s="50" t="s">
        <v>7159</v>
      </c>
      <c r="Y657" s="50">
        <v>0.32</v>
      </c>
    </row>
    <row r="658" spans="2:25" x14ac:dyDescent="0.2">
      <c r="B658" s="50" t="s">
        <v>9</v>
      </c>
      <c r="C658" s="50" t="s">
        <v>727</v>
      </c>
      <c r="D658" s="50"/>
      <c r="E658" s="50"/>
      <c r="F658" s="51" t="s">
        <v>528</v>
      </c>
      <c r="G658" s="50" t="s">
        <v>527</v>
      </c>
      <c r="H658" s="50" t="s">
        <v>10</v>
      </c>
      <c r="I658" s="50" t="s">
        <v>1121</v>
      </c>
      <c r="J658" s="50" t="s">
        <v>529</v>
      </c>
      <c r="K658" s="50" t="s">
        <v>7174</v>
      </c>
      <c r="L658" s="50">
        <v>80</v>
      </c>
      <c r="M658" s="50">
        <v>1.2</v>
      </c>
      <c r="N658" s="50">
        <v>0.32</v>
      </c>
      <c r="O658" s="150">
        <v>94024.213342499992</v>
      </c>
      <c r="P658" s="150">
        <v>60997.34</v>
      </c>
      <c r="Q658" s="150">
        <v>33026.873342499995</v>
      </c>
      <c r="R658" s="150">
        <v>59070</v>
      </c>
      <c r="S658" s="150">
        <v>-26043.126657500005</v>
      </c>
      <c r="T658" s="50" t="s">
        <v>7175</v>
      </c>
      <c r="U658" s="50">
        <v>-2.5018844002058571E-4</v>
      </c>
      <c r="V658" s="50">
        <v>0.98499999999999999</v>
      </c>
      <c r="W658" s="50">
        <v>1.0237663780258439</v>
      </c>
      <c r="X658" s="50" t="s">
        <v>7163</v>
      </c>
      <c r="Y658" s="50">
        <v>0.32</v>
      </c>
    </row>
    <row r="659" spans="2:25" x14ac:dyDescent="0.2">
      <c r="B659" s="50" t="s">
        <v>9</v>
      </c>
      <c r="C659" s="50" t="s">
        <v>1064</v>
      </c>
      <c r="D659" s="50"/>
      <c r="E659" s="50"/>
      <c r="F659" s="51" t="s">
        <v>528</v>
      </c>
      <c r="G659" s="50" t="s">
        <v>527</v>
      </c>
      <c r="H659" s="50" t="s">
        <v>10</v>
      </c>
      <c r="I659" s="50" t="s">
        <v>1120</v>
      </c>
      <c r="J659" s="50" t="s">
        <v>529</v>
      </c>
      <c r="K659" s="50" t="s">
        <v>7174</v>
      </c>
      <c r="L659" s="50">
        <v>48</v>
      </c>
      <c r="M659" s="50">
        <v>0.48</v>
      </c>
      <c r="N659" s="50">
        <v>0.45398009950248758</v>
      </c>
      <c r="O659" s="150">
        <v>37609.685337000003</v>
      </c>
      <c r="P659" s="150">
        <v>36078.936000000002</v>
      </c>
      <c r="Q659" s="150">
        <v>1530.7493370000011</v>
      </c>
      <c r="R659" s="150">
        <v>27771.968645146364</v>
      </c>
      <c r="S659" s="150">
        <v>-26241.219308146363</v>
      </c>
      <c r="T659" s="50" t="s">
        <v>7175</v>
      </c>
      <c r="U659" s="50">
        <v>-2.5209145619435537E-4</v>
      </c>
      <c r="V659" s="50">
        <v>0.9900000000000001</v>
      </c>
      <c r="W659" s="50">
        <v>1.0235142865696496</v>
      </c>
      <c r="X659" s="50" t="s">
        <v>7160</v>
      </c>
      <c r="Y659" s="50">
        <v>0.32</v>
      </c>
    </row>
    <row r="660" spans="2:25" x14ac:dyDescent="0.2">
      <c r="B660" s="50" t="s">
        <v>9</v>
      </c>
      <c r="C660" s="50" t="s">
        <v>1050</v>
      </c>
      <c r="D660" s="50"/>
      <c r="E660" s="50"/>
      <c r="F660" s="51" t="s">
        <v>528</v>
      </c>
      <c r="G660" s="50" t="s">
        <v>527</v>
      </c>
      <c r="H660" s="50" t="s">
        <v>10</v>
      </c>
      <c r="I660" s="50" t="s">
        <v>1120</v>
      </c>
      <c r="J660" s="50" t="s">
        <v>529</v>
      </c>
      <c r="K660" s="50" t="s">
        <v>7174</v>
      </c>
      <c r="L660" s="50">
        <v>22</v>
      </c>
      <c r="M660" s="50">
        <v>0.22</v>
      </c>
      <c r="N660" s="50">
        <v>0.4434993924665856</v>
      </c>
      <c r="O660" s="150">
        <v>17237.772446125</v>
      </c>
      <c r="P660" s="150">
        <v>16536.179</v>
      </c>
      <c r="Q660" s="150">
        <v>701.5934461249999</v>
      </c>
      <c r="R660" s="150">
        <v>27130.817485659387</v>
      </c>
      <c r="S660" s="150">
        <v>-26429.224039534387</v>
      </c>
      <c r="T660" s="50" t="s">
        <v>7175</v>
      </c>
      <c r="U660" s="50">
        <v>-2.5389756077930212E-4</v>
      </c>
      <c r="V660" s="50">
        <v>0.9900000000000001</v>
      </c>
      <c r="W660" s="50">
        <v>1.0232603890088703</v>
      </c>
      <c r="X660" s="50" t="s">
        <v>7161</v>
      </c>
      <c r="Y660" s="50">
        <v>0.32</v>
      </c>
    </row>
    <row r="661" spans="2:25" x14ac:dyDescent="0.2">
      <c r="B661" s="50" t="s">
        <v>9</v>
      </c>
      <c r="C661" s="50" t="s">
        <v>845</v>
      </c>
      <c r="D661" s="50"/>
      <c r="E661" s="50"/>
      <c r="F661" s="51" t="s">
        <v>528</v>
      </c>
      <c r="G661" s="50" t="s">
        <v>527</v>
      </c>
      <c r="H661" s="50" t="s">
        <v>10</v>
      </c>
      <c r="I661" s="50" t="s">
        <v>1120</v>
      </c>
      <c r="J661" s="50" t="s">
        <v>529</v>
      </c>
      <c r="K661" s="50" t="s">
        <v>7174</v>
      </c>
      <c r="L661" s="50">
        <v>115</v>
      </c>
      <c r="M661" s="50">
        <v>1.1499999999999999</v>
      </c>
      <c r="N661" s="50">
        <v>0.49241146711635753</v>
      </c>
      <c r="O661" s="150">
        <v>90106.537786562491</v>
      </c>
      <c r="P661" s="150">
        <v>86439.117500000008</v>
      </c>
      <c r="Q661" s="150">
        <v>3667.4202865624829</v>
      </c>
      <c r="R661" s="150">
        <v>30122.985215106473</v>
      </c>
      <c r="S661" s="150">
        <v>-26455.56492854399</v>
      </c>
      <c r="T661" s="50" t="s">
        <v>7175</v>
      </c>
      <c r="U661" s="50">
        <v>-2.5415060973216929E-4</v>
      </c>
      <c r="V661" s="50">
        <v>0.99</v>
      </c>
      <c r="W661" s="50">
        <v>1.0230062383991381</v>
      </c>
      <c r="X661" s="50" t="s">
        <v>7162</v>
      </c>
      <c r="Y661" s="50">
        <v>0.32</v>
      </c>
    </row>
    <row r="662" spans="2:25" x14ac:dyDescent="0.2">
      <c r="B662" s="50" t="s">
        <v>9</v>
      </c>
      <c r="C662" s="50" t="s">
        <v>649</v>
      </c>
      <c r="D662" s="50"/>
      <c r="E662" s="50"/>
      <c r="F662" s="51" t="s">
        <v>528</v>
      </c>
      <c r="G662" s="50" t="s">
        <v>527</v>
      </c>
      <c r="H662" s="50" t="s">
        <v>10</v>
      </c>
      <c r="I662" s="50" t="s">
        <v>1120</v>
      </c>
      <c r="J662" s="50" t="s">
        <v>529</v>
      </c>
      <c r="K662" s="50" t="s">
        <v>7174</v>
      </c>
      <c r="L662" s="50">
        <v>7</v>
      </c>
      <c r="M662" s="50">
        <v>3.5000000000000003E-2</v>
      </c>
      <c r="N662" s="50">
        <v>0.39346029464606536</v>
      </c>
      <c r="O662" s="150">
        <v>2742.3728891562505</v>
      </c>
      <c r="P662" s="150">
        <v>5185.7557499999994</v>
      </c>
      <c r="Q662" s="150">
        <v>-2443.3828608437489</v>
      </c>
      <c r="R662" s="150">
        <v>24069.704768987787</v>
      </c>
      <c r="S662" s="150">
        <v>-26513.087629831534</v>
      </c>
      <c r="T662" s="50" t="s">
        <v>7175</v>
      </c>
      <c r="U662" s="50">
        <v>-2.5470321292341312E-4</v>
      </c>
      <c r="V662" s="50">
        <v>0.995</v>
      </c>
      <c r="W662" s="50">
        <v>1.0227515351862146</v>
      </c>
      <c r="X662" s="50" t="s">
        <v>7159</v>
      </c>
      <c r="Y662" s="50">
        <v>0.32</v>
      </c>
    </row>
    <row r="663" spans="2:25" x14ac:dyDescent="0.2">
      <c r="B663" s="50" t="s">
        <v>9</v>
      </c>
      <c r="C663" s="50" t="s">
        <v>828</v>
      </c>
      <c r="D663" s="50"/>
      <c r="E663" s="50"/>
      <c r="F663" s="51" t="s">
        <v>528</v>
      </c>
      <c r="G663" s="50" t="s">
        <v>527</v>
      </c>
      <c r="H663" s="50" t="s">
        <v>10</v>
      </c>
      <c r="I663" s="50" t="s">
        <v>1120</v>
      </c>
      <c r="J663" s="50" t="s">
        <v>529</v>
      </c>
      <c r="K663" s="50" t="s">
        <v>7174</v>
      </c>
      <c r="L663" s="50">
        <v>40</v>
      </c>
      <c r="M663" s="50">
        <v>0.4</v>
      </c>
      <c r="N663" s="50">
        <v>0.45440398381574854</v>
      </c>
      <c r="O663" s="150">
        <v>31341.404447500001</v>
      </c>
      <c r="P663" s="150">
        <v>30065.78</v>
      </c>
      <c r="Q663" s="150">
        <v>1275.6244475000021</v>
      </c>
      <c r="R663" s="150">
        <v>27797.899521565731</v>
      </c>
      <c r="S663" s="150">
        <v>-26522.275074065728</v>
      </c>
      <c r="T663" s="50" t="s">
        <v>7175</v>
      </c>
      <c r="U663" s="50">
        <v>-2.5479147392106361E-4</v>
      </c>
      <c r="V663" s="50">
        <v>0.99</v>
      </c>
      <c r="W663" s="50">
        <v>1.0224967437122936</v>
      </c>
      <c r="X663" s="50" t="s">
        <v>7159</v>
      </c>
      <c r="Y663" s="50">
        <v>0.32</v>
      </c>
    </row>
    <row r="664" spans="2:25" x14ac:dyDescent="0.2">
      <c r="B664" s="50" t="s">
        <v>9</v>
      </c>
      <c r="C664" s="50" t="s">
        <v>574</v>
      </c>
      <c r="D664" s="50"/>
      <c r="E664" s="50"/>
      <c r="F664" s="51" t="s">
        <v>528</v>
      </c>
      <c r="G664" s="50" t="s">
        <v>527</v>
      </c>
      <c r="H664" s="50" t="s">
        <v>10</v>
      </c>
      <c r="I664" s="50" t="s">
        <v>1120</v>
      </c>
      <c r="J664" s="50" t="s">
        <v>529</v>
      </c>
      <c r="K664" s="50" t="s">
        <v>7174</v>
      </c>
      <c r="L664" s="50">
        <v>101</v>
      </c>
      <c r="M664" s="50">
        <v>1.01</v>
      </c>
      <c r="N664" s="50">
        <v>0.48993288590604023</v>
      </c>
      <c r="O664" s="150">
        <v>79137.046229937492</v>
      </c>
      <c r="P664" s="150">
        <v>75916.094500000007</v>
      </c>
      <c r="Q664" s="150">
        <v>3220.9517299374857</v>
      </c>
      <c r="R664" s="150">
        <v>29971.359450600899</v>
      </c>
      <c r="S664" s="150">
        <v>-26750.407720663414</v>
      </c>
      <c r="T664" s="50" t="s">
        <v>7175</v>
      </c>
      <c r="U664" s="50">
        <v>-2.569830752491478E-4</v>
      </c>
      <c r="V664" s="50">
        <v>0.99</v>
      </c>
      <c r="W664" s="50">
        <v>1.0222397606370444</v>
      </c>
      <c r="X664" s="50" t="s">
        <v>7163</v>
      </c>
      <c r="Y664" s="50">
        <v>0.32</v>
      </c>
    </row>
    <row r="665" spans="2:25" x14ac:dyDescent="0.2">
      <c r="B665" s="50" t="s">
        <v>9</v>
      </c>
      <c r="C665" s="50" t="s">
        <v>923</v>
      </c>
      <c r="D665" s="50"/>
      <c r="E665" s="50"/>
      <c r="F665" s="51" t="s">
        <v>528</v>
      </c>
      <c r="G665" s="50" t="s">
        <v>527</v>
      </c>
      <c r="H665" s="50" t="s">
        <v>23</v>
      </c>
      <c r="I665" s="50" t="s">
        <v>1120</v>
      </c>
      <c r="J665" s="50" t="s">
        <v>543</v>
      </c>
      <c r="K665" s="50" t="s">
        <v>7174</v>
      </c>
      <c r="L665" s="50">
        <v>36</v>
      </c>
      <c r="M665" s="50">
        <v>0.36</v>
      </c>
      <c r="N665" s="50">
        <v>0.45931208053691275</v>
      </c>
      <c r="O665" s="150">
        <v>28207.264002749998</v>
      </c>
      <c r="P665" s="150">
        <v>27059.202000000001</v>
      </c>
      <c r="Q665" s="150">
        <v>1148.0620027499972</v>
      </c>
      <c r="R665" s="150">
        <v>28098.149484938345</v>
      </c>
      <c r="S665" s="150">
        <v>-26950.087482188348</v>
      </c>
      <c r="T665" s="50" t="s">
        <v>7175</v>
      </c>
      <c r="U665" s="50">
        <v>-2.5890133831704329E-4</v>
      </c>
      <c r="V665" s="50">
        <v>0.99</v>
      </c>
      <c r="W665" s="50">
        <v>1.0219808592987274</v>
      </c>
      <c r="X665" s="50" t="s">
        <v>7161</v>
      </c>
      <c r="Y665" s="50">
        <v>0.32</v>
      </c>
    </row>
    <row r="666" spans="2:25" x14ac:dyDescent="0.2">
      <c r="B666" s="50" t="s">
        <v>9</v>
      </c>
      <c r="C666" s="50" t="s">
        <v>693</v>
      </c>
      <c r="D666" s="50"/>
      <c r="E666" s="50"/>
      <c r="F666" s="51" t="s">
        <v>528</v>
      </c>
      <c r="G666" s="50" t="s">
        <v>527</v>
      </c>
      <c r="H666" s="50" t="s">
        <v>10</v>
      </c>
      <c r="I666" s="50" t="s">
        <v>1120</v>
      </c>
      <c r="J666" s="50" t="s">
        <v>529</v>
      </c>
      <c r="K666" s="50" t="s">
        <v>7174</v>
      </c>
      <c r="L666" s="50">
        <v>50</v>
      </c>
      <c r="M666" s="50">
        <v>0.5</v>
      </c>
      <c r="N666" s="50">
        <v>0.46854942233632857</v>
      </c>
      <c r="O666" s="150">
        <v>39176.755559375</v>
      </c>
      <c r="P666" s="150">
        <v>37582.224999999999</v>
      </c>
      <c r="Q666" s="150">
        <v>1594.5305593750018</v>
      </c>
      <c r="R666" s="150">
        <v>28663.238498970055</v>
      </c>
      <c r="S666" s="150">
        <v>-27068.707939595053</v>
      </c>
      <c r="T666" s="50" t="s">
        <v>7175</v>
      </c>
      <c r="U666" s="50">
        <v>-2.6004088916988086E-4</v>
      </c>
      <c r="V666" s="50">
        <v>0.99</v>
      </c>
      <c r="W666" s="50">
        <v>1.0217208184095574</v>
      </c>
      <c r="X666" s="50" t="s">
        <v>7162</v>
      </c>
      <c r="Y666" s="50">
        <v>0.32</v>
      </c>
    </row>
    <row r="667" spans="2:25" x14ac:dyDescent="0.2">
      <c r="B667" s="50" t="s">
        <v>9</v>
      </c>
      <c r="C667" s="50" t="s">
        <v>783</v>
      </c>
      <c r="D667" s="50"/>
      <c r="E667" s="50"/>
      <c r="F667" s="51" t="s">
        <v>528</v>
      </c>
      <c r="G667" s="50" t="s">
        <v>527</v>
      </c>
      <c r="H667" s="50" t="s">
        <v>10</v>
      </c>
      <c r="I667" s="50" t="s">
        <v>1120</v>
      </c>
      <c r="J667" s="50" t="s">
        <v>529</v>
      </c>
      <c r="K667" s="50" t="s">
        <v>7174</v>
      </c>
      <c r="L667" s="50">
        <v>55</v>
      </c>
      <c r="M667" s="50">
        <v>0.55000000000000004</v>
      </c>
      <c r="N667" s="50">
        <v>0.49541907024092302</v>
      </c>
      <c r="O667" s="150">
        <v>43094.431115312502</v>
      </c>
      <c r="P667" s="150">
        <v>41340.447500000002</v>
      </c>
      <c r="Q667" s="150">
        <v>1753.9836153124998</v>
      </c>
      <c r="R667" s="150">
        <v>30306.973587645298</v>
      </c>
      <c r="S667" s="150">
        <v>-28552.989972332798</v>
      </c>
      <c r="T667" s="50" t="s">
        <v>7175</v>
      </c>
      <c r="U667" s="50">
        <v>-2.7429993767834012E-4</v>
      </c>
      <c r="V667" s="50">
        <v>0.9900000000000001</v>
      </c>
      <c r="W667" s="50">
        <v>1.0214465184718791</v>
      </c>
      <c r="X667" s="50" t="s">
        <v>7163</v>
      </c>
      <c r="Y667" s="50">
        <v>0.32</v>
      </c>
    </row>
    <row r="668" spans="2:25" x14ac:dyDescent="0.2">
      <c r="B668" s="50" t="s">
        <v>9</v>
      </c>
      <c r="C668" s="50" t="s">
        <v>964</v>
      </c>
      <c r="D668" s="50"/>
      <c r="E668" s="50"/>
      <c r="F668" s="51" t="s">
        <v>528</v>
      </c>
      <c r="G668" s="50" t="s">
        <v>527</v>
      </c>
      <c r="H668" s="50" t="s">
        <v>10</v>
      </c>
      <c r="I668" s="50" t="s">
        <v>1120</v>
      </c>
      <c r="J668" s="50" t="s">
        <v>529</v>
      </c>
      <c r="K668" s="50" t="s">
        <v>7174</v>
      </c>
      <c r="L668" s="50">
        <v>56</v>
      </c>
      <c r="M668" s="50">
        <v>0.56000000000000005</v>
      </c>
      <c r="N668" s="50">
        <v>0.50589050589050588</v>
      </c>
      <c r="O668" s="150">
        <v>43877.966226500008</v>
      </c>
      <c r="P668" s="150">
        <v>42092.092000000004</v>
      </c>
      <c r="Q668" s="150">
        <v>1785.8742265000037</v>
      </c>
      <c r="R668" s="150">
        <v>30947.557575464554</v>
      </c>
      <c r="S668" s="150">
        <v>-29161.683348964551</v>
      </c>
      <c r="T668" s="50" t="s">
        <v>7175</v>
      </c>
      <c r="U668" s="50">
        <v>-2.8014747082415404E-4</v>
      </c>
      <c r="V668" s="50">
        <v>0.99</v>
      </c>
      <c r="W668" s="50">
        <v>1.021166371001055</v>
      </c>
      <c r="X668" s="50" t="s">
        <v>7161</v>
      </c>
      <c r="Y668" s="50">
        <v>0.32</v>
      </c>
    </row>
    <row r="669" spans="2:25" x14ac:dyDescent="0.2">
      <c r="B669" s="50" t="s">
        <v>9</v>
      </c>
      <c r="C669" s="50" t="s">
        <v>1044</v>
      </c>
      <c r="D669" s="50"/>
      <c r="E669" s="50"/>
      <c r="F669" s="51" t="s">
        <v>528</v>
      </c>
      <c r="G669" s="50" t="s">
        <v>527</v>
      </c>
      <c r="H669" s="50" t="s">
        <v>697</v>
      </c>
      <c r="I669" s="50" t="s">
        <v>1123</v>
      </c>
      <c r="J669" s="50" t="s">
        <v>698</v>
      </c>
      <c r="K669" s="50" t="s">
        <v>7174</v>
      </c>
      <c r="L669" s="50">
        <v>1</v>
      </c>
      <c r="M669" s="50">
        <v>0.4</v>
      </c>
      <c r="N669" s="50">
        <v>0.86</v>
      </c>
      <c r="O669" s="150">
        <v>31341.404447500001</v>
      </c>
      <c r="P669" s="150">
        <v>1595.78</v>
      </c>
      <c r="Q669" s="150">
        <v>29745.624447500002</v>
      </c>
      <c r="R669" s="150">
        <v>59070</v>
      </c>
      <c r="S669" s="150">
        <v>-29324.375552499998</v>
      </c>
      <c r="T669" s="50" t="s">
        <v>7175</v>
      </c>
      <c r="U669" s="50">
        <v>-2.8171040561080044E-4</v>
      </c>
      <c r="V669" s="50">
        <v>0.6</v>
      </c>
      <c r="W669" s="50">
        <v>1.0208846605954442</v>
      </c>
      <c r="X669" s="50" t="s">
        <v>7161</v>
      </c>
      <c r="Y669" s="50">
        <v>0.32</v>
      </c>
    </row>
    <row r="670" spans="2:25" x14ac:dyDescent="0.2">
      <c r="B670" s="50" t="s">
        <v>9</v>
      </c>
      <c r="C670" s="50" t="s">
        <v>995</v>
      </c>
      <c r="D670" s="50"/>
      <c r="E670" s="50"/>
      <c r="F670" s="51" t="s">
        <v>528</v>
      </c>
      <c r="G670" s="50" t="s">
        <v>527</v>
      </c>
      <c r="H670" s="50" t="s">
        <v>10</v>
      </c>
      <c r="I670" s="50" t="s">
        <v>1120</v>
      </c>
      <c r="J670" s="50" t="s">
        <v>529</v>
      </c>
      <c r="K670" s="50" t="s">
        <v>7174</v>
      </c>
      <c r="L670" s="50">
        <v>10</v>
      </c>
      <c r="M670" s="50">
        <v>0.4</v>
      </c>
      <c r="N670" s="50">
        <v>0.86</v>
      </c>
      <c r="O670" s="150">
        <v>31341.404447500001</v>
      </c>
      <c r="P670" s="150">
        <v>8165.78</v>
      </c>
      <c r="Q670" s="150">
        <v>23175.624447500002</v>
      </c>
      <c r="R670" s="150">
        <v>52610</v>
      </c>
      <c r="S670" s="150">
        <v>-29434.375552499998</v>
      </c>
      <c r="T670" s="50" t="s">
        <v>7175</v>
      </c>
      <c r="U670" s="50">
        <v>-2.8276714233693153E-4</v>
      </c>
      <c r="V670" s="50">
        <v>0.96</v>
      </c>
      <c r="W670" s="50">
        <v>1.0206018934531074</v>
      </c>
      <c r="X670" s="50" t="s">
        <v>7161</v>
      </c>
      <c r="Y670" s="50">
        <v>0.32</v>
      </c>
    </row>
    <row r="671" spans="2:25" x14ac:dyDescent="0.2">
      <c r="B671" s="50" t="s">
        <v>9</v>
      </c>
      <c r="C671" s="50" t="s">
        <v>853</v>
      </c>
      <c r="D671" s="50"/>
      <c r="E671" s="50"/>
      <c r="F671" s="51" t="s">
        <v>528</v>
      </c>
      <c r="G671" s="50" t="s">
        <v>527</v>
      </c>
      <c r="H671" s="50" t="s">
        <v>10</v>
      </c>
      <c r="I671" s="50" t="s">
        <v>1120</v>
      </c>
      <c r="J671" s="50" t="s">
        <v>529</v>
      </c>
      <c r="K671" s="50" t="s">
        <v>7174</v>
      </c>
      <c r="L671" s="50">
        <v>5</v>
      </c>
      <c r="M671" s="50">
        <v>0.4</v>
      </c>
      <c r="N671" s="50">
        <v>0.91978160436791268</v>
      </c>
      <c r="O671" s="150">
        <v>31341.404447500001</v>
      </c>
      <c r="P671" s="150">
        <v>4515.78</v>
      </c>
      <c r="Q671" s="150">
        <v>26825.624447500002</v>
      </c>
      <c r="R671" s="150">
        <v>56267.10489046033</v>
      </c>
      <c r="S671" s="150">
        <v>-29441.480442960328</v>
      </c>
      <c r="T671" s="50" t="s">
        <v>7175</v>
      </c>
      <c r="U671" s="50">
        <v>-2.8283539687042763E-4</v>
      </c>
      <c r="V671" s="50">
        <v>0.91999999999999993</v>
      </c>
      <c r="W671" s="50">
        <v>1.0203190580562369</v>
      </c>
      <c r="X671" s="50" t="s">
        <v>7161</v>
      </c>
      <c r="Y671" s="50">
        <v>0.32</v>
      </c>
    </row>
    <row r="672" spans="2:25" x14ac:dyDescent="0.2">
      <c r="B672" s="50" t="s">
        <v>9</v>
      </c>
      <c r="C672" s="50" t="s">
        <v>1074</v>
      </c>
      <c r="D672" s="50"/>
      <c r="E672" s="50"/>
      <c r="F672" s="51" t="s">
        <v>528</v>
      </c>
      <c r="G672" s="50" t="s">
        <v>527</v>
      </c>
      <c r="H672" s="50" t="s">
        <v>10</v>
      </c>
      <c r="I672" s="50" t="s">
        <v>1120</v>
      </c>
      <c r="J672" s="50" t="s">
        <v>529</v>
      </c>
      <c r="K672" s="50" t="s">
        <v>7174</v>
      </c>
      <c r="L672" s="50">
        <v>60</v>
      </c>
      <c r="M672" s="50">
        <v>0.6</v>
      </c>
      <c r="N672" s="50">
        <v>0.51920341394025604</v>
      </c>
      <c r="O672" s="150">
        <v>47012.106671249996</v>
      </c>
      <c r="P672" s="150">
        <v>45098.67</v>
      </c>
      <c r="Q672" s="150">
        <v>1913.4366712499977</v>
      </c>
      <c r="R672" s="150">
        <v>31761.966985345196</v>
      </c>
      <c r="S672" s="150">
        <v>-29848.530314095198</v>
      </c>
      <c r="T672" s="50" t="s">
        <v>7175</v>
      </c>
      <c r="U672" s="50">
        <v>-2.867458018540199E-4</v>
      </c>
      <c r="V672" s="50">
        <v>0.99</v>
      </c>
      <c r="W672" s="50">
        <v>1.0200323122543828</v>
      </c>
      <c r="X672" s="50" t="s">
        <v>7163</v>
      </c>
      <c r="Y672" s="50">
        <v>0.32</v>
      </c>
    </row>
    <row r="673" spans="2:25" x14ac:dyDescent="0.2">
      <c r="B673" s="50" t="s">
        <v>9</v>
      </c>
      <c r="C673" s="50" t="s">
        <v>942</v>
      </c>
      <c r="D673" s="50"/>
      <c r="E673" s="50"/>
      <c r="F673" s="51" t="s">
        <v>528</v>
      </c>
      <c r="G673" s="50" t="s">
        <v>527</v>
      </c>
      <c r="H673" s="50" t="s">
        <v>10</v>
      </c>
      <c r="I673" s="50" t="s">
        <v>1120</v>
      </c>
      <c r="J673" s="50" t="s">
        <v>529</v>
      </c>
      <c r="K673" s="50" t="s">
        <v>7174</v>
      </c>
      <c r="L673" s="50">
        <v>80</v>
      </c>
      <c r="M673" s="50">
        <v>0.8</v>
      </c>
      <c r="N673" s="50">
        <v>0.53343076360979169</v>
      </c>
      <c r="O673" s="150">
        <v>62682.808895000002</v>
      </c>
      <c r="P673" s="150">
        <v>60131.56</v>
      </c>
      <c r="Q673" s="150">
        <v>2551.2488950000043</v>
      </c>
      <c r="R673" s="150">
        <v>32632.316829664112</v>
      </c>
      <c r="S673" s="150">
        <v>-30081.067934664108</v>
      </c>
      <c r="T673" s="50" t="s">
        <v>7175</v>
      </c>
      <c r="U673" s="50">
        <v>-2.8897972043458636E-4</v>
      </c>
      <c r="V673" s="50">
        <v>0.99</v>
      </c>
      <c r="W673" s="50">
        <v>1.0197433325339482</v>
      </c>
      <c r="X673" s="50" t="s">
        <v>7161</v>
      </c>
      <c r="Y673" s="50">
        <v>0.32</v>
      </c>
    </row>
    <row r="674" spans="2:25" x14ac:dyDescent="0.2">
      <c r="B674" s="50" t="s">
        <v>9</v>
      </c>
      <c r="C674" s="50" t="s">
        <v>1019</v>
      </c>
      <c r="D674" s="50"/>
      <c r="E674" s="50"/>
      <c r="F674" s="51" t="s">
        <v>528</v>
      </c>
      <c r="G674" s="50" t="s">
        <v>527</v>
      </c>
      <c r="H674" s="50" t="s">
        <v>23</v>
      </c>
      <c r="I674" s="50">
        <v>0</v>
      </c>
      <c r="J674" s="50" t="s">
        <v>543</v>
      </c>
      <c r="K674" s="50" t="s">
        <v>7174</v>
      </c>
      <c r="L674" s="50">
        <v>36</v>
      </c>
      <c r="M674" s="50">
        <v>0.72</v>
      </c>
      <c r="N674" s="50">
        <v>1.0299823633156968</v>
      </c>
      <c r="O674" s="150">
        <v>56414.528005499997</v>
      </c>
      <c r="P674" s="150">
        <v>27838.403999999999</v>
      </c>
      <c r="Q674" s="150">
        <v>28576.124005499998</v>
      </c>
      <c r="R674" s="150">
        <v>59070</v>
      </c>
      <c r="S674" s="150">
        <v>-30493.875994500002</v>
      </c>
      <c r="T674" s="50" t="s">
        <v>7175</v>
      </c>
      <c r="U674" s="50">
        <v>-2.9294544259523652E-4</v>
      </c>
      <c r="V674" s="50">
        <v>0.98</v>
      </c>
      <c r="W674" s="50">
        <v>1.0194503870913529</v>
      </c>
      <c r="X674" s="50" t="s">
        <v>7161</v>
      </c>
      <c r="Y674" s="50">
        <v>0.32</v>
      </c>
    </row>
    <row r="675" spans="2:25" x14ac:dyDescent="0.2">
      <c r="B675" s="50" t="s">
        <v>9</v>
      </c>
      <c r="C675" s="50" t="s">
        <v>1033</v>
      </c>
      <c r="D675" s="50"/>
      <c r="E675" s="50"/>
      <c r="F675" s="51" t="s">
        <v>528</v>
      </c>
      <c r="G675" s="50" t="s">
        <v>527</v>
      </c>
      <c r="H675" s="50" t="s">
        <v>10</v>
      </c>
      <c r="I675" s="50" t="s">
        <v>1120</v>
      </c>
      <c r="J675" s="50" t="s">
        <v>529</v>
      </c>
      <c r="K675" s="50" t="s">
        <v>7174</v>
      </c>
      <c r="L675" s="50">
        <v>5</v>
      </c>
      <c r="M675" s="50">
        <v>0.55000000000000004</v>
      </c>
      <c r="N675" s="50">
        <v>1.125674633770239</v>
      </c>
      <c r="O675" s="150">
        <v>43094.431115312502</v>
      </c>
      <c r="P675" s="150">
        <v>4840.4475000000002</v>
      </c>
      <c r="Q675" s="150">
        <v>38253.9836153125</v>
      </c>
      <c r="R675" s="150">
        <v>68862.491258897993</v>
      </c>
      <c r="S675" s="150">
        <v>-30608.507643585493</v>
      </c>
      <c r="T675" s="50" t="s">
        <v>7175</v>
      </c>
      <c r="U675" s="50">
        <v>-2.9404667417310575E-4</v>
      </c>
      <c r="V675" s="50">
        <v>0.89</v>
      </c>
      <c r="W675" s="50">
        <v>1.0191563404171797</v>
      </c>
      <c r="X675" s="50" t="s">
        <v>7160</v>
      </c>
      <c r="Y675" s="50">
        <v>0.32</v>
      </c>
    </row>
    <row r="676" spans="2:25" x14ac:dyDescent="0.2">
      <c r="B676" s="50" t="s">
        <v>9</v>
      </c>
      <c r="C676" s="50" t="s">
        <v>1134</v>
      </c>
      <c r="D676" s="50"/>
      <c r="E676" s="50"/>
      <c r="F676" s="51" t="s">
        <v>528</v>
      </c>
      <c r="G676" s="50" t="s">
        <v>527</v>
      </c>
      <c r="H676" s="50" t="s">
        <v>23</v>
      </c>
      <c r="I676" s="50" t="s">
        <v>1120</v>
      </c>
      <c r="J676" s="50" t="s">
        <v>543</v>
      </c>
      <c r="K676" s="50" t="s">
        <v>7174</v>
      </c>
      <c r="L676" s="50">
        <v>7</v>
      </c>
      <c r="M676" s="50">
        <v>0.35</v>
      </c>
      <c r="N676" s="50">
        <v>0.86</v>
      </c>
      <c r="O676" s="150">
        <v>27423.728891562496</v>
      </c>
      <c r="P676" s="150">
        <v>5867.557499999999</v>
      </c>
      <c r="Q676" s="150">
        <v>21556.171391562497</v>
      </c>
      <c r="R676" s="150">
        <v>52610</v>
      </c>
      <c r="S676" s="150">
        <v>-31053.828608437503</v>
      </c>
      <c r="T676" s="50" t="s">
        <v>7175</v>
      </c>
      <c r="U676" s="50">
        <v>-2.9832473797742628E-4</v>
      </c>
      <c r="V676" s="50">
        <v>0.95000000000000007</v>
      </c>
      <c r="W676" s="50">
        <v>1.0188580156792022</v>
      </c>
      <c r="X676" s="50" t="s">
        <v>7160</v>
      </c>
      <c r="Y676" s="50">
        <v>0.32</v>
      </c>
    </row>
    <row r="677" spans="2:25" x14ac:dyDescent="0.2">
      <c r="B677" s="50" t="s">
        <v>9</v>
      </c>
      <c r="C677" s="50" t="s">
        <v>770</v>
      </c>
      <c r="D677" s="50"/>
      <c r="E677" s="50"/>
      <c r="F677" s="51" t="s">
        <v>528</v>
      </c>
      <c r="G677" s="50" t="s">
        <v>527</v>
      </c>
      <c r="H677" s="50" t="s">
        <v>10</v>
      </c>
      <c r="I677" s="50" t="s">
        <v>1120</v>
      </c>
      <c r="J677" s="50" t="s">
        <v>529</v>
      </c>
      <c r="K677" s="50" t="s">
        <v>7174</v>
      </c>
      <c r="L677" s="50">
        <v>30</v>
      </c>
      <c r="M677" s="50">
        <v>0.3</v>
      </c>
      <c r="N677" s="50">
        <v>0.52442528735632188</v>
      </c>
      <c r="O677" s="150">
        <v>23506.053335624998</v>
      </c>
      <c r="P677" s="150">
        <v>22549.334999999999</v>
      </c>
      <c r="Q677" s="150">
        <v>956.71833562499887</v>
      </c>
      <c r="R677" s="150">
        <v>32081.412055600103</v>
      </c>
      <c r="S677" s="150">
        <v>-31124.693719975105</v>
      </c>
      <c r="T677" s="50" t="s">
        <v>7175</v>
      </c>
      <c r="U677" s="50">
        <v>-2.9900551766800051E-4</v>
      </c>
      <c r="V677" s="50">
        <v>0.99</v>
      </c>
      <c r="W677" s="50">
        <v>1.0185590101615343</v>
      </c>
      <c r="X677" s="50" t="s">
        <v>7161</v>
      </c>
      <c r="Y677" s="50">
        <v>0.32</v>
      </c>
    </row>
    <row r="678" spans="2:25" x14ac:dyDescent="0.2">
      <c r="B678" s="50" t="s">
        <v>9</v>
      </c>
      <c r="C678" s="50" t="s">
        <v>658</v>
      </c>
      <c r="D678" s="50"/>
      <c r="E678" s="50"/>
      <c r="F678" s="51" t="s">
        <v>528</v>
      </c>
      <c r="G678" s="50" t="s">
        <v>527</v>
      </c>
      <c r="H678" s="50" t="s">
        <v>10</v>
      </c>
      <c r="I678" s="50" t="s">
        <v>1120</v>
      </c>
      <c r="J678" s="50" t="s">
        <v>529</v>
      </c>
      <c r="K678" s="50" t="s">
        <v>7174</v>
      </c>
      <c r="L678" s="50">
        <v>81</v>
      </c>
      <c r="M678" s="50">
        <v>0.81</v>
      </c>
      <c r="N678" s="50">
        <v>0.55513307984790872</v>
      </c>
      <c r="O678" s="150">
        <v>63466.344006187494</v>
      </c>
      <c r="P678" s="150">
        <v>60883.2045</v>
      </c>
      <c r="Q678" s="150">
        <v>2583.1395061874937</v>
      </c>
      <c r="R678" s="150">
        <v>33959.943407905208</v>
      </c>
      <c r="S678" s="150">
        <v>-31376.803901717714</v>
      </c>
      <c r="T678" s="50" t="s">
        <v>7175</v>
      </c>
      <c r="U678" s="50">
        <v>-3.0142746392326417E-4</v>
      </c>
      <c r="V678" s="50">
        <v>0.99</v>
      </c>
      <c r="W678" s="50">
        <v>1.018257582697611</v>
      </c>
      <c r="X678" s="50" t="s">
        <v>7162</v>
      </c>
      <c r="Y678" s="50">
        <v>0.32</v>
      </c>
    </row>
    <row r="679" spans="2:25" x14ac:dyDescent="0.2">
      <c r="B679" s="50" t="s">
        <v>9</v>
      </c>
      <c r="C679" s="50" t="s">
        <v>662</v>
      </c>
      <c r="D679" s="50"/>
      <c r="E679" s="50"/>
      <c r="F679" s="51" t="s">
        <v>528</v>
      </c>
      <c r="G679" s="50" t="s">
        <v>527</v>
      </c>
      <c r="H679" s="50" t="s">
        <v>10</v>
      </c>
      <c r="I679" s="50" t="s">
        <v>1120</v>
      </c>
      <c r="J679" s="50" t="s">
        <v>529</v>
      </c>
      <c r="K679" s="50" t="s">
        <v>7174</v>
      </c>
      <c r="L679" s="50">
        <v>34</v>
      </c>
      <c r="M679" s="50">
        <v>0.34</v>
      </c>
      <c r="N679" s="50">
        <v>0.53323593864134411</v>
      </c>
      <c r="O679" s="150">
        <v>26640.193780375001</v>
      </c>
      <c r="P679" s="150">
        <v>25555.913</v>
      </c>
      <c r="Q679" s="150">
        <v>1084.2807803750002</v>
      </c>
      <c r="R679" s="150">
        <v>32620.398525489669</v>
      </c>
      <c r="S679" s="150">
        <v>-31536.117745114669</v>
      </c>
      <c r="T679" s="50" t="s">
        <v>7175</v>
      </c>
      <c r="U679" s="50">
        <v>-3.0295794382597925E-4</v>
      </c>
      <c r="V679" s="50">
        <v>0.98999999999999988</v>
      </c>
      <c r="W679" s="50">
        <v>1.017954624753785</v>
      </c>
      <c r="X679" s="50" t="s">
        <v>7163</v>
      </c>
      <c r="Y679" s="50">
        <v>0.32</v>
      </c>
    </row>
    <row r="680" spans="2:25" x14ac:dyDescent="0.2">
      <c r="B680" s="50" t="s">
        <v>9</v>
      </c>
      <c r="C680" s="50" t="s">
        <v>642</v>
      </c>
      <c r="D680" s="50"/>
      <c r="E680" s="50"/>
      <c r="F680" s="51" t="s">
        <v>528</v>
      </c>
      <c r="G680" s="50" t="s">
        <v>527</v>
      </c>
      <c r="H680" s="50" t="s">
        <v>10</v>
      </c>
      <c r="I680" s="50" t="s">
        <v>1120</v>
      </c>
      <c r="J680" s="50" t="s">
        <v>529</v>
      </c>
      <c r="K680" s="50" t="s">
        <v>7174</v>
      </c>
      <c r="L680" s="50">
        <v>68</v>
      </c>
      <c r="M680" s="50">
        <v>0.68</v>
      </c>
      <c r="N680" s="50">
        <v>0.56240369799691836</v>
      </c>
      <c r="O680" s="150">
        <v>53280.387560750001</v>
      </c>
      <c r="P680" s="150">
        <v>51111.826000000001</v>
      </c>
      <c r="Q680" s="150">
        <v>2168.5615607500004</v>
      </c>
      <c r="R680" s="150">
        <v>34404.719246067296</v>
      </c>
      <c r="S680" s="150">
        <v>-32236.157685317296</v>
      </c>
      <c r="T680" s="50" t="s">
        <v>7175</v>
      </c>
      <c r="U680" s="50">
        <v>-3.0968301577662241E-4</v>
      </c>
      <c r="V680" s="50">
        <v>0.98999999999999988</v>
      </c>
      <c r="W680" s="50">
        <v>1.0176449417380082</v>
      </c>
      <c r="X680" s="50" t="s">
        <v>7162</v>
      </c>
      <c r="Y680" s="50">
        <v>0.32</v>
      </c>
    </row>
    <row r="681" spans="2:25" x14ac:dyDescent="0.2">
      <c r="B681" s="50" t="s">
        <v>9</v>
      </c>
      <c r="C681" s="50" t="s">
        <v>634</v>
      </c>
      <c r="D681" s="50"/>
      <c r="E681" s="50"/>
      <c r="F681" s="51" t="s">
        <v>528</v>
      </c>
      <c r="G681" s="50" t="s">
        <v>527</v>
      </c>
      <c r="H681" s="50" t="s">
        <v>10</v>
      </c>
      <c r="I681" s="50" t="s">
        <v>1120</v>
      </c>
      <c r="J681" s="50" t="s">
        <v>529</v>
      </c>
      <c r="K681" s="50" t="s">
        <v>7174</v>
      </c>
      <c r="L681" s="50">
        <v>115</v>
      </c>
      <c r="M681" s="50">
        <v>1.1499999999999999</v>
      </c>
      <c r="N681" s="50">
        <v>0.6069844789356984</v>
      </c>
      <c r="O681" s="150">
        <v>90106.537786562491</v>
      </c>
      <c r="P681" s="150">
        <v>86439.117500000008</v>
      </c>
      <c r="Q681" s="150">
        <v>3667.4202865624829</v>
      </c>
      <c r="R681" s="150">
        <v>37131.92260093848</v>
      </c>
      <c r="S681" s="150">
        <v>-33464.502314375997</v>
      </c>
      <c r="T681" s="50" t="s">
        <v>7175</v>
      </c>
      <c r="U681" s="50">
        <v>-3.2148335106636989E-4</v>
      </c>
      <c r="V681" s="50">
        <v>0.99</v>
      </c>
      <c r="W681" s="50">
        <v>1.0173234583869419</v>
      </c>
      <c r="X681" s="50" t="s">
        <v>7162</v>
      </c>
      <c r="Y681" s="50">
        <v>0.32</v>
      </c>
    </row>
    <row r="682" spans="2:25" x14ac:dyDescent="0.2">
      <c r="B682" s="50" t="s">
        <v>9</v>
      </c>
      <c r="C682" s="50" t="s">
        <v>691</v>
      </c>
      <c r="D682" s="50"/>
      <c r="E682" s="50"/>
      <c r="F682" s="51" t="s">
        <v>528</v>
      </c>
      <c r="G682" s="50" t="s">
        <v>527</v>
      </c>
      <c r="H682" s="50" t="s">
        <v>10</v>
      </c>
      <c r="I682" s="50" t="s">
        <v>1120</v>
      </c>
      <c r="J682" s="50" t="s">
        <v>529</v>
      </c>
      <c r="K682" s="50" t="s">
        <v>7174</v>
      </c>
      <c r="L682" s="50">
        <v>70</v>
      </c>
      <c r="M682" s="50">
        <v>0.7</v>
      </c>
      <c r="N682" s="50">
        <v>0.5929174788823911</v>
      </c>
      <c r="O682" s="150">
        <v>54847.457783124992</v>
      </c>
      <c r="P682" s="150">
        <v>52615.115000000005</v>
      </c>
      <c r="Q682" s="150">
        <v>2232.3427831249865</v>
      </c>
      <c r="R682" s="150">
        <v>36271.382051165805</v>
      </c>
      <c r="S682" s="150">
        <v>-34039.039268040819</v>
      </c>
      <c r="T682" s="50" t="s">
        <v>7175</v>
      </c>
      <c r="U682" s="50">
        <v>-3.2700275378870725E-4</v>
      </c>
      <c r="V682" s="50">
        <v>0.99</v>
      </c>
      <c r="W682" s="50">
        <v>1.0169964556331532</v>
      </c>
      <c r="X682" s="50" t="s">
        <v>7159</v>
      </c>
      <c r="Y682" s="50">
        <v>0.32</v>
      </c>
    </row>
    <row r="683" spans="2:25" x14ac:dyDescent="0.2">
      <c r="B683" s="50" t="s">
        <v>9</v>
      </c>
      <c r="C683" s="50" t="s">
        <v>954</v>
      </c>
      <c r="D683" s="50"/>
      <c r="E683" s="50"/>
      <c r="F683" s="51" t="s">
        <v>528</v>
      </c>
      <c r="G683" s="50" t="s">
        <v>527</v>
      </c>
      <c r="H683" s="50" t="s">
        <v>10</v>
      </c>
      <c r="I683" s="50" t="s">
        <v>1120</v>
      </c>
      <c r="J683" s="50" t="s">
        <v>529</v>
      </c>
      <c r="K683" s="50" t="s">
        <v>7174</v>
      </c>
      <c r="L683" s="50">
        <v>80</v>
      </c>
      <c r="M683" s="50">
        <v>0.8</v>
      </c>
      <c r="N683" s="50">
        <v>0.60410460112545517</v>
      </c>
      <c r="O683" s="150">
        <v>62682.808895000002</v>
      </c>
      <c r="P683" s="150">
        <v>60131.56</v>
      </c>
      <c r="Q683" s="150">
        <v>2551.2488950000043</v>
      </c>
      <c r="R683" s="150">
        <v>36955.747750244416</v>
      </c>
      <c r="S683" s="150">
        <v>-34404.498855244412</v>
      </c>
      <c r="T683" s="50" t="s">
        <v>7175</v>
      </c>
      <c r="U683" s="50">
        <v>-3.3051361349520499E-4</v>
      </c>
      <c r="V683" s="50">
        <v>0.99</v>
      </c>
      <c r="W683" s="50">
        <v>1.016665942019658</v>
      </c>
      <c r="X683" s="50" t="s">
        <v>7163</v>
      </c>
      <c r="Y683" s="50">
        <v>0.32</v>
      </c>
    </row>
    <row r="684" spans="2:25" x14ac:dyDescent="0.2">
      <c r="B684" s="50" t="s">
        <v>9</v>
      </c>
      <c r="C684" s="50" t="s">
        <v>640</v>
      </c>
      <c r="D684" s="50"/>
      <c r="E684" s="50"/>
      <c r="F684" s="51" t="s">
        <v>528</v>
      </c>
      <c r="G684" s="50" t="s">
        <v>527</v>
      </c>
      <c r="H684" s="50" t="s">
        <v>10</v>
      </c>
      <c r="I684" s="50" t="s">
        <v>1120</v>
      </c>
      <c r="J684" s="50" t="s">
        <v>529</v>
      </c>
      <c r="K684" s="50" t="s">
        <v>7174</v>
      </c>
      <c r="L684" s="50">
        <v>59</v>
      </c>
      <c r="M684" s="50">
        <v>0.29499999999999998</v>
      </c>
      <c r="N684" s="50">
        <v>0.23770758710517748</v>
      </c>
      <c r="O684" s="150">
        <v>23114.285780031249</v>
      </c>
      <c r="P684" s="150">
        <v>43708.512749999994</v>
      </c>
      <c r="Q684" s="150">
        <v>-20594.226969968746</v>
      </c>
      <c r="R684" s="150">
        <v>14541.623439073706</v>
      </c>
      <c r="S684" s="150">
        <v>-35135.850409042454</v>
      </c>
      <c r="T684" s="50" t="s">
        <v>7175</v>
      </c>
      <c r="U684" s="50">
        <v>-3.375394866462181E-4</v>
      </c>
      <c r="V684" s="50">
        <v>0.995</v>
      </c>
      <c r="W684" s="50">
        <v>1.0163284025330117</v>
      </c>
      <c r="X684" s="50" t="s">
        <v>7161</v>
      </c>
      <c r="Y684" s="50">
        <v>0.32</v>
      </c>
    </row>
    <row r="685" spans="2:25" x14ac:dyDescent="0.2">
      <c r="B685" s="50" t="s">
        <v>9</v>
      </c>
      <c r="C685" s="50" t="s">
        <v>659</v>
      </c>
      <c r="D685" s="50"/>
      <c r="E685" s="50"/>
      <c r="F685" s="51" t="s">
        <v>528</v>
      </c>
      <c r="G685" s="50" t="s">
        <v>527</v>
      </c>
      <c r="H685" s="50" t="s">
        <v>10</v>
      </c>
      <c r="I685" s="50" t="s">
        <v>1120</v>
      </c>
      <c r="J685" s="50" t="s">
        <v>529</v>
      </c>
      <c r="K685" s="50" t="s">
        <v>7174</v>
      </c>
      <c r="L685" s="50">
        <v>76</v>
      </c>
      <c r="M685" s="50">
        <v>0.76</v>
      </c>
      <c r="N685" s="50">
        <v>0.63012516184721623</v>
      </c>
      <c r="O685" s="150">
        <v>59548.668450249999</v>
      </c>
      <c r="P685" s="150">
        <v>57124.981999999996</v>
      </c>
      <c r="Q685" s="150">
        <v>2423.686450250003</v>
      </c>
      <c r="R685" s="150">
        <v>38547.54042416517</v>
      </c>
      <c r="S685" s="150">
        <v>-36123.853973915167</v>
      </c>
      <c r="T685" s="50" t="s">
        <v>7175</v>
      </c>
      <c r="U685" s="50">
        <v>-3.4703093803303137E-4</v>
      </c>
      <c r="V685" s="50">
        <v>0.98999999999999988</v>
      </c>
      <c r="W685" s="50">
        <v>1.0159813715949786</v>
      </c>
      <c r="X685" s="50" t="s">
        <v>7163</v>
      </c>
      <c r="Y685" s="50">
        <v>0.32</v>
      </c>
    </row>
    <row r="686" spans="2:25" x14ac:dyDescent="0.2">
      <c r="B686" s="50" t="s">
        <v>9</v>
      </c>
      <c r="C686" s="50" t="s">
        <v>996</v>
      </c>
      <c r="D686" s="50"/>
      <c r="E686" s="50"/>
      <c r="F686" s="51" t="s">
        <v>528</v>
      </c>
      <c r="G686" s="50" t="s">
        <v>527</v>
      </c>
      <c r="H686" s="50" t="s">
        <v>23</v>
      </c>
      <c r="I686" s="50" t="s">
        <v>1120</v>
      </c>
      <c r="J686" s="50" t="s">
        <v>543</v>
      </c>
      <c r="K686" s="50" t="s">
        <v>7174</v>
      </c>
      <c r="L686" s="50">
        <v>10</v>
      </c>
      <c r="M686" s="50">
        <v>0.1</v>
      </c>
      <c r="N686" s="50">
        <v>0.59914642153644126</v>
      </c>
      <c r="O686" s="150">
        <v>7835.3511118750002</v>
      </c>
      <c r="P686" s="150">
        <v>7516.4449999999997</v>
      </c>
      <c r="Q686" s="150">
        <v>318.90611187500053</v>
      </c>
      <c r="R686" s="150">
        <v>36652.433996549044</v>
      </c>
      <c r="S686" s="150">
        <v>-36333.52788467404</v>
      </c>
      <c r="T686" s="50" t="s">
        <v>7175</v>
      </c>
      <c r="U686" s="50">
        <v>-3.4904521186948992E-4</v>
      </c>
      <c r="V686" s="50">
        <v>0.99</v>
      </c>
      <c r="W686" s="50">
        <v>1.0156323263831091</v>
      </c>
      <c r="X686" s="50" t="s">
        <v>7160</v>
      </c>
      <c r="Y686" s="50">
        <v>0.32</v>
      </c>
    </row>
    <row r="687" spans="2:25" x14ac:dyDescent="0.2">
      <c r="B687" s="50" t="s">
        <v>9</v>
      </c>
      <c r="C687" s="50" t="s">
        <v>1038</v>
      </c>
      <c r="D687" s="50"/>
      <c r="E687" s="50"/>
      <c r="F687" s="51" t="s">
        <v>528</v>
      </c>
      <c r="G687" s="50" t="s">
        <v>527</v>
      </c>
      <c r="H687" s="50" t="s">
        <v>23</v>
      </c>
      <c r="I687" s="50" t="s">
        <v>1120</v>
      </c>
      <c r="J687" s="50" t="s">
        <v>543</v>
      </c>
      <c r="K687" s="50" t="s">
        <v>7174</v>
      </c>
      <c r="L687" s="50">
        <v>7</v>
      </c>
      <c r="M687" s="50">
        <v>0.28000000000000003</v>
      </c>
      <c r="N687" s="50">
        <v>0.86</v>
      </c>
      <c r="O687" s="150">
        <v>21938.983113250004</v>
      </c>
      <c r="P687" s="150">
        <v>5716.0459999999994</v>
      </c>
      <c r="Q687" s="150">
        <v>16222.937113250005</v>
      </c>
      <c r="R687" s="150">
        <v>52610</v>
      </c>
      <c r="S687" s="150">
        <v>-36387.062886749991</v>
      </c>
      <c r="T687" s="50" t="s">
        <v>7175</v>
      </c>
      <c r="U687" s="50">
        <v>-3.4955950644064592E-4</v>
      </c>
      <c r="V687" s="50">
        <v>0.96</v>
      </c>
      <c r="W687" s="50">
        <v>1.0152827668766684</v>
      </c>
      <c r="X687" s="50" t="s">
        <v>7160</v>
      </c>
      <c r="Y687" s="50">
        <v>0.32</v>
      </c>
    </row>
    <row r="688" spans="2:25" x14ac:dyDescent="0.2">
      <c r="B688" s="50" t="s">
        <v>9</v>
      </c>
      <c r="C688" s="50" t="s">
        <v>1003</v>
      </c>
      <c r="D688" s="50"/>
      <c r="E688" s="50"/>
      <c r="F688" s="51" t="s">
        <v>528</v>
      </c>
      <c r="G688" s="50" t="s">
        <v>527</v>
      </c>
      <c r="H688" s="50" t="s">
        <v>23</v>
      </c>
      <c r="I688" s="50" t="s">
        <v>1120</v>
      </c>
      <c r="J688" s="50" t="s">
        <v>543</v>
      </c>
      <c r="K688" s="50" t="s">
        <v>7174</v>
      </c>
      <c r="L688" s="50">
        <v>39</v>
      </c>
      <c r="M688" s="50">
        <v>0.58499999999999996</v>
      </c>
      <c r="N688" s="50">
        <v>0.86</v>
      </c>
      <c r="O688" s="150">
        <v>45836.804004468751</v>
      </c>
      <c r="P688" s="150">
        <v>29736.203249999999</v>
      </c>
      <c r="Q688" s="150">
        <v>16100.600754468753</v>
      </c>
      <c r="R688" s="150">
        <v>52610</v>
      </c>
      <c r="S688" s="150">
        <v>-36509.399245531247</v>
      </c>
      <c r="T688" s="50" t="s">
        <v>7175</v>
      </c>
      <c r="U688" s="50">
        <v>-3.5073475483396688E-4</v>
      </c>
      <c r="V688" s="50">
        <v>0.98499999999999999</v>
      </c>
      <c r="W688" s="50">
        <v>1.0149320321218345</v>
      </c>
      <c r="X688" s="50" t="s">
        <v>7160</v>
      </c>
      <c r="Y688" s="50">
        <v>0.32</v>
      </c>
    </row>
    <row r="689" spans="2:25" x14ac:dyDescent="0.2">
      <c r="B689" s="50" t="s">
        <v>9</v>
      </c>
      <c r="C689" s="50" t="s">
        <v>717</v>
      </c>
      <c r="D689" s="50"/>
      <c r="E689" s="50"/>
      <c r="F689" s="51" t="s">
        <v>528</v>
      </c>
      <c r="G689" s="50" t="s">
        <v>527</v>
      </c>
      <c r="H689" s="50" t="s">
        <v>10</v>
      </c>
      <c r="I689" s="50" t="s">
        <v>1120</v>
      </c>
      <c r="J689" s="50" t="s">
        <v>529</v>
      </c>
      <c r="K689" s="50" t="s">
        <v>7174</v>
      </c>
      <c r="L689" s="50">
        <v>61</v>
      </c>
      <c r="M689" s="50">
        <v>0.61</v>
      </c>
      <c r="N689" s="50">
        <v>0.63039723661485314</v>
      </c>
      <c r="O689" s="150">
        <v>47795.641782437495</v>
      </c>
      <c r="P689" s="150">
        <v>45850.3145</v>
      </c>
      <c r="Q689" s="150">
        <v>1945.3272824374944</v>
      </c>
      <c r="R689" s="150">
        <v>38564.184439892349</v>
      </c>
      <c r="S689" s="150">
        <v>-36618.857157454855</v>
      </c>
      <c r="T689" s="50" t="s">
        <v>7175</v>
      </c>
      <c r="U689" s="50">
        <v>-3.5178628388392416E-4</v>
      </c>
      <c r="V689" s="50">
        <v>0.99</v>
      </c>
      <c r="W689" s="50">
        <v>1.0145802458379505</v>
      </c>
      <c r="X689" s="50" t="s">
        <v>7161</v>
      </c>
      <c r="Y689" s="50">
        <v>0.32</v>
      </c>
    </row>
    <row r="690" spans="2:25" x14ac:dyDescent="0.2">
      <c r="B690" s="50" t="s">
        <v>9</v>
      </c>
      <c r="C690" s="50" t="s">
        <v>540</v>
      </c>
      <c r="D690" s="50"/>
      <c r="E690" s="50"/>
      <c r="F690" s="51" t="s">
        <v>528</v>
      </c>
      <c r="G690" s="50" t="s">
        <v>527</v>
      </c>
      <c r="H690" s="50" t="s">
        <v>10</v>
      </c>
      <c r="I690" s="50" t="s">
        <v>1120</v>
      </c>
      <c r="J690" s="50" t="s">
        <v>529</v>
      </c>
      <c r="K690" s="50" t="s">
        <v>7174</v>
      </c>
      <c r="L690" s="50">
        <v>2</v>
      </c>
      <c r="M690" s="50">
        <v>0.14000000000000001</v>
      </c>
      <c r="N690" s="50">
        <v>0.75350949628406272</v>
      </c>
      <c r="O690" s="150">
        <v>10969.491556625002</v>
      </c>
      <c r="P690" s="150">
        <v>1763.0229999999999</v>
      </c>
      <c r="Q690" s="150">
        <v>9206.4685566250027</v>
      </c>
      <c r="R690" s="150">
        <v>46095.505348261089</v>
      </c>
      <c r="S690" s="150">
        <v>-36889.036791636085</v>
      </c>
      <c r="T690" s="50" t="s">
        <v>7175</v>
      </c>
      <c r="U690" s="50">
        <v>-3.5438181790294212E-4</v>
      </c>
      <c r="V690" s="50">
        <v>0.92999999999999994</v>
      </c>
      <c r="W690" s="50">
        <v>1.0142258640200474</v>
      </c>
      <c r="X690" s="50" t="s">
        <v>7161</v>
      </c>
      <c r="Y690" s="50">
        <v>0.32</v>
      </c>
    </row>
    <row r="691" spans="2:25" x14ac:dyDescent="0.2">
      <c r="B691" s="50" t="s">
        <v>9</v>
      </c>
      <c r="C691" s="50" t="s">
        <v>902</v>
      </c>
      <c r="D691" s="50"/>
      <c r="E691" s="50"/>
      <c r="F691" s="51" t="s">
        <v>528</v>
      </c>
      <c r="G691" s="50" t="s">
        <v>527</v>
      </c>
      <c r="H691" s="50" t="s">
        <v>10</v>
      </c>
      <c r="I691" s="50" t="s">
        <v>1120</v>
      </c>
      <c r="J691" s="50" t="s">
        <v>529</v>
      </c>
      <c r="K691" s="50" t="s">
        <v>7174</v>
      </c>
      <c r="L691" s="50">
        <v>16</v>
      </c>
      <c r="M691" s="50">
        <v>0.16</v>
      </c>
      <c r="N691" s="50">
        <v>0.61180020113979217</v>
      </c>
      <c r="O691" s="150">
        <v>12536.561779</v>
      </c>
      <c r="P691" s="150">
        <v>12026.312</v>
      </c>
      <c r="Q691" s="150">
        <v>510.24977899999976</v>
      </c>
      <c r="R691" s="150">
        <v>37426.521606935421</v>
      </c>
      <c r="S691" s="150">
        <v>-36916.271827935423</v>
      </c>
      <c r="T691" s="50" t="s">
        <v>7175</v>
      </c>
      <c r="U691" s="50">
        <v>-3.546434566583514E-4</v>
      </c>
      <c r="V691" s="50">
        <v>0.99</v>
      </c>
      <c r="W691" s="50">
        <v>1.0138712205633891</v>
      </c>
      <c r="X691" s="50" t="s">
        <v>7159</v>
      </c>
      <c r="Y691" s="50">
        <v>0.32</v>
      </c>
    </row>
    <row r="692" spans="2:25" x14ac:dyDescent="0.2">
      <c r="B692" s="50" t="s">
        <v>9</v>
      </c>
      <c r="C692" s="50" t="s">
        <v>961</v>
      </c>
      <c r="D692" s="50"/>
      <c r="E692" s="50"/>
      <c r="F692" s="51" t="s">
        <v>528</v>
      </c>
      <c r="G692" s="50" t="s">
        <v>527</v>
      </c>
      <c r="H692" s="50" t="s">
        <v>10</v>
      </c>
      <c r="I692" s="50" t="s">
        <v>1120</v>
      </c>
      <c r="J692" s="50" t="s">
        <v>529</v>
      </c>
      <c r="K692" s="50" t="s">
        <v>7174</v>
      </c>
      <c r="L692" s="50">
        <v>59</v>
      </c>
      <c r="M692" s="50">
        <v>0.59</v>
      </c>
      <c r="N692" s="50">
        <v>0.6383350821965722</v>
      </c>
      <c r="O692" s="150">
        <v>46228.571560062497</v>
      </c>
      <c r="P692" s="150">
        <v>44347.025500000003</v>
      </c>
      <c r="Q692" s="150">
        <v>1881.5460600624938</v>
      </c>
      <c r="R692" s="150">
        <v>39049.777528327511</v>
      </c>
      <c r="S692" s="150">
        <v>-37168.231468265018</v>
      </c>
      <c r="T692" s="50" t="s">
        <v>7175</v>
      </c>
      <c r="U692" s="50">
        <v>-3.5706395670779748E-4</v>
      </c>
      <c r="V692" s="50">
        <v>0.99</v>
      </c>
      <c r="W692" s="50">
        <v>1.0135141566066812</v>
      </c>
      <c r="X692" s="50" t="s">
        <v>7160</v>
      </c>
      <c r="Y692" s="50">
        <v>0.32</v>
      </c>
    </row>
    <row r="693" spans="2:25" x14ac:dyDescent="0.2">
      <c r="B693" s="50" t="s">
        <v>9</v>
      </c>
      <c r="C693" s="50" t="s">
        <v>848</v>
      </c>
      <c r="D693" s="50"/>
      <c r="E693" s="50"/>
      <c r="F693" s="51" t="s">
        <v>528</v>
      </c>
      <c r="G693" s="50" t="s">
        <v>527</v>
      </c>
      <c r="H693" s="50" t="s">
        <v>10</v>
      </c>
      <c r="I693" s="50" t="s">
        <v>1120</v>
      </c>
      <c r="J693" s="50" t="s">
        <v>529</v>
      </c>
      <c r="K693" s="50" t="s">
        <v>7174</v>
      </c>
      <c r="L693" s="50">
        <v>85</v>
      </c>
      <c r="M693" s="50">
        <v>0.85</v>
      </c>
      <c r="N693" s="50">
        <v>0.65490430622009566</v>
      </c>
      <c r="O693" s="150">
        <v>66600.484450937496</v>
      </c>
      <c r="P693" s="150">
        <v>63889.782500000001</v>
      </c>
      <c r="Q693" s="150">
        <v>2710.701950937495</v>
      </c>
      <c r="R693" s="150">
        <v>40063.390174696775</v>
      </c>
      <c r="S693" s="150">
        <v>-37352.68822375928</v>
      </c>
      <c r="T693" s="50" t="s">
        <v>7175</v>
      </c>
      <c r="U693" s="50">
        <v>-3.5883597696155907E-4</v>
      </c>
      <c r="V693" s="50">
        <v>0.9900000000000001</v>
      </c>
      <c r="W693" s="50">
        <v>1.0131553206297197</v>
      </c>
      <c r="X693" s="50" t="s">
        <v>7161</v>
      </c>
      <c r="Y693" s="50">
        <v>0.32</v>
      </c>
    </row>
    <row r="694" spans="2:25" x14ac:dyDescent="0.2">
      <c r="B694" s="50" t="s">
        <v>9</v>
      </c>
      <c r="C694" s="50" t="s">
        <v>741</v>
      </c>
      <c r="D694" s="50"/>
      <c r="E694" s="50"/>
      <c r="F694" s="51" t="s">
        <v>528</v>
      </c>
      <c r="G694" s="50" t="s">
        <v>527</v>
      </c>
      <c r="H694" s="50" t="s">
        <v>10</v>
      </c>
      <c r="I694" s="50" t="s">
        <v>1120</v>
      </c>
      <c r="J694" s="50" t="s">
        <v>529</v>
      </c>
      <c r="K694" s="50" t="s">
        <v>7174</v>
      </c>
      <c r="L694" s="50">
        <v>76</v>
      </c>
      <c r="M694" s="50">
        <v>0.76</v>
      </c>
      <c r="N694" s="50">
        <v>0.65062388591800357</v>
      </c>
      <c r="O694" s="150">
        <v>59548.668450249999</v>
      </c>
      <c r="P694" s="150">
        <v>57124.981999999996</v>
      </c>
      <c r="Q694" s="150">
        <v>2423.686450250003</v>
      </c>
      <c r="R694" s="150">
        <v>39801.537951332757</v>
      </c>
      <c r="S694" s="150">
        <v>-37377.851501082754</v>
      </c>
      <c r="T694" s="50" t="s">
        <v>7175</v>
      </c>
      <c r="U694" s="50">
        <v>-3.5907771295517305E-4</v>
      </c>
      <c r="V694" s="50">
        <v>0.98999999999999988</v>
      </c>
      <c r="W694" s="50">
        <v>1.0127962429167645</v>
      </c>
      <c r="X694" s="50" t="s">
        <v>7162</v>
      </c>
      <c r="Y694" s="50">
        <v>0.32</v>
      </c>
    </row>
    <row r="695" spans="2:25" x14ac:dyDescent="0.2">
      <c r="B695" s="50" t="s">
        <v>9</v>
      </c>
      <c r="C695" s="50" t="s">
        <v>820</v>
      </c>
      <c r="D695" s="50"/>
      <c r="E695" s="50"/>
      <c r="F695" s="51" t="s">
        <v>528</v>
      </c>
      <c r="G695" s="50" t="s">
        <v>527</v>
      </c>
      <c r="H695" s="50" t="s">
        <v>10</v>
      </c>
      <c r="I695" s="50" t="s">
        <v>1120</v>
      </c>
      <c r="J695" s="50" t="s">
        <v>529</v>
      </c>
      <c r="K695" s="50" t="s">
        <v>7174</v>
      </c>
      <c r="L695" s="50">
        <v>103</v>
      </c>
      <c r="M695" s="50">
        <v>1.03</v>
      </c>
      <c r="N695" s="50">
        <v>0.66581539584093397</v>
      </c>
      <c r="O695" s="150">
        <v>80704.11645231249</v>
      </c>
      <c r="P695" s="150">
        <v>77419.383499999996</v>
      </c>
      <c r="Q695" s="150">
        <v>3284.7329523124936</v>
      </c>
      <c r="R695" s="150">
        <v>40730.869738594811</v>
      </c>
      <c r="S695" s="150">
        <v>-37446.136786282317</v>
      </c>
      <c r="T695" s="50" t="s">
        <v>7175</v>
      </c>
      <c r="U695" s="50">
        <v>-3.5973370903448867E-4</v>
      </c>
      <c r="V695" s="50">
        <v>0.99</v>
      </c>
      <c r="W695" s="50">
        <v>1.0124365092077301</v>
      </c>
      <c r="X695" s="50" t="s">
        <v>7159</v>
      </c>
      <c r="Y695" s="50">
        <v>0.32</v>
      </c>
    </row>
    <row r="696" spans="2:25" x14ac:dyDescent="0.2">
      <c r="B696" s="50" t="s">
        <v>9</v>
      </c>
      <c r="C696" s="50" t="s">
        <v>617</v>
      </c>
      <c r="D696" s="50"/>
      <c r="E696" s="50"/>
      <c r="F696" s="51" t="s">
        <v>528</v>
      </c>
      <c r="G696" s="50" t="s">
        <v>527</v>
      </c>
      <c r="H696" s="50" t="s">
        <v>23</v>
      </c>
      <c r="I696" s="50">
        <v>0</v>
      </c>
      <c r="J696" s="50" t="s">
        <v>543</v>
      </c>
      <c r="K696" s="50" t="s">
        <v>7174</v>
      </c>
      <c r="L696" s="50">
        <v>27</v>
      </c>
      <c r="M696" s="50">
        <v>0.54</v>
      </c>
      <c r="N696" s="50">
        <v>0.23609314359637776</v>
      </c>
      <c r="O696" s="150">
        <v>42310.896004125003</v>
      </c>
      <c r="P696" s="150">
        <v>20878.803</v>
      </c>
      <c r="Q696" s="150">
        <v>21432.093004125003</v>
      </c>
      <c r="R696" s="150">
        <v>59070</v>
      </c>
      <c r="S696" s="150">
        <v>-37637.906995874997</v>
      </c>
      <c r="T696" s="50" t="s">
        <v>7175</v>
      </c>
      <c r="U696" s="50">
        <v>-3.6157598742952903E-4</v>
      </c>
      <c r="V696" s="50">
        <v>0.98</v>
      </c>
      <c r="W696" s="50">
        <v>1.0120749332203005</v>
      </c>
      <c r="X696" s="50" t="s">
        <v>7162</v>
      </c>
      <c r="Y696" s="50">
        <v>0.32</v>
      </c>
    </row>
    <row r="697" spans="2:25" x14ac:dyDescent="0.2">
      <c r="B697" s="50" t="s">
        <v>9</v>
      </c>
      <c r="C697" s="50" t="s">
        <v>960</v>
      </c>
      <c r="D697" s="50"/>
      <c r="E697" s="50"/>
      <c r="F697" s="51" t="s">
        <v>528</v>
      </c>
      <c r="G697" s="50" t="s">
        <v>527</v>
      </c>
      <c r="H697" s="50" t="s">
        <v>10</v>
      </c>
      <c r="I697" s="50">
        <v>0</v>
      </c>
      <c r="J697" s="50" t="s">
        <v>529</v>
      </c>
      <c r="K697" s="50" t="s">
        <v>7174</v>
      </c>
      <c r="L697" s="50">
        <v>9</v>
      </c>
      <c r="M697" s="50">
        <v>0.36</v>
      </c>
      <c r="N697" s="50">
        <v>0.55661456347693483</v>
      </c>
      <c r="O697" s="150">
        <v>28207.264002749998</v>
      </c>
      <c r="P697" s="150">
        <v>7349.2019999999993</v>
      </c>
      <c r="Q697" s="150">
        <v>20858.062002749997</v>
      </c>
      <c r="R697" s="150">
        <v>59070</v>
      </c>
      <c r="S697" s="150">
        <v>-38211.937997250003</v>
      </c>
      <c r="T697" s="50" t="s">
        <v>7175</v>
      </c>
      <c r="U697" s="50">
        <v>-3.670905296212635E-4</v>
      </c>
      <c r="V697" s="50">
        <v>0.96000000000000008</v>
      </c>
      <c r="W697" s="50">
        <v>1.0117078426906791</v>
      </c>
      <c r="X697" s="50" t="s">
        <v>7160</v>
      </c>
      <c r="Y697" s="50">
        <v>0.32</v>
      </c>
    </row>
    <row r="698" spans="2:25" x14ac:dyDescent="0.2">
      <c r="B698" s="50" t="s">
        <v>9</v>
      </c>
      <c r="C698" s="50" t="s">
        <v>1001</v>
      </c>
      <c r="D698" s="50"/>
      <c r="E698" s="50"/>
      <c r="F698" s="51" t="s">
        <v>528</v>
      </c>
      <c r="G698" s="50" t="s">
        <v>527</v>
      </c>
      <c r="H698" s="50" t="s">
        <v>621</v>
      </c>
      <c r="I698" s="50" t="s">
        <v>1120</v>
      </c>
      <c r="J698" s="50" t="s">
        <v>622</v>
      </c>
      <c r="K698" s="50" t="s">
        <v>7174</v>
      </c>
      <c r="L698" s="50">
        <v>18</v>
      </c>
      <c r="M698" s="50">
        <v>0.36</v>
      </c>
      <c r="N698" s="50">
        <v>0.86</v>
      </c>
      <c r="O698" s="150">
        <v>28207.264002749998</v>
      </c>
      <c r="P698" s="150">
        <v>13919.201999999999</v>
      </c>
      <c r="Q698" s="150">
        <v>14288.062002749999</v>
      </c>
      <c r="R698" s="150">
        <v>52610</v>
      </c>
      <c r="S698" s="150">
        <v>-38321.937997250003</v>
      </c>
      <c r="T698" s="50" t="s">
        <v>7175</v>
      </c>
      <c r="U698" s="50">
        <v>-3.6814726634739459E-4</v>
      </c>
      <c r="V698" s="50">
        <v>0.98</v>
      </c>
      <c r="W698" s="50">
        <v>1.0113396954243317</v>
      </c>
      <c r="X698" s="50" t="s">
        <v>7160</v>
      </c>
      <c r="Y698" s="50">
        <v>0.32</v>
      </c>
    </row>
    <row r="699" spans="2:25" x14ac:dyDescent="0.2">
      <c r="B699" s="50" t="s">
        <v>9</v>
      </c>
      <c r="C699" s="50" t="s">
        <v>647</v>
      </c>
      <c r="D699" s="50"/>
      <c r="E699" s="50"/>
      <c r="F699" s="51" t="s">
        <v>528</v>
      </c>
      <c r="G699" s="50" t="s">
        <v>527</v>
      </c>
      <c r="H699" s="50" t="s">
        <v>10</v>
      </c>
      <c r="I699" s="50" t="s">
        <v>1120</v>
      </c>
      <c r="J699" s="50" t="s">
        <v>529</v>
      </c>
      <c r="K699" s="50" t="s">
        <v>7174</v>
      </c>
      <c r="L699" s="50">
        <v>73</v>
      </c>
      <c r="M699" s="50">
        <v>0.73</v>
      </c>
      <c r="N699" s="50">
        <v>0.67095588235294112</v>
      </c>
      <c r="O699" s="150">
        <v>57198.063116687495</v>
      </c>
      <c r="P699" s="150">
        <v>54870.048500000004</v>
      </c>
      <c r="Q699" s="150">
        <v>2328.0146166874911</v>
      </c>
      <c r="R699" s="150">
        <v>41045.336012311898</v>
      </c>
      <c r="S699" s="150">
        <v>-38717.321395624407</v>
      </c>
      <c r="T699" s="50" t="s">
        <v>7175</v>
      </c>
      <c r="U699" s="50">
        <v>-3.7194559505616514E-4</v>
      </c>
      <c r="V699" s="50">
        <v>0.99</v>
      </c>
      <c r="W699" s="50">
        <v>1.0109677498292755</v>
      </c>
      <c r="X699" s="50" t="s">
        <v>7162</v>
      </c>
      <c r="Y699" s="50">
        <v>0.32</v>
      </c>
    </row>
    <row r="700" spans="2:25" x14ac:dyDescent="0.2">
      <c r="B700" s="50" t="s">
        <v>9</v>
      </c>
      <c r="C700" s="50" t="s">
        <v>912</v>
      </c>
      <c r="D700" s="50"/>
      <c r="E700" s="50"/>
      <c r="F700" s="51" t="s">
        <v>528</v>
      </c>
      <c r="G700" s="50" t="s">
        <v>527</v>
      </c>
      <c r="H700" s="50" t="s">
        <v>23</v>
      </c>
      <c r="I700" s="50" t="s">
        <v>1120</v>
      </c>
      <c r="J700" s="50" t="s">
        <v>543</v>
      </c>
      <c r="K700" s="50" t="s">
        <v>7174</v>
      </c>
      <c r="L700" s="50">
        <v>75</v>
      </c>
      <c r="M700" s="50">
        <v>0.75</v>
      </c>
      <c r="N700" s="50">
        <v>0.71177847113884563</v>
      </c>
      <c r="O700" s="150">
        <v>58765.1333390625</v>
      </c>
      <c r="P700" s="150">
        <v>56373.337499999994</v>
      </c>
      <c r="Q700" s="150">
        <v>2391.7958390625063</v>
      </c>
      <c r="R700" s="150">
        <v>43542.634147226359</v>
      </c>
      <c r="S700" s="150">
        <v>-41150.838308163853</v>
      </c>
      <c r="T700" s="50" t="s">
        <v>7175</v>
      </c>
      <c r="U700" s="50">
        <v>-3.9532365592108898E-4</v>
      </c>
      <c r="V700" s="50">
        <v>0.99</v>
      </c>
      <c r="W700" s="50">
        <v>1.0105724261733544</v>
      </c>
      <c r="X700" s="50" t="s">
        <v>7163</v>
      </c>
      <c r="Y700" s="50">
        <v>0.32</v>
      </c>
    </row>
    <row r="701" spans="2:25" x14ac:dyDescent="0.2">
      <c r="B701" s="50" t="s">
        <v>9</v>
      </c>
      <c r="C701" s="50" t="s">
        <v>609</v>
      </c>
      <c r="D701" s="50"/>
      <c r="E701" s="50"/>
      <c r="F701" s="51" t="s">
        <v>528</v>
      </c>
      <c r="G701" s="50" t="s">
        <v>527</v>
      </c>
      <c r="H701" s="50" t="s">
        <v>23</v>
      </c>
      <c r="I701" s="50" t="s">
        <v>1120</v>
      </c>
      <c r="J701" s="50" t="s">
        <v>543</v>
      </c>
      <c r="K701" s="50" t="s">
        <v>7174</v>
      </c>
      <c r="L701" s="50">
        <v>157</v>
      </c>
      <c r="M701" s="50">
        <v>1.57</v>
      </c>
      <c r="N701" s="50">
        <v>0.76519916142557654</v>
      </c>
      <c r="O701" s="150">
        <v>123015.0124564375</v>
      </c>
      <c r="P701" s="150">
        <v>118008.1865</v>
      </c>
      <c r="Q701" s="150">
        <v>5006.8259564375039</v>
      </c>
      <c r="R701" s="150">
        <v>46810.613816976256</v>
      </c>
      <c r="S701" s="150">
        <v>-41803.787860538752</v>
      </c>
      <c r="T701" s="50" t="s">
        <v>7175</v>
      </c>
      <c r="U701" s="50">
        <v>-4.0159634476022926E-4</v>
      </c>
      <c r="V701" s="50">
        <v>0.99</v>
      </c>
      <c r="W701" s="50">
        <v>1.0101708298285941</v>
      </c>
      <c r="X701" s="50" t="s">
        <v>7162</v>
      </c>
      <c r="Y701" s="50">
        <v>0.32</v>
      </c>
    </row>
    <row r="702" spans="2:25" x14ac:dyDescent="0.2">
      <c r="B702" s="50" t="s">
        <v>9</v>
      </c>
      <c r="C702" s="50" t="s">
        <v>838</v>
      </c>
      <c r="D702" s="50"/>
      <c r="E702" s="50"/>
      <c r="F702" s="51" t="s">
        <v>528</v>
      </c>
      <c r="G702" s="50" t="s">
        <v>527</v>
      </c>
      <c r="H702" s="50" t="s">
        <v>23</v>
      </c>
      <c r="I702" s="50" t="s">
        <v>1120</v>
      </c>
      <c r="J702" s="50" t="s">
        <v>543</v>
      </c>
      <c r="K702" s="50" t="s">
        <v>7174</v>
      </c>
      <c r="L702" s="50">
        <v>20</v>
      </c>
      <c r="M702" s="50">
        <v>0.2</v>
      </c>
      <c r="N702" s="50">
        <v>0.69869831546707506</v>
      </c>
      <c r="O702" s="150">
        <v>15670.70222375</v>
      </c>
      <c r="P702" s="150">
        <v>15032.89</v>
      </c>
      <c r="Q702" s="150">
        <v>637.81222375000107</v>
      </c>
      <c r="R702" s="150">
        <v>42742.46322874746</v>
      </c>
      <c r="S702" s="150">
        <v>-42104.65100499746</v>
      </c>
      <c r="T702" s="50" t="s">
        <v>7175</v>
      </c>
      <c r="U702" s="50">
        <v>-4.0448664598103658E-4</v>
      </c>
      <c r="V702" s="50">
        <v>0.99</v>
      </c>
      <c r="W702" s="50">
        <v>1.0097663431826129</v>
      </c>
      <c r="X702" s="50" t="s">
        <v>7162</v>
      </c>
      <c r="Y702" s="50">
        <v>0.32</v>
      </c>
    </row>
    <row r="703" spans="2:25" x14ac:dyDescent="0.2">
      <c r="B703" s="50" t="s">
        <v>9</v>
      </c>
      <c r="C703" s="50" t="s">
        <v>771</v>
      </c>
      <c r="D703" s="50"/>
      <c r="E703" s="50"/>
      <c r="F703" s="51" t="s">
        <v>528</v>
      </c>
      <c r="G703" s="50" t="s">
        <v>527</v>
      </c>
      <c r="H703" s="50" t="s">
        <v>10</v>
      </c>
      <c r="I703" s="50">
        <v>0</v>
      </c>
      <c r="J703" s="50" t="s">
        <v>529</v>
      </c>
      <c r="K703" s="50" t="s">
        <v>7174</v>
      </c>
      <c r="L703" s="50">
        <v>1</v>
      </c>
      <c r="M703" s="50">
        <v>0.22</v>
      </c>
      <c r="N703" s="50">
        <v>0.86</v>
      </c>
      <c r="O703" s="150">
        <v>17237.772446125</v>
      </c>
      <c r="P703" s="150">
        <v>1206.1789999999999</v>
      </c>
      <c r="Q703" s="150">
        <v>16031.593446125</v>
      </c>
      <c r="R703" s="150">
        <v>59070</v>
      </c>
      <c r="S703" s="150">
        <v>-43038.406553875</v>
      </c>
      <c r="T703" s="50" t="s">
        <v>7175</v>
      </c>
      <c r="U703" s="50">
        <v>-4.1345695308765121E-4</v>
      </c>
      <c r="V703" s="50">
        <v>0.78</v>
      </c>
      <c r="W703" s="50">
        <v>1.0093528862295253</v>
      </c>
      <c r="X703" s="50" t="s">
        <v>7159</v>
      </c>
      <c r="Y703" s="50">
        <v>0.32</v>
      </c>
    </row>
    <row r="704" spans="2:25" x14ac:dyDescent="0.2">
      <c r="B704" s="50" t="s">
        <v>9</v>
      </c>
      <c r="C704" s="50" t="s">
        <v>1039</v>
      </c>
      <c r="D704" s="50"/>
      <c r="E704" s="50"/>
      <c r="F704" s="51" t="s">
        <v>528</v>
      </c>
      <c r="G704" s="50" t="s">
        <v>527</v>
      </c>
      <c r="H704" s="50" t="s">
        <v>23</v>
      </c>
      <c r="I704" s="50" t="s">
        <v>1120</v>
      </c>
      <c r="J704" s="50" t="s">
        <v>543</v>
      </c>
      <c r="K704" s="50" t="s">
        <v>7174</v>
      </c>
      <c r="L704" s="50">
        <v>12</v>
      </c>
      <c r="M704" s="50">
        <v>0.24</v>
      </c>
      <c r="N704" s="50">
        <v>0.86</v>
      </c>
      <c r="O704" s="150">
        <v>18804.842668500001</v>
      </c>
      <c r="P704" s="150">
        <v>9279.4680000000008</v>
      </c>
      <c r="Q704" s="150">
        <v>9525.3746685000006</v>
      </c>
      <c r="R704" s="150">
        <v>52610</v>
      </c>
      <c r="S704" s="150">
        <v>-43084.625331499999</v>
      </c>
      <c r="T704" s="50" t="s">
        <v>7175</v>
      </c>
      <c r="U704" s="50">
        <v>-4.1390096290358963E-4</v>
      </c>
      <c r="V704" s="50">
        <v>0.98</v>
      </c>
      <c r="W704" s="50">
        <v>1.0089389852666217</v>
      </c>
      <c r="X704" s="50" t="s">
        <v>7161</v>
      </c>
      <c r="Y704" s="50">
        <v>0.32</v>
      </c>
    </row>
    <row r="705" spans="2:25" x14ac:dyDescent="0.2">
      <c r="B705" s="50" t="s">
        <v>9</v>
      </c>
      <c r="C705" s="50" t="s">
        <v>951</v>
      </c>
      <c r="D705" s="50"/>
      <c r="E705" s="50"/>
      <c r="F705" s="51" t="s">
        <v>528</v>
      </c>
      <c r="G705" s="50" t="s">
        <v>527</v>
      </c>
      <c r="H705" s="50" t="s">
        <v>10</v>
      </c>
      <c r="I705" s="50" t="s">
        <v>1120</v>
      </c>
      <c r="J705" s="50" t="s">
        <v>529</v>
      </c>
      <c r="K705" s="50" t="s">
        <v>7174</v>
      </c>
      <c r="L705" s="50">
        <v>23</v>
      </c>
      <c r="M705" s="50">
        <v>0.34499999999999997</v>
      </c>
      <c r="N705" s="50">
        <v>0.86</v>
      </c>
      <c r="O705" s="150">
        <v>27031.961335968746</v>
      </c>
      <c r="P705" s="150">
        <v>17536.735250000002</v>
      </c>
      <c r="Q705" s="150">
        <v>9495.2260859687449</v>
      </c>
      <c r="R705" s="150">
        <v>52610</v>
      </c>
      <c r="S705" s="150">
        <v>-43114.773914031255</v>
      </c>
      <c r="T705" s="50" t="s">
        <v>7175</v>
      </c>
      <c r="U705" s="50">
        <v>-4.141905912163312E-4</v>
      </c>
      <c r="V705" s="50">
        <v>0.9850000000000001</v>
      </c>
      <c r="W705" s="50">
        <v>1.0085247946754055</v>
      </c>
      <c r="X705" s="50" t="s">
        <v>7159</v>
      </c>
      <c r="Y705" s="50">
        <v>0.32</v>
      </c>
    </row>
    <row r="706" spans="2:25" x14ac:dyDescent="0.2">
      <c r="B706" s="50" t="s">
        <v>9</v>
      </c>
      <c r="C706" s="50" t="s">
        <v>705</v>
      </c>
      <c r="D706" s="50"/>
      <c r="E706" s="50"/>
      <c r="F706" s="51" t="s">
        <v>528</v>
      </c>
      <c r="G706" s="50" t="s">
        <v>527</v>
      </c>
      <c r="H706" s="50" t="s">
        <v>10</v>
      </c>
      <c r="I706" s="50" t="s">
        <v>1121</v>
      </c>
      <c r="J706" s="50" t="s">
        <v>529</v>
      </c>
      <c r="K706" s="50" t="s">
        <v>7174</v>
      </c>
      <c r="L706" s="50">
        <v>146</v>
      </c>
      <c r="M706" s="50">
        <v>1.46</v>
      </c>
      <c r="N706" s="50">
        <v>0.26</v>
      </c>
      <c r="O706" s="150">
        <v>114396.12623337499</v>
      </c>
      <c r="P706" s="150">
        <v>109740.09700000001</v>
      </c>
      <c r="Q706" s="150">
        <v>4656.0292333749821</v>
      </c>
      <c r="R706" s="150">
        <v>47994.375</v>
      </c>
      <c r="S706" s="150">
        <v>-43338.345766625018</v>
      </c>
      <c r="T706" s="50" t="s">
        <v>7175</v>
      </c>
      <c r="U706" s="50">
        <v>-4.1633837837601301E-4</v>
      </c>
      <c r="V706" s="50">
        <v>0.99</v>
      </c>
      <c r="W706" s="50">
        <v>1.0081084562970295</v>
      </c>
      <c r="X706" s="50" t="s">
        <v>7163</v>
      </c>
      <c r="Y706" s="50">
        <v>0.26</v>
      </c>
    </row>
    <row r="707" spans="2:25" x14ac:dyDescent="0.2">
      <c r="B707" s="50" t="s">
        <v>9</v>
      </c>
      <c r="C707" s="50" t="s">
        <v>817</v>
      </c>
      <c r="D707" s="50"/>
      <c r="E707" s="50"/>
      <c r="F707" s="51" t="s">
        <v>528</v>
      </c>
      <c r="G707" s="50" t="s">
        <v>527</v>
      </c>
      <c r="H707" s="50" t="s">
        <v>10</v>
      </c>
      <c r="I707" s="50" t="s">
        <v>1120</v>
      </c>
      <c r="J707" s="50" t="s">
        <v>529</v>
      </c>
      <c r="K707" s="50" t="s">
        <v>7174</v>
      </c>
      <c r="L707" s="50">
        <v>92</v>
      </c>
      <c r="M707" s="50">
        <v>0.92</v>
      </c>
      <c r="N707" s="50">
        <v>0.76934658235471243</v>
      </c>
      <c r="O707" s="150">
        <v>72085.230229249995</v>
      </c>
      <c r="P707" s="150">
        <v>69151.293999999994</v>
      </c>
      <c r="Q707" s="150">
        <v>2933.9362292500009</v>
      </c>
      <c r="R707" s="150">
        <v>47064.329881024911</v>
      </c>
      <c r="S707" s="150">
        <v>-44130.39365177491</v>
      </c>
      <c r="T707" s="50" t="s">
        <v>7175</v>
      </c>
      <c r="U707" s="50">
        <v>-4.2394734282230726E-4</v>
      </c>
      <c r="V707" s="50">
        <v>0.99</v>
      </c>
      <c r="W707" s="50">
        <v>1.0076845089542072</v>
      </c>
      <c r="X707" s="50" t="s">
        <v>7162</v>
      </c>
      <c r="Y707" s="50">
        <v>0.32</v>
      </c>
    </row>
    <row r="708" spans="2:25" x14ac:dyDescent="0.2">
      <c r="B708" s="50" t="s">
        <v>9</v>
      </c>
      <c r="C708" s="50" t="s">
        <v>1018</v>
      </c>
      <c r="D708" s="50"/>
      <c r="E708" s="50"/>
      <c r="F708" s="51" t="s">
        <v>528</v>
      </c>
      <c r="G708" s="50" t="s">
        <v>527</v>
      </c>
      <c r="H708" s="50" t="s">
        <v>10</v>
      </c>
      <c r="I708" s="50" t="s">
        <v>1120</v>
      </c>
      <c r="J708" s="50" t="s">
        <v>529</v>
      </c>
      <c r="K708" s="50" t="s">
        <v>7174</v>
      </c>
      <c r="L708" s="50">
        <v>11</v>
      </c>
      <c r="M708" s="50">
        <v>0.44</v>
      </c>
      <c r="N708" s="50">
        <v>1.1434041072050123</v>
      </c>
      <c r="O708" s="150">
        <v>34475.54489225</v>
      </c>
      <c r="P708" s="150">
        <v>8982.3580000000002</v>
      </c>
      <c r="Q708" s="150">
        <v>25493.18689225</v>
      </c>
      <c r="R708" s="150">
        <v>69947.081488436859</v>
      </c>
      <c r="S708" s="150">
        <v>-44453.894596186859</v>
      </c>
      <c r="T708" s="50" t="s">
        <v>7175</v>
      </c>
      <c r="U708" s="50">
        <v>-4.2705511853956366E-4</v>
      </c>
      <c r="V708" s="50">
        <v>0.96000000000000008</v>
      </c>
      <c r="W708" s="50">
        <v>1.0072574538356678</v>
      </c>
      <c r="X708" s="50" t="s">
        <v>7161</v>
      </c>
      <c r="Y708" s="50">
        <v>0.32</v>
      </c>
    </row>
    <row r="709" spans="2:25" x14ac:dyDescent="0.2">
      <c r="B709" s="50" t="s">
        <v>9</v>
      </c>
      <c r="C709" s="50" t="s">
        <v>966</v>
      </c>
      <c r="D709" s="50"/>
      <c r="E709" s="50"/>
      <c r="F709" s="51" t="s">
        <v>528</v>
      </c>
      <c r="G709" s="50" t="s">
        <v>527</v>
      </c>
      <c r="H709" s="50" t="s">
        <v>10</v>
      </c>
      <c r="I709" s="50" t="s">
        <v>1120</v>
      </c>
      <c r="J709" s="50" t="s">
        <v>529</v>
      </c>
      <c r="K709" s="50" t="s">
        <v>7174</v>
      </c>
      <c r="L709" s="50">
        <v>93</v>
      </c>
      <c r="M709" s="50">
        <v>0.93</v>
      </c>
      <c r="N709" s="50">
        <v>0.77758841073711116</v>
      </c>
      <c r="O709" s="150">
        <v>72868.765340437501</v>
      </c>
      <c r="P709" s="150">
        <v>69902.938500000004</v>
      </c>
      <c r="Q709" s="150">
        <v>2965.8268404374976</v>
      </c>
      <c r="R709" s="150">
        <v>47568.518940557471</v>
      </c>
      <c r="S709" s="150">
        <v>-44602.692100119973</v>
      </c>
      <c r="T709" s="50" t="s">
        <v>7175</v>
      </c>
      <c r="U709" s="50">
        <v>-4.2848457115013421E-4</v>
      </c>
      <c r="V709" s="50">
        <v>0.98999999999999988</v>
      </c>
      <c r="W709" s="50">
        <v>1.0068289692645176</v>
      </c>
      <c r="X709" s="50" t="s">
        <v>7163</v>
      </c>
      <c r="Y709" s="50">
        <v>0.32</v>
      </c>
    </row>
    <row r="710" spans="2:25" x14ac:dyDescent="0.2">
      <c r="B710" s="50" t="s">
        <v>9</v>
      </c>
      <c r="C710" s="50" t="s">
        <v>704</v>
      </c>
      <c r="D710" s="50"/>
      <c r="E710" s="50"/>
      <c r="F710" s="51" t="s">
        <v>528</v>
      </c>
      <c r="G710" s="50" t="s">
        <v>527</v>
      </c>
      <c r="H710" s="50" t="s">
        <v>10</v>
      </c>
      <c r="I710" s="50" t="s">
        <v>1120</v>
      </c>
      <c r="J710" s="50" t="s">
        <v>529</v>
      </c>
      <c r="K710" s="50" t="s">
        <v>7174</v>
      </c>
      <c r="L710" s="50">
        <v>92</v>
      </c>
      <c r="M710" s="50">
        <v>0.92</v>
      </c>
      <c r="N710" s="50">
        <v>0.78125</v>
      </c>
      <c r="O710" s="150">
        <v>72085.230229249995</v>
      </c>
      <c r="P710" s="150">
        <v>69151.293999999994</v>
      </c>
      <c r="Q710" s="150">
        <v>2933.9362292500009</v>
      </c>
      <c r="R710" s="150">
        <v>47792.514534883725</v>
      </c>
      <c r="S710" s="150">
        <v>-44858.578305633724</v>
      </c>
      <c r="T710" s="50" t="s">
        <v>7175</v>
      </c>
      <c r="U710" s="50">
        <v>-4.309427925235589E-4</v>
      </c>
      <c r="V710" s="50">
        <v>0.99</v>
      </c>
      <c r="W710" s="50">
        <v>1.0063980264719941</v>
      </c>
      <c r="X710" s="50" t="s">
        <v>7159</v>
      </c>
      <c r="Y710" s="50">
        <v>0.32</v>
      </c>
    </row>
    <row r="711" spans="2:25" x14ac:dyDescent="0.2">
      <c r="B711" s="50" t="s">
        <v>9</v>
      </c>
      <c r="C711" s="50" t="s">
        <v>814</v>
      </c>
      <c r="D711" s="50"/>
      <c r="E711" s="50"/>
      <c r="F711" s="51" t="s">
        <v>528</v>
      </c>
      <c r="G711" s="50" t="s">
        <v>527</v>
      </c>
      <c r="H711" s="50" t="s">
        <v>10</v>
      </c>
      <c r="I711" s="50" t="s">
        <v>1120</v>
      </c>
      <c r="J711" s="50" t="s">
        <v>529</v>
      </c>
      <c r="K711" s="50" t="s">
        <v>7174</v>
      </c>
      <c r="L711" s="50">
        <v>54</v>
      </c>
      <c r="M711" s="50">
        <v>0.54</v>
      </c>
      <c r="N711" s="50">
        <v>0.76600209863588664</v>
      </c>
      <c r="O711" s="150">
        <v>42310.896004125003</v>
      </c>
      <c r="P711" s="150">
        <v>40588.803</v>
      </c>
      <c r="Q711" s="150">
        <v>1722.0930041250031</v>
      </c>
      <c r="R711" s="150">
        <v>46859.733033993019</v>
      </c>
      <c r="S711" s="150">
        <v>-45137.640029868016</v>
      </c>
      <c r="T711" s="50" t="s">
        <v>7175</v>
      </c>
      <c r="U711" s="50">
        <v>-4.3362365409497567E-4</v>
      </c>
      <c r="V711" s="50">
        <v>0.99</v>
      </c>
      <c r="W711" s="50">
        <v>1.0059644028178991</v>
      </c>
      <c r="X711" s="50" t="s">
        <v>7162</v>
      </c>
      <c r="Y711" s="50">
        <v>0.32</v>
      </c>
    </row>
    <row r="712" spans="2:25" x14ac:dyDescent="0.2">
      <c r="B712" s="50" t="s">
        <v>9</v>
      </c>
      <c r="C712" s="50" t="s">
        <v>767</v>
      </c>
      <c r="D712" s="50"/>
      <c r="E712" s="50"/>
      <c r="F712" s="51" t="s">
        <v>528</v>
      </c>
      <c r="G712" s="50" t="s">
        <v>527</v>
      </c>
      <c r="H712" s="50" t="s">
        <v>10</v>
      </c>
      <c r="I712" s="50" t="s">
        <v>1120</v>
      </c>
      <c r="J712" s="50" t="s">
        <v>529</v>
      </c>
      <c r="K712" s="50" t="s">
        <v>7174</v>
      </c>
      <c r="L712" s="50">
        <v>84</v>
      </c>
      <c r="M712" s="50">
        <v>0.84</v>
      </c>
      <c r="N712" s="50">
        <v>0.79175704989154017</v>
      </c>
      <c r="O712" s="150">
        <v>65816.94933974999</v>
      </c>
      <c r="P712" s="150">
        <v>63138.137999999999</v>
      </c>
      <c r="Q712" s="150">
        <v>2678.811339749991</v>
      </c>
      <c r="R712" s="150">
        <v>48435.277203248756</v>
      </c>
      <c r="S712" s="150">
        <v>-45756.465863498765</v>
      </c>
      <c r="T712" s="50" t="s">
        <v>7175</v>
      </c>
      <c r="U712" s="50">
        <v>-4.3956852669021487E-4</v>
      </c>
      <c r="V712" s="50">
        <v>0.99</v>
      </c>
      <c r="W712" s="50">
        <v>1.0055248342912089</v>
      </c>
      <c r="X712" s="50" t="s">
        <v>7159</v>
      </c>
      <c r="Y712" s="50">
        <v>0.32</v>
      </c>
    </row>
    <row r="713" spans="2:25" x14ac:dyDescent="0.2">
      <c r="B713" s="50" t="s">
        <v>9</v>
      </c>
      <c r="C713" s="50" t="s">
        <v>777</v>
      </c>
      <c r="D713" s="50"/>
      <c r="E713" s="50"/>
      <c r="F713" s="51" t="s">
        <v>528</v>
      </c>
      <c r="G713" s="50" t="s">
        <v>527</v>
      </c>
      <c r="H713" s="50" t="s">
        <v>10</v>
      </c>
      <c r="I713" s="50" t="s">
        <v>1120</v>
      </c>
      <c r="J713" s="50" t="s">
        <v>529</v>
      </c>
      <c r="K713" s="50" t="s">
        <v>7174</v>
      </c>
      <c r="L713" s="50">
        <v>42</v>
      </c>
      <c r="M713" s="50">
        <v>0.42</v>
      </c>
      <c r="N713" s="50">
        <v>0.77991452991453003</v>
      </c>
      <c r="O713" s="150">
        <v>32908.474669874995</v>
      </c>
      <c r="P713" s="150">
        <v>31569.069</v>
      </c>
      <c r="Q713" s="150">
        <v>1339.4056698749955</v>
      </c>
      <c r="R713" s="150">
        <v>47710.817928841192</v>
      </c>
      <c r="S713" s="150">
        <v>-46371.4122589662</v>
      </c>
      <c r="T713" s="50" t="s">
        <v>7175</v>
      </c>
      <c r="U713" s="50">
        <v>-4.4547613069650932E-4</v>
      </c>
      <c r="V713" s="50">
        <v>0.99</v>
      </c>
      <c r="W713" s="50">
        <v>1.0050793581605124</v>
      </c>
      <c r="X713" s="50" t="s">
        <v>7160</v>
      </c>
      <c r="Y713" s="50">
        <v>0.32</v>
      </c>
    </row>
    <row r="714" spans="2:25" x14ac:dyDescent="0.2">
      <c r="B714" s="50" t="s">
        <v>9</v>
      </c>
      <c r="C714" s="50" t="s">
        <v>886</v>
      </c>
      <c r="D714" s="50"/>
      <c r="E714" s="50"/>
      <c r="F714" s="51" t="s">
        <v>528</v>
      </c>
      <c r="G714" s="50" t="s">
        <v>527</v>
      </c>
      <c r="H714" s="50" t="s">
        <v>23</v>
      </c>
      <c r="I714" s="50" t="s">
        <v>1120</v>
      </c>
      <c r="J714" s="50" t="s">
        <v>543</v>
      </c>
      <c r="K714" s="50" t="s">
        <v>7174</v>
      </c>
      <c r="L714" s="50">
        <v>6.5</v>
      </c>
      <c r="M714" s="50">
        <v>0.13</v>
      </c>
      <c r="N714" s="50">
        <v>0.86</v>
      </c>
      <c r="O714" s="150">
        <v>10185.956445437499</v>
      </c>
      <c r="P714" s="150">
        <v>5026.3784999999998</v>
      </c>
      <c r="Q714" s="150">
        <v>5159.5779454374997</v>
      </c>
      <c r="R714" s="150">
        <v>52610</v>
      </c>
      <c r="S714" s="150">
        <v>-47450.422054562499</v>
      </c>
      <c r="T714" s="50" t="s">
        <v>7175</v>
      </c>
      <c r="U714" s="50">
        <v>-4.5584185141343505E-4</v>
      </c>
      <c r="V714" s="50">
        <v>0.98</v>
      </c>
      <c r="W714" s="50">
        <v>1.0046235163090991</v>
      </c>
      <c r="X714" s="50" t="s">
        <v>7163</v>
      </c>
      <c r="Y714" s="50">
        <v>0.32</v>
      </c>
    </row>
    <row r="715" spans="2:25" x14ac:dyDescent="0.2">
      <c r="B715" s="50" t="s">
        <v>9</v>
      </c>
      <c r="C715" s="50" t="s">
        <v>571</v>
      </c>
      <c r="D715" s="50"/>
      <c r="E715" s="50"/>
      <c r="F715" s="51" t="s">
        <v>528</v>
      </c>
      <c r="G715" s="50" t="s">
        <v>527</v>
      </c>
      <c r="H715" s="50" t="s">
        <v>10</v>
      </c>
      <c r="I715" s="50" t="s">
        <v>1120</v>
      </c>
      <c r="J715" s="50" t="s">
        <v>529</v>
      </c>
      <c r="K715" s="50" t="s">
        <v>7174</v>
      </c>
      <c r="L715" s="50">
        <v>114</v>
      </c>
      <c r="M715" s="50">
        <v>0.56999999999999995</v>
      </c>
      <c r="N715" s="50">
        <v>0.12980085348506401</v>
      </c>
      <c r="O715" s="150">
        <v>44661.501337687492</v>
      </c>
      <c r="P715" s="150">
        <v>84453.736499999999</v>
      </c>
      <c r="Q715" s="150">
        <v>-39792.235162312507</v>
      </c>
      <c r="R715" s="150">
        <v>7940.491746336299</v>
      </c>
      <c r="S715" s="150">
        <v>-47732.726908648809</v>
      </c>
      <c r="T715" s="50" t="s">
        <v>7175</v>
      </c>
      <c r="U715" s="50">
        <v>-4.5855386875232675E-4</v>
      </c>
      <c r="V715" s="50">
        <v>0.99500000000000011</v>
      </c>
      <c r="W715" s="50">
        <v>1.0041649624403468</v>
      </c>
      <c r="X715" s="50" t="s">
        <v>7162</v>
      </c>
      <c r="Y715" s="50">
        <v>0.32</v>
      </c>
    </row>
    <row r="716" spans="2:25" x14ac:dyDescent="0.2">
      <c r="B716" s="50" t="s">
        <v>9</v>
      </c>
      <c r="C716" s="50" t="s">
        <v>962</v>
      </c>
      <c r="D716" s="50"/>
      <c r="E716" s="50"/>
      <c r="F716" s="51" t="s">
        <v>528</v>
      </c>
      <c r="G716" s="50" t="s">
        <v>527</v>
      </c>
      <c r="H716" s="50" t="s">
        <v>23</v>
      </c>
      <c r="I716" s="50" t="s">
        <v>1120</v>
      </c>
      <c r="J716" s="50" t="s">
        <v>543</v>
      </c>
      <c r="K716" s="50" t="s">
        <v>7174</v>
      </c>
      <c r="L716" s="50">
        <v>30</v>
      </c>
      <c r="M716" s="50">
        <v>0</v>
      </c>
      <c r="N716" s="50">
        <v>0.42458317177200466</v>
      </c>
      <c r="O716" s="150">
        <v>0</v>
      </c>
      <c r="P716" s="150">
        <v>21900</v>
      </c>
      <c r="Q716" s="150">
        <v>-21900</v>
      </c>
      <c r="R716" s="150">
        <v>25973.628682471124</v>
      </c>
      <c r="S716" s="150">
        <v>-47873.628682471128</v>
      </c>
      <c r="T716" s="50" t="s">
        <v>7175</v>
      </c>
      <c r="U716" s="50">
        <v>-4.599074694721001E-4</v>
      </c>
      <c r="V716" s="50">
        <v>1</v>
      </c>
      <c r="W716" s="50">
        <v>1.0037050549708748</v>
      </c>
      <c r="X716" s="50" t="s">
        <v>7159</v>
      </c>
      <c r="Y716" s="50">
        <v>0.32</v>
      </c>
    </row>
    <row r="717" spans="2:25" x14ac:dyDescent="0.2">
      <c r="B717" s="50" t="s">
        <v>9</v>
      </c>
      <c r="C717" s="50" t="s">
        <v>623</v>
      </c>
      <c r="D717" s="50"/>
      <c r="E717" s="50"/>
      <c r="F717" s="51" t="s">
        <v>528</v>
      </c>
      <c r="G717" s="50" t="s">
        <v>527</v>
      </c>
      <c r="H717" s="50" t="s">
        <v>10</v>
      </c>
      <c r="I717" s="50" t="s">
        <v>1120</v>
      </c>
      <c r="J717" s="50" t="s">
        <v>529</v>
      </c>
      <c r="K717" s="50" t="s">
        <v>7174</v>
      </c>
      <c r="L717" s="50">
        <v>2</v>
      </c>
      <c r="M717" s="50">
        <v>0.08</v>
      </c>
      <c r="N717" s="50">
        <v>0.86</v>
      </c>
      <c r="O717" s="150">
        <v>6268.2808894999998</v>
      </c>
      <c r="P717" s="150">
        <v>1633.1559999999999</v>
      </c>
      <c r="Q717" s="150">
        <v>4635.1248894999999</v>
      </c>
      <c r="R717" s="150">
        <v>52610</v>
      </c>
      <c r="S717" s="150">
        <v>-47974.875110499997</v>
      </c>
      <c r="T717" s="50" t="s">
        <v>7175</v>
      </c>
      <c r="U717" s="50">
        <v>-4.6088011328017007E-4</v>
      </c>
      <c r="V717" s="50">
        <v>0.96</v>
      </c>
      <c r="W717" s="50">
        <v>1.0032441748575947</v>
      </c>
      <c r="X717" s="50" t="s">
        <v>7161</v>
      </c>
      <c r="Y717" s="50">
        <v>0.32</v>
      </c>
    </row>
    <row r="718" spans="2:25" x14ac:dyDescent="0.2">
      <c r="B718" s="50" t="s">
        <v>9</v>
      </c>
      <c r="C718" s="50" t="s">
        <v>827</v>
      </c>
      <c r="D718" s="50"/>
      <c r="E718" s="50"/>
      <c r="F718" s="51" t="s">
        <v>528</v>
      </c>
      <c r="G718" s="50" t="s">
        <v>527</v>
      </c>
      <c r="H718" s="50" t="s">
        <v>23</v>
      </c>
      <c r="I718" s="50" t="s">
        <v>1121</v>
      </c>
      <c r="J718" s="50" t="s">
        <v>543</v>
      </c>
      <c r="K718" s="50" t="s">
        <v>7174</v>
      </c>
      <c r="L718" s="50">
        <v>345</v>
      </c>
      <c r="M718" s="50">
        <v>3.45</v>
      </c>
      <c r="N718" s="50">
        <v>0.32</v>
      </c>
      <c r="O718" s="150">
        <v>270319.6133596875</v>
      </c>
      <c r="P718" s="150">
        <v>259317.35249999998</v>
      </c>
      <c r="Q718" s="150">
        <v>11002.260859687522</v>
      </c>
      <c r="R718" s="150">
        <v>59070</v>
      </c>
      <c r="S718" s="150">
        <v>-48067.739140312478</v>
      </c>
      <c r="T718" s="50" t="s">
        <v>7175</v>
      </c>
      <c r="U718" s="50">
        <v>-4.6177222992416445E-4</v>
      </c>
      <c r="V718" s="50">
        <v>0.99</v>
      </c>
      <c r="W718" s="50">
        <v>1.0027824026276704</v>
      </c>
      <c r="X718" s="50" t="s">
        <v>7163</v>
      </c>
      <c r="Y718" s="50">
        <v>0.32</v>
      </c>
    </row>
    <row r="719" spans="2:25" x14ac:dyDescent="0.2">
      <c r="B719" s="50" t="s">
        <v>9</v>
      </c>
      <c r="C719" s="50" t="s">
        <v>192</v>
      </c>
      <c r="D719" s="50"/>
      <c r="E719" s="50"/>
      <c r="F719" s="51" t="s">
        <v>528</v>
      </c>
      <c r="G719" s="50" t="s">
        <v>527</v>
      </c>
      <c r="H719" s="50" t="s">
        <v>15</v>
      </c>
      <c r="I719" s="50" t="s">
        <v>1120</v>
      </c>
      <c r="J719" s="50" t="s">
        <v>16</v>
      </c>
      <c r="K719" s="50" t="s">
        <v>7174</v>
      </c>
      <c r="L719" s="50">
        <v>21</v>
      </c>
      <c r="M719" s="50">
        <v>0.252</v>
      </c>
      <c r="N719" s="50">
        <v>0.86</v>
      </c>
      <c r="O719" s="150">
        <v>19745.084801924997</v>
      </c>
      <c r="P719" s="150">
        <v>15875.4414</v>
      </c>
      <c r="Q719" s="150">
        <v>3869.6434019249973</v>
      </c>
      <c r="R719" s="150">
        <v>52610</v>
      </c>
      <c r="S719" s="150">
        <v>-48740.356598074999</v>
      </c>
      <c r="T719" s="50" t="s">
        <v>7175</v>
      </c>
      <c r="U719" s="50">
        <v>-4.6823386238102442E-4</v>
      </c>
      <c r="V719" s="50">
        <v>0.9880000000000001</v>
      </c>
      <c r="W719" s="50">
        <v>1.0023141687652894</v>
      </c>
      <c r="X719" s="50" t="s">
        <v>7162</v>
      </c>
      <c r="Y719" s="50">
        <v>0.32</v>
      </c>
    </row>
    <row r="720" spans="2:25" x14ac:dyDescent="0.2">
      <c r="B720" s="50" t="s">
        <v>9</v>
      </c>
      <c r="C720" s="50" t="s">
        <v>1054</v>
      </c>
      <c r="D720" s="50"/>
      <c r="E720" s="50"/>
      <c r="F720" s="51" t="s">
        <v>528</v>
      </c>
      <c r="G720" s="50" t="s">
        <v>527</v>
      </c>
      <c r="H720" s="50" t="s">
        <v>23</v>
      </c>
      <c r="I720" s="50" t="s">
        <v>1120</v>
      </c>
      <c r="J720" s="50" t="s">
        <v>543</v>
      </c>
      <c r="K720" s="50" t="s">
        <v>7174</v>
      </c>
      <c r="L720" s="50">
        <v>1</v>
      </c>
      <c r="M720" s="50">
        <v>0.06</v>
      </c>
      <c r="N720" s="50">
        <v>0.86</v>
      </c>
      <c r="O720" s="150">
        <v>4701.2106671250003</v>
      </c>
      <c r="P720" s="150">
        <v>859.86699999999996</v>
      </c>
      <c r="Q720" s="150">
        <v>3841.3436671250001</v>
      </c>
      <c r="R720" s="150">
        <v>52610</v>
      </c>
      <c r="S720" s="150">
        <v>-48768.656332874998</v>
      </c>
      <c r="T720" s="50" t="s">
        <v>7175</v>
      </c>
      <c r="U720" s="50">
        <v>-4.685057293728692E-4</v>
      </c>
      <c r="V720" s="50">
        <v>0.94</v>
      </c>
      <c r="W720" s="50">
        <v>1.0018456630359165</v>
      </c>
      <c r="X720" s="50" t="s">
        <v>7160</v>
      </c>
      <c r="Y720" s="50">
        <v>0.32</v>
      </c>
    </row>
    <row r="721" spans="2:25" x14ac:dyDescent="0.2">
      <c r="B721" s="50" t="s">
        <v>9</v>
      </c>
      <c r="C721" s="50" t="s">
        <v>712</v>
      </c>
      <c r="D721" s="50"/>
      <c r="E721" s="50"/>
      <c r="F721" s="51" t="s">
        <v>528</v>
      </c>
      <c r="G721" s="50" t="s">
        <v>527</v>
      </c>
      <c r="H721" s="50" t="s">
        <v>535</v>
      </c>
      <c r="I721" s="50" t="s">
        <v>1120</v>
      </c>
      <c r="J721" s="50" t="s">
        <v>536</v>
      </c>
      <c r="K721" s="50" t="s">
        <v>7174</v>
      </c>
      <c r="L721" s="50">
        <v>119</v>
      </c>
      <c r="M721" s="50">
        <v>1.19</v>
      </c>
      <c r="N721" s="50">
        <v>0.86</v>
      </c>
      <c r="O721" s="150">
        <v>93240.678231312471</v>
      </c>
      <c r="P721" s="150">
        <v>89445.695500000002</v>
      </c>
      <c r="Q721" s="150">
        <v>3794.9827313124697</v>
      </c>
      <c r="R721" s="150">
        <v>52610</v>
      </c>
      <c r="S721" s="150">
        <v>-48815.01726868753</v>
      </c>
      <c r="T721" s="50" t="s">
        <v>7175</v>
      </c>
      <c r="U721" s="50">
        <v>-4.6895110485951387E-4</v>
      </c>
      <c r="V721" s="50">
        <v>0.99</v>
      </c>
      <c r="W721" s="50">
        <v>1.001376711931057</v>
      </c>
      <c r="X721" s="50" t="s">
        <v>7159</v>
      </c>
      <c r="Y721" s="50">
        <v>0.32</v>
      </c>
    </row>
    <row r="722" spans="2:25" x14ac:dyDescent="0.2">
      <c r="B722" s="50" t="s">
        <v>9</v>
      </c>
      <c r="C722" s="50" t="s">
        <v>689</v>
      </c>
      <c r="D722" s="50"/>
      <c r="E722" s="50"/>
      <c r="F722" s="51" t="s">
        <v>528</v>
      </c>
      <c r="G722" s="50" t="s">
        <v>527</v>
      </c>
      <c r="H722" s="50" t="s">
        <v>23</v>
      </c>
      <c r="I722" s="50" t="s">
        <v>1122</v>
      </c>
      <c r="J722" s="50" t="s">
        <v>543</v>
      </c>
      <c r="K722" s="50" t="s">
        <v>7174</v>
      </c>
      <c r="L722" s="50">
        <v>321</v>
      </c>
      <c r="M722" s="50">
        <v>3.21</v>
      </c>
      <c r="N722" s="50">
        <v>0.86</v>
      </c>
      <c r="O722" s="150">
        <v>251514.77069118747</v>
      </c>
      <c r="P722" s="150">
        <v>241277.88450000001</v>
      </c>
      <c r="Q722" s="150">
        <v>10236.886191187456</v>
      </c>
      <c r="R722" s="150">
        <v>59070</v>
      </c>
      <c r="S722" s="150">
        <v>-48833.113808812544</v>
      </c>
      <c r="T722" s="50" t="s">
        <v>7175</v>
      </c>
      <c r="U722" s="50">
        <v>-4.6912495284647757E-4</v>
      </c>
      <c r="V722" s="50">
        <v>0.9900000000000001</v>
      </c>
      <c r="W722" s="50">
        <v>1.0009075869782105</v>
      </c>
      <c r="X722" s="50" t="s">
        <v>7159</v>
      </c>
      <c r="Y722" s="50">
        <v>0.32</v>
      </c>
    </row>
    <row r="723" spans="2:25" x14ac:dyDescent="0.2">
      <c r="B723" s="50" t="s">
        <v>9</v>
      </c>
      <c r="C723" s="50" t="s">
        <v>793</v>
      </c>
      <c r="D723" s="50"/>
      <c r="E723" s="50"/>
      <c r="F723" s="51" t="s">
        <v>528</v>
      </c>
      <c r="G723" s="50" t="s">
        <v>527</v>
      </c>
      <c r="H723" s="50" t="s">
        <v>10</v>
      </c>
      <c r="I723" s="50" t="s">
        <v>1121</v>
      </c>
      <c r="J723" s="50" t="s">
        <v>529</v>
      </c>
      <c r="K723" s="50" t="s">
        <v>7174</v>
      </c>
      <c r="L723" s="50">
        <v>319</v>
      </c>
      <c r="M723" s="50">
        <v>3.19</v>
      </c>
      <c r="N723" s="50">
        <v>0.32</v>
      </c>
      <c r="O723" s="150">
        <v>249947.70046881252</v>
      </c>
      <c r="P723" s="150">
        <v>239774.5955</v>
      </c>
      <c r="Q723" s="150">
        <v>10173.10496881252</v>
      </c>
      <c r="R723" s="150">
        <v>59070</v>
      </c>
      <c r="S723" s="150">
        <v>-48896.89503118748</v>
      </c>
      <c r="T723" s="50" t="s">
        <v>7175</v>
      </c>
      <c r="U723" s="50">
        <v>-4.6973767975666965E-4</v>
      </c>
      <c r="V723" s="50">
        <v>0.99</v>
      </c>
      <c r="W723" s="50">
        <v>1.0004378492984538</v>
      </c>
      <c r="X723" s="50" t="s">
        <v>7163</v>
      </c>
      <c r="Y723" s="50">
        <v>0.32</v>
      </c>
    </row>
    <row r="724" spans="2:25" x14ac:dyDescent="0.2">
      <c r="B724" s="50" t="s">
        <v>9</v>
      </c>
      <c r="C724" s="50" t="s">
        <v>667</v>
      </c>
      <c r="D724" s="50"/>
      <c r="E724" s="50"/>
      <c r="F724" s="51" t="s">
        <v>528</v>
      </c>
      <c r="G724" s="50" t="s">
        <v>527</v>
      </c>
      <c r="H724" s="50" t="s">
        <v>10</v>
      </c>
      <c r="I724" s="50" t="s">
        <v>1120</v>
      </c>
      <c r="J724" s="50" t="s">
        <v>529</v>
      </c>
      <c r="K724" s="50" t="s">
        <v>7174</v>
      </c>
      <c r="L724" s="50">
        <v>115</v>
      </c>
      <c r="M724" s="50">
        <v>1.1499999999999999</v>
      </c>
      <c r="N724" s="50">
        <v>0.86</v>
      </c>
      <c r="O724" s="150">
        <v>90106.537786562491</v>
      </c>
      <c r="P724" s="150">
        <v>86439.117500000008</v>
      </c>
      <c r="Q724" s="150">
        <v>3667.4202865624829</v>
      </c>
      <c r="R724" s="150">
        <v>52610</v>
      </c>
      <c r="S724" s="150">
        <v>-48942.579713437517</v>
      </c>
      <c r="T724" s="50" t="s">
        <v>7175</v>
      </c>
      <c r="U724" s="50">
        <v>-4.7017655867989916E-4</v>
      </c>
      <c r="V724" s="50">
        <v>0.99</v>
      </c>
      <c r="W724" s="50">
        <v>0.99996767273977394</v>
      </c>
      <c r="X724" s="50" t="s">
        <v>7162</v>
      </c>
      <c r="Y724" s="50">
        <v>0.32</v>
      </c>
    </row>
    <row r="725" spans="2:25" x14ac:dyDescent="0.2">
      <c r="B725" s="50" t="s">
        <v>9</v>
      </c>
      <c r="C725" s="50" t="s">
        <v>685</v>
      </c>
      <c r="D725" s="50"/>
      <c r="E725" s="50"/>
      <c r="F725" s="51" t="s">
        <v>528</v>
      </c>
      <c r="G725" s="50" t="s">
        <v>527</v>
      </c>
      <c r="H725" s="50" t="s">
        <v>10</v>
      </c>
      <c r="I725" s="50" t="s">
        <v>1120</v>
      </c>
      <c r="J725" s="50" t="s">
        <v>529</v>
      </c>
      <c r="K725" s="50" t="s">
        <v>7174</v>
      </c>
      <c r="L725" s="50">
        <v>133</v>
      </c>
      <c r="M725" s="50">
        <v>1.33</v>
      </c>
      <c r="N725" s="50">
        <v>0.87042925278219385</v>
      </c>
      <c r="O725" s="150">
        <v>104210.1697879375</v>
      </c>
      <c r="P725" s="150">
        <v>99968.718500000003</v>
      </c>
      <c r="Q725" s="150">
        <v>4241.4512879374961</v>
      </c>
      <c r="R725" s="150">
        <v>53248.003475431651</v>
      </c>
      <c r="S725" s="150">
        <v>-49006.552187494155</v>
      </c>
      <c r="T725" s="50" t="s">
        <v>7175</v>
      </c>
      <c r="U725" s="50">
        <v>-4.7079112288714569E-4</v>
      </c>
      <c r="V725" s="50">
        <v>0.98999999999999988</v>
      </c>
      <c r="W725" s="50">
        <v>0.99949688161688677</v>
      </c>
      <c r="X725" s="50" t="s">
        <v>7161</v>
      </c>
      <c r="Y725" s="50">
        <v>0.32</v>
      </c>
    </row>
    <row r="726" spans="2:25" x14ac:dyDescent="0.2">
      <c r="B726" s="50" t="s">
        <v>9</v>
      </c>
      <c r="C726" s="50" t="s">
        <v>534</v>
      </c>
      <c r="D726" s="50"/>
      <c r="E726" s="50"/>
      <c r="F726" s="51" t="s">
        <v>528</v>
      </c>
      <c r="G726" s="50" t="s">
        <v>527</v>
      </c>
      <c r="H726" s="50" t="s">
        <v>535</v>
      </c>
      <c r="I726" s="50" t="s">
        <v>1120</v>
      </c>
      <c r="J726" s="50" t="s">
        <v>536</v>
      </c>
      <c r="K726" s="50" t="s">
        <v>7174</v>
      </c>
      <c r="L726" s="50">
        <v>112</v>
      </c>
      <c r="M726" s="50">
        <v>1.1200000000000001</v>
      </c>
      <c r="N726" s="50">
        <v>0.86</v>
      </c>
      <c r="O726" s="150">
        <v>87755.932453000016</v>
      </c>
      <c r="P726" s="150">
        <v>84184.184000000008</v>
      </c>
      <c r="Q726" s="150">
        <v>3571.7484530000074</v>
      </c>
      <c r="R726" s="150">
        <v>52610</v>
      </c>
      <c r="S726" s="150">
        <v>-49038.251546999993</v>
      </c>
      <c r="T726" s="50" t="s">
        <v>7175</v>
      </c>
      <c r="U726" s="50">
        <v>-4.7109564904518797E-4</v>
      </c>
      <c r="V726" s="50">
        <v>0.99</v>
      </c>
      <c r="W726" s="50">
        <v>0.99902578596784153</v>
      </c>
      <c r="X726" s="50" t="s">
        <v>7159</v>
      </c>
      <c r="Y726" s="50">
        <v>0.32</v>
      </c>
    </row>
    <row r="727" spans="2:25" x14ac:dyDescent="0.2">
      <c r="B727" s="50" t="s">
        <v>9</v>
      </c>
      <c r="C727" s="50" t="s">
        <v>552</v>
      </c>
      <c r="D727" s="50"/>
      <c r="E727" s="50"/>
      <c r="F727" s="51" t="s">
        <v>528</v>
      </c>
      <c r="G727" s="50" t="s">
        <v>527</v>
      </c>
      <c r="H727" s="50" t="s">
        <v>531</v>
      </c>
      <c r="I727" s="50" t="s">
        <v>1120</v>
      </c>
      <c r="J727" s="50" t="s">
        <v>532</v>
      </c>
      <c r="K727" s="50" t="s">
        <v>7174</v>
      </c>
      <c r="L727" s="50">
        <v>107.8</v>
      </c>
      <c r="M727" s="50">
        <v>1.0780000000000001</v>
      </c>
      <c r="N727" s="50">
        <v>0.86</v>
      </c>
      <c r="O727" s="150">
        <v>84465.084986012487</v>
      </c>
      <c r="P727" s="150">
        <v>81027.277099999992</v>
      </c>
      <c r="Q727" s="150">
        <v>3437.8078860124951</v>
      </c>
      <c r="R727" s="150">
        <v>52610</v>
      </c>
      <c r="S727" s="150">
        <v>-49172.192113987505</v>
      </c>
      <c r="T727" s="50" t="s">
        <v>7175</v>
      </c>
      <c r="U727" s="50">
        <v>-4.723823755565928E-4</v>
      </c>
      <c r="V727" s="50">
        <v>0.99</v>
      </c>
      <c r="W727" s="50">
        <v>0.99855340359228495</v>
      </c>
      <c r="X727" s="50" t="s">
        <v>7161</v>
      </c>
      <c r="Y727" s="50">
        <v>0.32</v>
      </c>
    </row>
    <row r="728" spans="2:25" x14ac:dyDescent="0.2">
      <c r="B728" s="50" t="s">
        <v>9</v>
      </c>
      <c r="C728" s="50" t="s">
        <v>583</v>
      </c>
      <c r="D728" s="50"/>
      <c r="E728" s="50"/>
      <c r="F728" s="51" t="s">
        <v>528</v>
      </c>
      <c r="G728" s="50" t="s">
        <v>527</v>
      </c>
      <c r="H728" s="50" t="s">
        <v>10</v>
      </c>
      <c r="I728" s="50" t="s">
        <v>1120</v>
      </c>
      <c r="J728" s="50" t="s">
        <v>529</v>
      </c>
      <c r="K728" s="50" t="s">
        <v>7174</v>
      </c>
      <c r="L728" s="50">
        <v>54</v>
      </c>
      <c r="M728" s="50">
        <v>0.54</v>
      </c>
      <c r="N728" s="50">
        <v>0.83224755700325725</v>
      </c>
      <c r="O728" s="150">
        <v>42310.896004125003</v>
      </c>
      <c r="P728" s="150">
        <v>40588.803</v>
      </c>
      <c r="Q728" s="150">
        <v>1722.0930041250031</v>
      </c>
      <c r="R728" s="150">
        <v>50912.260434815536</v>
      </c>
      <c r="S728" s="150">
        <v>-49190.167430690533</v>
      </c>
      <c r="T728" s="50" t="s">
        <v>7175</v>
      </c>
      <c r="U728" s="50">
        <v>-4.7255505898681033E-4</v>
      </c>
      <c r="V728" s="50">
        <v>0.99</v>
      </c>
      <c r="W728" s="50">
        <v>0.99808084853329815</v>
      </c>
      <c r="X728" s="50" t="s">
        <v>7163</v>
      </c>
      <c r="Y728" s="50">
        <v>0.32</v>
      </c>
    </row>
    <row r="729" spans="2:25" x14ac:dyDescent="0.2">
      <c r="B729" s="50" t="s">
        <v>9</v>
      </c>
      <c r="C729" s="50" t="s">
        <v>733</v>
      </c>
      <c r="D729" s="50"/>
      <c r="E729" s="50"/>
      <c r="F729" s="51" t="s">
        <v>528</v>
      </c>
      <c r="G729" s="50" t="s">
        <v>527</v>
      </c>
      <c r="H729" s="50" t="s">
        <v>23</v>
      </c>
      <c r="I729" s="50" t="s">
        <v>1121</v>
      </c>
      <c r="J729" s="50" t="s">
        <v>543</v>
      </c>
      <c r="K729" s="50" t="s">
        <v>7174</v>
      </c>
      <c r="L729" s="50">
        <v>303</v>
      </c>
      <c r="M729" s="50">
        <v>3.03</v>
      </c>
      <c r="N729" s="50">
        <v>0.32</v>
      </c>
      <c r="O729" s="150">
        <v>237411.13868981248</v>
      </c>
      <c r="P729" s="150">
        <v>227748.28349999999</v>
      </c>
      <c r="Q729" s="150">
        <v>9662.8551898124861</v>
      </c>
      <c r="R729" s="150">
        <v>59070</v>
      </c>
      <c r="S729" s="150">
        <v>-49407.144810187514</v>
      </c>
      <c r="T729" s="50" t="s">
        <v>7175</v>
      </c>
      <c r="U729" s="50">
        <v>-4.7463949503821166E-4</v>
      </c>
      <c r="V729" s="50">
        <v>0.9900000000000001</v>
      </c>
      <c r="W729" s="50">
        <v>0.99760620903825992</v>
      </c>
      <c r="X729" s="50" t="s">
        <v>7163</v>
      </c>
      <c r="Y729" s="50">
        <v>0.32</v>
      </c>
    </row>
    <row r="730" spans="2:25" x14ac:dyDescent="0.2">
      <c r="B730" s="50" t="s">
        <v>9</v>
      </c>
      <c r="C730" s="50" t="s">
        <v>1077</v>
      </c>
      <c r="D730" s="50"/>
      <c r="E730" s="50"/>
      <c r="F730" s="51" t="s">
        <v>528</v>
      </c>
      <c r="G730" s="50" t="s">
        <v>527</v>
      </c>
      <c r="H730" s="50" t="s">
        <v>23</v>
      </c>
      <c r="I730" s="50" t="s">
        <v>1120</v>
      </c>
      <c r="J730" s="50" t="s">
        <v>543</v>
      </c>
      <c r="K730" s="50" t="s">
        <v>7174</v>
      </c>
      <c r="L730" s="50">
        <v>96</v>
      </c>
      <c r="M730" s="50">
        <v>0.96</v>
      </c>
      <c r="N730" s="50">
        <v>0.86</v>
      </c>
      <c r="O730" s="150">
        <v>75219.370674000005</v>
      </c>
      <c r="P730" s="150">
        <v>72157.872000000003</v>
      </c>
      <c r="Q730" s="150">
        <v>3061.4986740000022</v>
      </c>
      <c r="R730" s="150">
        <v>52610</v>
      </c>
      <c r="S730" s="150">
        <v>-49548.501325999998</v>
      </c>
      <c r="T730" s="50" t="s">
        <v>7175</v>
      </c>
      <c r="U730" s="50">
        <v>-4.7599746432672971E-4</v>
      </c>
      <c r="V730" s="50">
        <v>0.9900000000000001</v>
      </c>
      <c r="W730" s="50">
        <v>0.99713021157393322</v>
      </c>
      <c r="X730" s="50" t="s">
        <v>7162</v>
      </c>
      <c r="Y730" s="50">
        <v>0.32</v>
      </c>
    </row>
    <row r="731" spans="2:25" x14ac:dyDescent="0.2">
      <c r="B731" s="50" t="s">
        <v>9</v>
      </c>
      <c r="C731" s="50" t="s">
        <v>1066</v>
      </c>
      <c r="D731" s="50"/>
      <c r="E731" s="50"/>
      <c r="F731" s="51" t="s">
        <v>528</v>
      </c>
      <c r="G731" s="50" t="s">
        <v>527</v>
      </c>
      <c r="H731" s="50" t="s">
        <v>535</v>
      </c>
      <c r="I731" s="50" t="s">
        <v>1120</v>
      </c>
      <c r="J731" s="50" t="s">
        <v>536</v>
      </c>
      <c r="K731" s="50" t="s">
        <v>7174</v>
      </c>
      <c r="L731" s="50">
        <v>90</v>
      </c>
      <c r="M731" s="50">
        <v>0.9</v>
      </c>
      <c r="N731" s="50">
        <v>0.86</v>
      </c>
      <c r="O731" s="150">
        <v>70518.160006874998</v>
      </c>
      <c r="P731" s="150">
        <v>67648.00499999999</v>
      </c>
      <c r="Q731" s="150">
        <v>2870.1550068750075</v>
      </c>
      <c r="R731" s="150">
        <v>52610</v>
      </c>
      <c r="S731" s="150">
        <v>-49739.844993124992</v>
      </c>
      <c r="T731" s="50" t="s">
        <v>7175</v>
      </c>
      <c r="U731" s="50">
        <v>-4.7783564505730778E-4</v>
      </c>
      <c r="V731" s="50">
        <v>0.99</v>
      </c>
      <c r="W731" s="50">
        <v>0.9966523759288759</v>
      </c>
      <c r="X731" s="50" t="s">
        <v>7161</v>
      </c>
      <c r="Y731" s="50">
        <v>0.32</v>
      </c>
    </row>
    <row r="732" spans="2:25" x14ac:dyDescent="0.2">
      <c r="B732" s="50" t="s">
        <v>9</v>
      </c>
      <c r="C732" s="50" t="s">
        <v>1070</v>
      </c>
      <c r="D732" s="50"/>
      <c r="E732" s="50"/>
      <c r="F732" s="51" t="s">
        <v>528</v>
      </c>
      <c r="G732" s="50" t="s">
        <v>527</v>
      </c>
      <c r="H732" s="50" t="s">
        <v>10</v>
      </c>
      <c r="I732" s="50" t="s">
        <v>1120</v>
      </c>
      <c r="J732" s="50" t="s">
        <v>529</v>
      </c>
      <c r="K732" s="50" t="s">
        <v>7174</v>
      </c>
      <c r="L732" s="50">
        <v>87</v>
      </c>
      <c r="M732" s="50">
        <v>0.87</v>
      </c>
      <c r="N732" s="50">
        <v>0.86</v>
      </c>
      <c r="O732" s="150">
        <v>68167.554673312494</v>
      </c>
      <c r="P732" s="150">
        <v>65393.071499999998</v>
      </c>
      <c r="Q732" s="150">
        <v>2774.4831733124956</v>
      </c>
      <c r="R732" s="150">
        <v>52610</v>
      </c>
      <c r="S732" s="150">
        <v>-49835.516826687504</v>
      </c>
      <c r="T732" s="50" t="s">
        <v>7175</v>
      </c>
      <c r="U732" s="50">
        <v>-4.7875473542259697E-4</v>
      </c>
      <c r="V732" s="50">
        <v>0.99</v>
      </c>
      <c r="W732" s="50">
        <v>0.99617362119345332</v>
      </c>
      <c r="X732" s="50" t="s">
        <v>7162</v>
      </c>
      <c r="Y732" s="50">
        <v>0.32</v>
      </c>
    </row>
    <row r="733" spans="2:25" x14ac:dyDescent="0.2">
      <c r="B733" s="50" t="s">
        <v>9</v>
      </c>
      <c r="C733" s="50" t="s">
        <v>974</v>
      </c>
      <c r="D733" s="50"/>
      <c r="E733" s="50"/>
      <c r="F733" s="51" t="s">
        <v>528</v>
      </c>
      <c r="G733" s="50" t="s">
        <v>527</v>
      </c>
      <c r="H733" s="50" t="s">
        <v>10</v>
      </c>
      <c r="I733" s="50" t="s">
        <v>1120</v>
      </c>
      <c r="J733" s="50" t="s">
        <v>529</v>
      </c>
      <c r="K733" s="50" t="s">
        <v>7174</v>
      </c>
      <c r="L733" s="50">
        <v>84</v>
      </c>
      <c r="M733" s="50">
        <v>0.84</v>
      </c>
      <c r="N733" s="50">
        <v>0.86</v>
      </c>
      <c r="O733" s="150">
        <v>65816.94933974999</v>
      </c>
      <c r="P733" s="150">
        <v>63138.137999999999</v>
      </c>
      <c r="Q733" s="150">
        <v>2678.811339749991</v>
      </c>
      <c r="R733" s="150">
        <v>52610</v>
      </c>
      <c r="S733" s="150">
        <v>-49931.188660250009</v>
      </c>
      <c r="T733" s="50" t="s">
        <v>7175</v>
      </c>
      <c r="U733" s="50">
        <v>-4.7967382578788606E-4</v>
      </c>
      <c r="V733" s="50">
        <v>0.99</v>
      </c>
      <c r="W733" s="50">
        <v>0.99569394736766548</v>
      </c>
      <c r="X733" s="50" t="s">
        <v>7159</v>
      </c>
      <c r="Y733" s="50">
        <v>0.32</v>
      </c>
    </row>
    <row r="734" spans="2:25" x14ac:dyDescent="0.2">
      <c r="B734" s="50" t="s">
        <v>9</v>
      </c>
      <c r="C734" s="50" t="s">
        <v>949</v>
      </c>
      <c r="D734" s="50"/>
      <c r="E734" s="50"/>
      <c r="F734" s="51" t="s">
        <v>528</v>
      </c>
      <c r="G734" s="50" t="s">
        <v>527</v>
      </c>
      <c r="H734" s="50" t="s">
        <v>23</v>
      </c>
      <c r="I734" s="50" t="s">
        <v>1120</v>
      </c>
      <c r="J734" s="50" t="s">
        <v>543</v>
      </c>
      <c r="K734" s="50" t="s">
        <v>7174</v>
      </c>
      <c r="L734" s="50">
        <v>84</v>
      </c>
      <c r="M734" s="50">
        <v>0.84</v>
      </c>
      <c r="N734" s="50">
        <v>0.86</v>
      </c>
      <c r="O734" s="150">
        <v>65816.94933974999</v>
      </c>
      <c r="P734" s="150">
        <v>63138.137999999999</v>
      </c>
      <c r="Q734" s="150">
        <v>2678.811339749991</v>
      </c>
      <c r="R734" s="150">
        <v>52610</v>
      </c>
      <c r="S734" s="150">
        <v>-49931.188660250009</v>
      </c>
      <c r="T734" s="50" t="s">
        <v>7175</v>
      </c>
      <c r="U734" s="50">
        <v>-4.7967382578788606E-4</v>
      </c>
      <c r="V734" s="50">
        <v>0.99</v>
      </c>
      <c r="W734" s="50">
        <v>0.99521427354187764</v>
      </c>
      <c r="X734" s="50" t="s">
        <v>7163</v>
      </c>
      <c r="Y734" s="50">
        <v>0.32</v>
      </c>
    </row>
    <row r="735" spans="2:25" x14ac:dyDescent="0.2">
      <c r="B735" s="50" t="s">
        <v>9</v>
      </c>
      <c r="C735" s="50" t="s">
        <v>798</v>
      </c>
      <c r="D735" s="50"/>
      <c r="E735" s="50"/>
      <c r="F735" s="51" t="s">
        <v>528</v>
      </c>
      <c r="G735" s="50" t="s">
        <v>527</v>
      </c>
      <c r="H735" s="50" t="s">
        <v>10</v>
      </c>
      <c r="I735" s="50" t="s">
        <v>1120</v>
      </c>
      <c r="J735" s="50" t="s">
        <v>529</v>
      </c>
      <c r="K735" s="50" t="s">
        <v>7174</v>
      </c>
      <c r="L735" s="50">
        <v>71</v>
      </c>
      <c r="M735" s="50">
        <v>0.71</v>
      </c>
      <c r="N735" s="50">
        <v>0.85360149672591201</v>
      </c>
      <c r="O735" s="150">
        <v>55630.992894312491</v>
      </c>
      <c r="P735" s="150">
        <v>53366.759499999993</v>
      </c>
      <c r="Q735" s="150">
        <v>2264.2333943124977</v>
      </c>
      <c r="R735" s="150">
        <v>52218.57528226771</v>
      </c>
      <c r="S735" s="150">
        <v>-49954.341887955212</v>
      </c>
      <c r="T735" s="50" t="s">
        <v>7175</v>
      </c>
      <c r="U735" s="50">
        <v>-4.7989625184283662E-4</v>
      </c>
      <c r="V735" s="50">
        <v>0.9900000000000001</v>
      </c>
      <c r="W735" s="50">
        <v>0.99473437729003478</v>
      </c>
      <c r="X735" s="50" t="s">
        <v>7162</v>
      </c>
      <c r="Y735" s="50">
        <v>0.32</v>
      </c>
    </row>
    <row r="736" spans="2:25" x14ac:dyDescent="0.2">
      <c r="B736" s="50" t="s">
        <v>9</v>
      </c>
      <c r="C736" s="50" t="s">
        <v>598</v>
      </c>
      <c r="D736" s="50"/>
      <c r="E736" s="50"/>
      <c r="F736" s="51" t="s">
        <v>528</v>
      </c>
      <c r="G736" s="50" t="s">
        <v>527</v>
      </c>
      <c r="H736" s="50" t="s">
        <v>10</v>
      </c>
      <c r="I736" s="50" t="s">
        <v>1121</v>
      </c>
      <c r="J736" s="50" t="s">
        <v>529</v>
      </c>
      <c r="K736" s="50" t="s">
        <v>7174</v>
      </c>
      <c r="L736" s="50">
        <v>53</v>
      </c>
      <c r="M736" s="50">
        <v>0.53</v>
      </c>
      <c r="N736" s="50">
        <v>0.28000000000000003</v>
      </c>
      <c r="O736" s="150">
        <v>41527.360892937504</v>
      </c>
      <c r="P736" s="150">
        <v>39837.158499999998</v>
      </c>
      <c r="Q736" s="150">
        <v>1690.2023929375064</v>
      </c>
      <c r="R736" s="150">
        <v>51686.250000000007</v>
      </c>
      <c r="S736" s="150">
        <v>-49996.047607062501</v>
      </c>
      <c r="T736" s="50" t="s">
        <v>7175</v>
      </c>
      <c r="U736" s="50">
        <v>-4.802969060707492E-4</v>
      </c>
      <c r="V736" s="50">
        <v>0.99</v>
      </c>
      <c r="W736" s="50">
        <v>0.99425408038396401</v>
      </c>
      <c r="X736" s="50" t="s">
        <v>7163</v>
      </c>
      <c r="Y736" s="50">
        <v>0.28000000000000003</v>
      </c>
    </row>
    <row r="737" spans="2:25" x14ac:dyDescent="0.2">
      <c r="B737" s="50" t="s">
        <v>9</v>
      </c>
      <c r="C737" s="50" t="s">
        <v>971</v>
      </c>
      <c r="D737" s="50"/>
      <c r="E737" s="50"/>
      <c r="F737" s="51" t="s">
        <v>528</v>
      </c>
      <c r="G737" s="50" t="s">
        <v>527</v>
      </c>
      <c r="H737" s="50" t="s">
        <v>561</v>
      </c>
      <c r="I737" s="50" t="s">
        <v>1120</v>
      </c>
      <c r="J737" s="50" t="s">
        <v>562</v>
      </c>
      <c r="K737" s="50" t="s">
        <v>7174</v>
      </c>
      <c r="L737" s="50">
        <v>80</v>
      </c>
      <c r="M737" s="50">
        <v>0.8</v>
      </c>
      <c r="N737" s="50">
        <v>0.86</v>
      </c>
      <c r="O737" s="150">
        <v>62682.808895000002</v>
      </c>
      <c r="P737" s="150">
        <v>60131.56</v>
      </c>
      <c r="Q737" s="150">
        <v>2551.2488950000043</v>
      </c>
      <c r="R737" s="150">
        <v>52610</v>
      </c>
      <c r="S737" s="150">
        <v>-50058.751104999996</v>
      </c>
      <c r="T737" s="50" t="s">
        <v>7175</v>
      </c>
      <c r="U737" s="50">
        <v>-4.8089927960827134E-4</v>
      </c>
      <c r="V737" s="50">
        <v>0.99</v>
      </c>
      <c r="W737" s="50">
        <v>0.99377318110435575</v>
      </c>
      <c r="X737" s="50" t="s">
        <v>7159</v>
      </c>
      <c r="Y737" s="50">
        <v>0.32</v>
      </c>
    </row>
    <row r="738" spans="2:25" x14ac:dyDescent="0.2">
      <c r="B738" s="50" t="s">
        <v>9</v>
      </c>
      <c r="C738" s="50" t="s">
        <v>563</v>
      </c>
      <c r="D738" s="50"/>
      <c r="E738" s="50"/>
      <c r="F738" s="51" t="s">
        <v>528</v>
      </c>
      <c r="G738" s="50" t="s">
        <v>527</v>
      </c>
      <c r="H738" s="50" t="s">
        <v>23</v>
      </c>
      <c r="I738" s="50" t="s">
        <v>1120</v>
      </c>
      <c r="J738" s="50" t="s">
        <v>543</v>
      </c>
      <c r="K738" s="50" t="s">
        <v>7174</v>
      </c>
      <c r="L738" s="50">
        <v>78</v>
      </c>
      <c r="M738" s="50">
        <v>0.78</v>
      </c>
      <c r="N738" s="50">
        <v>0.86</v>
      </c>
      <c r="O738" s="150">
        <v>61115.73867262499</v>
      </c>
      <c r="P738" s="150">
        <v>58628.271000000008</v>
      </c>
      <c r="Q738" s="150">
        <v>2487.4676726249818</v>
      </c>
      <c r="R738" s="150">
        <v>52610</v>
      </c>
      <c r="S738" s="150">
        <v>-50122.532327375018</v>
      </c>
      <c r="T738" s="50" t="s">
        <v>7175</v>
      </c>
      <c r="U738" s="50">
        <v>-4.8151200651846428E-4</v>
      </c>
      <c r="V738" s="50">
        <v>0.99</v>
      </c>
      <c r="W738" s="50">
        <v>0.99329166909783728</v>
      </c>
      <c r="X738" s="50" t="s">
        <v>7162</v>
      </c>
      <c r="Y738" s="50">
        <v>0.32</v>
      </c>
    </row>
    <row r="739" spans="2:25" x14ac:dyDescent="0.2">
      <c r="B739" s="50" t="s">
        <v>9</v>
      </c>
      <c r="C739" s="50" t="s">
        <v>734</v>
      </c>
      <c r="D739" s="50"/>
      <c r="E739" s="50"/>
      <c r="F739" s="51" t="s">
        <v>528</v>
      </c>
      <c r="G739" s="50" t="s">
        <v>527</v>
      </c>
      <c r="H739" s="50" t="s">
        <v>23</v>
      </c>
      <c r="I739" s="50" t="s">
        <v>1121</v>
      </c>
      <c r="J739" s="50" t="s">
        <v>543</v>
      </c>
      <c r="K739" s="50" t="s">
        <v>7174</v>
      </c>
      <c r="L739" s="50">
        <v>280</v>
      </c>
      <c r="M739" s="50">
        <v>2.8</v>
      </c>
      <c r="N739" s="50">
        <v>0.32</v>
      </c>
      <c r="O739" s="150">
        <v>219389.83113249997</v>
      </c>
      <c r="P739" s="150">
        <v>210460.46000000002</v>
      </c>
      <c r="Q739" s="150">
        <v>8929.3711324999458</v>
      </c>
      <c r="R739" s="150">
        <v>59070</v>
      </c>
      <c r="S739" s="150">
        <v>-50140.628867500054</v>
      </c>
      <c r="T739" s="50" t="s">
        <v>7175</v>
      </c>
      <c r="U739" s="50">
        <v>-4.816858545054282E-4</v>
      </c>
      <c r="V739" s="50">
        <v>0.99</v>
      </c>
      <c r="W739" s="50">
        <v>0.99280998324333181</v>
      </c>
      <c r="X739" s="50" t="s">
        <v>7163</v>
      </c>
      <c r="Y739" s="50">
        <v>0.32</v>
      </c>
    </row>
    <row r="740" spans="2:25" x14ac:dyDescent="0.2">
      <c r="B740" s="50" t="s">
        <v>9</v>
      </c>
      <c r="C740" s="50" t="s">
        <v>826</v>
      </c>
      <c r="D740" s="50"/>
      <c r="E740" s="50"/>
      <c r="F740" s="51" t="s">
        <v>528</v>
      </c>
      <c r="G740" s="50" t="s">
        <v>527</v>
      </c>
      <c r="H740" s="50" t="s">
        <v>10</v>
      </c>
      <c r="I740" s="50" t="s">
        <v>1120</v>
      </c>
      <c r="J740" s="50" t="s">
        <v>529</v>
      </c>
      <c r="K740" s="50" t="s">
        <v>7174</v>
      </c>
      <c r="L740" s="50">
        <v>76</v>
      </c>
      <c r="M740" s="50">
        <v>0.76</v>
      </c>
      <c r="N740" s="50">
        <v>0.86</v>
      </c>
      <c r="O740" s="150">
        <v>59548.668450249999</v>
      </c>
      <c r="P740" s="150">
        <v>57124.981999999996</v>
      </c>
      <c r="Q740" s="150">
        <v>2423.686450250003</v>
      </c>
      <c r="R740" s="150">
        <v>52610</v>
      </c>
      <c r="S740" s="150">
        <v>-50186.313549749997</v>
      </c>
      <c r="T740" s="50" t="s">
        <v>7175</v>
      </c>
      <c r="U740" s="50">
        <v>-4.8212473342865679E-4</v>
      </c>
      <c r="V740" s="50">
        <v>0.98999999999999988</v>
      </c>
      <c r="W740" s="50">
        <v>0.99232785850990313</v>
      </c>
      <c r="X740" s="50" t="s">
        <v>7163</v>
      </c>
      <c r="Y740" s="50">
        <v>0.32</v>
      </c>
    </row>
    <row r="741" spans="2:25" x14ac:dyDescent="0.2">
      <c r="B741" s="50" t="s">
        <v>9</v>
      </c>
      <c r="C741" s="50" t="s">
        <v>757</v>
      </c>
      <c r="D741" s="50"/>
      <c r="E741" s="50"/>
      <c r="F741" s="51" t="s">
        <v>528</v>
      </c>
      <c r="G741" s="50" t="s">
        <v>527</v>
      </c>
      <c r="H741" s="50" t="s">
        <v>10</v>
      </c>
      <c r="I741" s="50" t="s">
        <v>1121</v>
      </c>
      <c r="J741" s="50" t="s">
        <v>529</v>
      </c>
      <c r="K741" s="50" t="s">
        <v>7174</v>
      </c>
      <c r="L741" s="50">
        <v>276</v>
      </c>
      <c r="M741" s="50">
        <v>2.76</v>
      </c>
      <c r="N741" s="50">
        <v>0.32</v>
      </c>
      <c r="O741" s="150">
        <v>216255.69068774997</v>
      </c>
      <c r="P741" s="150">
        <v>207453.88200000001</v>
      </c>
      <c r="Q741" s="150">
        <v>8801.8086877499591</v>
      </c>
      <c r="R741" s="150">
        <v>59070</v>
      </c>
      <c r="S741" s="150">
        <v>-50268.191312250041</v>
      </c>
      <c r="T741" s="50" t="s">
        <v>7175</v>
      </c>
      <c r="U741" s="50">
        <v>-4.8291130832581349E-4</v>
      </c>
      <c r="V741" s="50">
        <v>0.99</v>
      </c>
      <c r="W741" s="50">
        <v>0.99184494720157734</v>
      </c>
      <c r="X741" s="50" t="s">
        <v>7163</v>
      </c>
      <c r="Y741" s="50">
        <v>0.32</v>
      </c>
    </row>
    <row r="742" spans="2:25" x14ac:dyDescent="0.2">
      <c r="B742" s="50" t="s">
        <v>9</v>
      </c>
      <c r="C742" s="50" t="s">
        <v>787</v>
      </c>
      <c r="D742" s="50"/>
      <c r="E742" s="50"/>
      <c r="F742" s="51" t="s">
        <v>528</v>
      </c>
      <c r="G742" s="50" t="s">
        <v>527</v>
      </c>
      <c r="H742" s="50" t="s">
        <v>10</v>
      </c>
      <c r="I742" s="50" t="s">
        <v>1120</v>
      </c>
      <c r="J742" s="50" t="s">
        <v>529</v>
      </c>
      <c r="K742" s="50" t="s">
        <v>7174</v>
      </c>
      <c r="L742" s="50">
        <v>102</v>
      </c>
      <c r="M742" s="50">
        <v>1.02</v>
      </c>
      <c r="N742" s="50">
        <v>0.87564974010395846</v>
      </c>
      <c r="O742" s="150">
        <v>79920.581341124998</v>
      </c>
      <c r="P742" s="150">
        <v>76667.739000000001</v>
      </c>
      <c r="Q742" s="150">
        <v>3252.8423411249969</v>
      </c>
      <c r="R742" s="150">
        <v>53567.363752173558</v>
      </c>
      <c r="S742" s="150">
        <v>-50314.521411048561</v>
      </c>
      <c r="T742" s="50" t="s">
        <v>7175</v>
      </c>
      <c r="U742" s="50">
        <v>-4.8335638757059237E-4</v>
      </c>
      <c r="V742" s="50">
        <v>0.99</v>
      </c>
      <c r="W742" s="50">
        <v>0.99136159081400677</v>
      </c>
      <c r="X742" s="50" t="s">
        <v>7162</v>
      </c>
      <c r="Y742" s="50">
        <v>0.32</v>
      </c>
    </row>
    <row r="743" spans="2:25" x14ac:dyDescent="0.2">
      <c r="B743" s="50" t="s">
        <v>9</v>
      </c>
      <c r="C743" s="50" t="s">
        <v>599</v>
      </c>
      <c r="D743" s="50"/>
      <c r="E743" s="50"/>
      <c r="F743" s="51" t="s">
        <v>528</v>
      </c>
      <c r="G743" s="50" t="s">
        <v>527</v>
      </c>
      <c r="H743" s="50" t="s">
        <v>10</v>
      </c>
      <c r="I743" s="50" t="s">
        <v>1120</v>
      </c>
      <c r="J743" s="50" t="s">
        <v>529</v>
      </c>
      <c r="K743" s="50" t="s">
        <v>7174</v>
      </c>
      <c r="L743" s="50">
        <v>70</v>
      </c>
      <c r="M743" s="50">
        <v>0.7</v>
      </c>
      <c r="N743" s="50">
        <v>0.86</v>
      </c>
      <c r="O743" s="150">
        <v>54847.457783124992</v>
      </c>
      <c r="P743" s="150">
        <v>52615.115000000005</v>
      </c>
      <c r="Q743" s="150">
        <v>2232.3427831249865</v>
      </c>
      <c r="R743" s="150">
        <v>52610</v>
      </c>
      <c r="S743" s="150">
        <v>-50377.657216875014</v>
      </c>
      <c r="T743" s="50" t="s">
        <v>7175</v>
      </c>
      <c r="U743" s="50">
        <v>-4.8396291415923507E-4</v>
      </c>
      <c r="V743" s="50">
        <v>0.99</v>
      </c>
      <c r="W743" s="50">
        <v>0.99087762789984757</v>
      </c>
      <c r="X743" s="50" t="s">
        <v>7162</v>
      </c>
      <c r="Y743" s="50">
        <v>0.32</v>
      </c>
    </row>
    <row r="744" spans="2:25" x14ac:dyDescent="0.2">
      <c r="B744" s="50" t="s">
        <v>9</v>
      </c>
      <c r="C744" s="50" t="s">
        <v>913</v>
      </c>
      <c r="D744" s="50"/>
      <c r="E744" s="50"/>
      <c r="F744" s="51" t="s">
        <v>528</v>
      </c>
      <c r="G744" s="50" t="s">
        <v>527</v>
      </c>
      <c r="H744" s="50" t="s">
        <v>23</v>
      </c>
      <c r="I744" s="50" t="s">
        <v>1121</v>
      </c>
      <c r="J744" s="50" t="s">
        <v>543</v>
      </c>
      <c r="K744" s="50" t="s">
        <v>7174</v>
      </c>
      <c r="L744" s="50">
        <v>272</v>
      </c>
      <c r="M744" s="50">
        <v>2.72</v>
      </c>
      <c r="N744" s="50">
        <v>0.32</v>
      </c>
      <c r="O744" s="150">
        <v>213121.55024300001</v>
      </c>
      <c r="P744" s="150">
        <v>204447.304</v>
      </c>
      <c r="Q744" s="150">
        <v>8674.2462430000014</v>
      </c>
      <c r="R744" s="150">
        <v>59070</v>
      </c>
      <c r="S744" s="150">
        <v>-50395.753756999999</v>
      </c>
      <c r="T744" s="50" t="s">
        <v>7175</v>
      </c>
      <c r="U744" s="50">
        <v>-4.841367621461985E-4</v>
      </c>
      <c r="V744" s="50">
        <v>0.98999999999999988</v>
      </c>
      <c r="W744" s="50">
        <v>0.99039349113770137</v>
      </c>
      <c r="X744" s="50" t="s">
        <v>7163</v>
      </c>
      <c r="Y744" s="50">
        <v>0.32</v>
      </c>
    </row>
    <row r="745" spans="2:25" x14ac:dyDescent="0.2">
      <c r="B745" s="50" t="s">
        <v>9</v>
      </c>
      <c r="C745" s="50" t="s">
        <v>916</v>
      </c>
      <c r="D745" s="50"/>
      <c r="E745" s="50"/>
      <c r="F745" s="51" t="s">
        <v>528</v>
      </c>
      <c r="G745" s="50" t="s">
        <v>527</v>
      </c>
      <c r="H745" s="50" t="s">
        <v>10</v>
      </c>
      <c r="I745" s="50" t="s">
        <v>1120</v>
      </c>
      <c r="J745" s="50" t="s">
        <v>529</v>
      </c>
      <c r="K745" s="50" t="s">
        <v>7174</v>
      </c>
      <c r="L745" s="50">
        <v>67</v>
      </c>
      <c r="M745" s="50">
        <v>0.67</v>
      </c>
      <c r="N745" s="50">
        <v>0.86</v>
      </c>
      <c r="O745" s="150">
        <v>52496.852449562502</v>
      </c>
      <c r="P745" s="150">
        <v>50360.181499999999</v>
      </c>
      <c r="Q745" s="150">
        <v>2136.6709495625037</v>
      </c>
      <c r="R745" s="150">
        <v>52610</v>
      </c>
      <c r="S745" s="150">
        <v>-50473.329050437496</v>
      </c>
      <c r="T745" s="50" t="s">
        <v>7175</v>
      </c>
      <c r="U745" s="50">
        <v>-4.8488200452452394E-4</v>
      </c>
      <c r="V745" s="50">
        <v>0.99</v>
      </c>
      <c r="W745" s="50">
        <v>0.9899086091331768</v>
      </c>
      <c r="X745" s="50" t="s">
        <v>7161</v>
      </c>
      <c r="Y745" s="50">
        <v>0.32</v>
      </c>
    </row>
    <row r="746" spans="2:25" x14ac:dyDescent="0.2">
      <c r="B746" s="50" t="s">
        <v>9</v>
      </c>
      <c r="C746" s="50" t="s">
        <v>7182</v>
      </c>
      <c r="D746" s="50"/>
      <c r="E746" s="50"/>
      <c r="F746" s="51" t="s">
        <v>528</v>
      </c>
      <c r="G746" s="50" t="s">
        <v>527</v>
      </c>
      <c r="H746" s="50" t="s">
        <v>10</v>
      </c>
      <c r="I746" s="50" t="s">
        <v>1120</v>
      </c>
      <c r="J746" s="50" t="s">
        <v>529</v>
      </c>
      <c r="K746" s="50" t="s">
        <v>7174</v>
      </c>
      <c r="L746" s="50">
        <v>65</v>
      </c>
      <c r="M746" s="50">
        <v>0.65</v>
      </c>
      <c r="N746" s="50">
        <v>0.86</v>
      </c>
      <c r="O746" s="150">
        <v>50929.782227187497</v>
      </c>
      <c r="P746" s="150">
        <v>48856.892500000002</v>
      </c>
      <c r="Q746" s="150">
        <v>2072.8897271874957</v>
      </c>
      <c r="R746" s="150">
        <v>52610</v>
      </c>
      <c r="S746" s="150">
        <v>-50537.110272812504</v>
      </c>
      <c r="T746" s="50" t="s">
        <v>7175</v>
      </c>
      <c r="U746" s="50">
        <v>-4.8549473143471672E-4</v>
      </c>
      <c r="V746" s="50">
        <v>0.98999999999999988</v>
      </c>
      <c r="W746" s="50">
        <v>0.98942311440174213</v>
      </c>
      <c r="X746" s="50" t="s">
        <v>7160</v>
      </c>
      <c r="Y746" s="50">
        <v>0.32</v>
      </c>
    </row>
    <row r="747" spans="2:25" x14ac:dyDescent="0.2">
      <c r="B747" s="50" t="s">
        <v>9</v>
      </c>
      <c r="C747" s="50" t="s">
        <v>887</v>
      </c>
      <c r="D747" s="50"/>
      <c r="E747" s="50"/>
      <c r="F747" s="51" t="s">
        <v>528</v>
      </c>
      <c r="G747" s="50" t="s">
        <v>527</v>
      </c>
      <c r="H747" s="50" t="s">
        <v>621</v>
      </c>
      <c r="I747" s="50" t="s">
        <v>1120</v>
      </c>
      <c r="J747" s="50" t="s">
        <v>622</v>
      </c>
      <c r="K747" s="50" t="s">
        <v>7174</v>
      </c>
      <c r="L747" s="50">
        <v>65</v>
      </c>
      <c r="M747" s="50">
        <v>0.65</v>
      </c>
      <c r="N747" s="50">
        <v>0.86</v>
      </c>
      <c r="O747" s="150">
        <v>50929.782227187497</v>
      </c>
      <c r="P747" s="150">
        <v>48856.892500000002</v>
      </c>
      <c r="Q747" s="150">
        <v>2072.8897271874957</v>
      </c>
      <c r="R747" s="150">
        <v>52610</v>
      </c>
      <c r="S747" s="150">
        <v>-50537.110272812504</v>
      </c>
      <c r="T747" s="50" t="s">
        <v>7175</v>
      </c>
      <c r="U747" s="50">
        <v>-4.8549473143471672E-4</v>
      </c>
      <c r="V747" s="50">
        <v>0.98999999999999988</v>
      </c>
      <c r="W747" s="50">
        <v>0.98893761967030747</v>
      </c>
      <c r="X747" s="50" t="s">
        <v>7162</v>
      </c>
      <c r="Y747" s="50">
        <v>0.32</v>
      </c>
    </row>
    <row r="748" spans="2:25" x14ac:dyDescent="0.2">
      <c r="B748" s="50" t="s">
        <v>9</v>
      </c>
      <c r="C748" s="50" t="s">
        <v>565</v>
      </c>
      <c r="D748" s="50"/>
      <c r="E748" s="50"/>
      <c r="F748" s="51" t="s">
        <v>528</v>
      </c>
      <c r="G748" s="50" t="s">
        <v>527</v>
      </c>
      <c r="H748" s="50" t="s">
        <v>535</v>
      </c>
      <c r="I748" s="50" t="s">
        <v>1120</v>
      </c>
      <c r="J748" s="50" t="s">
        <v>536</v>
      </c>
      <c r="K748" s="50" t="s">
        <v>7174</v>
      </c>
      <c r="L748" s="50">
        <v>62</v>
      </c>
      <c r="M748" s="50">
        <v>0.62</v>
      </c>
      <c r="N748" s="50">
        <v>0.86</v>
      </c>
      <c r="O748" s="150">
        <v>48579.176893624994</v>
      </c>
      <c r="P748" s="150">
        <v>46601.958999999995</v>
      </c>
      <c r="Q748" s="150">
        <v>1977.2178936249984</v>
      </c>
      <c r="R748" s="150">
        <v>52610</v>
      </c>
      <c r="S748" s="150">
        <v>-50632.782106375002</v>
      </c>
      <c r="T748" s="50" t="s">
        <v>7175</v>
      </c>
      <c r="U748" s="50">
        <v>-4.8641382180000575E-4</v>
      </c>
      <c r="V748" s="50">
        <v>0.99</v>
      </c>
      <c r="W748" s="50">
        <v>0.98845120584850743</v>
      </c>
      <c r="X748" s="50" t="s">
        <v>7160</v>
      </c>
      <c r="Y748" s="50">
        <v>0.32</v>
      </c>
    </row>
    <row r="749" spans="2:25" x14ac:dyDescent="0.2">
      <c r="B749" s="50" t="s">
        <v>9</v>
      </c>
      <c r="C749" s="50" t="s">
        <v>868</v>
      </c>
      <c r="D749" s="50"/>
      <c r="E749" s="50"/>
      <c r="F749" s="51" t="s">
        <v>528</v>
      </c>
      <c r="G749" s="50" t="s">
        <v>527</v>
      </c>
      <c r="H749" s="50" t="s">
        <v>23</v>
      </c>
      <c r="I749" s="50" t="s">
        <v>1120</v>
      </c>
      <c r="J749" s="50" t="s">
        <v>543</v>
      </c>
      <c r="K749" s="50" t="s">
        <v>7174</v>
      </c>
      <c r="L749" s="50">
        <v>62</v>
      </c>
      <c r="M749" s="50">
        <v>0.62</v>
      </c>
      <c r="N749" s="50">
        <v>0.86</v>
      </c>
      <c r="O749" s="150">
        <v>48579.176893624994</v>
      </c>
      <c r="P749" s="150">
        <v>46601.958999999995</v>
      </c>
      <c r="Q749" s="150">
        <v>1977.2178936249984</v>
      </c>
      <c r="R749" s="150">
        <v>52610</v>
      </c>
      <c r="S749" s="150">
        <v>-50632.782106375002</v>
      </c>
      <c r="T749" s="50" t="s">
        <v>7175</v>
      </c>
      <c r="U749" s="50">
        <v>-4.8641382180000575E-4</v>
      </c>
      <c r="V749" s="50">
        <v>0.99</v>
      </c>
      <c r="W749" s="50">
        <v>0.98796479202670739</v>
      </c>
      <c r="X749" s="50" t="s">
        <v>7162</v>
      </c>
      <c r="Y749" s="50">
        <v>0.32</v>
      </c>
    </row>
    <row r="750" spans="2:25" x14ac:dyDescent="0.2">
      <c r="B750" s="50" t="s">
        <v>9</v>
      </c>
      <c r="C750" s="50" t="s">
        <v>537</v>
      </c>
      <c r="D750" s="50"/>
      <c r="E750" s="50"/>
      <c r="F750" s="51" t="s">
        <v>528</v>
      </c>
      <c r="G750" s="50" t="s">
        <v>527</v>
      </c>
      <c r="H750" s="50" t="s">
        <v>10</v>
      </c>
      <c r="I750" s="50" t="s">
        <v>1120</v>
      </c>
      <c r="J750" s="50" t="s">
        <v>529</v>
      </c>
      <c r="K750" s="50" t="s">
        <v>7174</v>
      </c>
      <c r="L750" s="50">
        <v>60</v>
      </c>
      <c r="M750" s="50">
        <v>0.6</v>
      </c>
      <c r="N750" s="50">
        <v>0.86</v>
      </c>
      <c r="O750" s="150">
        <v>47012.106671249996</v>
      </c>
      <c r="P750" s="150">
        <v>45098.67</v>
      </c>
      <c r="Q750" s="150">
        <v>1913.4366712499977</v>
      </c>
      <c r="R750" s="150">
        <v>52610</v>
      </c>
      <c r="S750" s="150">
        <v>-50696.563328750002</v>
      </c>
      <c r="T750" s="50" t="s">
        <v>7175</v>
      </c>
      <c r="U750" s="50">
        <v>-4.8702654871019848E-4</v>
      </c>
      <c r="V750" s="50">
        <v>0.99</v>
      </c>
      <c r="W750" s="50">
        <v>0.98747776547799715</v>
      </c>
      <c r="X750" s="50" t="s">
        <v>7161</v>
      </c>
      <c r="Y750" s="50">
        <v>0.32</v>
      </c>
    </row>
    <row r="751" spans="2:25" x14ac:dyDescent="0.2">
      <c r="B751" s="50" t="s">
        <v>9</v>
      </c>
      <c r="C751" s="50" t="s">
        <v>643</v>
      </c>
      <c r="D751" s="50"/>
      <c r="E751" s="50"/>
      <c r="F751" s="51" t="s">
        <v>528</v>
      </c>
      <c r="G751" s="50" t="s">
        <v>527</v>
      </c>
      <c r="H751" s="50" t="s">
        <v>10</v>
      </c>
      <c r="I751" s="50" t="s">
        <v>1120</v>
      </c>
      <c r="J751" s="50" t="s">
        <v>529</v>
      </c>
      <c r="K751" s="50" t="s">
        <v>7174</v>
      </c>
      <c r="L751" s="50">
        <v>58</v>
      </c>
      <c r="M751" s="50">
        <v>0.57999999999999996</v>
      </c>
      <c r="N751" s="50">
        <v>0.86003770028275206</v>
      </c>
      <c r="O751" s="150">
        <v>45445.036448874991</v>
      </c>
      <c r="P751" s="150">
        <v>43595.381000000001</v>
      </c>
      <c r="Q751" s="150">
        <v>1849.6554488749898</v>
      </c>
      <c r="R751" s="150">
        <v>52612.306292878588</v>
      </c>
      <c r="S751" s="150">
        <v>-50762.650844003598</v>
      </c>
      <c r="T751" s="50" t="s">
        <v>7175</v>
      </c>
      <c r="U751" s="50">
        <v>-4.8766143147844598E-4</v>
      </c>
      <c r="V751" s="50">
        <v>0.99</v>
      </c>
      <c r="W751" s="50">
        <v>0.98699010404651866</v>
      </c>
      <c r="X751" s="50" t="s">
        <v>7162</v>
      </c>
      <c r="Y751" s="50">
        <v>0.32</v>
      </c>
    </row>
    <row r="752" spans="2:25" x14ac:dyDescent="0.2">
      <c r="B752" s="50" t="s">
        <v>9</v>
      </c>
      <c r="C752" s="51" t="s">
        <v>7183</v>
      </c>
      <c r="D752" s="50"/>
      <c r="E752" s="50"/>
      <c r="F752" s="51" t="s">
        <v>528</v>
      </c>
      <c r="G752" s="50" t="s">
        <v>527</v>
      </c>
      <c r="H752" s="50" t="s">
        <v>10</v>
      </c>
      <c r="I752" s="50" t="s">
        <v>1121</v>
      </c>
      <c r="J752" s="50" t="s">
        <v>529</v>
      </c>
      <c r="K752" s="50" t="s">
        <v>7174</v>
      </c>
      <c r="L752" s="50">
        <v>260</v>
      </c>
      <c r="M752" s="50">
        <v>2.6</v>
      </c>
      <c r="N752" s="50">
        <v>0.32</v>
      </c>
      <c r="O752" s="150">
        <v>203719.12890874999</v>
      </c>
      <c r="P752" s="150">
        <v>195427.57</v>
      </c>
      <c r="Q752" s="150">
        <v>8291.5589087499829</v>
      </c>
      <c r="R752" s="150">
        <v>59070</v>
      </c>
      <c r="S752" s="150">
        <v>-50778.441091250017</v>
      </c>
      <c r="T752" s="50" t="s">
        <v>7175</v>
      </c>
      <c r="U752" s="50">
        <v>-4.878131236073549E-4</v>
      </c>
      <c r="V752" s="50">
        <v>0.98999999999999988</v>
      </c>
      <c r="W752" s="50">
        <v>0.98650229092291131</v>
      </c>
      <c r="X752" s="50" t="s">
        <v>7163</v>
      </c>
      <c r="Y752" s="50">
        <v>0.32</v>
      </c>
    </row>
    <row r="753" spans="2:25" x14ac:dyDescent="0.2">
      <c r="B753" s="50" t="s">
        <v>9</v>
      </c>
      <c r="C753" s="50" t="s">
        <v>764</v>
      </c>
      <c r="D753" s="50"/>
      <c r="E753" s="50"/>
      <c r="F753" s="51" t="s">
        <v>528</v>
      </c>
      <c r="G753" s="50" t="s">
        <v>527</v>
      </c>
      <c r="H753" s="50" t="s">
        <v>10</v>
      </c>
      <c r="I753" s="50" t="s">
        <v>1120</v>
      </c>
      <c r="J753" s="50" t="s">
        <v>529</v>
      </c>
      <c r="K753" s="50" t="s">
        <v>7174</v>
      </c>
      <c r="L753" s="50">
        <v>57</v>
      </c>
      <c r="M753" s="50">
        <v>0.56999999999999995</v>
      </c>
      <c r="N753" s="50">
        <v>0.86</v>
      </c>
      <c r="O753" s="150">
        <v>44661.501337687492</v>
      </c>
      <c r="P753" s="150">
        <v>42843.736499999999</v>
      </c>
      <c r="Q753" s="150">
        <v>1817.7648376874931</v>
      </c>
      <c r="R753" s="150">
        <v>52610</v>
      </c>
      <c r="S753" s="150">
        <v>-50792.235162312507</v>
      </c>
      <c r="T753" s="50" t="s">
        <v>7175</v>
      </c>
      <c r="U753" s="50">
        <v>-4.8794563907548756E-4</v>
      </c>
      <c r="V753" s="50">
        <v>0.99</v>
      </c>
      <c r="W753" s="50">
        <v>0.9860143452838358</v>
      </c>
      <c r="X753" s="50" t="s">
        <v>7163</v>
      </c>
      <c r="Y753" s="50">
        <v>0.32</v>
      </c>
    </row>
    <row r="754" spans="2:25" x14ac:dyDescent="0.2">
      <c r="B754" s="50" t="s">
        <v>9</v>
      </c>
      <c r="C754" s="50" t="s">
        <v>600</v>
      </c>
      <c r="D754" s="50"/>
      <c r="E754" s="50"/>
      <c r="F754" s="51" t="s">
        <v>528</v>
      </c>
      <c r="G754" s="50" t="s">
        <v>527</v>
      </c>
      <c r="H754" s="50" t="s">
        <v>10</v>
      </c>
      <c r="I754" s="50" t="s">
        <v>1120</v>
      </c>
      <c r="J754" s="50" t="s">
        <v>529</v>
      </c>
      <c r="K754" s="50" t="s">
        <v>7174</v>
      </c>
      <c r="L754" s="50">
        <v>54</v>
      </c>
      <c r="M754" s="50">
        <v>0.54</v>
      </c>
      <c r="N754" s="50">
        <v>0.86</v>
      </c>
      <c r="O754" s="150">
        <v>42310.896004125003</v>
      </c>
      <c r="P754" s="150">
        <v>40588.803</v>
      </c>
      <c r="Q754" s="150">
        <v>1722.0930041250031</v>
      </c>
      <c r="R754" s="150">
        <v>52610</v>
      </c>
      <c r="S754" s="150">
        <v>-50887.906995874997</v>
      </c>
      <c r="T754" s="50" t="s">
        <v>7175</v>
      </c>
      <c r="U754" s="50">
        <v>-4.8886472944077654E-4</v>
      </c>
      <c r="V754" s="50">
        <v>0.99</v>
      </c>
      <c r="W754" s="50">
        <v>0.98552548055439504</v>
      </c>
      <c r="X754" s="50" t="s">
        <v>7162</v>
      </c>
      <c r="Y754" s="50">
        <v>0.32</v>
      </c>
    </row>
    <row r="755" spans="2:25" x14ac:dyDescent="0.2">
      <c r="B755" s="50" t="s">
        <v>9</v>
      </c>
      <c r="C755" s="50" t="s">
        <v>660</v>
      </c>
      <c r="D755" s="50"/>
      <c r="E755" s="50"/>
      <c r="F755" s="51" t="s">
        <v>528</v>
      </c>
      <c r="G755" s="50" t="s">
        <v>527</v>
      </c>
      <c r="H755" s="50" t="s">
        <v>23</v>
      </c>
      <c r="I755" s="50" t="s">
        <v>1121</v>
      </c>
      <c r="J755" s="50" t="s">
        <v>543</v>
      </c>
      <c r="K755" s="50" t="s">
        <v>7174</v>
      </c>
      <c r="L755" s="50">
        <v>255</v>
      </c>
      <c r="M755" s="50">
        <v>2.5499999999999998</v>
      </c>
      <c r="N755" s="50">
        <v>0.32</v>
      </c>
      <c r="O755" s="150">
        <v>199801.45335281247</v>
      </c>
      <c r="P755" s="150">
        <v>191669.34749999997</v>
      </c>
      <c r="Q755" s="150">
        <v>8132.1058528124995</v>
      </c>
      <c r="R755" s="150">
        <v>59070</v>
      </c>
      <c r="S755" s="150">
        <v>-50937.8941471875</v>
      </c>
      <c r="T755" s="50" t="s">
        <v>7175</v>
      </c>
      <c r="U755" s="50">
        <v>-4.8934494088283655E-4</v>
      </c>
      <c r="V755" s="50">
        <v>0.99</v>
      </c>
      <c r="W755" s="50">
        <v>0.98503613561351222</v>
      </c>
      <c r="X755" s="50" t="s">
        <v>7163</v>
      </c>
      <c r="Y755" s="50">
        <v>0.32</v>
      </c>
    </row>
    <row r="756" spans="2:25" x14ac:dyDescent="0.2">
      <c r="B756" s="50" t="s">
        <v>9</v>
      </c>
      <c r="C756" s="50" t="s">
        <v>884</v>
      </c>
      <c r="D756" s="50"/>
      <c r="E756" s="50"/>
      <c r="F756" s="51" t="s">
        <v>528</v>
      </c>
      <c r="G756" s="50" t="s">
        <v>527</v>
      </c>
      <c r="H756" s="50" t="s">
        <v>10</v>
      </c>
      <c r="I756" s="50" t="s">
        <v>1120</v>
      </c>
      <c r="J756" s="50" t="s">
        <v>529</v>
      </c>
      <c r="K756" s="50" t="s">
        <v>7174</v>
      </c>
      <c r="L756" s="50">
        <v>52</v>
      </c>
      <c r="M756" s="50">
        <v>0.52</v>
      </c>
      <c r="N756" s="50">
        <v>0.86</v>
      </c>
      <c r="O756" s="150">
        <v>40743.825781749998</v>
      </c>
      <c r="P756" s="150">
        <v>39085.514000000003</v>
      </c>
      <c r="Q756" s="150">
        <v>1658.3117817499951</v>
      </c>
      <c r="R756" s="150">
        <v>52610</v>
      </c>
      <c r="S756" s="150">
        <v>-50951.688218250005</v>
      </c>
      <c r="T756" s="50" t="s">
        <v>7175</v>
      </c>
      <c r="U756" s="50">
        <v>-4.8947745635096937E-4</v>
      </c>
      <c r="V756" s="50">
        <v>0.99</v>
      </c>
      <c r="W756" s="50">
        <v>0.98454665815716125</v>
      </c>
      <c r="X756" s="50" t="s">
        <v>7162</v>
      </c>
      <c r="Y756" s="50">
        <v>0.32</v>
      </c>
    </row>
    <row r="757" spans="2:25" x14ac:dyDescent="0.2">
      <c r="B757" s="50" t="s">
        <v>9</v>
      </c>
      <c r="C757" s="50" t="s">
        <v>911</v>
      </c>
      <c r="D757" s="50"/>
      <c r="E757" s="50"/>
      <c r="F757" s="51" t="s">
        <v>528</v>
      </c>
      <c r="G757" s="50" t="s">
        <v>527</v>
      </c>
      <c r="H757" s="50" t="s">
        <v>10</v>
      </c>
      <c r="I757" s="50" t="s">
        <v>1120</v>
      </c>
      <c r="J757" s="50" t="s">
        <v>529</v>
      </c>
      <c r="K757" s="50" t="s">
        <v>7174</v>
      </c>
      <c r="L757" s="50">
        <v>51</v>
      </c>
      <c r="M757" s="50">
        <v>0.51</v>
      </c>
      <c r="N757" s="50">
        <v>0.86</v>
      </c>
      <c r="O757" s="150">
        <v>39960.290670562499</v>
      </c>
      <c r="P757" s="150">
        <v>38333.869500000001</v>
      </c>
      <c r="Q757" s="150">
        <v>1626.4211705624984</v>
      </c>
      <c r="R757" s="150">
        <v>52610</v>
      </c>
      <c r="S757" s="150">
        <v>-50983.578829437502</v>
      </c>
      <c r="T757" s="50" t="s">
        <v>7175</v>
      </c>
      <c r="U757" s="50">
        <v>-4.8978381980606563E-4</v>
      </c>
      <c r="V757" s="50">
        <v>0.99</v>
      </c>
      <c r="W757" s="50">
        <v>0.98405687433735523</v>
      </c>
      <c r="X757" s="50" t="s">
        <v>7161</v>
      </c>
      <c r="Y757" s="50">
        <v>0.32</v>
      </c>
    </row>
    <row r="758" spans="2:25" x14ac:dyDescent="0.2">
      <c r="B758" s="50" t="s">
        <v>9</v>
      </c>
      <c r="C758" s="50" t="s">
        <v>765</v>
      </c>
      <c r="D758" s="50"/>
      <c r="E758" s="50"/>
      <c r="F758" s="51" t="s">
        <v>528</v>
      </c>
      <c r="G758" s="50" t="s">
        <v>527</v>
      </c>
      <c r="H758" s="50" t="s">
        <v>10</v>
      </c>
      <c r="I758" s="50" t="s">
        <v>1120</v>
      </c>
      <c r="J758" s="50" t="s">
        <v>529</v>
      </c>
      <c r="K758" s="50" t="s">
        <v>7174</v>
      </c>
      <c r="L758" s="50">
        <v>50</v>
      </c>
      <c r="M758" s="50">
        <v>0.5</v>
      </c>
      <c r="N758" s="50">
        <v>0.86</v>
      </c>
      <c r="O758" s="150">
        <v>39176.755559375</v>
      </c>
      <c r="P758" s="150">
        <v>37582.224999999999</v>
      </c>
      <c r="Q758" s="150">
        <v>1594.5305593750018</v>
      </c>
      <c r="R758" s="150">
        <v>52610</v>
      </c>
      <c r="S758" s="150">
        <v>-51015.469440624998</v>
      </c>
      <c r="T758" s="50" t="s">
        <v>7175</v>
      </c>
      <c r="U758" s="50">
        <v>-4.9009018326116199E-4</v>
      </c>
      <c r="V758" s="50">
        <v>0.99</v>
      </c>
      <c r="W758" s="50">
        <v>0.98356678415409404</v>
      </c>
      <c r="X758" s="50" t="s">
        <v>7162</v>
      </c>
      <c r="Y758" s="50">
        <v>0.32</v>
      </c>
    </row>
    <row r="759" spans="2:25" x14ac:dyDescent="0.2">
      <c r="B759" s="50" t="s">
        <v>9</v>
      </c>
      <c r="C759" s="50" t="s">
        <v>867</v>
      </c>
      <c r="D759" s="50"/>
      <c r="E759" s="50"/>
      <c r="F759" s="51" t="s">
        <v>528</v>
      </c>
      <c r="G759" s="50" t="s">
        <v>527</v>
      </c>
      <c r="H759" s="50" t="s">
        <v>535</v>
      </c>
      <c r="I759" s="50" t="s">
        <v>1120</v>
      </c>
      <c r="J759" s="50" t="s">
        <v>536</v>
      </c>
      <c r="K759" s="50" t="s">
        <v>7174</v>
      </c>
      <c r="L759" s="50">
        <v>50</v>
      </c>
      <c r="M759" s="50">
        <v>0.5</v>
      </c>
      <c r="N759" s="50">
        <v>0.86</v>
      </c>
      <c r="O759" s="150">
        <v>39176.755559375</v>
      </c>
      <c r="P759" s="150">
        <v>37582.224999999999</v>
      </c>
      <c r="Q759" s="150">
        <v>1594.5305593750018</v>
      </c>
      <c r="R759" s="150">
        <v>52610</v>
      </c>
      <c r="S759" s="150">
        <v>-51015.469440624998</v>
      </c>
      <c r="T759" s="50" t="s">
        <v>7175</v>
      </c>
      <c r="U759" s="50">
        <v>-4.9009018326116199E-4</v>
      </c>
      <c r="V759" s="50">
        <v>0.99</v>
      </c>
      <c r="W759" s="50">
        <v>0.98307669397083286</v>
      </c>
      <c r="X759" s="50" t="s">
        <v>7159</v>
      </c>
      <c r="Y759" s="50">
        <v>0.32</v>
      </c>
    </row>
    <row r="760" spans="2:25" x14ac:dyDescent="0.2">
      <c r="B760" s="50" t="s">
        <v>9</v>
      </c>
      <c r="C760" s="50" t="s">
        <v>731</v>
      </c>
      <c r="D760" s="50"/>
      <c r="E760" s="50"/>
      <c r="F760" s="51" t="s">
        <v>528</v>
      </c>
      <c r="G760" s="50" t="s">
        <v>527</v>
      </c>
      <c r="H760" s="50" t="s">
        <v>23</v>
      </c>
      <c r="I760" s="50" t="s">
        <v>1120</v>
      </c>
      <c r="J760" s="50" t="s">
        <v>543</v>
      </c>
      <c r="K760" s="50" t="s">
        <v>7174</v>
      </c>
      <c r="L760" s="50">
        <v>2</v>
      </c>
      <c r="M760" s="50">
        <v>0.04</v>
      </c>
      <c r="N760" s="50">
        <v>0.86</v>
      </c>
      <c r="O760" s="150">
        <v>3134.1404447499999</v>
      </c>
      <c r="P760" s="150">
        <v>1546.578</v>
      </c>
      <c r="Q760" s="150">
        <v>1587.5624447499999</v>
      </c>
      <c r="R760" s="150">
        <v>52610</v>
      </c>
      <c r="S760" s="150">
        <v>-51022.437555249999</v>
      </c>
      <c r="T760" s="50" t="s">
        <v>7175</v>
      </c>
      <c r="U760" s="50">
        <v>-4.9015712383058139E-4</v>
      </c>
      <c r="V760" s="50">
        <v>0.98</v>
      </c>
      <c r="W760" s="50">
        <v>0.98258653684700226</v>
      </c>
      <c r="X760" s="50" t="s">
        <v>7159</v>
      </c>
      <c r="Y760" s="50">
        <v>0.32</v>
      </c>
    </row>
    <row r="761" spans="2:25" x14ac:dyDescent="0.2">
      <c r="B761" s="50" t="s">
        <v>9</v>
      </c>
      <c r="C761" s="50" t="s">
        <v>818</v>
      </c>
      <c r="D761" s="50"/>
      <c r="E761" s="50"/>
      <c r="F761" s="51" t="s">
        <v>528</v>
      </c>
      <c r="G761" s="50" t="s">
        <v>527</v>
      </c>
      <c r="H761" s="50" t="s">
        <v>10</v>
      </c>
      <c r="I761" s="50" t="s">
        <v>1120</v>
      </c>
      <c r="J761" s="50" t="s">
        <v>529</v>
      </c>
      <c r="K761" s="50" t="s">
        <v>7174</v>
      </c>
      <c r="L761" s="50">
        <v>48</v>
      </c>
      <c r="M761" s="50">
        <v>0.48</v>
      </c>
      <c r="N761" s="50">
        <v>0.86</v>
      </c>
      <c r="O761" s="150">
        <v>37609.685337000003</v>
      </c>
      <c r="P761" s="150">
        <v>36078.936000000002</v>
      </c>
      <c r="Q761" s="150">
        <v>1530.7493370000011</v>
      </c>
      <c r="R761" s="150">
        <v>52610</v>
      </c>
      <c r="S761" s="150">
        <v>-51079.250662999999</v>
      </c>
      <c r="T761" s="50" t="s">
        <v>7175</v>
      </c>
      <c r="U761" s="50">
        <v>-4.9070291017135471E-4</v>
      </c>
      <c r="V761" s="50">
        <v>0.9900000000000001</v>
      </c>
      <c r="W761" s="50">
        <v>0.98209583393683086</v>
      </c>
      <c r="X761" s="50" t="s">
        <v>7160</v>
      </c>
      <c r="Y761" s="50">
        <v>0.32</v>
      </c>
    </row>
    <row r="762" spans="2:25" x14ac:dyDescent="0.2">
      <c r="B762" s="50" t="s">
        <v>9</v>
      </c>
      <c r="C762" s="50" t="s">
        <v>594</v>
      </c>
      <c r="D762" s="50"/>
      <c r="E762" s="50"/>
      <c r="F762" s="51" t="s">
        <v>528</v>
      </c>
      <c r="G762" s="50" t="s">
        <v>527</v>
      </c>
      <c r="H762" s="50" t="s">
        <v>23</v>
      </c>
      <c r="I762" s="50" t="s">
        <v>1120</v>
      </c>
      <c r="J762" s="50" t="s">
        <v>543</v>
      </c>
      <c r="K762" s="50" t="s">
        <v>7174</v>
      </c>
      <c r="L762" s="50">
        <v>48</v>
      </c>
      <c r="M762" s="50">
        <v>0.48</v>
      </c>
      <c r="N762" s="50">
        <v>0.86</v>
      </c>
      <c r="O762" s="150">
        <v>37609.685337000003</v>
      </c>
      <c r="P762" s="150">
        <v>36078.936000000002</v>
      </c>
      <c r="Q762" s="150">
        <v>1530.7493370000011</v>
      </c>
      <c r="R762" s="150">
        <v>52610</v>
      </c>
      <c r="S762" s="150">
        <v>-51079.250662999999</v>
      </c>
      <c r="T762" s="50" t="s">
        <v>7175</v>
      </c>
      <c r="U762" s="50">
        <v>-4.9070291017135471E-4</v>
      </c>
      <c r="V762" s="50">
        <v>0.9900000000000001</v>
      </c>
      <c r="W762" s="50">
        <v>0.98160513102665947</v>
      </c>
      <c r="X762" s="50" t="s">
        <v>7161</v>
      </c>
      <c r="Y762" s="50">
        <v>0.32</v>
      </c>
    </row>
    <row r="763" spans="2:25" x14ac:dyDescent="0.2">
      <c r="B763" s="50" t="s">
        <v>9</v>
      </c>
      <c r="C763" s="50" t="s">
        <v>558</v>
      </c>
      <c r="D763" s="50"/>
      <c r="E763" s="50"/>
      <c r="F763" s="51" t="s">
        <v>528</v>
      </c>
      <c r="G763" s="50" t="s">
        <v>527</v>
      </c>
      <c r="H763" s="50" t="s">
        <v>10</v>
      </c>
      <c r="I763" s="50" t="s">
        <v>1121</v>
      </c>
      <c r="J763" s="50" t="s">
        <v>529</v>
      </c>
      <c r="K763" s="50" t="s">
        <v>7174</v>
      </c>
      <c r="L763" s="50">
        <v>250</v>
      </c>
      <c r="M763" s="50">
        <v>2.5</v>
      </c>
      <c r="N763" s="50">
        <v>0.32</v>
      </c>
      <c r="O763" s="150">
        <v>195883.77779687496</v>
      </c>
      <c r="P763" s="150">
        <v>187911.12500000003</v>
      </c>
      <c r="Q763" s="150">
        <v>7972.6527968749288</v>
      </c>
      <c r="R763" s="150">
        <v>59070</v>
      </c>
      <c r="S763" s="150">
        <v>-51097.347203125071</v>
      </c>
      <c r="T763" s="50" t="s">
        <v>7175</v>
      </c>
      <c r="U763" s="50">
        <v>-4.9087675815831901E-4</v>
      </c>
      <c r="V763" s="50">
        <v>0.99</v>
      </c>
      <c r="W763" s="50">
        <v>0.98111425426850118</v>
      </c>
      <c r="X763" s="50" t="s">
        <v>7159</v>
      </c>
      <c r="Y763" s="50">
        <v>0.32</v>
      </c>
    </row>
    <row r="764" spans="2:25" x14ac:dyDescent="0.2">
      <c r="B764" s="50" t="s">
        <v>9</v>
      </c>
      <c r="C764" s="50" t="s">
        <v>933</v>
      </c>
      <c r="D764" s="50"/>
      <c r="E764" s="50"/>
      <c r="F764" s="51" t="s">
        <v>528</v>
      </c>
      <c r="G764" s="50" t="s">
        <v>527</v>
      </c>
      <c r="H764" s="50" t="s">
        <v>535</v>
      </c>
      <c r="I764" s="50" t="s">
        <v>1120</v>
      </c>
      <c r="J764" s="50" t="s">
        <v>536</v>
      </c>
      <c r="K764" s="50" t="s">
        <v>7174</v>
      </c>
      <c r="L764" s="50">
        <v>47</v>
      </c>
      <c r="M764" s="50">
        <v>0.47</v>
      </c>
      <c r="N764" s="50">
        <v>0.86</v>
      </c>
      <c r="O764" s="150">
        <v>36826.150225812497</v>
      </c>
      <c r="P764" s="150">
        <v>35327.291499999999</v>
      </c>
      <c r="Q764" s="150">
        <v>1498.8587258124971</v>
      </c>
      <c r="R764" s="150">
        <v>52610</v>
      </c>
      <c r="S764" s="150">
        <v>-51111.141274187503</v>
      </c>
      <c r="T764" s="50" t="s">
        <v>7175</v>
      </c>
      <c r="U764" s="50">
        <v>-4.9100927362645107E-4</v>
      </c>
      <c r="V764" s="50">
        <v>0.99</v>
      </c>
      <c r="W764" s="50">
        <v>0.98062324499487474</v>
      </c>
      <c r="X764" s="50" t="s">
        <v>7163</v>
      </c>
      <c r="Y764" s="50">
        <v>0.32</v>
      </c>
    </row>
    <row r="765" spans="2:25" x14ac:dyDescent="0.2">
      <c r="B765" s="50" t="s">
        <v>9</v>
      </c>
      <c r="C765" s="50" t="s">
        <v>607</v>
      </c>
      <c r="D765" s="50"/>
      <c r="E765" s="50"/>
      <c r="F765" s="51" t="s">
        <v>528</v>
      </c>
      <c r="G765" s="50" t="s">
        <v>527</v>
      </c>
      <c r="H765" s="50" t="s">
        <v>10</v>
      </c>
      <c r="I765" s="50" t="s">
        <v>1121</v>
      </c>
      <c r="J765" s="50" t="s">
        <v>529</v>
      </c>
      <c r="K765" s="50" t="s">
        <v>7174</v>
      </c>
      <c r="L765" s="50">
        <v>247</v>
      </c>
      <c r="M765" s="50">
        <v>2.4700000000000002</v>
      </c>
      <c r="N765" s="50">
        <v>0.32</v>
      </c>
      <c r="O765" s="150">
        <v>193533.17246331251</v>
      </c>
      <c r="P765" s="150">
        <v>185656.19150000002</v>
      </c>
      <c r="Q765" s="150">
        <v>7876.9809633124969</v>
      </c>
      <c r="R765" s="150">
        <v>59070</v>
      </c>
      <c r="S765" s="150">
        <v>-51193.019036687503</v>
      </c>
      <c r="T765" s="50" t="s">
        <v>7175</v>
      </c>
      <c r="U765" s="50">
        <v>-4.9179584852360734E-4</v>
      </c>
      <c r="V765" s="50">
        <v>0.99</v>
      </c>
      <c r="W765" s="50">
        <v>0.98013144914635109</v>
      </c>
      <c r="X765" s="50" t="s">
        <v>7162</v>
      </c>
      <c r="Y765" s="50">
        <v>0.32</v>
      </c>
    </row>
    <row r="766" spans="2:25" x14ac:dyDescent="0.2">
      <c r="B766" s="50" t="s">
        <v>9</v>
      </c>
      <c r="C766" s="50" t="s">
        <v>575</v>
      </c>
      <c r="D766" s="50"/>
      <c r="E766" s="50"/>
      <c r="F766" s="51" t="s">
        <v>528</v>
      </c>
      <c r="G766" s="50" t="s">
        <v>527</v>
      </c>
      <c r="H766" s="50" t="s">
        <v>10</v>
      </c>
      <c r="I766" s="50" t="s">
        <v>1120</v>
      </c>
      <c r="J766" s="50" t="s">
        <v>529</v>
      </c>
      <c r="K766" s="50" t="s">
        <v>7174</v>
      </c>
      <c r="L766" s="50">
        <v>44</v>
      </c>
      <c r="M766" s="50">
        <v>0.44</v>
      </c>
      <c r="N766" s="50">
        <v>0.86</v>
      </c>
      <c r="O766" s="150">
        <v>34475.54489225</v>
      </c>
      <c r="P766" s="150">
        <v>33072.358</v>
      </c>
      <c r="Q766" s="150">
        <v>1403.1868922499998</v>
      </c>
      <c r="R766" s="150">
        <v>52610</v>
      </c>
      <c r="S766" s="150">
        <v>-51206.81310775</v>
      </c>
      <c r="T766" s="50" t="s">
        <v>7175</v>
      </c>
      <c r="U766" s="50">
        <v>-4.9192836399174016E-4</v>
      </c>
      <c r="V766" s="50">
        <v>0.9900000000000001</v>
      </c>
      <c r="W766" s="50">
        <v>0.97963952078235939</v>
      </c>
      <c r="X766" s="50" t="s">
        <v>7162</v>
      </c>
      <c r="Y766" s="50">
        <v>0.32</v>
      </c>
    </row>
    <row r="767" spans="2:25" x14ac:dyDescent="0.2">
      <c r="B767" s="50" t="s">
        <v>9</v>
      </c>
      <c r="C767" s="50" t="s">
        <v>920</v>
      </c>
      <c r="D767" s="50"/>
      <c r="E767" s="50"/>
      <c r="F767" s="51" t="s">
        <v>528</v>
      </c>
      <c r="G767" s="50" t="s">
        <v>527</v>
      </c>
      <c r="H767" s="50" t="s">
        <v>10</v>
      </c>
      <c r="I767" s="50" t="s">
        <v>1120</v>
      </c>
      <c r="J767" s="50" t="s">
        <v>529</v>
      </c>
      <c r="K767" s="50" t="s">
        <v>7174</v>
      </c>
      <c r="L767" s="50">
        <v>38</v>
      </c>
      <c r="M767" s="50">
        <v>0.38</v>
      </c>
      <c r="N767" s="50">
        <v>0.86</v>
      </c>
      <c r="O767" s="150">
        <v>29774.334225125</v>
      </c>
      <c r="P767" s="150">
        <v>28562.490999999998</v>
      </c>
      <c r="Q767" s="150">
        <v>1211.8432251250015</v>
      </c>
      <c r="R767" s="150">
        <v>52610</v>
      </c>
      <c r="S767" s="150">
        <v>-51398.156774874995</v>
      </c>
      <c r="T767" s="50" t="s">
        <v>7175</v>
      </c>
      <c r="U767" s="50">
        <v>-4.9376654472231823E-4</v>
      </c>
      <c r="V767" s="50">
        <v>0.98999999999999988</v>
      </c>
      <c r="W767" s="50">
        <v>0.97914575423763706</v>
      </c>
      <c r="X767" s="50" t="s">
        <v>7163</v>
      </c>
      <c r="Y767" s="50">
        <v>0.32</v>
      </c>
    </row>
    <row r="768" spans="2:25" x14ac:dyDescent="0.2">
      <c r="B768" s="50" t="s">
        <v>9</v>
      </c>
      <c r="C768" s="50" t="s">
        <v>947</v>
      </c>
      <c r="D768" s="50"/>
      <c r="E768" s="50"/>
      <c r="F768" s="51" t="s">
        <v>528</v>
      </c>
      <c r="G768" s="50" t="s">
        <v>527</v>
      </c>
      <c r="H768" s="50" t="s">
        <v>23</v>
      </c>
      <c r="I768" s="50" t="s">
        <v>1120</v>
      </c>
      <c r="J768" s="50" t="s">
        <v>543</v>
      </c>
      <c r="K768" s="50" t="s">
        <v>7174</v>
      </c>
      <c r="L768" s="50">
        <v>38</v>
      </c>
      <c r="M768" s="50">
        <v>0.38</v>
      </c>
      <c r="N768" s="50">
        <v>0.86</v>
      </c>
      <c r="O768" s="150">
        <v>29774.334225125</v>
      </c>
      <c r="P768" s="150">
        <v>28562.490999999998</v>
      </c>
      <c r="Q768" s="150">
        <v>1211.8432251250015</v>
      </c>
      <c r="R768" s="150">
        <v>52610</v>
      </c>
      <c r="S768" s="150">
        <v>-51398.156774874995</v>
      </c>
      <c r="T768" s="50" t="s">
        <v>7175</v>
      </c>
      <c r="U768" s="50">
        <v>-4.9376654472231823E-4</v>
      </c>
      <c r="V768" s="50">
        <v>0.98999999999999988</v>
      </c>
      <c r="W768" s="50">
        <v>0.97865198769291473</v>
      </c>
      <c r="X768" s="50" t="s">
        <v>7159</v>
      </c>
      <c r="Y768" s="50">
        <v>0.32</v>
      </c>
    </row>
    <row r="769" spans="2:25" x14ac:dyDescent="0.2">
      <c r="B769" s="50" t="s">
        <v>9</v>
      </c>
      <c r="C769" s="50" t="s">
        <v>930</v>
      </c>
      <c r="D769" s="50"/>
      <c r="E769" s="50"/>
      <c r="F769" s="51" t="s">
        <v>528</v>
      </c>
      <c r="G769" s="50" t="s">
        <v>527</v>
      </c>
      <c r="H769" s="50" t="s">
        <v>561</v>
      </c>
      <c r="I769" s="50" t="s">
        <v>1120</v>
      </c>
      <c r="J769" s="50" t="s">
        <v>562</v>
      </c>
      <c r="K769" s="50" t="s">
        <v>7174</v>
      </c>
      <c r="L769" s="50">
        <v>37</v>
      </c>
      <c r="M769" s="50">
        <v>0.37</v>
      </c>
      <c r="N769" s="50">
        <v>0.86</v>
      </c>
      <c r="O769" s="150">
        <v>28990.799113937497</v>
      </c>
      <c r="P769" s="150">
        <v>27810.846500000003</v>
      </c>
      <c r="Q769" s="150">
        <v>1179.9526139374939</v>
      </c>
      <c r="R769" s="150">
        <v>52610</v>
      </c>
      <c r="S769" s="150">
        <v>-51430.047386062506</v>
      </c>
      <c r="T769" s="50" t="s">
        <v>7175</v>
      </c>
      <c r="U769" s="50">
        <v>-4.940729081774147E-4</v>
      </c>
      <c r="V769" s="50">
        <v>0.9900000000000001</v>
      </c>
      <c r="W769" s="50">
        <v>0.97815791478473735</v>
      </c>
      <c r="X769" s="50" t="s">
        <v>7163</v>
      </c>
      <c r="Y769" s="50">
        <v>0.32</v>
      </c>
    </row>
    <row r="770" spans="2:25" x14ac:dyDescent="0.2">
      <c r="B770" s="50" t="s">
        <v>9</v>
      </c>
      <c r="C770" s="50" t="s">
        <v>910</v>
      </c>
      <c r="D770" s="50"/>
      <c r="E770" s="50"/>
      <c r="F770" s="51" t="s">
        <v>528</v>
      </c>
      <c r="G770" s="50" t="s">
        <v>527</v>
      </c>
      <c r="H770" s="50" t="s">
        <v>10</v>
      </c>
      <c r="I770" s="50" t="s">
        <v>1120</v>
      </c>
      <c r="J770" s="50" t="s">
        <v>529</v>
      </c>
      <c r="K770" s="50" t="s">
        <v>7174</v>
      </c>
      <c r="L770" s="50">
        <v>33</v>
      </c>
      <c r="M770" s="50">
        <v>0.33</v>
      </c>
      <c r="N770" s="50">
        <v>0.86</v>
      </c>
      <c r="O770" s="150">
        <v>25856.658669187502</v>
      </c>
      <c r="P770" s="150">
        <v>24804.268500000002</v>
      </c>
      <c r="Q770" s="150">
        <v>1052.3901691874999</v>
      </c>
      <c r="R770" s="150">
        <v>52610</v>
      </c>
      <c r="S770" s="150">
        <v>-51557.6098308125</v>
      </c>
      <c r="T770" s="50" t="s">
        <v>7175</v>
      </c>
      <c r="U770" s="50">
        <v>-4.9529836199780004E-4</v>
      </c>
      <c r="V770" s="50">
        <v>0.9900000000000001</v>
      </c>
      <c r="W770" s="50">
        <v>0.97766261642273955</v>
      </c>
      <c r="X770" s="50" t="s">
        <v>7163</v>
      </c>
      <c r="Y770" s="50">
        <v>0.32</v>
      </c>
    </row>
    <row r="771" spans="2:25" x14ac:dyDescent="0.2">
      <c r="B771" s="50" t="s">
        <v>9</v>
      </c>
      <c r="C771" s="50" t="s">
        <v>648</v>
      </c>
      <c r="D771" s="50"/>
      <c r="E771" s="50"/>
      <c r="F771" s="51" t="s">
        <v>528</v>
      </c>
      <c r="G771" s="50" t="s">
        <v>527</v>
      </c>
      <c r="H771" s="50" t="s">
        <v>23</v>
      </c>
      <c r="I771" s="50" t="s">
        <v>1121</v>
      </c>
      <c r="J771" s="50" t="s">
        <v>543</v>
      </c>
      <c r="K771" s="50" t="s">
        <v>7174</v>
      </c>
      <c r="L771" s="50">
        <v>235</v>
      </c>
      <c r="M771" s="50">
        <v>2.35</v>
      </c>
      <c r="N771" s="50">
        <v>0.32</v>
      </c>
      <c r="O771" s="150">
        <v>184130.7511290625</v>
      </c>
      <c r="P771" s="150">
        <v>176636.45749999999</v>
      </c>
      <c r="Q771" s="150">
        <v>7494.2936290625075</v>
      </c>
      <c r="R771" s="150">
        <v>59070</v>
      </c>
      <c r="S771" s="150">
        <v>-51575.706370937492</v>
      </c>
      <c r="T771" s="50" t="s">
        <v>7175</v>
      </c>
      <c r="U771" s="50">
        <v>-4.9547220998476347E-4</v>
      </c>
      <c r="V771" s="50">
        <v>0.99</v>
      </c>
      <c r="W771" s="50">
        <v>0.97716714421275475</v>
      </c>
      <c r="X771" s="50" t="s">
        <v>7160</v>
      </c>
      <c r="Y771" s="50">
        <v>0.32</v>
      </c>
    </row>
    <row r="772" spans="2:25" x14ac:dyDescent="0.2">
      <c r="B772" s="50" t="s">
        <v>9</v>
      </c>
      <c r="C772" s="50" t="s">
        <v>839</v>
      </c>
      <c r="D772" s="50"/>
      <c r="E772" s="50"/>
      <c r="F772" s="51" t="s">
        <v>528</v>
      </c>
      <c r="G772" s="50" t="s">
        <v>527</v>
      </c>
      <c r="H772" s="50" t="s">
        <v>10</v>
      </c>
      <c r="I772" s="50" t="s">
        <v>1120</v>
      </c>
      <c r="J772" s="50" t="s">
        <v>529</v>
      </c>
      <c r="K772" s="50" t="s">
        <v>7174</v>
      </c>
      <c r="L772" s="50">
        <v>32</v>
      </c>
      <c r="M772" s="50">
        <v>0.32</v>
      </c>
      <c r="N772" s="50">
        <v>0.86</v>
      </c>
      <c r="O772" s="150">
        <v>25073.123557999999</v>
      </c>
      <c r="P772" s="150">
        <v>24052.624</v>
      </c>
      <c r="Q772" s="150">
        <v>1020.4995579999995</v>
      </c>
      <c r="R772" s="150">
        <v>52610</v>
      </c>
      <c r="S772" s="150">
        <v>-51589.500442000004</v>
      </c>
      <c r="T772" s="50" t="s">
        <v>7175</v>
      </c>
      <c r="U772" s="50">
        <v>-4.956047254528964E-4</v>
      </c>
      <c r="V772" s="50">
        <v>0.99</v>
      </c>
      <c r="W772" s="50">
        <v>0.9766715394873019</v>
      </c>
      <c r="X772" s="50" t="s">
        <v>7159</v>
      </c>
      <c r="Y772" s="50">
        <v>0.32</v>
      </c>
    </row>
    <row r="773" spans="2:25" x14ac:dyDescent="0.2">
      <c r="B773" s="50" t="s">
        <v>9</v>
      </c>
      <c r="C773" s="50" t="s">
        <v>871</v>
      </c>
      <c r="D773" s="50"/>
      <c r="E773" s="50"/>
      <c r="F773" s="51" t="s">
        <v>528</v>
      </c>
      <c r="G773" s="50" t="s">
        <v>527</v>
      </c>
      <c r="H773" s="50" t="s">
        <v>10</v>
      </c>
      <c r="I773" s="50" t="s">
        <v>1120</v>
      </c>
      <c r="J773" s="50" t="s">
        <v>529</v>
      </c>
      <c r="K773" s="50" t="s">
        <v>7174</v>
      </c>
      <c r="L773" s="50">
        <v>30</v>
      </c>
      <c r="M773" s="50">
        <v>0.3</v>
      </c>
      <c r="N773" s="50">
        <v>0.86</v>
      </c>
      <c r="O773" s="150">
        <v>23506.053335624998</v>
      </c>
      <c r="P773" s="150">
        <v>22549.334999999999</v>
      </c>
      <c r="Q773" s="150">
        <v>956.71833562499887</v>
      </c>
      <c r="R773" s="150">
        <v>52610</v>
      </c>
      <c r="S773" s="150">
        <v>-51653.281664374997</v>
      </c>
      <c r="T773" s="50" t="s">
        <v>7175</v>
      </c>
      <c r="U773" s="50">
        <v>-4.9621745236308901E-4</v>
      </c>
      <c r="V773" s="50">
        <v>0.99</v>
      </c>
      <c r="W773" s="50">
        <v>0.97617532203493884</v>
      </c>
      <c r="X773" s="50" t="s">
        <v>7162</v>
      </c>
      <c r="Y773" s="50">
        <v>0.32</v>
      </c>
    </row>
    <row r="774" spans="2:25" x14ac:dyDescent="0.2">
      <c r="B774" s="50" t="s">
        <v>9</v>
      </c>
      <c r="C774" s="50" t="s">
        <v>686</v>
      </c>
      <c r="D774" s="50"/>
      <c r="E774" s="50"/>
      <c r="F774" s="51" t="s">
        <v>528</v>
      </c>
      <c r="G774" s="50" t="s">
        <v>527</v>
      </c>
      <c r="H774" s="50" t="s">
        <v>10</v>
      </c>
      <c r="I774" s="50" t="s">
        <v>1120</v>
      </c>
      <c r="J774" s="50" t="s">
        <v>529</v>
      </c>
      <c r="K774" s="50" t="s">
        <v>7174</v>
      </c>
      <c r="L774" s="50">
        <v>29</v>
      </c>
      <c r="M774" s="50">
        <v>0.28999999999999998</v>
      </c>
      <c r="N774" s="50">
        <v>0.86</v>
      </c>
      <c r="O774" s="150">
        <v>22722.518224437496</v>
      </c>
      <c r="P774" s="150">
        <v>21797.690500000001</v>
      </c>
      <c r="Q774" s="150">
        <v>924.82772443749491</v>
      </c>
      <c r="R774" s="150">
        <v>52610</v>
      </c>
      <c r="S774" s="150">
        <v>-51685.172275562509</v>
      </c>
      <c r="T774" s="50" t="s">
        <v>7175</v>
      </c>
      <c r="U774" s="50">
        <v>-4.9652381581818548E-4</v>
      </c>
      <c r="V774" s="50">
        <v>0.99</v>
      </c>
      <c r="W774" s="50">
        <v>0.97567879821912062</v>
      </c>
      <c r="X774" s="50" t="s">
        <v>7161</v>
      </c>
      <c r="Y774" s="50">
        <v>0.32</v>
      </c>
    </row>
    <row r="775" spans="2:25" x14ac:dyDescent="0.2">
      <c r="B775" s="50" t="s">
        <v>9</v>
      </c>
      <c r="C775" s="50" t="s">
        <v>797</v>
      </c>
      <c r="D775" s="50"/>
      <c r="E775" s="50"/>
      <c r="F775" s="51" t="s">
        <v>528</v>
      </c>
      <c r="G775" s="50" t="s">
        <v>527</v>
      </c>
      <c r="H775" s="50" t="s">
        <v>10</v>
      </c>
      <c r="I775" s="50" t="s">
        <v>1121</v>
      </c>
      <c r="J775" s="50" t="s">
        <v>529</v>
      </c>
      <c r="K775" s="50" t="s">
        <v>7174</v>
      </c>
      <c r="L775" s="50">
        <v>230</v>
      </c>
      <c r="M775" s="50">
        <v>2.2999999999999998</v>
      </c>
      <c r="N775" s="50">
        <v>0.32</v>
      </c>
      <c r="O775" s="150">
        <v>180213.07557312498</v>
      </c>
      <c r="P775" s="150">
        <v>172878.23500000002</v>
      </c>
      <c r="Q775" s="150">
        <v>7334.8405731249659</v>
      </c>
      <c r="R775" s="150">
        <v>59070</v>
      </c>
      <c r="S775" s="150">
        <v>-51735.159426875034</v>
      </c>
      <c r="T775" s="50" t="s">
        <v>7175</v>
      </c>
      <c r="U775" s="50">
        <v>-4.9700402726024571E-4</v>
      </c>
      <c r="V775" s="50">
        <v>0.99</v>
      </c>
      <c r="W775" s="50">
        <v>0.97518179419186035</v>
      </c>
      <c r="X775" s="50" t="s">
        <v>7163</v>
      </c>
      <c r="Y775" s="50">
        <v>0.32</v>
      </c>
    </row>
    <row r="776" spans="2:25" x14ac:dyDescent="0.2">
      <c r="B776" s="50" t="s">
        <v>9</v>
      </c>
      <c r="C776" s="50" t="s">
        <v>542</v>
      </c>
      <c r="D776" s="50"/>
      <c r="E776" s="50"/>
      <c r="F776" s="51" t="s">
        <v>528</v>
      </c>
      <c r="G776" s="50" t="s">
        <v>527</v>
      </c>
      <c r="H776" s="50" t="s">
        <v>23</v>
      </c>
      <c r="I776" s="50" t="s">
        <v>1120</v>
      </c>
      <c r="J776" s="50" t="s">
        <v>543</v>
      </c>
      <c r="K776" s="50" t="s">
        <v>7174</v>
      </c>
      <c r="L776" s="50">
        <v>25</v>
      </c>
      <c r="M776" s="50">
        <v>0.25</v>
      </c>
      <c r="N776" s="50">
        <v>0.86</v>
      </c>
      <c r="O776" s="150">
        <v>19588.3777796875</v>
      </c>
      <c r="P776" s="150">
        <v>18791.112499999999</v>
      </c>
      <c r="Q776" s="150">
        <v>797.26527968750088</v>
      </c>
      <c r="R776" s="150">
        <v>52610</v>
      </c>
      <c r="S776" s="150">
        <v>-51812.734720312495</v>
      </c>
      <c r="T776" s="50" t="s">
        <v>7175</v>
      </c>
      <c r="U776" s="50">
        <v>-4.9774926963857082E-4</v>
      </c>
      <c r="V776" s="50">
        <v>0.99</v>
      </c>
      <c r="W776" s="50">
        <v>0.97468404492222183</v>
      </c>
      <c r="X776" s="50" t="s">
        <v>7161</v>
      </c>
      <c r="Y776" s="50">
        <v>0.32</v>
      </c>
    </row>
    <row r="777" spans="2:25" x14ac:dyDescent="0.2">
      <c r="B777" s="50" t="s">
        <v>9</v>
      </c>
      <c r="C777" s="50" t="s">
        <v>576</v>
      </c>
      <c r="D777" s="50"/>
      <c r="E777" s="50"/>
      <c r="F777" s="51" t="s">
        <v>528</v>
      </c>
      <c r="G777" s="50" t="s">
        <v>527</v>
      </c>
      <c r="H777" s="50" t="s">
        <v>535</v>
      </c>
      <c r="I777" s="50" t="s">
        <v>1120</v>
      </c>
      <c r="J777" s="50" t="s">
        <v>536</v>
      </c>
      <c r="K777" s="50" t="s">
        <v>7174</v>
      </c>
      <c r="L777" s="50">
        <v>25</v>
      </c>
      <c r="M777" s="50">
        <v>0.25</v>
      </c>
      <c r="N777" s="50">
        <v>0.86</v>
      </c>
      <c r="O777" s="150">
        <v>19588.3777796875</v>
      </c>
      <c r="P777" s="150">
        <v>18791.112499999999</v>
      </c>
      <c r="Q777" s="150">
        <v>797.26527968750088</v>
      </c>
      <c r="R777" s="150">
        <v>52610</v>
      </c>
      <c r="S777" s="150">
        <v>-51812.734720312495</v>
      </c>
      <c r="T777" s="50" t="s">
        <v>7175</v>
      </c>
      <c r="U777" s="50">
        <v>-4.9774926963857082E-4</v>
      </c>
      <c r="V777" s="50">
        <v>0.99</v>
      </c>
      <c r="W777" s="50">
        <v>0.9741862956525833</v>
      </c>
      <c r="X777" s="50" t="s">
        <v>7161</v>
      </c>
      <c r="Y777" s="50">
        <v>0.32</v>
      </c>
    </row>
    <row r="778" spans="2:25" x14ac:dyDescent="0.2">
      <c r="B778" s="50" t="s">
        <v>9</v>
      </c>
      <c r="C778" s="50" t="s">
        <v>988</v>
      </c>
      <c r="D778" s="50"/>
      <c r="E778" s="50"/>
      <c r="F778" s="51" t="s">
        <v>528</v>
      </c>
      <c r="G778" s="50" t="s">
        <v>527</v>
      </c>
      <c r="H778" s="50" t="s">
        <v>10</v>
      </c>
      <c r="I778" s="50" t="s">
        <v>1120</v>
      </c>
      <c r="J778" s="50" t="s">
        <v>529</v>
      </c>
      <c r="K778" s="50" t="s">
        <v>7174</v>
      </c>
      <c r="L778" s="50">
        <v>24</v>
      </c>
      <c r="M778" s="50">
        <v>0.24</v>
      </c>
      <c r="N778" s="50">
        <v>0.86</v>
      </c>
      <c r="O778" s="150">
        <v>18804.842668500001</v>
      </c>
      <c r="P778" s="150">
        <v>18039.468000000001</v>
      </c>
      <c r="Q778" s="150">
        <v>765.37466850000055</v>
      </c>
      <c r="R778" s="150">
        <v>52610</v>
      </c>
      <c r="S778" s="150">
        <v>-51844.625331499999</v>
      </c>
      <c r="T778" s="50" t="s">
        <v>7175</v>
      </c>
      <c r="U778" s="50">
        <v>-4.9805563309366719E-4</v>
      </c>
      <c r="V778" s="50">
        <v>0.9900000000000001</v>
      </c>
      <c r="W778" s="50">
        <v>0.97368824001948961</v>
      </c>
      <c r="X778" s="50" t="s">
        <v>7162</v>
      </c>
      <c r="Y778" s="50">
        <v>0.32</v>
      </c>
    </row>
    <row r="779" spans="2:25" x14ac:dyDescent="0.2">
      <c r="B779" s="50" t="s">
        <v>9</v>
      </c>
      <c r="C779" s="50" t="s">
        <v>773</v>
      </c>
      <c r="D779" s="50"/>
      <c r="E779" s="50"/>
      <c r="F779" s="51" t="s">
        <v>528</v>
      </c>
      <c r="G779" s="50" t="s">
        <v>527</v>
      </c>
      <c r="H779" s="50" t="s">
        <v>10</v>
      </c>
      <c r="I779" s="50" t="s">
        <v>1120</v>
      </c>
      <c r="J779" s="50" t="s">
        <v>529</v>
      </c>
      <c r="K779" s="50" t="s">
        <v>7174</v>
      </c>
      <c r="L779" s="50">
        <v>21</v>
      </c>
      <c r="M779" s="50">
        <v>0.21</v>
      </c>
      <c r="N779" s="50">
        <v>0.86</v>
      </c>
      <c r="O779" s="150">
        <v>16454.237334937498</v>
      </c>
      <c r="P779" s="150">
        <v>15784.5345</v>
      </c>
      <c r="Q779" s="150">
        <v>669.70283493749776</v>
      </c>
      <c r="R779" s="150">
        <v>52610</v>
      </c>
      <c r="S779" s="150">
        <v>-51940.297165062504</v>
      </c>
      <c r="T779" s="50" t="s">
        <v>7175</v>
      </c>
      <c r="U779" s="50">
        <v>-4.9897472345895627E-4</v>
      </c>
      <c r="V779" s="50">
        <v>0.99</v>
      </c>
      <c r="W779" s="50">
        <v>0.97318926529603067</v>
      </c>
      <c r="X779" s="50" t="s">
        <v>7159</v>
      </c>
      <c r="Y779" s="50">
        <v>0.32</v>
      </c>
    </row>
    <row r="780" spans="2:25" x14ac:dyDescent="0.2">
      <c r="B780" s="50" t="s">
        <v>9</v>
      </c>
      <c r="C780" s="50" t="s">
        <v>905</v>
      </c>
      <c r="D780" s="50"/>
      <c r="E780" s="50"/>
      <c r="F780" s="51" t="s">
        <v>528</v>
      </c>
      <c r="G780" s="50" t="s">
        <v>527</v>
      </c>
      <c r="H780" s="50" t="s">
        <v>10</v>
      </c>
      <c r="I780" s="50" t="s">
        <v>1120</v>
      </c>
      <c r="J780" s="50" t="s">
        <v>529</v>
      </c>
      <c r="K780" s="50" t="s">
        <v>7174</v>
      </c>
      <c r="L780" s="50">
        <v>19</v>
      </c>
      <c r="M780" s="50">
        <v>0.19</v>
      </c>
      <c r="N780" s="50">
        <v>0.86</v>
      </c>
      <c r="O780" s="150">
        <v>14887.1671125625</v>
      </c>
      <c r="P780" s="150">
        <v>14281.245499999999</v>
      </c>
      <c r="Q780" s="150">
        <v>605.92161256250074</v>
      </c>
      <c r="R780" s="150">
        <v>52610</v>
      </c>
      <c r="S780" s="150">
        <v>-52004.078387437497</v>
      </c>
      <c r="T780" s="50" t="s">
        <v>7175</v>
      </c>
      <c r="U780" s="50">
        <v>-4.99587450369149E-4</v>
      </c>
      <c r="V780" s="50">
        <v>0.98999999999999988</v>
      </c>
      <c r="W780" s="50">
        <v>0.97268967784566152</v>
      </c>
      <c r="X780" s="50" t="s">
        <v>7163</v>
      </c>
      <c r="Y780" s="50">
        <v>0.32</v>
      </c>
    </row>
    <row r="781" spans="2:25" x14ac:dyDescent="0.2">
      <c r="B781" s="50" t="s">
        <v>9</v>
      </c>
      <c r="C781" s="50" t="s">
        <v>694</v>
      </c>
      <c r="D781" s="50"/>
      <c r="E781" s="50"/>
      <c r="F781" s="51" t="s">
        <v>528</v>
      </c>
      <c r="G781" s="50" t="s">
        <v>527</v>
      </c>
      <c r="H781" s="50" t="s">
        <v>10</v>
      </c>
      <c r="I781" s="50" t="s">
        <v>1121</v>
      </c>
      <c r="J781" s="50" t="s">
        <v>529</v>
      </c>
      <c r="K781" s="50" t="s">
        <v>7174</v>
      </c>
      <c r="L781" s="50">
        <v>220</v>
      </c>
      <c r="M781" s="50">
        <v>2.2000000000000002</v>
      </c>
      <c r="N781" s="50">
        <v>0.32</v>
      </c>
      <c r="O781" s="150">
        <v>172377.72446125001</v>
      </c>
      <c r="P781" s="150">
        <v>165361.79</v>
      </c>
      <c r="Q781" s="150">
        <v>7015.934461249999</v>
      </c>
      <c r="R781" s="150">
        <v>59070</v>
      </c>
      <c r="S781" s="150">
        <v>-52054.065538750001</v>
      </c>
      <c r="T781" s="50" t="s">
        <v>7175</v>
      </c>
      <c r="U781" s="50">
        <v>-5.000676618112089E-4</v>
      </c>
      <c r="V781" s="50">
        <v>0.9900000000000001</v>
      </c>
      <c r="W781" s="50">
        <v>0.97218961018385031</v>
      </c>
      <c r="X781" s="50" t="s">
        <v>7162</v>
      </c>
      <c r="Y781" s="50">
        <v>0.32</v>
      </c>
    </row>
    <row r="782" spans="2:25" x14ac:dyDescent="0.2">
      <c r="B782" s="50" t="s">
        <v>9</v>
      </c>
      <c r="C782" s="50" t="s">
        <v>926</v>
      </c>
      <c r="D782" s="50"/>
      <c r="E782" s="50"/>
      <c r="F782" s="51" t="s">
        <v>528</v>
      </c>
      <c r="G782" s="50" t="s">
        <v>527</v>
      </c>
      <c r="H782" s="50" t="s">
        <v>535</v>
      </c>
      <c r="I782" s="50" t="s">
        <v>1120</v>
      </c>
      <c r="J782" s="50" t="s">
        <v>536</v>
      </c>
      <c r="K782" s="50" t="s">
        <v>7174</v>
      </c>
      <c r="L782" s="50">
        <v>12</v>
      </c>
      <c r="M782" s="50">
        <v>0.12</v>
      </c>
      <c r="N782" s="50">
        <v>0.86</v>
      </c>
      <c r="O782" s="150">
        <v>9402.4213342500007</v>
      </c>
      <c r="P782" s="150">
        <v>9019.7340000000004</v>
      </c>
      <c r="Q782" s="150">
        <v>382.68733425000028</v>
      </c>
      <c r="R782" s="150">
        <v>52610</v>
      </c>
      <c r="S782" s="150">
        <v>-52227.312665749996</v>
      </c>
      <c r="T782" s="50" t="s">
        <v>7175</v>
      </c>
      <c r="U782" s="50">
        <v>-5.0173199455482342E-4</v>
      </c>
      <c r="V782" s="50">
        <v>0.9900000000000001</v>
      </c>
      <c r="W782" s="50">
        <v>0.97168787818929547</v>
      </c>
      <c r="X782" s="50" t="s">
        <v>7161</v>
      </c>
      <c r="Y782" s="50">
        <v>0.32</v>
      </c>
    </row>
    <row r="783" spans="2:25" x14ac:dyDescent="0.2">
      <c r="B783" s="50" t="s">
        <v>9</v>
      </c>
      <c r="C783" s="50" t="s">
        <v>935</v>
      </c>
      <c r="D783" s="50"/>
      <c r="E783" s="50"/>
      <c r="F783" s="51" t="s">
        <v>528</v>
      </c>
      <c r="G783" s="50" t="s">
        <v>527</v>
      </c>
      <c r="H783" s="50" t="s">
        <v>23</v>
      </c>
      <c r="I783" s="50" t="s">
        <v>1120</v>
      </c>
      <c r="J783" s="50" t="s">
        <v>543</v>
      </c>
      <c r="K783" s="50" t="s">
        <v>7174</v>
      </c>
      <c r="L783" s="50">
        <v>11</v>
      </c>
      <c r="M783" s="50">
        <v>0.11</v>
      </c>
      <c r="N783" s="50">
        <v>0.86</v>
      </c>
      <c r="O783" s="150">
        <v>8618.8862230625</v>
      </c>
      <c r="P783" s="150">
        <v>8268.0895</v>
      </c>
      <c r="Q783" s="150">
        <v>350.79672306249995</v>
      </c>
      <c r="R783" s="150">
        <v>52610</v>
      </c>
      <c r="S783" s="150">
        <v>-52259.2032769375</v>
      </c>
      <c r="T783" s="50" t="s">
        <v>7175</v>
      </c>
      <c r="U783" s="50">
        <v>-5.0203835800991979E-4</v>
      </c>
      <c r="V783" s="50">
        <v>0.9900000000000001</v>
      </c>
      <c r="W783" s="50">
        <v>0.97118583983128559</v>
      </c>
      <c r="X783" s="50" t="s">
        <v>7161</v>
      </c>
      <c r="Y783" s="50">
        <v>0.32</v>
      </c>
    </row>
    <row r="784" spans="2:25" x14ac:dyDescent="0.2">
      <c r="B784" s="50" t="s">
        <v>9</v>
      </c>
      <c r="C784" s="50" t="s">
        <v>898</v>
      </c>
      <c r="D784" s="50"/>
      <c r="E784" s="50"/>
      <c r="F784" s="51" t="s">
        <v>528</v>
      </c>
      <c r="G784" s="50" t="s">
        <v>527</v>
      </c>
      <c r="H784" s="50" t="s">
        <v>535</v>
      </c>
      <c r="I784" s="50" t="s">
        <v>1120</v>
      </c>
      <c r="J784" s="50" t="s">
        <v>536</v>
      </c>
      <c r="K784" s="50" t="s">
        <v>7174</v>
      </c>
      <c r="L784" s="50">
        <v>5.5</v>
      </c>
      <c r="M784" s="50">
        <v>5.5E-2</v>
      </c>
      <c r="N784" s="50">
        <v>0.86</v>
      </c>
      <c r="O784" s="150">
        <v>4309.44311153125</v>
      </c>
      <c r="P784" s="150">
        <v>4134.04475</v>
      </c>
      <c r="Q784" s="150">
        <v>175.39836153124998</v>
      </c>
      <c r="R784" s="150">
        <v>52610</v>
      </c>
      <c r="S784" s="150">
        <v>-52434.601638468754</v>
      </c>
      <c r="T784" s="50" t="s">
        <v>7175</v>
      </c>
      <c r="U784" s="50">
        <v>-5.0372335701294978E-4</v>
      </c>
      <c r="V784" s="50">
        <v>0.9900000000000001</v>
      </c>
      <c r="W784" s="50">
        <v>0.9706821164742726</v>
      </c>
      <c r="X784" s="50" t="s">
        <v>7159</v>
      </c>
      <c r="Y784" s="50">
        <v>0.32</v>
      </c>
    </row>
    <row r="785" spans="2:25" x14ac:dyDescent="0.2">
      <c r="B785" s="50" t="s">
        <v>9</v>
      </c>
      <c r="C785" s="50" t="s">
        <v>1045</v>
      </c>
      <c r="D785" s="50"/>
      <c r="E785" s="50"/>
      <c r="F785" s="51" t="s">
        <v>528</v>
      </c>
      <c r="G785" s="50" t="s">
        <v>527</v>
      </c>
      <c r="H785" s="50" t="s">
        <v>23</v>
      </c>
      <c r="I785" s="50" t="s">
        <v>1120</v>
      </c>
      <c r="J785" s="50" t="s">
        <v>543</v>
      </c>
      <c r="K785" s="50" t="s">
        <v>7174</v>
      </c>
      <c r="L785" s="50">
        <v>5</v>
      </c>
      <c r="M785" s="50">
        <v>0.05</v>
      </c>
      <c r="N785" s="50">
        <v>0.86</v>
      </c>
      <c r="O785" s="150">
        <v>3917.6755559375001</v>
      </c>
      <c r="P785" s="150">
        <v>3758.2224999999999</v>
      </c>
      <c r="Q785" s="150">
        <v>159.45305593750027</v>
      </c>
      <c r="R785" s="150">
        <v>52610</v>
      </c>
      <c r="S785" s="150">
        <v>-52450.546944062502</v>
      </c>
      <c r="T785" s="50" t="s">
        <v>7175</v>
      </c>
      <c r="U785" s="50">
        <v>-5.0387653874049796E-4</v>
      </c>
      <c r="V785" s="50">
        <v>0.99</v>
      </c>
      <c r="W785" s="50">
        <v>0.97017823993553209</v>
      </c>
      <c r="X785" s="50" t="s">
        <v>7161</v>
      </c>
      <c r="Y785" s="50">
        <v>0.32</v>
      </c>
    </row>
    <row r="786" spans="2:25" x14ac:dyDescent="0.2">
      <c r="B786" s="50" t="s">
        <v>9</v>
      </c>
      <c r="C786" s="50" t="s">
        <v>645</v>
      </c>
      <c r="D786" s="50"/>
      <c r="E786" s="50"/>
      <c r="F786" s="51" t="s">
        <v>528</v>
      </c>
      <c r="G786" s="50" t="s">
        <v>527</v>
      </c>
      <c r="H786" s="50" t="s">
        <v>10</v>
      </c>
      <c r="I786" s="50" t="s">
        <v>1121</v>
      </c>
      <c r="J786" s="50" t="s">
        <v>529</v>
      </c>
      <c r="K786" s="50" t="s">
        <v>7174</v>
      </c>
      <c r="L786" s="50">
        <v>206</v>
      </c>
      <c r="M786" s="50">
        <v>2.06</v>
      </c>
      <c r="N786" s="50">
        <v>0.32</v>
      </c>
      <c r="O786" s="150">
        <v>161408.23290462498</v>
      </c>
      <c r="P786" s="150">
        <v>154838.76699999999</v>
      </c>
      <c r="Q786" s="150">
        <v>6569.4659046249872</v>
      </c>
      <c r="R786" s="150">
        <v>59070</v>
      </c>
      <c r="S786" s="150">
        <v>-52500.534095375013</v>
      </c>
      <c r="T786" s="50" t="s">
        <v>7175</v>
      </c>
      <c r="U786" s="50">
        <v>-5.0435675018255797E-4</v>
      </c>
      <c r="V786" s="50">
        <v>0.99</v>
      </c>
      <c r="W786" s="50">
        <v>0.96967388318534953</v>
      </c>
      <c r="X786" s="50" t="s">
        <v>7159</v>
      </c>
      <c r="Y786" s="50">
        <v>0.32</v>
      </c>
    </row>
    <row r="787" spans="2:25" x14ac:dyDescent="0.2">
      <c r="B787" s="50" t="s">
        <v>9</v>
      </c>
      <c r="C787" s="50" t="s">
        <v>539</v>
      </c>
      <c r="D787" s="50"/>
      <c r="E787" s="50"/>
      <c r="F787" s="51" t="s">
        <v>528</v>
      </c>
      <c r="G787" s="50" t="s">
        <v>527</v>
      </c>
      <c r="H787" s="50" t="s">
        <v>10</v>
      </c>
      <c r="I787" s="50" t="s">
        <v>1120</v>
      </c>
      <c r="J787" s="50" t="s">
        <v>529</v>
      </c>
      <c r="K787" s="50" t="s">
        <v>7174</v>
      </c>
      <c r="L787" s="50">
        <v>53</v>
      </c>
      <c r="M787" s="50">
        <v>0.53</v>
      </c>
      <c r="N787" s="50">
        <v>0.88592233009708732</v>
      </c>
      <c r="O787" s="150">
        <v>41527.360892937504</v>
      </c>
      <c r="P787" s="150">
        <v>39837.158499999998</v>
      </c>
      <c r="Q787" s="150">
        <v>1690.2023929375064</v>
      </c>
      <c r="R787" s="150">
        <v>54195.783472567164</v>
      </c>
      <c r="S787" s="150">
        <v>-52505.581079629657</v>
      </c>
      <c r="T787" s="50" t="s">
        <v>7175</v>
      </c>
      <c r="U787" s="50">
        <v>-5.0440523503363153E-4</v>
      </c>
      <c r="V787" s="50">
        <v>0.99</v>
      </c>
      <c r="W787" s="50">
        <v>0.96916947795031594</v>
      </c>
      <c r="X787" s="50" t="s">
        <v>7161</v>
      </c>
      <c r="Y787" s="50">
        <v>0.32</v>
      </c>
    </row>
    <row r="788" spans="2:25" x14ac:dyDescent="0.2">
      <c r="B788" s="50" t="s">
        <v>9</v>
      </c>
      <c r="C788" s="50" t="s">
        <v>1015</v>
      </c>
      <c r="D788" s="50"/>
      <c r="E788" s="50"/>
      <c r="F788" s="51" t="s">
        <v>528</v>
      </c>
      <c r="G788" s="50" t="s">
        <v>527</v>
      </c>
      <c r="H788" s="50" t="s">
        <v>10</v>
      </c>
      <c r="I788" s="50" t="s">
        <v>1120</v>
      </c>
      <c r="J788" s="50" t="s">
        <v>529</v>
      </c>
      <c r="K788" s="50" t="s">
        <v>7174</v>
      </c>
      <c r="L788" s="50">
        <v>2</v>
      </c>
      <c r="M788" s="50">
        <v>0.02</v>
      </c>
      <c r="N788" s="50">
        <v>0.86</v>
      </c>
      <c r="O788" s="150">
        <v>1567.070222375</v>
      </c>
      <c r="P788" s="150">
        <v>1503.289</v>
      </c>
      <c r="Q788" s="150">
        <v>63.78122237499997</v>
      </c>
      <c r="R788" s="150">
        <v>52610</v>
      </c>
      <c r="S788" s="150">
        <v>-52546.218777624999</v>
      </c>
      <c r="T788" s="50" t="s">
        <v>7175</v>
      </c>
      <c r="U788" s="50">
        <v>-5.0479562910578694E-4</v>
      </c>
      <c r="V788" s="50">
        <v>0.99</v>
      </c>
      <c r="W788" s="50">
        <v>0.96866468232121017</v>
      </c>
      <c r="X788" s="50" t="s">
        <v>7160</v>
      </c>
      <c r="Y788" s="50">
        <v>0.32</v>
      </c>
    </row>
    <row r="789" spans="2:25" x14ac:dyDescent="0.2">
      <c r="B789" s="50" t="s">
        <v>9</v>
      </c>
      <c r="C789" s="50" t="s">
        <v>752</v>
      </c>
      <c r="D789" s="50"/>
      <c r="E789" s="50"/>
      <c r="F789" s="51" t="s">
        <v>528</v>
      </c>
      <c r="G789" s="50" t="s">
        <v>527</v>
      </c>
      <c r="H789" s="50" t="s">
        <v>23</v>
      </c>
      <c r="I789" s="50" t="s">
        <v>1120</v>
      </c>
      <c r="J789" s="50" t="s">
        <v>543</v>
      </c>
      <c r="K789" s="50" t="s">
        <v>7174</v>
      </c>
      <c r="L789" s="50">
        <v>36</v>
      </c>
      <c r="M789" s="50">
        <v>0.36</v>
      </c>
      <c r="N789" s="50">
        <v>0.87861072902338377</v>
      </c>
      <c r="O789" s="150">
        <v>28207.264002749998</v>
      </c>
      <c r="P789" s="150">
        <v>27059.202000000001</v>
      </c>
      <c r="Q789" s="150">
        <v>1148.0620027499972</v>
      </c>
      <c r="R789" s="150">
        <v>53748.500527814205</v>
      </c>
      <c r="S789" s="150">
        <v>-52600.438525064208</v>
      </c>
      <c r="T789" s="50" t="s">
        <v>7175</v>
      </c>
      <c r="U789" s="50">
        <v>-5.0531650181851937E-4</v>
      </c>
      <c r="V789" s="50">
        <v>0.99</v>
      </c>
      <c r="W789" s="50">
        <v>0.96815936581939166</v>
      </c>
      <c r="X789" s="50" t="s">
        <v>7161</v>
      </c>
      <c r="Y789" s="50">
        <v>0.32</v>
      </c>
    </row>
    <row r="790" spans="2:25" x14ac:dyDescent="0.2">
      <c r="B790" s="50" t="s">
        <v>9</v>
      </c>
      <c r="C790" s="50" t="s">
        <v>780</v>
      </c>
      <c r="D790" s="50"/>
      <c r="E790" s="50"/>
      <c r="F790" s="51" t="s">
        <v>528</v>
      </c>
      <c r="G790" s="50" t="s">
        <v>527</v>
      </c>
      <c r="H790" s="50" t="s">
        <v>10</v>
      </c>
      <c r="I790" s="50" t="s">
        <v>1121</v>
      </c>
      <c r="J790" s="50" t="s">
        <v>529</v>
      </c>
      <c r="K790" s="50" t="s">
        <v>7174</v>
      </c>
      <c r="L790" s="50">
        <v>200</v>
      </c>
      <c r="M790" s="50">
        <v>2</v>
      </c>
      <c r="N790" s="50">
        <v>0.32</v>
      </c>
      <c r="O790" s="150">
        <v>156707.0222375</v>
      </c>
      <c r="P790" s="150">
        <v>150328.9</v>
      </c>
      <c r="Q790" s="150">
        <v>6378.122237500007</v>
      </c>
      <c r="R790" s="150">
        <v>59070</v>
      </c>
      <c r="S790" s="150">
        <v>-52691.877762499993</v>
      </c>
      <c r="T790" s="50" t="s">
        <v>7175</v>
      </c>
      <c r="U790" s="50">
        <v>-5.0619493091313592E-4</v>
      </c>
      <c r="V790" s="50">
        <v>0.99</v>
      </c>
      <c r="W790" s="50">
        <v>0.96765317088847858</v>
      </c>
      <c r="X790" s="50" t="s">
        <v>7162</v>
      </c>
      <c r="Y790" s="50">
        <v>0.32</v>
      </c>
    </row>
    <row r="791" spans="2:25" x14ac:dyDescent="0.2">
      <c r="B791" s="50" t="s">
        <v>9</v>
      </c>
      <c r="C791" s="50" t="s">
        <v>790</v>
      </c>
      <c r="D791" s="50"/>
      <c r="E791" s="50"/>
      <c r="F791" s="51" t="s">
        <v>528</v>
      </c>
      <c r="G791" s="50" t="s">
        <v>527</v>
      </c>
      <c r="H791" s="50" t="s">
        <v>10</v>
      </c>
      <c r="I791" s="50" t="s">
        <v>1121</v>
      </c>
      <c r="J791" s="50" t="s">
        <v>529</v>
      </c>
      <c r="K791" s="50" t="s">
        <v>7174</v>
      </c>
      <c r="L791" s="50">
        <v>200</v>
      </c>
      <c r="M791" s="50">
        <v>2</v>
      </c>
      <c r="N791" s="50">
        <v>0.32</v>
      </c>
      <c r="O791" s="150">
        <v>156707.0222375</v>
      </c>
      <c r="P791" s="150">
        <v>150328.9</v>
      </c>
      <c r="Q791" s="150">
        <v>6378.122237500007</v>
      </c>
      <c r="R791" s="150">
        <v>59070</v>
      </c>
      <c r="S791" s="150">
        <v>-52691.877762499993</v>
      </c>
      <c r="T791" s="50" t="s">
        <v>7175</v>
      </c>
      <c r="U791" s="50">
        <v>-5.0619493091313592E-4</v>
      </c>
      <c r="V791" s="50">
        <v>0.99</v>
      </c>
      <c r="W791" s="50">
        <v>0.96714697595756549</v>
      </c>
      <c r="X791" s="50" t="s">
        <v>7159</v>
      </c>
      <c r="Y791" s="50">
        <v>0.32</v>
      </c>
    </row>
    <row r="792" spans="2:25" x14ac:dyDescent="0.2">
      <c r="B792" s="50" t="s">
        <v>9</v>
      </c>
      <c r="C792" s="50" t="s">
        <v>604</v>
      </c>
      <c r="D792" s="50"/>
      <c r="E792" s="50"/>
      <c r="F792" s="51" t="s">
        <v>528</v>
      </c>
      <c r="G792" s="50" t="s">
        <v>527</v>
      </c>
      <c r="H792" s="50" t="s">
        <v>10</v>
      </c>
      <c r="I792" s="50" t="s">
        <v>1121</v>
      </c>
      <c r="J792" s="50" t="s">
        <v>529</v>
      </c>
      <c r="K792" s="50" t="s">
        <v>7174</v>
      </c>
      <c r="L792" s="50">
        <v>198</v>
      </c>
      <c r="M792" s="50">
        <v>1.98</v>
      </c>
      <c r="N792" s="50">
        <v>0.32</v>
      </c>
      <c r="O792" s="150">
        <v>155139.95201512499</v>
      </c>
      <c r="P792" s="150">
        <v>148825.611</v>
      </c>
      <c r="Q792" s="150">
        <v>6314.3410151249846</v>
      </c>
      <c r="R792" s="150">
        <v>59070</v>
      </c>
      <c r="S792" s="150">
        <v>-52755.658984875015</v>
      </c>
      <c r="T792" s="50" t="s">
        <v>7175</v>
      </c>
      <c r="U792" s="50">
        <v>-5.0680765782332886E-4</v>
      </c>
      <c r="V792" s="50">
        <v>0.9900000000000001</v>
      </c>
      <c r="W792" s="50">
        <v>0.9666401682997422</v>
      </c>
      <c r="X792" s="50" t="s">
        <v>7162</v>
      </c>
      <c r="Y792" s="50">
        <v>0.32</v>
      </c>
    </row>
    <row r="793" spans="2:25" x14ac:dyDescent="0.2">
      <c r="B793" s="50" t="s">
        <v>9</v>
      </c>
      <c r="C793" s="50" t="s">
        <v>998</v>
      </c>
      <c r="D793" s="50"/>
      <c r="E793" s="50"/>
      <c r="F793" s="51" t="s">
        <v>528</v>
      </c>
      <c r="G793" s="50" t="s">
        <v>527</v>
      </c>
      <c r="H793" s="50" t="s">
        <v>10</v>
      </c>
      <c r="I793" s="50" t="s">
        <v>1121</v>
      </c>
      <c r="J793" s="50" t="s">
        <v>529</v>
      </c>
      <c r="K793" s="50" t="s">
        <v>7174</v>
      </c>
      <c r="L793" s="50">
        <v>197</v>
      </c>
      <c r="M793" s="50">
        <v>1.97</v>
      </c>
      <c r="N793" s="50">
        <v>0.32</v>
      </c>
      <c r="O793" s="150">
        <v>154356.4169039375</v>
      </c>
      <c r="P793" s="150">
        <v>148073.96650000001</v>
      </c>
      <c r="Q793" s="150">
        <v>6282.4504039374879</v>
      </c>
      <c r="R793" s="150">
        <v>59070</v>
      </c>
      <c r="S793" s="150">
        <v>-52787.549596062512</v>
      </c>
      <c r="T793" s="50" t="s">
        <v>7175</v>
      </c>
      <c r="U793" s="50">
        <v>-5.0711402127842512E-4</v>
      </c>
      <c r="V793" s="50">
        <v>0.99</v>
      </c>
      <c r="W793" s="50">
        <v>0.96613305427846374</v>
      </c>
      <c r="X793" s="50" t="s">
        <v>7161</v>
      </c>
      <c r="Y793" s="50">
        <v>0.32</v>
      </c>
    </row>
    <row r="794" spans="2:25" x14ac:dyDescent="0.2">
      <c r="B794" s="50" t="s">
        <v>9</v>
      </c>
      <c r="C794" s="50" t="s">
        <v>1008</v>
      </c>
      <c r="D794" s="50"/>
      <c r="E794" s="50"/>
      <c r="F794" s="51" t="s">
        <v>528</v>
      </c>
      <c r="G794" s="50" t="s">
        <v>527</v>
      </c>
      <c r="H794" s="50" t="s">
        <v>23</v>
      </c>
      <c r="I794" s="50" t="s">
        <v>1121</v>
      </c>
      <c r="J794" s="50" t="s">
        <v>543</v>
      </c>
      <c r="K794" s="50" t="s">
        <v>7174</v>
      </c>
      <c r="L794" s="50">
        <v>195</v>
      </c>
      <c r="M794" s="50">
        <v>1.95</v>
      </c>
      <c r="N794" s="50">
        <v>0.32</v>
      </c>
      <c r="O794" s="150">
        <v>152789.34668156249</v>
      </c>
      <c r="P794" s="150">
        <v>146570.67749999999</v>
      </c>
      <c r="Q794" s="150">
        <v>6218.6691815624945</v>
      </c>
      <c r="R794" s="150">
        <v>59070</v>
      </c>
      <c r="S794" s="150">
        <v>-52851.330818437506</v>
      </c>
      <c r="T794" s="50" t="s">
        <v>7175</v>
      </c>
      <c r="U794" s="50">
        <v>-5.0772674818861784E-4</v>
      </c>
      <c r="V794" s="50">
        <v>0.9900000000000001</v>
      </c>
      <c r="W794" s="50">
        <v>0.96562532753027508</v>
      </c>
      <c r="X794" s="50" t="s">
        <v>7163</v>
      </c>
      <c r="Y794" s="50">
        <v>0.32</v>
      </c>
    </row>
    <row r="795" spans="2:25" x14ac:dyDescent="0.2">
      <c r="B795" s="50" t="s">
        <v>9</v>
      </c>
      <c r="C795" s="50" t="s">
        <v>788</v>
      </c>
      <c r="D795" s="50"/>
      <c r="E795" s="50"/>
      <c r="F795" s="51" t="s">
        <v>528</v>
      </c>
      <c r="G795" s="50" t="s">
        <v>527</v>
      </c>
      <c r="H795" s="50" t="s">
        <v>10</v>
      </c>
      <c r="I795" s="50" t="s">
        <v>1121</v>
      </c>
      <c r="J795" s="50" t="s">
        <v>529</v>
      </c>
      <c r="K795" s="50" t="s">
        <v>7174</v>
      </c>
      <c r="L795" s="50">
        <v>195</v>
      </c>
      <c r="M795" s="50">
        <v>1.95</v>
      </c>
      <c r="N795" s="50">
        <v>0.32</v>
      </c>
      <c r="O795" s="150">
        <v>152789.34668156249</v>
      </c>
      <c r="P795" s="150">
        <v>146570.67749999999</v>
      </c>
      <c r="Q795" s="150">
        <v>6218.6691815624945</v>
      </c>
      <c r="R795" s="150">
        <v>59070</v>
      </c>
      <c r="S795" s="150">
        <v>-52851.330818437506</v>
      </c>
      <c r="T795" s="50" t="s">
        <v>7175</v>
      </c>
      <c r="U795" s="50">
        <v>-5.0772674818861784E-4</v>
      </c>
      <c r="V795" s="50">
        <v>0.9900000000000001</v>
      </c>
      <c r="W795" s="50">
        <v>0.96511760078208642</v>
      </c>
      <c r="X795" s="50" t="s">
        <v>7162</v>
      </c>
      <c r="Y795" s="50">
        <v>0.32</v>
      </c>
    </row>
    <row r="796" spans="2:25" x14ac:dyDescent="0.2">
      <c r="B796" s="50" t="s">
        <v>9</v>
      </c>
      <c r="C796" s="50" t="s">
        <v>701</v>
      </c>
      <c r="D796" s="50"/>
      <c r="E796" s="50"/>
      <c r="F796" s="51" t="s">
        <v>528</v>
      </c>
      <c r="G796" s="50" t="s">
        <v>527</v>
      </c>
      <c r="H796" s="50" t="s">
        <v>10</v>
      </c>
      <c r="I796" s="50" t="s">
        <v>1121</v>
      </c>
      <c r="J796" s="50" t="s">
        <v>529</v>
      </c>
      <c r="K796" s="50" t="s">
        <v>7174</v>
      </c>
      <c r="L796" s="50">
        <v>189</v>
      </c>
      <c r="M796" s="50">
        <v>1.89</v>
      </c>
      <c r="N796" s="50">
        <v>0.32</v>
      </c>
      <c r="O796" s="150">
        <v>148088.13601443751</v>
      </c>
      <c r="P796" s="150">
        <v>142060.81049999999</v>
      </c>
      <c r="Q796" s="150">
        <v>6027.3255144375144</v>
      </c>
      <c r="R796" s="150">
        <v>59070</v>
      </c>
      <c r="S796" s="150">
        <v>-53042.674485562486</v>
      </c>
      <c r="T796" s="50" t="s">
        <v>7175</v>
      </c>
      <c r="U796" s="50">
        <v>-5.0956492891919569E-4</v>
      </c>
      <c r="V796" s="50">
        <v>0.9900000000000001</v>
      </c>
      <c r="W796" s="50">
        <v>0.96460803585316723</v>
      </c>
      <c r="X796" s="50" t="s">
        <v>7159</v>
      </c>
      <c r="Y796" s="50">
        <v>0.32</v>
      </c>
    </row>
    <row r="797" spans="2:25" x14ac:dyDescent="0.2">
      <c r="B797" s="50" t="s">
        <v>9</v>
      </c>
      <c r="C797" s="50" t="s">
        <v>786</v>
      </c>
      <c r="D797" s="50"/>
      <c r="E797" s="50"/>
      <c r="F797" s="51" t="s">
        <v>528</v>
      </c>
      <c r="G797" s="50" t="s">
        <v>527</v>
      </c>
      <c r="H797" s="50" t="s">
        <v>10</v>
      </c>
      <c r="I797" s="50" t="s">
        <v>1121</v>
      </c>
      <c r="J797" s="50" t="s">
        <v>529</v>
      </c>
      <c r="K797" s="50" t="s">
        <v>7174</v>
      </c>
      <c r="L797" s="50">
        <v>185</v>
      </c>
      <c r="M797" s="50">
        <v>1.85</v>
      </c>
      <c r="N797" s="50">
        <v>0.32</v>
      </c>
      <c r="O797" s="150">
        <v>144953.99556968751</v>
      </c>
      <c r="P797" s="150">
        <v>139054.23250000001</v>
      </c>
      <c r="Q797" s="150">
        <v>5899.7630696874985</v>
      </c>
      <c r="R797" s="150">
        <v>59070</v>
      </c>
      <c r="S797" s="150">
        <v>-53170.236930312501</v>
      </c>
      <c r="T797" s="50" t="s">
        <v>7175</v>
      </c>
      <c r="U797" s="50">
        <v>-5.1079038273958135E-4</v>
      </c>
      <c r="V797" s="50">
        <v>0.99</v>
      </c>
      <c r="W797" s="50">
        <v>0.96409724547042763</v>
      </c>
      <c r="X797" s="50" t="s">
        <v>7162</v>
      </c>
      <c r="Y797" s="50">
        <v>0.32</v>
      </c>
    </row>
    <row r="798" spans="2:25" x14ac:dyDescent="0.2">
      <c r="B798" s="50" t="s">
        <v>9</v>
      </c>
      <c r="C798" s="50" t="s">
        <v>700</v>
      </c>
      <c r="D798" s="50"/>
      <c r="E798" s="50"/>
      <c r="F798" s="51" t="s">
        <v>528</v>
      </c>
      <c r="G798" s="50" t="s">
        <v>527</v>
      </c>
      <c r="H798" s="50" t="s">
        <v>10</v>
      </c>
      <c r="I798" s="50" t="s">
        <v>1121</v>
      </c>
      <c r="J798" s="50" t="s">
        <v>529</v>
      </c>
      <c r="K798" s="50" t="s">
        <v>7174</v>
      </c>
      <c r="L798" s="50">
        <v>184</v>
      </c>
      <c r="M798" s="50">
        <v>1.84</v>
      </c>
      <c r="N798" s="50">
        <v>0.32</v>
      </c>
      <c r="O798" s="150">
        <v>144170.46045849999</v>
      </c>
      <c r="P798" s="150">
        <v>138302.58799999999</v>
      </c>
      <c r="Q798" s="150">
        <v>5867.8724585000018</v>
      </c>
      <c r="R798" s="150">
        <v>59070</v>
      </c>
      <c r="S798" s="150">
        <v>-53202.127541499998</v>
      </c>
      <c r="T798" s="50" t="s">
        <v>7175</v>
      </c>
      <c r="U798" s="50">
        <v>-5.1109674619467761E-4</v>
      </c>
      <c r="V798" s="50">
        <v>0.99</v>
      </c>
      <c r="W798" s="50">
        <v>0.96358614872423298</v>
      </c>
      <c r="X798" s="50" t="s">
        <v>7161</v>
      </c>
      <c r="Y798" s="50">
        <v>0.32</v>
      </c>
    </row>
    <row r="799" spans="2:25" x14ac:dyDescent="0.2">
      <c r="B799" s="50" t="s">
        <v>9</v>
      </c>
      <c r="C799" s="50" t="s">
        <v>763</v>
      </c>
      <c r="D799" s="50"/>
      <c r="E799" s="50"/>
      <c r="F799" s="51" t="s">
        <v>528</v>
      </c>
      <c r="G799" s="50" t="s">
        <v>527</v>
      </c>
      <c r="H799" s="50" t="s">
        <v>23</v>
      </c>
      <c r="I799" s="50">
        <v>0</v>
      </c>
      <c r="J799" s="50" t="s">
        <v>543</v>
      </c>
      <c r="K799" s="50" t="s">
        <v>7174</v>
      </c>
      <c r="L799" s="50">
        <v>184</v>
      </c>
      <c r="M799" s="50">
        <v>1.84</v>
      </c>
      <c r="N799" s="50">
        <v>0.24991441287230398</v>
      </c>
      <c r="O799" s="150">
        <v>144170.46045849999</v>
      </c>
      <c r="P799" s="150">
        <v>138302.58799999999</v>
      </c>
      <c r="Q799" s="150">
        <v>5867.8724585000018</v>
      </c>
      <c r="R799" s="150">
        <v>59070</v>
      </c>
      <c r="S799" s="150">
        <v>-53202.127541499998</v>
      </c>
      <c r="T799" s="50" t="s">
        <v>7175</v>
      </c>
      <c r="U799" s="50">
        <v>-5.1109674619467761E-4</v>
      </c>
      <c r="V799" s="50">
        <v>0.99</v>
      </c>
      <c r="W799" s="50">
        <v>0.96307505197803833</v>
      </c>
      <c r="X799" s="50" t="s">
        <v>7159</v>
      </c>
      <c r="Y799" s="50">
        <v>0.32</v>
      </c>
    </row>
    <row r="800" spans="2:25" x14ac:dyDescent="0.2">
      <c r="B800" s="50" t="s">
        <v>9</v>
      </c>
      <c r="C800" s="50" t="s">
        <v>796</v>
      </c>
      <c r="D800" s="50"/>
      <c r="E800" s="50"/>
      <c r="F800" s="51" t="s">
        <v>528</v>
      </c>
      <c r="G800" s="50" t="s">
        <v>527</v>
      </c>
      <c r="H800" s="50" t="s">
        <v>10</v>
      </c>
      <c r="I800" s="50" t="s">
        <v>1121</v>
      </c>
      <c r="J800" s="50" t="s">
        <v>529</v>
      </c>
      <c r="K800" s="50" t="s">
        <v>7174</v>
      </c>
      <c r="L800" s="50">
        <v>181</v>
      </c>
      <c r="M800" s="50">
        <v>1.81</v>
      </c>
      <c r="N800" s="50">
        <v>0.32</v>
      </c>
      <c r="O800" s="150">
        <v>141819.85512493749</v>
      </c>
      <c r="P800" s="150">
        <v>136047.6545</v>
      </c>
      <c r="Q800" s="150">
        <v>5772.2006249374826</v>
      </c>
      <c r="R800" s="150">
        <v>59070</v>
      </c>
      <c r="S800" s="150">
        <v>-53297.799375062517</v>
      </c>
      <c r="T800" s="50" t="s">
        <v>7175</v>
      </c>
      <c r="U800" s="50">
        <v>-5.1201583655996691E-4</v>
      </c>
      <c r="V800" s="50">
        <v>0.99</v>
      </c>
      <c r="W800" s="50">
        <v>0.96256303614147831</v>
      </c>
      <c r="X800" s="50" t="s">
        <v>7163</v>
      </c>
      <c r="Y800" s="50">
        <v>0.32</v>
      </c>
    </row>
    <row r="801" spans="2:25" x14ac:dyDescent="0.2">
      <c r="B801" s="50" t="s">
        <v>9</v>
      </c>
      <c r="C801" s="50" t="s">
        <v>577</v>
      </c>
      <c r="D801" s="50"/>
      <c r="E801" s="50"/>
      <c r="F801" s="51" t="s">
        <v>528</v>
      </c>
      <c r="G801" s="50" t="s">
        <v>527</v>
      </c>
      <c r="H801" s="50" t="s">
        <v>10</v>
      </c>
      <c r="I801" s="50" t="s">
        <v>1121</v>
      </c>
      <c r="J801" s="50" t="s">
        <v>529</v>
      </c>
      <c r="K801" s="50" t="s">
        <v>7174</v>
      </c>
      <c r="L801" s="50">
        <v>180</v>
      </c>
      <c r="M801" s="50">
        <v>1.8</v>
      </c>
      <c r="N801" s="50">
        <v>0.32</v>
      </c>
      <c r="O801" s="150">
        <v>141036.32001375</v>
      </c>
      <c r="P801" s="150">
        <v>135296.00999999998</v>
      </c>
      <c r="Q801" s="150">
        <v>5740.3100137500151</v>
      </c>
      <c r="R801" s="150">
        <v>59070</v>
      </c>
      <c r="S801" s="150">
        <v>-53329.689986249985</v>
      </c>
      <c r="T801" s="50" t="s">
        <v>7175</v>
      </c>
      <c r="U801" s="50">
        <v>-5.1232220001506295E-4</v>
      </c>
      <c r="V801" s="50">
        <v>0.99</v>
      </c>
      <c r="W801" s="50">
        <v>0.96205071394146324</v>
      </c>
      <c r="X801" s="50" t="s">
        <v>7159</v>
      </c>
      <c r="Y801" s="50">
        <v>0.32</v>
      </c>
    </row>
    <row r="802" spans="2:25" x14ac:dyDescent="0.2">
      <c r="B802" s="50" t="s">
        <v>9</v>
      </c>
      <c r="C802" s="50" t="s">
        <v>1014</v>
      </c>
      <c r="D802" s="50"/>
      <c r="E802" s="50"/>
      <c r="F802" s="51" t="s">
        <v>528</v>
      </c>
      <c r="G802" s="50" t="s">
        <v>527</v>
      </c>
      <c r="H802" s="50" t="s">
        <v>10</v>
      </c>
      <c r="I802" s="50" t="s">
        <v>1120</v>
      </c>
      <c r="J802" s="50" t="s">
        <v>529</v>
      </c>
      <c r="K802" s="50" t="s">
        <v>7174</v>
      </c>
      <c r="L802" s="50">
        <v>24</v>
      </c>
      <c r="M802" s="50">
        <v>0.72</v>
      </c>
      <c r="N802" s="50">
        <v>1.4822335025380711</v>
      </c>
      <c r="O802" s="150">
        <v>56414.528005499997</v>
      </c>
      <c r="P802" s="150">
        <v>19078.403999999999</v>
      </c>
      <c r="Q802" s="150">
        <v>37336.124005499994</v>
      </c>
      <c r="R802" s="150">
        <v>90674.772754102232</v>
      </c>
      <c r="S802" s="150">
        <v>-53338.648748602238</v>
      </c>
      <c r="T802" s="50" t="s">
        <v>7175</v>
      </c>
      <c r="U802" s="50">
        <v>-5.124082641350475E-4</v>
      </c>
      <c r="V802" s="50">
        <v>0.97000000000000008</v>
      </c>
      <c r="W802" s="50">
        <v>0.96153830567732823</v>
      </c>
      <c r="X802" s="50" t="s">
        <v>7161</v>
      </c>
      <c r="Y802" s="50">
        <v>0.32</v>
      </c>
    </row>
    <row r="803" spans="2:25" x14ac:dyDescent="0.2">
      <c r="B803" s="50" t="s">
        <v>9</v>
      </c>
      <c r="C803" s="50" t="s">
        <v>981</v>
      </c>
      <c r="D803" s="50"/>
      <c r="E803" s="50"/>
      <c r="F803" s="51" t="s">
        <v>528</v>
      </c>
      <c r="G803" s="50" t="s">
        <v>527</v>
      </c>
      <c r="H803" s="50" t="s">
        <v>10</v>
      </c>
      <c r="I803" s="50" t="s">
        <v>1121</v>
      </c>
      <c r="J803" s="50" t="s">
        <v>529</v>
      </c>
      <c r="K803" s="50" t="s">
        <v>7174</v>
      </c>
      <c r="L803" s="50">
        <v>179</v>
      </c>
      <c r="M803" s="50">
        <v>1.79</v>
      </c>
      <c r="N803" s="50">
        <v>0.32</v>
      </c>
      <c r="O803" s="150">
        <v>140252.7849025625</v>
      </c>
      <c r="P803" s="150">
        <v>134544.36549999999</v>
      </c>
      <c r="Q803" s="150">
        <v>5708.4194025625184</v>
      </c>
      <c r="R803" s="150">
        <v>59070</v>
      </c>
      <c r="S803" s="150">
        <v>-53361.580597437482</v>
      </c>
      <c r="T803" s="50" t="s">
        <v>7175</v>
      </c>
      <c r="U803" s="50">
        <v>-5.126285634701592E-4</v>
      </c>
      <c r="V803" s="50">
        <v>0.99</v>
      </c>
      <c r="W803" s="50">
        <v>0.96102567711385811</v>
      </c>
      <c r="X803" s="50" t="s">
        <v>7162</v>
      </c>
      <c r="Y803" s="50">
        <v>0.32</v>
      </c>
    </row>
    <row r="804" spans="2:25" x14ac:dyDescent="0.2">
      <c r="B804" s="50" t="s">
        <v>9</v>
      </c>
      <c r="C804" s="50" t="s">
        <v>1007</v>
      </c>
      <c r="D804" s="50"/>
      <c r="E804" s="50"/>
      <c r="F804" s="51" t="s">
        <v>528</v>
      </c>
      <c r="G804" s="50" t="s">
        <v>527</v>
      </c>
      <c r="H804" s="50" t="s">
        <v>10</v>
      </c>
      <c r="I804" s="50" t="s">
        <v>1121</v>
      </c>
      <c r="J804" s="50" t="s">
        <v>529</v>
      </c>
      <c r="K804" s="50" t="s">
        <v>7174</v>
      </c>
      <c r="L804" s="50">
        <v>178</v>
      </c>
      <c r="M804" s="50">
        <v>1.78</v>
      </c>
      <c r="N804" s="50">
        <v>0.32</v>
      </c>
      <c r="O804" s="150">
        <v>139469.24979137498</v>
      </c>
      <c r="P804" s="150">
        <v>133792.72100000002</v>
      </c>
      <c r="Q804" s="150">
        <v>5676.5287913749635</v>
      </c>
      <c r="R804" s="150">
        <v>59070</v>
      </c>
      <c r="S804" s="150">
        <v>-53393.471208625037</v>
      </c>
      <c r="T804" s="50" t="s">
        <v>7175</v>
      </c>
      <c r="U804" s="50">
        <v>-5.1293492692525611E-4</v>
      </c>
      <c r="V804" s="50">
        <v>0.99</v>
      </c>
      <c r="W804" s="50">
        <v>0.96051274218693283</v>
      </c>
      <c r="X804" s="50" t="s">
        <v>7163</v>
      </c>
      <c r="Y804" s="50">
        <v>0.32</v>
      </c>
    </row>
    <row r="805" spans="2:25" x14ac:dyDescent="0.2">
      <c r="B805" s="50" t="s">
        <v>9</v>
      </c>
      <c r="C805" s="50" t="s">
        <v>750</v>
      </c>
      <c r="D805" s="50"/>
      <c r="E805" s="50"/>
      <c r="F805" s="51" t="s">
        <v>528</v>
      </c>
      <c r="G805" s="50" t="s">
        <v>527</v>
      </c>
      <c r="H805" s="50" t="s">
        <v>10</v>
      </c>
      <c r="I805" s="50" t="s">
        <v>1121</v>
      </c>
      <c r="J805" s="50" t="s">
        <v>529</v>
      </c>
      <c r="K805" s="50" t="s">
        <v>7174</v>
      </c>
      <c r="L805" s="50">
        <v>175</v>
      </c>
      <c r="M805" s="50">
        <v>1.75</v>
      </c>
      <c r="N805" s="50">
        <v>0.32</v>
      </c>
      <c r="O805" s="150">
        <v>137118.64445781248</v>
      </c>
      <c r="P805" s="150">
        <v>131537.78750000001</v>
      </c>
      <c r="Q805" s="150">
        <v>5580.8569578124734</v>
      </c>
      <c r="R805" s="150">
        <v>59070</v>
      </c>
      <c r="S805" s="150">
        <v>-53489.143042187527</v>
      </c>
      <c r="T805" s="50" t="s">
        <v>7175</v>
      </c>
      <c r="U805" s="50">
        <v>-5.1385401729054508E-4</v>
      </c>
      <c r="V805" s="50">
        <v>0.99</v>
      </c>
      <c r="W805" s="50">
        <v>0.95999888816964229</v>
      </c>
      <c r="X805" s="50" t="s">
        <v>7159</v>
      </c>
      <c r="Y805" s="50">
        <v>0.32</v>
      </c>
    </row>
    <row r="806" spans="2:25" x14ac:dyDescent="0.2">
      <c r="B806" s="50" t="s">
        <v>9</v>
      </c>
      <c r="C806" s="50" t="s">
        <v>682</v>
      </c>
      <c r="D806" s="50"/>
      <c r="E806" s="50"/>
      <c r="F806" s="51" t="s">
        <v>528</v>
      </c>
      <c r="G806" s="50" t="s">
        <v>527</v>
      </c>
      <c r="H806" s="50" t="s">
        <v>23</v>
      </c>
      <c r="I806" s="50" t="s">
        <v>1121</v>
      </c>
      <c r="J806" s="50" t="s">
        <v>543</v>
      </c>
      <c r="K806" s="50" t="s">
        <v>7174</v>
      </c>
      <c r="L806" s="50">
        <v>175</v>
      </c>
      <c r="M806" s="50">
        <v>1.75</v>
      </c>
      <c r="N806" s="50">
        <v>0.32</v>
      </c>
      <c r="O806" s="150">
        <v>137118.64445781248</v>
      </c>
      <c r="P806" s="150">
        <v>131537.78750000001</v>
      </c>
      <c r="Q806" s="150">
        <v>5580.8569578124734</v>
      </c>
      <c r="R806" s="150">
        <v>59070</v>
      </c>
      <c r="S806" s="150">
        <v>-53489.143042187527</v>
      </c>
      <c r="T806" s="50" t="s">
        <v>7175</v>
      </c>
      <c r="U806" s="50">
        <v>-5.1385401729054508E-4</v>
      </c>
      <c r="V806" s="50">
        <v>0.99</v>
      </c>
      <c r="W806" s="50">
        <v>0.95948503415235176</v>
      </c>
      <c r="X806" s="50" t="s">
        <v>7162</v>
      </c>
      <c r="Y806" s="50">
        <v>0.32</v>
      </c>
    </row>
    <row r="807" spans="2:25" x14ac:dyDescent="0.2">
      <c r="B807" s="50" t="s">
        <v>9</v>
      </c>
      <c r="C807" s="50" t="s">
        <v>1024</v>
      </c>
      <c r="D807" s="50"/>
      <c r="E807" s="50"/>
      <c r="F807" s="51" t="s">
        <v>528</v>
      </c>
      <c r="G807" s="50" t="s">
        <v>527</v>
      </c>
      <c r="H807" s="50" t="s">
        <v>621</v>
      </c>
      <c r="I807" s="50" t="s">
        <v>1120</v>
      </c>
      <c r="J807" s="50" t="s">
        <v>622</v>
      </c>
      <c r="K807" s="50" t="s">
        <v>7174</v>
      </c>
      <c r="L807" s="50">
        <v>89</v>
      </c>
      <c r="M807" s="50">
        <v>0.44500000000000001</v>
      </c>
      <c r="N807" s="50">
        <v>0.36671131949095775</v>
      </c>
      <c r="O807" s="150">
        <v>34867.312447843746</v>
      </c>
      <c r="P807" s="150">
        <v>65933.18024999999</v>
      </c>
      <c r="Q807" s="150">
        <v>-31065.867802156245</v>
      </c>
      <c r="R807" s="150">
        <v>22433.351765603824</v>
      </c>
      <c r="S807" s="150">
        <v>-53499.219567760068</v>
      </c>
      <c r="T807" s="50" t="s">
        <v>7175</v>
      </c>
      <c r="U807" s="50">
        <v>-5.1395081942367518E-4</v>
      </c>
      <c r="V807" s="50">
        <v>0.99500000000000011</v>
      </c>
      <c r="W807" s="50">
        <v>0.95897108333292813</v>
      </c>
      <c r="X807" s="50" t="s">
        <v>7162</v>
      </c>
      <c r="Y807" s="50">
        <v>0.32</v>
      </c>
    </row>
    <row r="808" spans="2:25" x14ac:dyDescent="0.2">
      <c r="B808" s="50" t="s">
        <v>9</v>
      </c>
      <c r="C808" s="50" t="s">
        <v>779</v>
      </c>
      <c r="D808" s="50"/>
      <c r="E808" s="50"/>
      <c r="F808" s="51" t="s">
        <v>528</v>
      </c>
      <c r="G808" s="50" t="s">
        <v>527</v>
      </c>
      <c r="H808" s="50" t="s">
        <v>10</v>
      </c>
      <c r="I808" s="50" t="s">
        <v>1121</v>
      </c>
      <c r="J808" s="50" t="s">
        <v>529</v>
      </c>
      <c r="K808" s="50" t="s">
        <v>7174</v>
      </c>
      <c r="L808" s="50">
        <v>169</v>
      </c>
      <c r="M808" s="50">
        <v>1.69</v>
      </c>
      <c r="N808" s="50">
        <v>0.32</v>
      </c>
      <c r="O808" s="150">
        <v>132417.43379068747</v>
      </c>
      <c r="P808" s="150">
        <v>127027.92050000001</v>
      </c>
      <c r="Q808" s="150">
        <v>5389.5132906874642</v>
      </c>
      <c r="R808" s="150">
        <v>59070</v>
      </c>
      <c r="S808" s="150">
        <v>-53680.486709312536</v>
      </c>
      <c r="T808" s="50" t="s">
        <v>7175</v>
      </c>
      <c r="U808" s="50">
        <v>-5.1569219802112326E-4</v>
      </c>
      <c r="V808" s="50">
        <v>0.99</v>
      </c>
      <c r="W808" s="50">
        <v>0.95845539113490696</v>
      </c>
      <c r="X808" s="50" t="s">
        <v>7159</v>
      </c>
      <c r="Y808" s="50">
        <v>0.32</v>
      </c>
    </row>
    <row r="809" spans="2:25" x14ac:dyDescent="0.2">
      <c r="B809" s="50" t="s">
        <v>9</v>
      </c>
      <c r="C809" s="50" t="s">
        <v>656</v>
      </c>
      <c r="D809" s="50"/>
      <c r="E809" s="50"/>
      <c r="F809" s="51" t="s">
        <v>528</v>
      </c>
      <c r="G809" s="50" t="s">
        <v>527</v>
      </c>
      <c r="H809" s="50" t="s">
        <v>10</v>
      </c>
      <c r="I809" s="50" t="s">
        <v>1121</v>
      </c>
      <c r="J809" s="50" t="s">
        <v>529</v>
      </c>
      <c r="K809" s="50" t="s">
        <v>7174</v>
      </c>
      <c r="L809" s="50">
        <v>167</v>
      </c>
      <c r="M809" s="50">
        <v>1.67</v>
      </c>
      <c r="N809" s="50">
        <v>0.32</v>
      </c>
      <c r="O809" s="150">
        <v>130850.36356831249</v>
      </c>
      <c r="P809" s="150">
        <v>125524.6315</v>
      </c>
      <c r="Q809" s="150">
        <v>5325.7320683124854</v>
      </c>
      <c r="R809" s="150">
        <v>59070</v>
      </c>
      <c r="S809" s="150">
        <v>-53744.267931687515</v>
      </c>
      <c r="T809" s="50" t="s">
        <v>7175</v>
      </c>
      <c r="U809" s="50">
        <v>-5.1630492493131576E-4</v>
      </c>
      <c r="V809" s="50">
        <v>0.9900000000000001</v>
      </c>
      <c r="W809" s="50">
        <v>0.9579390862099757</v>
      </c>
      <c r="X809" s="50" t="s">
        <v>7161</v>
      </c>
      <c r="Y809" s="50">
        <v>0.32</v>
      </c>
    </row>
    <row r="810" spans="2:25" x14ac:dyDescent="0.2">
      <c r="B810" s="50" t="s">
        <v>9</v>
      </c>
      <c r="C810" s="50" t="s">
        <v>885</v>
      </c>
      <c r="D810" s="50"/>
      <c r="E810" s="50"/>
      <c r="F810" s="51" t="s">
        <v>528</v>
      </c>
      <c r="G810" s="50" t="s">
        <v>527</v>
      </c>
      <c r="H810" s="50" t="s">
        <v>23</v>
      </c>
      <c r="I810" s="50" t="s">
        <v>1121</v>
      </c>
      <c r="J810" s="50" t="s">
        <v>543</v>
      </c>
      <c r="K810" s="50" t="s">
        <v>7174</v>
      </c>
      <c r="L810" s="50">
        <v>159</v>
      </c>
      <c r="M810" s="50">
        <v>1.59</v>
      </c>
      <c r="N810" s="50">
        <v>0.32</v>
      </c>
      <c r="O810" s="150">
        <v>124582.08267881248</v>
      </c>
      <c r="P810" s="150">
        <v>119511.4755</v>
      </c>
      <c r="Q810" s="150">
        <v>5070.6071788124827</v>
      </c>
      <c r="R810" s="150">
        <v>59070</v>
      </c>
      <c r="S810" s="150">
        <v>-53999.392821187517</v>
      </c>
      <c r="T810" s="50" t="s">
        <v>7175</v>
      </c>
      <c r="U810" s="50">
        <v>-5.1875583257208666E-4</v>
      </c>
      <c r="V810" s="50">
        <v>0.99</v>
      </c>
      <c r="W810" s="50">
        <v>0.95742033037740359</v>
      </c>
      <c r="X810" s="50" t="s">
        <v>7159</v>
      </c>
      <c r="Y810" s="50">
        <v>0.32</v>
      </c>
    </row>
    <row r="811" spans="2:25" x14ac:dyDescent="0.2">
      <c r="B811" s="50" t="s">
        <v>9</v>
      </c>
      <c r="C811" s="50" t="s">
        <v>822</v>
      </c>
      <c r="D811" s="50"/>
      <c r="E811" s="50"/>
      <c r="F811" s="51" t="s">
        <v>528</v>
      </c>
      <c r="G811" s="50" t="s">
        <v>527</v>
      </c>
      <c r="H811" s="50" t="s">
        <v>10</v>
      </c>
      <c r="I811" s="50" t="s">
        <v>1121</v>
      </c>
      <c r="J811" s="50" t="s">
        <v>529</v>
      </c>
      <c r="K811" s="50" t="s">
        <v>7174</v>
      </c>
      <c r="L811" s="50">
        <v>155</v>
      </c>
      <c r="M811" s="50">
        <v>1.55</v>
      </c>
      <c r="N811" s="50">
        <v>0.32</v>
      </c>
      <c r="O811" s="150">
        <v>121447.9422340625</v>
      </c>
      <c r="P811" s="150">
        <v>116504.89750000001</v>
      </c>
      <c r="Q811" s="150">
        <v>4943.044734062496</v>
      </c>
      <c r="R811" s="150">
        <v>59070</v>
      </c>
      <c r="S811" s="150">
        <v>-54126.955265937504</v>
      </c>
      <c r="T811" s="50" t="s">
        <v>7175</v>
      </c>
      <c r="U811" s="50">
        <v>-5.19981286392472E-4</v>
      </c>
      <c r="V811" s="50">
        <v>0.98999999999999988</v>
      </c>
      <c r="W811" s="50">
        <v>0.95690034909101107</v>
      </c>
      <c r="X811" s="50" t="s">
        <v>7163</v>
      </c>
      <c r="Y811" s="50">
        <v>0.32</v>
      </c>
    </row>
    <row r="812" spans="2:25" x14ac:dyDescent="0.2">
      <c r="B812" s="50" t="s">
        <v>9</v>
      </c>
      <c r="C812" s="50" t="s">
        <v>874</v>
      </c>
      <c r="D812" s="50"/>
      <c r="E812" s="50"/>
      <c r="F812" s="51" t="s">
        <v>528</v>
      </c>
      <c r="G812" s="50" t="s">
        <v>527</v>
      </c>
      <c r="H812" s="50" t="s">
        <v>10</v>
      </c>
      <c r="I812" s="50" t="s">
        <v>1121</v>
      </c>
      <c r="J812" s="50" t="s">
        <v>529</v>
      </c>
      <c r="K812" s="50" t="s">
        <v>7174</v>
      </c>
      <c r="L812" s="50">
        <v>155</v>
      </c>
      <c r="M812" s="50">
        <v>1.55</v>
      </c>
      <c r="N812" s="50">
        <v>0.32</v>
      </c>
      <c r="O812" s="150">
        <v>121447.9422340625</v>
      </c>
      <c r="P812" s="150">
        <v>116504.89750000001</v>
      </c>
      <c r="Q812" s="150">
        <v>4943.044734062496</v>
      </c>
      <c r="R812" s="150">
        <v>59070</v>
      </c>
      <c r="S812" s="150">
        <v>-54126.955265937504</v>
      </c>
      <c r="T812" s="50" t="s">
        <v>7175</v>
      </c>
      <c r="U812" s="50">
        <v>-5.19981286392472E-4</v>
      </c>
      <c r="V812" s="50">
        <v>0.98999999999999988</v>
      </c>
      <c r="W812" s="50">
        <v>0.95638036780461855</v>
      </c>
      <c r="X812" s="50" t="s">
        <v>7162</v>
      </c>
      <c r="Y812" s="50">
        <v>0.32</v>
      </c>
    </row>
    <row r="813" spans="2:25" x14ac:dyDescent="0.2">
      <c r="B813" s="50" t="s">
        <v>9</v>
      </c>
      <c r="C813" s="50" t="s">
        <v>1060</v>
      </c>
      <c r="D813" s="50"/>
      <c r="E813" s="50"/>
      <c r="F813" s="51" t="s">
        <v>528</v>
      </c>
      <c r="G813" s="50" t="s">
        <v>527</v>
      </c>
      <c r="H813" s="50" t="s">
        <v>10</v>
      </c>
      <c r="I813" s="50">
        <v>0</v>
      </c>
      <c r="J813" s="50" t="s">
        <v>529</v>
      </c>
      <c r="K813" s="50" t="s">
        <v>7174</v>
      </c>
      <c r="L813" s="50">
        <v>154</v>
      </c>
      <c r="M813" s="50">
        <v>1.54</v>
      </c>
      <c r="N813" s="50">
        <v>0.86</v>
      </c>
      <c r="O813" s="150">
        <v>120664.407122875</v>
      </c>
      <c r="P813" s="150">
        <v>115753.253</v>
      </c>
      <c r="Q813" s="150">
        <v>4911.1541228749993</v>
      </c>
      <c r="R813" s="150">
        <v>59070</v>
      </c>
      <c r="S813" s="150">
        <v>-54158.845877125001</v>
      </c>
      <c r="T813" s="50" t="s">
        <v>7175</v>
      </c>
      <c r="U813" s="50">
        <v>-5.2028764984756825E-4</v>
      </c>
      <c r="V813" s="50">
        <v>0.9900000000000001</v>
      </c>
      <c r="W813" s="50">
        <v>0.95586008015477097</v>
      </c>
      <c r="X813" s="50" t="e">
        <v>#N/A</v>
      </c>
      <c r="Y813" s="50">
        <v>0.32</v>
      </c>
    </row>
    <row r="814" spans="2:25" x14ac:dyDescent="0.2">
      <c r="B814" s="50" t="s">
        <v>9</v>
      </c>
      <c r="C814" s="50" t="s">
        <v>1072</v>
      </c>
      <c r="D814" s="50"/>
      <c r="E814" s="50"/>
      <c r="F814" s="51" t="s">
        <v>528</v>
      </c>
      <c r="G814" s="50" t="s">
        <v>527</v>
      </c>
      <c r="H814" s="50" t="s">
        <v>10</v>
      </c>
      <c r="I814" s="50" t="s">
        <v>1121</v>
      </c>
      <c r="J814" s="50" t="s">
        <v>529</v>
      </c>
      <c r="K814" s="50" t="s">
        <v>7174</v>
      </c>
      <c r="L814" s="50">
        <v>153</v>
      </c>
      <c r="M814" s="50">
        <v>1.53</v>
      </c>
      <c r="N814" s="50">
        <v>0.32</v>
      </c>
      <c r="O814" s="150">
        <v>119880.87201168749</v>
      </c>
      <c r="P814" s="150">
        <v>115001.6085</v>
      </c>
      <c r="Q814" s="150">
        <v>4879.2635116874881</v>
      </c>
      <c r="R814" s="150">
        <v>59070</v>
      </c>
      <c r="S814" s="150">
        <v>-54190.736488312512</v>
      </c>
      <c r="T814" s="50" t="s">
        <v>7175</v>
      </c>
      <c r="U814" s="50">
        <v>-5.2059401330266473E-4</v>
      </c>
      <c r="V814" s="50">
        <v>0.99</v>
      </c>
      <c r="W814" s="50">
        <v>0.95533948614146835</v>
      </c>
      <c r="X814" s="50" t="s">
        <v>7159</v>
      </c>
      <c r="Y814" s="50">
        <v>0.32</v>
      </c>
    </row>
    <row r="815" spans="2:25" x14ac:dyDescent="0.2">
      <c r="B815" s="50" t="s">
        <v>9</v>
      </c>
      <c r="C815" s="50" t="s">
        <v>699</v>
      </c>
      <c r="D815" s="50"/>
      <c r="E815" s="50"/>
      <c r="F815" s="51" t="s">
        <v>528</v>
      </c>
      <c r="G815" s="50" t="s">
        <v>527</v>
      </c>
      <c r="H815" s="50" t="s">
        <v>10</v>
      </c>
      <c r="I815" s="50" t="s">
        <v>1121</v>
      </c>
      <c r="J815" s="50" t="s">
        <v>529</v>
      </c>
      <c r="K815" s="50" t="s">
        <v>7174</v>
      </c>
      <c r="L815" s="50">
        <v>153</v>
      </c>
      <c r="M815" s="50">
        <v>1.53</v>
      </c>
      <c r="N815" s="50">
        <v>0.32</v>
      </c>
      <c r="O815" s="150">
        <v>119880.87201168749</v>
      </c>
      <c r="P815" s="150">
        <v>115001.6085</v>
      </c>
      <c r="Q815" s="150">
        <v>4879.2635116874881</v>
      </c>
      <c r="R815" s="150">
        <v>59070</v>
      </c>
      <c r="S815" s="150">
        <v>-54190.736488312512</v>
      </c>
      <c r="T815" s="50" t="s">
        <v>7175</v>
      </c>
      <c r="U815" s="50">
        <v>-5.2059401330266473E-4</v>
      </c>
      <c r="V815" s="50">
        <v>0.99</v>
      </c>
      <c r="W815" s="50">
        <v>0.95481889212816573</v>
      </c>
      <c r="X815" s="50" t="s">
        <v>7163</v>
      </c>
      <c r="Y815" s="50">
        <v>0.32</v>
      </c>
    </row>
    <row r="816" spans="2:25" x14ac:dyDescent="0.2">
      <c r="B816" s="50" t="s">
        <v>9</v>
      </c>
      <c r="C816" s="50" t="s">
        <v>605</v>
      </c>
      <c r="D816" s="50"/>
      <c r="E816" s="50"/>
      <c r="F816" s="51" t="s">
        <v>528</v>
      </c>
      <c r="G816" s="50" t="s">
        <v>527</v>
      </c>
      <c r="H816" s="50" t="s">
        <v>10</v>
      </c>
      <c r="I816" s="50" t="s">
        <v>1121</v>
      </c>
      <c r="J816" s="50" t="s">
        <v>529</v>
      </c>
      <c r="K816" s="50" t="s">
        <v>7174</v>
      </c>
      <c r="L816" s="50">
        <v>152</v>
      </c>
      <c r="M816" s="50">
        <v>1.52</v>
      </c>
      <c r="N816" s="50">
        <v>0.32</v>
      </c>
      <c r="O816" s="150">
        <v>119097.3369005</v>
      </c>
      <c r="P816" s="150">
        <v>114249.96399999999</v>
      </c>
      <c r="Q816" s="150">
        <v>4847.3729005000059</v>
      </c>
      <c r="R816" s="150">
        <v>59070</v>
      </c>
      <c r="S816" s="150">
        <v>-54222.627099499994</v>
      </c>
      <c r="T816" s="50" t="s">
        <v>7175</v>
      </c>
      <c r="U816" s="50">
        <v>-5.2090037675776087E-4</v>
      </c>
      <c r="V816" s="50">
        <v>0.98999999999999988</v>
      </c>
      <c r="W816" s="50">
        <v>0.95429799175140795</v>
      </c>
      <c r="X816" s="50" t="s">
        <v>7162</v>
      </c>
      <c r="Y816" s="50">
        <v>0.32</v>
      </c>
    </row>
    <row r="817" spans="2:25" x14ac:dyDescent="0.2">
      <c r="B817" s="50" t="s">
        <v>9</v>
      </c>
      <c r="C817" s="50" t="s">
        <v>740</v>
      </c>
      <c r="D817" s="50"/>
      <c r="E817" s="50"/>
      <c r="F817" s="51" t="s">
        <v>528</v>
      </c>
      <c r="G817" s="50" t="s">
        <v>527</v>
      </c>
      <c r="H817" s="50" t="s">
        <v>10</v>
      </c>
      <c r="I817" s="50" t="s">
        <v>1121</v>
      </c>
      <c r="J817" s="50" t="s">
        <v>529</v>
      </c>
      <c r="K817" s="50" t="s">
        <v>7174</v>
      </c>
      <c r="L817" s="50">
        <v>150</v>
      </c>
      <c r="M817" s="50">
        <v>1.5</v>
      </c>
      <c r="N817" s="50">
        <v>0.32</v>
      </c>
      <c r="O817" s="150">
        <v>117530.266678125</v>
      </c>
      <c r="P817" s="150">
        <v>112746.67499999999</v>
      </c>
      <c r="Q817" s="150">
        <v>4783.5916781250125</v>
      </c>
      <c r="R817" s="150">
        <v>59070</v>
      </c>
      <c r="S817" s="150">
        <v>-54286.408321874987</v>
      </c>
      <c r="T817" s="50" t="s">
        <v>7175</v>
      </c>
      <c r="U817" s="50">
        <v>-5.2151310366795359E-4</v>
      </c>
      <c r="V817" s="50">
        <v>0.99</v>
      </c>
      <c r="W817" s="50">
        <v>0.95377647864773996</v>
      </c>
      <c r="X817" s="50" t="s">
        <v>7162</v>
      </c>
      <c r="Y817" s="50">
        <v>0.32</v>
      </c>
    </row>
    <row r="818" spans="2:25" x14ac:dyDescent="0.2">
      <c r="B818" s="50" t="s">
        <v>9</v>
      </c>
      <c r="C818" s="50" t="s">
        <v>791</v>
      </c>
      <c r="D818" s="50"/>
      <c r="E818" s="50"/>
      <c r="F818" s="51" t="s">
        <v>528</v>
      </c>
      <c r="G818" s="50" t="s">
        <v>527</v>
      </c>
      <c r="H818" s="50" t="s">
        <v>10</v>
      </c>
      <c r="I818" s="50" t="s">
        <v>1121</v>
      </c>
      <c r="J818" s="50" t="s">
        <v>529</v>
      </c>
      <c r="K818" s="50" t="s">
        <v>7174</v>
      </c>
      <c r="L818" s="50">
        <v>150</v>
      </c>
      <c r="M818" s="50">
        <v>1.5</v>
      </c>
      <c r="N818" s="50">
        <v>0.32</v>
      </c>
      <c r="O818" s="150">
        <v>117530.266678125</v>
      </c>
      <c r="P818" s="150">
        <v>112746.67499999999</v>
      </c>
      <c r="Q818" s="150">
        <v>4783.5916781250125</v>
      </c>
      <c r="R818" s="150">
        <v>59070</v>
      </c>
      <c r="S818" s="150">
        <v>-54286.408321874987</v>
      </c>
      <c r="T818" s="50" t="s">
        <v>7175</v>
      </c>
      <c r="U818" s="50">
        <v>-5.2151310366795359E-4</v>
      </c>
      <c r="V818" s="50">
        <v>0.99</v>
      </c>
      <c r="W818" s="50">
        <v>0.95325496554407196</v>
      </c>
      <c r="X818" s="50" t="s">
        <v>7162</v>
      </c>
      <c r="Y818" s="50">
        <v>0.32</v>
      </c>
    </row>
    <row r="819" spans="2:25" x14ac:dyDescent="0.2">
      <c r="B819" s="50" t="s">
        <v>9</v>
      </c>
      <c r="C819" s="50" t="s">
        <v>595</v>
      </c>
      <c r="D819" s="50"/>
      <c r="E819" s="50"/>
      <c r="F819" s="51" t="s">
        <v>528</v>
      </c>
      <c r="G819" s="50" t="s">
        <v>527</v>
      </c>
      <c r="H819" s="50" t="s">
        <v>23</v>
      </c>
      <c r="I819" s="50">
        <v>0</v>
      </c>
      <c r="J819" s="50" t="s">
        <v>543</v>
      </c>
      <c r="K819" s="50" t="s">
        <v>7174</v>
      </c>
      <c r="L819" s="50">
        <v>150</v>
      </c>
      <c r="M819" s="50">
        <v>1.5</v>
      </c>
      <c r="N819" s="50">
        <v>0.86</v>
      </c>
      <c r="O819" s="150">
        <v>117530.266678125</v>
      </c>
      <c r="P819" s="150">
        <v>112746.67499999999</v>
      </c>
      <c r="Q819" s="150">
        <v>4783.5916781250125</v>
      </c>
      <c r="R819" s="150">
        <v>59070</v>
      </c>
      <c r="S819" s="150">
        <v>-54286.408321874987</v>
      </c>
      <c r="T819" s="50" t="s">
        <v>7175</v>
      </c>
      <c r="U819" s="50">
        <v>-5.2151310366795359E-4</v>
      </c>
      <c r="V819" s="50">
        <v>0.99</v>
      </c>
      <c r="W819" s="50">
        <v>0.95273345244040397</v>
      </c>
      <c r="X819" s="50" t="s">
        <v>7159</v>
      </c>
      <c r="Y819" s="50">
        <v>0.32</v>
      </c>
    </row>
    <row r="820" spans="2:25" x14ac:dyDescent="0.2">
      <c r="B820" s="50" t="s">
        <v>9</v>
      </c>
      <c r="C820" s="50" t="s">
        <v>808</v>
      </c>
      <c r="D820" s="50"/>
      <c r="E820" s="50"/>
      <c r="F820" s="51" t="s">
        <v>528</v>
      </c>
      <c r="G820" s="50" t="s">
        <v>527</v>
      </c>
      <c r="H820" s="50" t="s">
        <v>10</v>
      </c>
      <c r="I820" s="50" t="s">
        <v>1121</v>
      </c>
      <c r="J820" s="50" t="s">
        <v>529</v>
      </c>
      <c r="K820" s="50" t="s">
        <v>7174</v>
      </c>
      <c r="L820" s="50">
        <v>147</v>
      </c>
      <c r="M820" s="50">
        <v>1.47</v>
      </c>
      <c r="N820" s="50">
        <v>0.32</v>
      </c>
      <c r="O820" s="150">
        <v>115179.66134456248</v>
      </c>
      <c r="P820" s="150">
        <v>110491.7415</v>
      </c>
      <c r="Q820" s="150">
        <v>4687.9198445624788</v>
      </c>
      <c r="R820" s="150">
        <v>59070</v>
      </c>
      <c r="S820" s="150">
        <v>-54382.080155437521</v>
      </c>
      <c r="T820" s="50" t="s">
        <v>7175</v>
      </c>
      <c r="U820" s="50">
        <v>-5.224321940332429E-4</v>
      </c>
      <c r="V820" s="50">
        <v>0.99</v>
      </c>
      <c r="W820" s="50">
        <v>0.95221102024637072</v>
      </c>
      <c r="X820" s="50" t="s">
        <v>7162</v>
      </c>
      <c r="Y820" s="50">
        <v>0.32</v>
      </c>
    </row>
    <row r="821" spans="2:25" x14ac:dyDescent="0.2">
      <c r="B821" s="50" t="s">
        <v>9</v>
      </c>
      <c r="C821" s="50" t="s">
        <v>683</v>
      </c>
      <c r="D821" s="50"/>
      <c r="E821" s="50"/>
      <c r="F821" s="51" t="s">
        <v>528</v>
      </c>
      <c r="G821" s="50" t="s">
        <v>527</v>
      </c>
      <c r="H821" s="50" t="s">
        <v>10</v>
      </c>
      <c r="I821" s="50" t="s">
        <v>1121</v>
      </c>
      <c r="J821" s="50" t="s">
        <v>529</v>
      </c>
      <c r="K821" s="50" t="s">
        <v>7174</v>
      </c>
      <c r="L821" s="50">
        <v>146</v>
      </c>
      <c r="M821" s="50">
        <v>1.46</v>
      </c>
      <c r="N821" s="50">
        <v>0.32</v>
      </c>
      <c r="O821" s="150">
        <v>114396.12623337499</v>
      </c>
      <c r="P821" s="150">
        <v>109740.09700000001</v>
      </c>
      <c r="Q821" s="150">
        <v>4656.0292333749821</v>
      </c>
      <c r="R821" s="150">
        <v>59070</v>
      </c>
      <c r="S821" s="150">
        <v>-54413.970766625018</v>
      </c>
      <c r="T821" s="50" t="s">
        <v>7175</v>
      </c>
      <c r="U821" s="50">
        <v>-5.2273855748833926E-4</v>
      </c>
      <c r="V821" s="50">
        <v>0.99</v>
      </c>
      <c r="W821" s="50">
        <v>0.95168828168888242</v>
      </c>
      <c r="X821" s="50" t="s">
        <v>7162</v>
      </c>
      <c r="Y821" s="50">
        <v>0.32</v>
      </c>
    </row>
    <row r="822" spans="2:25" x14ac:dyDescent="0.2">
      <c r="B822" s="50" t="s">
        <v>9</v>
      </c>
      <c r="C822" s="50" t="s">
        <v>632</v>
      </c>
      <c r="D822" s="50"/>
      <c r="E822" s="50"/>
      <c r="F822" s="51" t="s">
        <v>528</v>
      </c>
      <c r="G822" s="50" t="s">
        <v>527</v>
      </c>
      <c r="H822" s="50" t="s">
        <v>10</v>
      </c>
      <c r="I822" s="50" t="s">
        <v>1121</v>
      </c>
      <c r="J822" s="50" t="s">
        <v>529</v>
      </c>
      <c r="K822" s="50" t="s">
        <v>7174</v>
      </c>
      <c r="L822" s="50">
        <v>145</v>
      </c>
      <c r="M822" s="50">
        <v>1.45</v>
      </c>
      <c r="N822" s="50">
        <v>0.32</v>
      </c>
      <c r="O822" s="150">
        <v>113612.59112218748</v>
      </c>
      <c r="P822" s="150">
        <v>108988.4525</v>
      </c>
      <c r="Q822" s="150">
        <v>4624.1386221874855</v>
      </c>
      <c r="R822" s="150">
        <v>59070</v>
      </c>
      <c r="S822" s="150">
        <v>-54445.861377812515</v>
      </c>
      <c r="T822" s="50" t="s">
        <v>7175</v>
      </c>
      <c r="U822" s="50">
        <v>-5.2304492094343562E-4</v>
      </c>
      <c r="V822" s="50">
        <v>0.9900000000000001</v>
      </c>
      <c r="W822" s="50">
        <v>0.95116523676793896</v>
      </c>
      <c r="X822" s="50" t="s">
        <v>7162</v>
      </c>
      <c r="Y822" s="50">
        <v>0.32</v>
      </c>
    </row>
    <row r="823" spans="2:25" x14ac:dyDescent="0.2">
      <c r="B823" s="50" t="s">
        <v>9</v>
      </c>
      <c r="C823" s="50" t="s">
        <v>1068</v>
      </c>
      <c r="D823" s="50"/>
      <c r="E823" s="50"/>
      <c r="F823" s="51" t="s">
        <v>528</v>
      </c>
      <c r="G823" s="50" t="s">
        <v>527</v>
      </c>
      <c r="H823" s="50" t="s">
        <v>23</v>
      </c>
      <c r="I823" s="50" t="s">
        <v>1120</v>
      </c>
      <c r="J823" s="50" t="s">
        <v>543</v>
      </c>
      <c r="K823" s="50" t="s">
        <v>7174</v>
      </c>
      <c r="L823" s="50">
        <v>30</v>
      </c>
      <c r="M823" s="50">
        <v>0.6</v>
      </c>
      <c r="N823" s="50">
        <v>1.2794191286930396</v>
      </c>
      <c r="O823" s="150">
        <v>47012.106671249996</v>
      </c>
      <c r="P823" s="150">
        <v>23198.67</v>
      </c>
      <c r="Q823" s="150">
        <v>23813.436671249998</v>
      </c>
      <c r="R823" s="150">
        <v>78267.721349466054</v>
      </c>
      <c r="S823" s="150">
        <v>-54454.284678216056</v>
      </c>
      <c r="T823" s="50" t="s">
        <v>7175</v>
      </c>
      <c r="U823" s="50">
        <v>-5.2312584104245068E-4</v>
      </c>
      <c r="V823" s="50">
        <v>0.98</v>
      </c>
      <c r="W823" s="50">
        <v>0.95064211092689654</v>
      </c>
      <c r="X823" s="50" t="s">
        <v>7162</v>
      </c>
      <c r="Y823" s="50">
        <v>0.32</v>
      </c>
    </row>
    <row r="824" spans="2:25" x14ac:dyDescent="0.2">
      <c r="B824" s="50" t="s">
        <v>9</v>
      </c>
      <c r="C824" s="50" t="s">
        <v>743</v>
      </c>
      <c r="D824" s="50"/>
      <c r="E824" s="50"/>
      <c r="F824" s="51" t="s">
        <v>528</v>
      </c>
      <c r="G824" s="50" t="s">
        <v>527</v>
      </c>
      <c r="H824" s="50" t="s">
        <v>10</v>
      </c>
      <c r="I824" s="50" t="s">
        <v>1121</v>
      </c>
      <c r="J824" s="50" t="s">
        <v>529</v>
      </c>
      <c r="K824" s="50" t="s">
        <v>7174</v>
      </c>
      <c r="L824" s="50">
        <v>142</v>
      </c>
      <c r="M824" s="50">
        <v>1.42</v>
      </c>
      <c r="N824" s="50">
        <v>0.32</v>
      </c>
      <c r="O824" s="150">
        <v>111261.98578862498</v>
      </c>
      <c r="P824" s="150">
        <v>106733.51899999999</v>
      </c>
      <c r="Q824" s="150">
        <v>4528.4667886249954</v>
      </c>
      <c r="R824" s="150">
        <v>59070</v>
      </c>
      <c r="S824" s="150">
        <v>-54541.533211375005</v>
      </c>
      <c r="T824" s="50" t="s">
        <v>7175</v>
      </c>
      <c r="U824" s="50">
        <v>-5.239640113087246E-4</v>
      </c>
      <c r="V824" s="50">
        <v>0.9900000000000001</v>
      </c>
      <c r="W824" s="50">
        <v>0.95011814691558782</v>
      </c>
      <c r="X824" s="50" t="s">
        <v>7161</v>
      </c>
      <c r="Y824" s="50">
        <v>0.32</v>
      </c>
    </row>
    <row r="825" spans="2:25" x14ac:dyDescent="0.2">
      <c r="B825" s="50" t="s">
        <v>9</v>
      </c>
      <c r="C825" s="50" t="s">
        <v>721</v>
      </c>
      <c r="D825" s="50"/>
      <c r="E825" s="50"/>
      <c r="F825" s="51" t="s">
        <v>528</v>
      </c>
      <c r="G825" s="50" t="s">
        <v>527</v>
      </c>
      <c r="H825" s="50" t="s">
        <v>10</v>
      </c>
      <c r="I825" s="50">
        <v>0</v>
      </c>
      <c r="J825" s="50" t="s">
        <v>529</v>
      </c>
      <c r="K825" s="50" t="s">
        <v>7174</v>
      </c>
      <c r="L825" s="50">
        <v>142</v>
      </c>
      <c r="M825" s="50">
        <v>1.42</v>
      </c>
      <c r="N825" s="50">
        <v>0.44439935064935066</v>
      </c>
      <c r="O825" s="150">
        <v>111261.98578862498</v>
      </c>
      <c r="P825" s="150">
        <v>106733.51899999999</v>
      </c>
      <c r="Q825" s="150">
        <v>4528.4667886249954</v>
      </c>
      <c r="R825" s="150">
        <v>59070</v>
      </c>
      <c r="S825" s="150">
        <v>-54541.533211375005</v>
      </c>
      <c r="T825" s="50" t="s">
        <v>7175</v>
      </c>
      <c r="U825" s="50">
        <v>-5.239640113087246E-4</v>
      </c>
      <c r="V825" s="50">
        <v>0.9900000000000001</v>
      </c>
      <c r="W825" s="50">
        <v>0.9495941829042791</v>
      </c>
      <c r="X825" s="50" t="s">
        <v>7161</v>
      </c>
      <c r="Y825" s="50">
        <v>0.32</v>
      </c>
    </row>
    <row r="826" spans="2:25" x14ac:dyDescent="0.2">
      <c r="B826" s="50" t="s">
        <v>9</v>
      </c>
      <c r="C826" s="50" t="s">
        <v>630</v>
      </c>
      <c r="D826" s="50"/>
      <c r="E826" s="50"/>
      <c r="F826" s="51" t="s">
        <v>528</v>
      </c>
      <c r="G826" s="50" t="s">
        <v>527</v>
      </c>
      <c r="H826" s="50" t="s">
        <v>10</v>
      </c>
      <c r="I826" s="50" t="s">
        <v>1121</v>
      </c>
      <c r="J826" s="50" t="s">
        <v>529</v>
      </c>
      <c r="K826" s="50" t="s">
        <v>7174</v>
      </c>
      <c r="L826" s="50">
        <v>140</v>
      </c>
      <c r="M826" s="50">
        <v>1.4</v>
      </c>
      <c r="N826" s="50">
        <v>0.32</v>
      </c>
      <c r="O826" s="150">
        <v>109694.91556624998</v>
      </c>
      <c r="P826" s="150">
        <v>105230.23000000001</v>
      </c>
      <c r="Q826" s="150">
        <v>4464.6855662499729</v>
      </c>
      <c r="R826" s="150">
        <v>59070</v>
      </c>
      <c r="S826" s="150">
        <v>-54605.314433750027</v>
      </c>
      <c r="T826" s="50" t="s">
        <v>7175</v>
      </c>
      <c r="U826" s="50">
        <v>-5.2457673821891743E-4</v>
      </c>
      <c r="V826" s="50">
        <v>0.99</v>
      </c>
      <c r="W826" s="50">
        <v>0.94906960616606018</v>
      </c>
      <c r="X826" s="50" t="s">
        <v>7162</v>
      </c>
      <c r="Y826" s="50">
        <v>0.32</v>
      </c>
    </row>
    <row r="827" spans="2:25" x14ac:dyDescent="0.2">
      <c r="B827" s="50" t="s">
        <v>9</v>
      </c>
      <c r="C827" s="50" t="s">
        <v>843</v>
      </c>
      <c r="D827" s="50"/>
      <c r="E827" s="50"/>
      <c r="F827" s="51" t="s">
        <v>528</v>
      </c>
      <c r="G827" s="50" t="s">
        <v>527</v>
      </c>
      <c r="H827" s="50" t="s">
        <v>10</v>
      </c>
      <c r="I827" s="50" t="s">
        <v>1121</v>
      </c>
      <c r="J827" s="50" t="s">
        <v>529</v>
      </c>
      <c r="K827" s="50" t="s">
        <v>7174</v>
      </c>
      <c r="L827" s="50">
        <v>138</v>
      </c>
      <c r="M827" s="50">
        <v>1.38</v>
      </c>
      <c r="N827" s="50">
        <v>0.32</v>
      </c>
      <c r="O827" s="150">
        <v>108127.84534387499</v>
      </c>
      <c r="P827" s="150">
        <v>103726.94100000001</v>
      </c>
      <c r="Q827" s="150">
        <v>4400.9043438749795</v>
      </c>
      <c r="R827" s="150">
        <v>59070</v>
      </c>
      <c r="S827" s="150">
        <v>-54669.09565612502</v>
      </c>
      <c r="T827" s="50" t="s">
        <v>7175</v>
      </c>
      <c r="U827" s="50">
        <v>-5.2518946512911016E-4</v>
      </c>
      <c r="V827" s="50">
        <v>0.99</v>
      </c>
      <c r="W827" s="50">
        <v>0.94854441670093104</v>
      </c>
      <c r="X827" s="50" t="s">
        <v>7162</v>
      </c>
      <c r="Y827" s="50">
        <v>0.32</v>
      </c>
    </row>
    <row r="828" spans="2:25" x14ac:dyDescent="0.2">
      <c r="B828" s="50" t="s">
        <v>9</v>
      </c>
      <c r="C828" s="50" t="s">
        <v>730</v>
      </c>
      <c r="D828" s="50"/>
      <c r="E828" s="50"/>
      <c r="F828" s="51" t="s">
        <v>528</v>
      </c>
      <c r="G828" s="50" t="s">
        <v>527</v>
      </c>
      <c r="H828" s="50" t="s">
        <v>10</v>
      </c>
      <c r="I828" s="50" t="s">
        <v>1121</v>
      </c>
      <c r="J828" s="50" t="s">
        <v>529</v>
      </c>
      <c r="K828" s="50" t="s">
        <v>7174</v>
      </c>
      <c r="L828" s="50">
        <v>133</v>
      </c>
      <c r="M828" s="50">
        <v>1.33</v>
      </c>
      <c r="N828" s="50">
        <v>0.32</v>
      </c>
      <c r="O828" s="150">
        <v>104210.1697879375</v>
      </c>
      <c r="P828" s="150">
        <v>99968.718500000003</v>
      </c>
      <c r="Q828" s="150">
        <v>4241.4512879374961</v>
      </c>
      <c r="R828" s="150">
        <v>59070</v>
      </c>
      <c r="S828" s="150">
        <v>-54828.548712062504</v>
      </c>
      <c r="T828" s="50" t="s">
        <v>7175</v>
      </c>
      <c r="U828" s="50">
        <v>-5.2672128240459175E-4</v>
      </c>
      <c r="V828" s="50">
        <v>0.98999999999999988</v>
      </c>
      <c r="W828" s="50">
        <v>0.94801769541852643</v>
      </c>
      <c r="X828" s="50" t="s">
        <v>7162</v>
      </c>
      <c r="Y828" s="50">
        <v>0.32</v>
      </c>
    </row>
    <row r="829" spans="2:25" x14ac:dyDescent="0.2">
      <c r="B829" s="50" t="s">
        <v>9</v>
      </c>
      <c r="C829" s="50" t="s">
        <v>836</v>
      </c>
      <c r="D829" s="50"/>
      <c r="E829" s="50"/>
      <c r="F829" s="51" t="s">
        <v>528</v>
      </c>
      <c r="G829" s="50" t="s">
        <v>527</v>
      </c>
      <c r="H829" s="50" t="s">
        <v>10</v>
      </c>
      <c r="I829" s="50" t="s">
        <v>1121</v>
      </c>
      <c r="J829" s="50" t="s">
        <v>529</v>
      </c>
      <c r="K829" s="50" t="s">
        <v>7174</v>
      </c>
      <c r="L829" s="50">
        <v>133</v>
      </c>
      <c r="M829" s="50">
        <v>1.33</v>
      </c>
      <c r="N829" s="50">
        <v>0.32</v>
      </c>
      <c r="O829" s="150">
        <v>104210.1697879375</v>
      </c>
      <c r="P829" s="150">
        <v>99968.718500000003</v>
      </c>
      <c r="Q829" s="150">
        <v>4241.4512879374961</v>
      </c>
      <c r="R829" s="150">
        <v>59070</v>
      </c>
      <c r="S829" s="150">
        <v>-54828.548712062504</v>
      </c>
      <c r="T829" s="50" t="s">
        <v>7175</v>
      </c>
      <c r="U829" s="50">
        <v>-5.2672128240459175E-4</v>
      </c>
      <c r="V829" s="50">
        <v>0.98999999999999988</v>
      </c>
      <c r="W829" s="50">
        <v>0.94749097413612182</v>
      </c>
      <c r="X829" s="50" t="s">
        <v>7159</v>
      </c>
      <c r="Y829" s="50">
        <v>0.32</v>
      </c>
    </row>
    <row r="830" spans="2:25" x14ac:dyDescent="0.2">
      <c r="B830" s="50" t="s">
        <v>9</v>
      </c>
      <c r="C830" s="50" t="s">
        <v>1073</v>
      </c>
      <c r="D830" s="50"/>
      <c r="E830" s="50"/>
      <c r="F830" s="51" t="s">
        <v>528</v>
      </c>
      <c r="G830" s="50" t="s">
        <v>527</v>
      </c>
      <c r="H830" s="50" t="s">
        <v>10</v>
      </c>
      <c r="I830" s="50">
        <v>0</v>
      </c>
      <c r="J830" s="50" t="s">
        <v>529</v>
      </c>
      <c r="K830" s="50" t="s">
        <v>7174</v>
      </c>
      <c r="L830" s="50">
        <v>132</v>
      </c>
      <c r="M830" s="50">
        <v>1.32</v>
      </c>
      <c r="N830" s="50">
        <v>0.86</v>
      </c>
      <c r="O830" s="150">
        <v>103426.63467675001</v>
      </c>
      <c r="P830" s="150">
        <v>99217.074000000008</v>
      </c>
      <c r="Q830" s="150">
        <v>4209.5606767499994</v>
      </c>
      <c r="R830" s="150">
        <v>59070</v>
      </c>
      <c r="S830" s="150">
        <v>-54860.439323250001</v>
      </c>
      <c r="T830" s="50" t="s">
        <v>7175</v>
      </c>
      <c r="U830" s="50">
        <v>-5.2702764585968811E-4</v>
      </c>
      <c r="V830" s="50">
        <v>0.9900000000000001</v>
      </c>
      <c r="W830" s="50">
        <v>0.94696394649026217</v>
      </c>
      <c r="X830" s="50" t="s">
        <v>7162</v>
      </c>
      <c r="Y830" s="50">
        <v>0.32</v>
      </c>
    </row>
    <row r="831" spans="2:25" x14ac:dyDescent="0.2">
      <c r="B831" s="50" t="s">
        <v>9</v>
      </c>
      <c r="C831" s="50" t="s">
        <v>963</v>
      </c>
      <c r="D831" s="50"/>
      <c r="E831" s="50"/>
      <c r="F831" s="51" t="s">
        <v>528</v>
      </c>
      <c r="G831" s="50" t="s">
        <v>527</v>
      </c>
      <c r="H831" s="50" t="s">
        <v>535</v>
      </c>
      <c r="I831" s="50" t="s">
        <v>1121</v>
      </c>
      <c r="J831" s="50" t="s">
        <v>536</v>
      </c>
      <c r="K831" s="50" t="s">
        <v>7174</v>
      </c>
      <c r="L831" s="50">
        <v>130</v>
      </c>
      <c r="M831" s="50">
        <v>1.3</v>
      </c>
      <c r="N831" s="50">
        <v>0.32</v>
      </c>
      <c r="O831" s="150">
        <v>101859.56445437499</v>
      </c>
      <c r="P831" s="150">
        <v>97713.785000000003</v>
      </c>
      <c r="Q831" s="150">
        <v>4145.7794543749915</v>
      </c>
      <c r="R831" s="150">
        <v>59070</v>
      </c>
      <c r="S831" s="150">
        <v>-54924.220545625009</v>
      </c>
      <c r="T831" s="50" t="s">
        <v>7175</v>
      </c>
      <c r="U831" s="50">
        <v>-5.2764037276988084E-4</v>
      </c>
      <c r="V831" s="50">
        <v>0.98999999999999988</v>
      </c>
      <c r="W831" s="50">
        <v>0.9464363061174923</v>
      </c>
      <c r="X831" s="50" t="s">
        <v>7161</v>
      </c>
      <c r="Y831" s="50">
        <v>0.32</v>
      </c>
    </row>
    <row r="832" spans="2:25" x14ac:dyDescent="0.2">
      <c r="B832" s="50" t="s">
        <v>9</v>
      </c>
      <c r="C832" s="50" t="s">
        <v>652</v>
      </c>
      <c r="D832" s="50"/>
      <c r="E832" s="50"/>
      <c r="F832" s="51" t="s">
        <v>528</v>
      </c>
      <c r="G832" s="50" t="s">
        <v>527</v>
      </c>
      <c r="H832" s="50" t="s">
        <v>10</v>
      </c>
      <c r="I832" s="50" t="s">
        <v>1121</v>
      </c>
      <c r="J832" s="50" t="s">
        <v>529</v>
      </c>
      <c r="K832" s="50" t="s">
        <v>7174</v>
      </c>
      <c r="L832" s="50">
        <v>130</v>
      </c>
      <c r="M832" s="50">
        <v>1.3</v>
      </c>
      <c r="N832" s="50">
        <v>0.32</v>
      </c>
      <c r="O832" s="150">
        <v>101859.56445437499</v>
      </c>
      <c r="P832" s="150">
        <v>97713.785000000003</v>
      </c>
      <c r="Q832" s="150">
        <v>4145.7794543749915</v>
      </c>
      <c r="R832" s="150">
        <v>59070</v>
      </c>
      <c r="S832" s="150">
        <v>-54924.220545625009</v>
      </c>
      <c r="T832" s="50" t="s">
        <v>7175</v>
      </c>
      <c r="U832" s="50">
        <v>-5.2764037276988084E-4</v>
      </c>
      <c r="V832" s="50">
        <v>0.98999999999999988</v>
      </c>
      <c r="W832" s="50">
        <v>0.94590866574472243</v>
      </c>
      <c r="X832" s="50" t="s">
        <v>7162</v>
      </c>
      <c r="Y832" s="50">
        <v>0.32</v>
      </c>
    </row>
    <row r="833" spans="2:25" x14ac:dyDescent="0.2">
      <c r="B833" s="50" t="s">
        <v>9</v>
      </c>
      <c r="C833" s="50" t="s">
        <v>914</v>
      </c>
      <c r="D833" s="50"/>
      <c r="E833" s="50"/>
      <c r="F833" s="51" t="s">
        <v>528</v>
      </c>
      <c r="G833" s="50" t="s">
        <v>527</v>
      </c>
      <c r="H833" s="50" t="s">
        <v>621</v>
      </c>
      <c r="I833" s="50" t="s">
        <v>1121</v>
      </c>
      <c r="J833" s="50" t="s">
        <v>622</v>
      </c>
      <c r="K833" s="50" t="s">
        <v>7174</v>
      </c>
      <c r="L833" s="50">
        <v>128</v>
      </c>
      <c r="M833" s="50">
        <v>1.28</v>
      </c>
      <c r="N833" s="50">
        <v>0.32</v>
      </c>
      <c r="O833" s="150">
        <v>100292.494232</v>
      </c>
      <c r="P833" s="150">
        <v>96210.495999999999</v>
      </c>
      <c r="Q833" s="150">
        <v>4081.9982319999981</v>
      </c>
      <c r="R833" s="150">
        <v>59070</v>
      </c>
      <c r="S833" s="150">
        <v>-54988.001768000002</v>
      </c>
      <c r="T833" s="50" t="s">
        <v>7175</v>
      </c>
      <c r="U833" s="50">
        <v>-5.2825309968007345E-4</v>
      </c>
      <c r="V833" s="50">
        <v>0.99</v>
      </c>
      <c r="W833" s="50">
        <v>0.94538041264504236</v>
      </c>
      <c r="X833" s="50" t="s">
        <v>7159</v>
      </c>
      <c r="Y833" s="50">
        <v>0.32</v>
      </c>
    </row>
    <row r="834" spans="2:25" x14ac:dyDescent="0.2">
      <c r="B834" s="50" t="s">
        <v>9</v>
      </c>
      <c r="C834" s="50" t="s">
        <v>725</v>
      </c>
      <c r="D834" s="50"/>
      <c r="E834" s="50"/>
      <c r="F834" s="51" t="s">
        <v>528</v>
      </c>
      <c r="G834" s="50" t="s">
        <v>527</v>
      </c>
      <c r="H834" s="50" t="s">
        <v>10</v>
      </c>
      <c r="I834" s="50" t="s">
        <v>1121</v>
      </c>
      <c r="J834" s="50" t="s">
        <v>529</v>
      </c>
      <c r="K834" s="50" t="s">
        <v>7174</v>
      </c>
      <c r="L834" s="50">
        <v>128</v>
      </c>
      <c r="M834" s="50">
        <v>1.28</v>
      </c>
      <c r="N834" s="50">
        <v>0.32</v>
      </c>
      <c r="O834" s="150">
        <v>100292.494232</v>
      </c>
      <c r="P834" s="150">
        <v>96210.495999999999</v>
      </c>
      <c r="Q834" s="150">
        <v>4081.9982319999981</v>
      </c>
      <c r="R834" s="150">
        <v>59070</v>
      </c>
      <c r="S834" s="150">
        <v>-54988.001768000002</v>
      </c>
      <c r="T834" s="50" t="s">
        <v>7175</v>
      </c>
      <c r="U834" s="50">
        <v>-5.2825309968007345E-4</v>
      </c>
      <c r="V834" s="50">
        <v>0.99</v>
      </c>
      <c r="W834" s="50">
        <v>0.94485215954536228</v>
      </c>
      <c r="X834" s="50" t="s">
        <v>7162</v>
      </c>
      <c r="Y834" s="50">
        <v>0.32</v>
      </c>
    </row>
    <row r="835" spans="2:25" x14ac:dyDescent="0.2">
      <c r="B835" s="50" t="s">
        <v>9</v>
      </c>
      <c r="C835" s="50" t="s">
        <v>768</v>
      </c>
      <c r="D835" s="50"/>
      <c r="E835" s="50"/>
      <c r="F835" s="51" t="s">
        <v>528</v>
      </c>
      <c r="G835" s="50" t="s">
        <v>527</v>
      </c>
      <c r="H835" s="50" t="s">
        <v>10</v>
      </c>
      <c r="I835" s="50">
        <v>0</v>
      </c>
      <c r="J835" s="50" t="s">
        <v>529</v>
      </c>
      <c r="K835" s="50" t="s">
        <v>7174</v>
      </c>
      <c r="L835" s="50">
        <v>128</v>
      </c>
      <c r="M835" s="50">
        <v>1.28</v>
      </c>
      <c r="N835" s="50">
        <v>0.2512908777969019</v>
      </c>
      <c r="O835" s="150">
        <v>100292.494232</v>
      </c>
      <c r="P835" s="150">
        <v>96210.495999999999</v>
      </c>
      <c r="Q835" s="150">
        <v>4081.9982319999981</v>
      </c>
      <c r="R835" s="150">
        <v>59070</v>
      </c>
      <c r="S835" s="150">
        <v>-54988.001768000002</v>
      </c>
      <c r="T835" s="50" t="s">
        <v>7175</v>
      </c>
      <c r="U835" s="50">
        <v>-5.2825309968007345E-4</v>
      </c>
      <c r="V835" s="50">
        <v>0.99</v>
      </c>
      <c r="W835" s="50">
        <v>0.9443239064456822</v>
      </c>
      <c r="X835" s="50" t="s">
        <v>7159</v>
      </c>
      <c r="Y835" s="50">
        <v>0.32</v>
      </c>
    </row>
    <row r="836" spans="2:25" x14ac:dyDescent="0.2">
      <c r="B836" s="50" t="s">
        <v>9</v>
      </c>
      <c r="C836" s="50" t="s">
        <v>616</v>
      </c>
      <c r="D836" s="50"/>
      <c r="E836" s="50"/>
      <c r="F836" s="51" t="s">
        <v>528</v>
      </c>
      <c r="G836" s="50" t="s">
        <v>527</v>
      </c>
      <c r="H836" s="50" t="s">
        <v>10</v>
      </c>
      <c r="I836" s="50" t="s">
        <v>1121</v>
      </c>
      <c r="J836" s="50" t="s">
        <v>529</v>
      </c>
      <c r="K836" s="50" t="s">
        <v>7174</v>
      </c>
      <c r="L836" s="50">
        <v>127</v>
      </c>
      <c r="M836" s="50">
        <v>1.27</v>
      </c>
      <c r="N836" s="50">
        <v>0.32</v>
      </c>
      <c r="O836" s="150">
        <v>99508.959120812506</v>
      </c>
      <c r="P836" s="150">
        <v>95458.85149999999</v>
      </c>
      <c r="Q836" s="150">
        <v>4050.107620812516</v>
      </c>
      <c r="R836" s="150">
        <v>59070</v>
      </c>
      <c r="S836" s="150">
        <v>-55019.892379187484</v>
      </c>
      <c r="T836" s="50" t="s">
        <v>7175</v>
      </c>
      <c r="U836" s="50">
        <v>-5.2855946313516971E-4</v>
      </c>
      <c r="V836" s="50">
        <v>0.99</v>
      </c>
      <c r="W836" s="50">
        <v>0.94379534698254708</v>
      </c>
      <c r="X836" s="50" t="s">
        <v>7162</v>
      </c>
      <c r="Y836" s="50">
        <v>0.32</v>
      </c>
    </row>
    <row r="837" spans="2:25" x14ac:dyDescent="0.2">
      <c r="B837" s="50" t="s">
        <v>9</v>
      </c>
      <c r="C837" s="50" t="s">
        <v>633</v>
      </c>
      <c r="D837" s="50"/>
      <c r="E837" s="50"/>
      <c r="F837" s="51" t="s">
        <v>528</v>
      </c>
      <c r="G837" s="50" t="s">
        <v>527</v>
      </c>
      <c r="H837" s="50" t="s">
        <v>10</v>
      </c>
      <c r="I837" s="50" t="s">
        <v>1121</v>
      </c>
      <c r="J837" s="50" t="s">
        <v>529</v>
      </c>
      <c r="K837" s="50" t="s">
        <v>7174</v>
      </c>
      <c r="L837" s="50">
        <v>126</v>
      </c>
      <c r="M837" s="50">
        <v>1.26</v>
      </c>
      <c r="N837" s="50">
        <v>0.32</v>
      </c>
      <c r="O837" s="150">
        <v>98725.424009625</v>
      </c>
      <c r="P837" s="150">
        <v>94707.206999999995</v>
      </c>
      <c r="Q837" s="150">
        <v>4018.2170096250047</v>
      </c>
      <c r="R837" s="150">
        <v>59070</v>
      </c>
      <c r="S837" s="150">
        <v>-55051.782990374995</v>
      </c>
      <c r="T837" s="50" t="s">
        <v>7175</v>
      </c>
      <c r="U837" s="50">
        <v>-5.2886582659026618E-4</v>
      </c>
      <c r="V837" s="50">
        <v>0.99</v>
      </c>
      <c r="W837" s="50">
        <v>0.94326648115595679</v>
      </c>
      <c r="X837" s="50" t="s">
        <v>7162</v>
      </c>
      <c r="Y837" s="50">
        <v>0.32</v>
      </c>
    </row>
    <row r="838" spans="2:25" x14ac:dyDescent="0.2">
      <c r="B838" s="50" t="s">
        <v>9</v>
      </c>
      <c r="C838" s="50" t="s">
        <v>748</v>
      </c>
      <c r="D838" s="50"/>
      <c r="E838" s="50"/>
      <c r="F838" s="51" t="s">
        <v>528</v>
      </c>
      <c r="G838" s="50" t="s">
        <v>527</v>
      </c>
      <c r="H838" s="50" t="s">
        <v>10</v>
      </c>
      <c r="I838" s="50" t="s">
        <v>1121</v>
      </c>
      <c r="J838" s="50" t="s">
        <v>529</v>
      </c>
      <c r="K838" s="50" t="s">
        <v>7174</v>
      </c>
      <c r="L838" s="50">
        <v>126</v>
      </c>
      <c r="M838" s="50">
        <v>1.26</v>
      </c>
      <c r="N838" s="50">
        <v>0.32</v>
      </c>
      <c r="O838" s="150">
        <v>98725.424009625</v>
      </c>
      <c r="P838" s="150">
        <v>94707.206999999995</v>
      </c>
      <c r="Q838" s="150">
        <v>4018.2170096250047</v>
      </c>
      <c r="R838" s="150">
        <v>59070</v>
      </c>
      <c r="S838" s="150">
        <v>-55051.782990374995</v>
      </c>
      <c r="T838" s="50" t="s">
        <v>7175</v>
      </c>
      <c r="U838" s="50">
        <v>-5.2886582659026618E-4</v>
      </c>
      <c r="V838" s="50">
        <v>0.99</v>
      </c>
      <c r="W838" s="50">
        <v>0.94273761532936651</v>
      </c>
      <c r="X838" s="50" t="s">
        <v>7162</v>
      </c>
      <c r="Y838" s="50">
        <v>0.32</v>
      </c>
    </row>
    <row r="839" spans="2:25" x14ac:dyDescent="0.2">
      <c r="B839" s="50" t="s">
        <v>9</v>
      </c>
      <c r="C839" s="50" t="s">
        <v>983</v>
      </c>
      <c r="D839" s="50"/>
      <c r="E839" s="50"/>
      <c r="F839" s="51" t="s">
        <v>528</v>
      </c>
      <c r="G839" s="50" t="s">
        <v>527</v>
      </c>
      <c r="H839" s="50" t="s">
        <v>561</v>
      </c>
      <c r="I839" s="50" t="s">
        <v>1120</v>
      </c>
      <c r="J839" s="50" t="s">
        <v>562</v>
      </c>
      <c r="K839" s="50" t="s">
        <v>7174</v>
      </c>
      <c r="L839" s="50">
        <v>7</v>
      </c>
      <c r="M839" s="50">
        <v>3.5000000000000003E-2</v>
      </c>
      <c r="N839" s="50">
        <v>0.86</v>
      </c>
      <c r="O839" s="150">
        <v>2742.3728891562505</v>
      </c>
      <c r="P839" s="150">
        <v>5185.7557499999994</v>
      </c>
      <c r="Q839" s="150">
        <v>-2443.3828608437489</v>
      </c>
      <c r="R839" s="150">
        <v>52610</v>
      </c>
      <c r="S839" s="150">
        <v>-55053.382860843747</v>
      </c>
      <c r="T839" s="50" t="s">
        <v>7175</v>
      </c>
      <c r="U839" s="50">
        <v>-5.2888119606191511E-4</v>
      </c>
      <c r="V839" s="50">
        <v>0.995</v>
      </c>
      <c r="W839" s="50">
        <v>0.94220873413330464</v>
      </c>
      <c r="X839" s="50" t="s">
        <v>7163</v>
      </c>
      <c r="Y839" s="50">
        <v>0.32</v>
      </c>
    </row>
    <row r="840" spans="2:25" x14ac:dyDescent="0.2">
      <c r="B840" s="50" t="s">
        <v>9</v>
      </c>
      <c r="C840" s="50" t="s">
        <v>772</v>
      </c>
      <c r="D840" s="50"/>
      <c r="E840" s="50"/>
      <c r="F840" s="51" t="s">
        <v>528</v>
      </c>
      <c r="G840" s="50" t="s">
        <v>527</v>
      </c>
      <c r="H840" s="50" t="s">
        <v>10</v>
      </c>
      <c r="I840" s="50" t="s">
        <v>1121</v>
      </c>
      <c r="J840" s="50" t="s">
        <v>529</v>
      </c>
      <c r="K840" s="50" t="s">
        <v>7174</v>
      </c>
      <c r="L840" s="50">
        <v>125</v>
      </c>
      <c r="M840" s="50">
        <v>1.25</v>
      </c>
      <c r="N840" s="50">
        <v>0.32</v>
      </c>
      <c r="O840" s="150">
        <v>97941.888898437479</v>
      </c>
      <c r="P840" s="150">
        <v>93955.562500000015</v>
      </c>
      <c r="Q840" s="150">
        <v>3986.3263984374644</v>
      </c>
      <c r="R840" s="150">
        <v>59070</v>
      </c>
      <c r="S840" s="150">
        <v>-55083.673601562536</v>
      </c>
      <c r="T840" s="50" t="s">
        <v>7175</v>
      </c>
      <c r="U840" s="50">
        <v>-5.2917219004536286E-4</v>
      </c>
      <c r="V840" s="50">
        <v>0.99</v>
      </c>
      <c r="W840" s="50">
        <v>0.9416795619432593</v>
      </c>
      <c r="X840" s="50" t="s">
        <v>7162</v>
      </c>
      <c r="Y840" s="50">
        <v>0.32</v>
      </c>
    </row>
    <row r="841" spans="2:25" x14ac:dyDescent="0.2">
      <c r="B841" s="50" t="s">
        <v>9</v>
      </c>
      <c r="C841" s="50" t="s">
        <v>635</v>
      </c>
      <c r="D841" s="50"/>
      <c r="E841" s="50"/>
      <c r="F841" s="51" t="s">
        <v>528</v>
      </c>
      <c r="G841" s="50" t="s">
        <v>527</v>
      </c>
      <c r="H841" s="50" t="s">
        <v>10</v>
      </c>
      <c r="I841" s="50" t="s">
        <v>1121</v>
      </c>
      <c r="J841" s="50" t="s">
        <v>529</v>
      </c>
      <c r="K841" s="50" t="s">
        <v>7174</v>
      </c>
      <c r="L841" s="50">
        <v>120</v>
      </c>
      <c r="M841" s="50">
        <v>1.2</v>
      </c>
      <c r="N841" s="50">
        <v>0.32</v>
      </c>
      <c r="O841" s="150">
        <v>94024.213342499992</v>
      </c>
      <c r="P841" s="150">
        <v>90197.34</v>
      </c>
      <c r="Q841" s="150">
        <v>3826.8733424999955</v>
      </c>
      <c r="R841" s="150">
        <v>59070</v>
      </c>
      <c r="S841" s="150">
        <v>-55243.126657500005</v>
      </c>
      <c r="T841" s="50" t="s">
        <v>7175</v>
      </c>
      <c r="U841" s="50">
        <v>-5.3070400732084435E-4</v>
      </c>
      <c r="V841" s="50">
        <v>0.99</v>
      </c>
      <c r="W841" s="50">
        <v>0.9411488579359385</v>
      </c>
      <c r="X841" s="50" t="s">
        <v>7162</v>
      </c>
      <c r="Y841" s="50">
        <v>0.32</v>
      </c>
    </row>
    <row r="842" spans="2:25" x14ac:dyDescent="0.2">
      <c r="B842" s="50" t="s">
        <v>9</v>
      </c>
      <c r="C842" s="50" t="s">
        <v>823</v>
      </c>
      <c r="D842" s="50"/>
      <c r="E842" s="50"/>
      <c r="F842" s="51" t="s">
        <v>528</v>
      </c>
      <c r="G842" s="50" t="s">
        <v>527</v>
      </c>
      <c r="H842" s="50" t="s">
        <v>23</v>
      </c>
      <c r="I842" s="50" t="s">
        <v>1121</v>
      </c>
      <c r="J842" s="50" t="s">
        <v>543</v>
      </c>
      <c r="K842" s="50" t="s">
        <v>7174</v>
      </c>
      <c r="L842" s="50">
        <v>120</v>
      </c>
      <c r="M842" s="50">
        <v>1.2</v>
      </c>
      <c r="N842" s="50">
        <v>0.32</v>
      </c>
      <c r="O842" s="150">
        <v>94024.213342499992</v>
      </c>
      <c r="P842" s="150">
        <v>90197.34</v>
      </c>
      <c r="Q842" s="150">
        <v>3826.8733424999955</v>
      </c>
      <c r="R842" s="150">
        <v>59070</v>
      </c>
      <c r="S842" s="150">
        <v>-55243.126657500005</v>
      </c>
      <c r="T842" s="50" t="s">
        <v>7175</v>
      </c>
      <c r="U842" s="50">
        <v>-5.3070400732084435E-4</v>
      </c>
      <c r="V842" s="50">
        <v>0.99</v>
      </c>
      <c r="W842" s="50">
        <v>0.9406181539286177</v>
      </c>
      <c r="X842" s="50" t="s">
        <v>7161</v>
      </c>
      <c r="Y842" s="50">
        <v>0.32</v>
      </c>
    </row>
    <row r="843" spans="2:25" x14ac:dyDescent="0.2">
      <c r="B843" s="50" t="s">
        <v>9</v>
      </c>
      <c r="C843" s="50" t="s">
        <v>851</v>
      </c>
      <c r="D843" s="50"/>
      <c r="E843" s="50"/>
      <c r="F843" s="51" t="s">
        <v>528</v>
      </c>
      <c r="G843" s="50" t="s">
        <v>527</v>
      </c>
      <c r="H843" s="50" t="s">
        <v>10</v>
      </c>
      <c r="I843" s="50" t="s">
        <v>1121</v>
      </c>
      <c r="J843" s="50" t="s">
        <v>529</v>
      </c>
      <c r="K843" s="50" t="s">
        <v>7174</v>
      </c>
      <c r="L843" s="50">
        <v>120</v>
      </c>
      <c r="M843" s="50">
        <v>1.2</v>
      </c>
      <c r="N843" s="50">
        <v>0.32</v>
      </c>
      <c r="O843" s="150">
        <v>94024.213342499992</v>
      </c>
      <c r="P843" s="150">
        <v>90197.34</v>
      </c>
      <c r="Q843" s="150">
        <v>3826.8733424999955</v>
      </c>
      <c r="R843" s="150">
        <v>59070</v>
      </c>
      <c r="S843" s="150">
        <v>-55243.126657500005</v>
      </c>
      <c r="T843" s="50" t="s">
        <v>7175</v>
      </c>
      <c r="U843" s="50">
        <v>-5.3070400732084435E-4</v>
      </c>
      <c r="V843" s="50">
        <v>0.99</v>
      </c>
      <c r="W843" s="50">
        <v>0.94008744992129689</v>
      </c>
      <c r="X843" s="50" t="s">
        <v>7162</v>
      </c>
      <c r="Y843" s="50">
        <v>0.32</v>
      </c>
    </row>
    <row r="844" spans="2:25" x14ac:dyDescent="0.2">
      <c r="B844" s="50" t="s">
        <v>9</v>
      </c>
      <c r="C844" s="50" t="s">
        <v>1078</v>
      </c>
      <c r="D844" s="50"/>
      <c r="E844" s="50"/>
      <c r="F844" s="51" t="s">
        <v>528</v>
      </c>
      <c r="G844" s="50" t="s">
        <v>527</v>
      </c>
      <c r="H844" s="50" t="s">
        <v>10</v>
      </c>
      <c r="I844" s="50" t="s">
        <v>1120</v>
      </c>
      <c r="J844" s="50" t="s">
        <v>529</v>
      </c>
      <c r="K844" s="50" t="s">
        <v>7174</v>
      </c>
      <c r="L844" s="50">
        <v>89</v>
      </c>
      <c r="M844" s="50">
        <v>0.89</v>
      </c>
      <c r="N844" s="50">
        <v>0.94959349593495934</v>
      </c>
      <c r="O844" s="150">
        <v>69734.624895687492</v>
      </c>
      <c r="P844" s="150">
        <v>66896.36050000001</v>
      </c>
      <c r="Q844" s="150">
        <v>2838.2643956874817</v>
      </c>
      <c r="R844" s="150">
        <v>58090.830024579314</v>
      </c>
      <c r="S844" s="150">
        <v>-55252.565628891833</v>
      </c>
      <c r="T844" s="50" t="s">
        <v>7175</v>
      </c>
      <c r="U844" s="50">
        <v>-5.3079468466381383E-4</v>
      </c>
      <c r="V844" s="50">
        <v>0.99</v>
      </c>
      <c r="W844" s="50">
        <v>0.93955665523663312</v>
      </c>
      <c r="X844" s="50" t="s">
        <v>7163</v>
      </c>
      <c r="Y844" s="50">
        <v>0.32</v>
      </c>
    </row>
    <row r="845" spans="2:25" x14ac:dyDescent="0.2">
      <c r="B845" s="50" t="s">
        <v>9</v>
      </c>
      <c r="C845" s="50" t="s">
        <v>824</v>
      </c>
      <c r="D845" s="50"/>
      <c r="E845" s="50"/>
      <c r="F845" s="51" t="s">
        <v>528</v>
      </c>
      <c r="G845" s="50" t="s">
        <v>527</v>
      </c>
      <c r="H845" s="50" t="s">
        <v>10</v>
      </c>
      <c r="I845" s="50" t="s">
        <v>1121</v>
      </c>
      <c r="J845" s="50" t="s">
        <v>529</v>
      </c>
      <c r="K845" s="50" t="s">
        <v>7174</v>
      </c>
      <c r="L845" s="50">
        <v>118</v>
      </c>
      <c r="M845" s="50">
        <v>1.18</v>
      </c>
      <c r="N845" s="50">
        <v>0.32</v>
      </c>
      <c r="O845" s="150">
        <v>92457.143120124994</v>
      </c>
      <c r="P845" s="150">
        <v>88694.051000000007</v>
      </c>
      <c r="Q845" s="150">
        <v>3763.0921201249876</v>
      </c>
      <c r="R845" s="150">
        <v>59070</v>
      </c>
      <c r="S845" s="150">
        <v>-55306.907879875012</v>
      </c>
      <c r="T845" s="50" t="s">
        <v>7175</v>
      </c>
      <c r="U845" s="50">
        <v>-5.3131673423103718E-4</v>
      </c>
      <c r="V845" s="50">
        <v>0.99</v>
      </c>
      <c r="W845" s="50">
        <v>0.93902533850240211</v>
      </c>
      <c r="X845" s="50" t="s">
        <v>7163</v>
      </c>
      <c r="Y845" s="50">
        <v>0.32</v>
      </c>
    </row>
    <row r="846" spans="2:25" x14ac:dyDescent="0.2">
      <c r="B846" s="50" t="s">
        <v>9</v>
      </c>
      <c r="C846" s="50" t="s">
        <v>722</v>
      </c>
      <c r="D846" s="50"/>
      <c r="E846" s="50"/>
      <c r="F846" s="51" t="s">
        <v>528</v>
      </c>
      <c r="G846" s="50" t="s">
        <v>527</v>
      </c>
      <c r="H846" s="50" t="s">
        <v>10</v>
      </c>
      <c r="I846" s="50" t="s">
        <v>1121</v>
      </c>
      <c r="J846" s="50" t="s">
        <v>529</v>
      </c>
      <c r="K846" s="50" t="s">
        <v>7174</v>
      </c>
      <c r="L846" s="50">
        <v>118</v>
      </c>
      <c r="M846" s="50">
        <v>1.18</v>
      </c>
      <c r="N846" s="50">
        <v>0.32</v>
      </c>
      <c r="O846" s="150">
        <v>92457.143120124994</v>
      </c>
      <c r="P846" s="150">
        <v>88694.051000000007</v>
      </c>
      <c r="Q846" s="150">
        <v>3763.0921201249876</v>
      </c>
      <c r="R846" s="150">
        <v>59070</v>
      </c>
      <c r="S846" s="150">
        <v>-55306.907879875012</v>
      </c>
      <c r="T846" s="50" t="s">
        <v>7175</v>
      </c>
      <c r="U846" s="50">
        <v>-5.3131673423103718E-4</v>
      </c>
      <c r="V846" s="50">
        <v>0.99</v>
      </c>
      <c r="W846" s="50">
        <v>0.93849402176817109</v>
      </c>
      <c r="X846" s="50" t="s">
        <v>7159</v>
      </c>
      <c r="Y846" s="50">
        <v>0.32</v>
      </c>
    </row>
    <row r="847" spans="2:25" x14ac:dyDescent="0.2">
      <c r="B847" s="50" t="s">
        <v>9</v>
      </c>
      <c r="C847" s="50" t="s">
        <v>665</v>
      </c>
      <c r="D847" s="50"/>
      <c r="E847" s="50"/>
      <c r="F847" s="51" t="s">
        <v>528</v>
      </c>
      <c r="G847" s="50" t="s">
        <v>527</v>
      </c>
      <c r="H847" s="50" t="s">
        <v>10</v>
      </c>
      <c r="I847" s="50" t="s">
        <v>1121</v>
      </c>
      <c r="J847" s="50" t="s">
        <v>529</v>
      </c>
      <c r="K847" s="50" t="s">
        <v>7174</v>
      </c>
      <c r="L847" s="50">
        <v>117</v>
      </c>
      <c r="M847" s="50">
        <v>1.17</v>
      </c>
      <c r="N847" s="50">
        <v>0.32</v>
      </c>
      <c r="O847" s="150">
        <v>91673.608008937503</v>
      </c>
      <c r="P847" s="150">
        <v>87942.406499999997</v>
      </c>
      <c r="Q847" s="150">
        <v>3731.2015089375054</v>
      </c>
      <c r="R847" s="150">
        <v>59070</v>
      </c>
      <c r="S847" s="150">
        <v>-55338.798491062495</v>
      </c>
      <c r="T847" s="50" t="s">
        <v>7175</v>
      </c>
      <c r="U847" s="50">
        <v>-5.3162309768613333E-4</v>
      </c>
      <c r="V847" s="50">
        <v>0.99</v>
      </c>
      <c r="W847" s="50">
        <v>0.93796239867048492</v>
      </c>
      <c r="X847" s="50" t="s">
        <v>7163</v>
      </c>
      <c r="Y847" s="50">
        <v>0.32</v>
      </c>
    </row>
    <row r="848" spans="2:25" x14ac:dyDescent="0.2">
      <c r="B848" s="50" t="s">
        <v>9</v>
      </c>
      <c r="C848" s="50" t="s">
        <v>611</v>
      </c>
      <c r="D848" s="50"/>
      <c r="E848" s="50"/>
      <c r="F848" s="51" t="s">
        <v>528</v>
      </c>
      <c r="G848" s="50" t="s">
        <v>527</v>
      </c>
      <c r="H848" s="50" t="s">
        <v>10</v>
      </c>
      <c r="I848" s="50" t="s">
        <v>1121</v>
      </c>
      <c r="J848" s="50" t="s">
        <v>529</v>
      </c>
      <c r="K848" s="50" t="s">
        <v>7174</v>
      </c>
      <c r="L848" s="50">
        <v>115</v>
      </c>
      <c r="M848" s="50">
        <v>1.1499999999999999</v>
      </c>
      <c r="N848" s="50">
        <v>0.32</v>
      </c>
      <c r="O848" s="150">
        <v>90106.537786562491</v>
      </c>
      <c r="P848" s="150">
        <v>86439.117500000008</v>
      </c>
      <c r="Q848" s="150">
        <v>3667.4202865624829</v>
      </c>
      <c r="R848" s="150">
        <v>59070</v>
      </c>
      <c r="S848" s="150">
        <v>-55402.579713437517</v>
      </c>
      <c r="T848" s="50" t="s">
        <v>7175</v>
      </c>
      <c r="U848" s="50">
        <v>-5.3223582459632627E-4</v>
      </c>
      <c r="V848" s="50">
        <v>0.99</v>
      </c>
      <c r="W848" s="50">
        <v>0.93743016284588865</v>
      </c>
      <c r="X848" s="50" t="s">
        <v>7162</v>
      </c>
      <c r="Y848" s="50">
        <v>0.32</v>
      </c>
    </row>
    <row r="849" spans="2:25" x14ac:dyDescent="0.2">
      <c r="B849" s="50" t="s">
        <v>9</v>
      </c>
      <c r="C849" s="50" t="s">
        <v>849</v>
      </c>
      <c r="D849" s="50"/>
      <c r="E849" s="50"/>
      <c r="F849" s="51" t="s">
        <v>528</v>
      </c>
      <c r="G849" s="50" t="s">
        <v>527</v>
      </c>
      <c r="H849" s="50" t="s">
        <v>10</v>
      </c>
      <c r="I849" s="50" t="s">
        <v>1121</v>
      </c>
      <c r="J849" s="50" t="s">
        <v>529</v>
      </c>
      <c r="K849" s="50" t="s">
        <v>7174</v>
      </c>
      <c r="L849" s="50">
        <v>112</v>
      </c>
      <c r="M849" s="50">
        <v>1.1200000000000001</v>
      </c>
      <c r="N849" s="50">
        <v>0.32</v>
      </c>
      <c r="O849" s="150">
        <v>87755.932453000016</v>
      </c>
      <c r="P849" s="150">
        <v>84184.184000000008</v>
      </c>
      <c r="Q849" s="150">
        <v>3571.7484530000074</v>
      </c>
      <c r="R849" s="150">
        <v>59070</v>
      </c>
      <c r="S849" s="150">
        <v>-55498.251546999993</v>
      </c>
      <c r="T849" s="50" t="s">
        <v>7175</v>
      </c>
      <c r="U849" s="50">
        <v>-5.3315491496161503E-4</v>
      </c>
      <c r="V849" s="50">
        <v>0.99</v>
      </c>
      <c r="W849" s="50">
        <v>0.93689700793092701</v>
      </c>
      <c r="X849" s="50" t="s">
        <v>7163</v>
      </c>
      <c r="Y849" s="50">
        <v>0.32</v>
      </c>
    </row>
    <row r="850" spans="2:25" x14ac:dyDescent="0.2">
      <c r="B850" s="50" t="s">
        <v>9</v>
      </c>
      <c r="C850" s="50" t="s">
        <v>624</v>
      </c>
      <c r="D850" s="50"/>
      <c r="E850" s="50"/>
      <c r="F850" s="51" t="s">
        <v>528</v>
      </c>
      <c r="G850" s="50" t="s">
        <v>527</v>
      </c>
      <c r="H850" s="50" t="s">
        <v>23</v>
      </c>
      <c r="I850" s="50" t="s">
        <v>1121</v>
      </c>
      <c r="J850" s="50" t="s">
        <v>543</v>
      </c>
      <c r="K850" s="50" t="s">
        <v>7174</v>
      </c>
      <c r="L850" s="50">
        <v>112</v>
      </c>
      <c r="M850" s="50">
        <v>1.1200000000000001</v>
      </c>
      <c r="N850" s="50">
        <v>0.32</v>
      </c>
      <c r="O850" s="150">
        <v>87755.932453000016</v>
      </c>
      <c r="P850" s="150">
        <v>84184.184000000008</v>
      </c>
      <c r="Q850" s="150">
        <v>3571.7484530000074</v>
      </c>
      <c r="R850" s="150">
        <v>59070</v>
      </c>
      <c r="S850" s="150">
        <v>-55498.251546999993</v>
      </c>
      <c r="T850" s="50" t="s">
        <v>7175</v>
      </c>
      <c r="U850" s="50">
        <v>-5.3315491496161503E-4</v>
      </c>
      <c r="V850" s="50">
        <v>0.99</v>
      </c>
      <c r="W850" s="50">
        <v>0.93636385301596536</v>
      </c>
      <c r="X850" s="50" t="s">
        <v>7160</v>
      </c>
      <c r="Y850" s="50">
        <v>0.32</v>
      </c>
    </row>
    <row r="851" spans="2:25" x14ac:dyDescent="0.2">
      <c r="B851" s="50" t="s">
        <v>9</v>
      </c>
      <c r="C851" s="50" t="s">
        <v>591</v>
      </c>
      <c r="D851" s="50"/>
      <c r="E851" s="50"/>
      <c r="F851" s="51" t="s">
        <v>528</v>
      </c>
      <c r="G851" s="50" t="s">
        <v>527</v>
      </c>
      <c r="H851" s="50" t="s">
        <v>10</v>
      </c>
      <c r="I851" s="50" t="s">
        <v>1121</v>
      </c>
      <c r="J851" s="50" t="s">
        <v>529</v>
      </c>
      <c r="K851" s="50" t="s">
        <v>7174</v>
      </c>
      <c r="L851" s="50">
        <v>112</v>
      </c>
      <c r="M851" s="50">
        <v>1.1200000000000001</v>
      </c>
      <c r="N851" s="50">
        <v>0.32</v>
      </c>
      <c r="O851" s="150">
        <v>87755.932453000016</v>
      </c>
      <c r="P851" s="150">
        <v>84184.184000000008</v>
      </c>
      <c r="Q851" s="150">
        <v>3571.7484530000074</v>
      </c>
      <c r="R851" s="150">
        <v>59070</v>
      </c>
      <c r="S851" s="150">
        <v>-55498.251546999993</v>
      </c>
      <c r="T851" s="50" t="s">
        <v>7175</v>
      </c>
      <c r="U851" s="50">
        <v>-5.3315491496161503E-4</v>
      </c>
      <c r="V851" s="50">
        <v>0.99</v>
      </c>
      <c r="W851" s="50">
        <v>0.93583069810100372</v>
      </c>
      <c r="X851" s="50" t="s">
        <v>7159</v>
      </c>
      <c r="Y851" s="50">
        <v>0.32</v>
      </c>
    </row>
    <row r="852" spans="2:25" x14ac:dyDescent="0.2">
      <c r="B852" s="50" t="s">
        <v>9</v>
      </c>
      <c r="C852" s="50" t="s">
        <v>821</v>
      </c>
      <c r="D852" s="50"/>
      <c r="E852" s="50"/>
      <c r="F852" s="51" t="s">
        <v>528</v>
      </c>
      <c r="G852" s="50" t="s">
        <v>527</v>
      </c>
      <c r="H852" s="50" t="s">
        <v>10</v>
      </c>
      <c r="I852" s="50" t="s">
        <v>1121</v>
      </c>
      <c r="J852" s="50" t="s">
        <v>529</v>
      </c>
      <c r="K852" s="50" t="s">
        <v>7174</v>
      </c>
      <c r="L852" s="50">
        <v>112</v>
      </c>
      <c r="M852" s="50">
        <v>1.1200000000000001</v>
      </c>
      <c r="N852" s="50">
        <v>0.32</v>
      </c>
      <c r="O852" s="150">
        <v>87755.932453000016</v>
      </c>
      <c r="P852" s="150">
        <v>84184.184000000008</v>
      </c>
      <c r="Q852" s="150">
        <v>3571.7484530000074</v>
      </c>
      <c r="R852" s="150">
        <v>59070</v>
      </c>
      <c r="S852" s="150">
        <v>-55498.251546999993</v>
      </c>
      <c r="T852" s="50" t="s">
        <v>7175</v>
      </c>
      <c r="U852" s="50">
        <v>-5.3315491496161503E-4</v>
      </c>
      <c r="V852" s="50">
        <v>0.99</v>
      </c>
      <c r="W852" s="50">
        <v>0.93529754318604208</v>
      </c>
      <c r="X852" s="50" t="s">
        <v>7162</v>
      </c>
      <c r="Y852" s="50">
        <v>0.32</v>
      </c>
    </row>
    <row r="853" spans="2:25" x14ac:dyDescent="0.2">
      <c r="B853" s="50" t="s">
        <v>9</v>
      </c>
      <c r="C853" s="50" t="s">
        <v>802</v>
      </c>
      <c r="D853" s="50"/>
      <c r="E853" s="50"/>
      <c r="F853" s="51" t="s">
        <v>528</v>
      </c>
      <c r="G853" s="50" t="s">
        <v>527</v>
      </c>
      <c r="H853" s="50" t="s">
        <v>10</v>
      </c>
      <c r="I853" s="50" t="s">
        <v>1121</v>
      </c>
      <c r="J853" s="50" t="s">
        <v>529</v>
      </c>
      <c r="K853" s="50" t="s">
        <v>7174</v>
      </c>
      <c r="L853" s="50">
        <v>110</v>
      </c>
      <c r="M853" s="50">
        <v>1.1000000000000001</v>
      </c>
      <c r="N853" s="50">
        <v>0.32</v>
      </c>
      <c r="O853" s="150">
        <v>86188.862230625004</v>
      </c>
      <c r="P853" s="150">
        <v>82680.895000000004</v>
      </c>
      <c r="Q853" s="150">
        <v>3507.9672306249995</v>
      </c>
      <c r="R853" s="150">
        <v>59070</v>
      </c>
      <c r="S853" s="150">
        <v>-55562.032769375</v>
      </c>
      <c r="T853" s="50" t="s">
        <v>7175</v>
      </c>
      <c r="U853" s="50">
        <v>-5.3376764187180786E-4</v>
      </c>
      <c r="V853" s="50">
        <v>0.9900000000000001</v>
      </c>
      <c r="W853" s="50">
        <v>0.93476377554417023</v>
      </c>
      <c r="X853" s="50" t="s">
        <v>7162</v>
      </c>
      <c r="Y853" s="50">
        <v>0.32</v>
      </c>
    </row>
    <row r="854" spans="2:25" x14ac:dyDescent="0.2">
      <c r="B854" s="50" t="s">
        <v>9</v>
      </c>
      <c r="C854" s="50" t="s">
        <v>732</v>
      </c>
      <c r="D854" s="50"/>
      <c r="E854" s="50"/>
      <c r="F854" s="51" t="s">
        <v>528</v>
      </c>
      <c r="G854" s="50" t="s">
        <v>527</v>
      </c>
      <c r="H854" s="50" t="s">
        <v>10</v>
      </c>
      <c r="I854" s="50" t="s">
        <v>1121</v>
      </c>
      <c r="J854" s="50" t="s">
        <v>529</v>
      </c>
      <c r="K854" s="50" t="s">
        <v>7174</v>
      </c>
      <c r="L854" s="50">
        <v>107</v>
      </c>
      <c r="M854" s="50">
        <v>1.07</v>
      </c>
      <c r="N854" s="50">
        <v>0.32</v>
      </c>
      <c r="O854" s="150">
        <v>83838.2568970625</v>
      </c>
      <c r="P854" s="150">
        <v>80425.961500000005</v>
      </c>
      <c r="Q854" s="150">
        <v>3412.2953970624949</v>
      </c>
      <c r="R854" s="150">
        <v>59070</v>
      </c>
      <c r="S854" s="150">
        <v>-55657.704602937505</v>
      </c>
      <c r="T854" s="50" t="s">
        <v>7175</v>
      </c>
      <c r="U854" s="50">
        <v>-5.3468673223709695E-4</v>
      </c>
      <c r="V854" s="50">
        <v>0.9900000000000001</v>
      </c>
      <c r="W854" s="50">
        <v>0.93422908881193312</v>
      </c>
      <c r="X854" s="50" t="s">
        <v>7162</v>
      </c>
      <c r="Y854" s="50">
        <v>0.32</v>
      </c>
    </row>
    <row r="855" spans="2:25" x14ac:dyDescent="0.2">
      <c r="B855" s="50" t="s">
        <v>9</v>
      </c>
      <c r="C855" s="50" t="s">
        <v>559</v>
      </c>
      <c r="D855" s="50"/>
      <c r="E855" s="50"/>
      <c r="F855" s="51" t="s">
        <v>528</v>
      </c>
      <c r="G855" s="50" t="s">
        <v>527</v>
      </c>
      <c r="H855" s="50" t="s">
        <v>10</v>
      </c>
      <c r="I855" s="50" t="s">
        <v>1121</v>
      </c>
      <c r="J855" s="50" t="s">
        <v>529</v>
      </c>
      <c r="K855" s="50" t="s">
        <v>7174</v>
      </c>
      <c r="L855" s="50">
        <v>106</v>
      </c>
      <c r="M855" s="50">
        <v>1.06</v>
      </c>
      <c r="N855" s="50">
        <v>0.32</v>
      </c>
      <c r="O855" s="150">
        <v>83054.721785875008</v>
      </c>
      <c r="P855" s="150">
        <v>79674.316999999995</v>
      </c>
      <c r="Q855" s="150">
        <v>3380.4047858750127</v>
      </c>
      <c r="R855" s="150">
        <v>59070</v>
      </c>
      <c r="S855" s="150">
        <v>-55689.595214124987</v>
      </c>
      <c r="T855" s="50" t="s">
        <v>7175</v>
      </c>
      <c r="U855" s="50">
        <v>-5.3499309569219309E-4</v>
      </c>
      <c r="V855" s="50">
        <v>0.99</v>
      </c>
      <c r="W855" s="50">
        <v>0.93369409571624096</v>
      </c>
      <c r="X855" s="50" t="s">
        <v>7162</v>
      </c>
      <c r="Y855" s="50">
        <v>0.32</v>
      </c>
    </row>
    <row r="856" spans="2:25" x14ac:dyDescent="0.2">
      <c r="B856" s="50" t="s">
        <v>9</v>
      </c>
      <c r="C856" s="50" t="s">
        <v>579</v>
      </c>
      <c r="D856" s="50"/>
      <c r="E856" s="50"/>
      <c r="F856" s="51" t="s">
        <v>528</v>
      </c>
      <c r="G856" s="50" t="s">
        <v>527</v>
      </c>
      <c r="H856" s="50" t="s">
        <v>535</v>
      </c>
      <c r="I856" s="50">
        <v>0</v>
      </c>
      <c r="J856" s="50" t="s">
        <v>536</v>
      </c>
      <c r="K856" s="50" t="s">
        <v>7174</v>
      </c>
      <c r="L856" s="50">
        <v>106</v>
      </c>
      <c r="M856" s="50">
        <v>1.06</v>
      </c>
      <c r="N856" s="50">
        <v>0.86</v>
      </c>
      <c r="O856" s="150">
        <v>83054.721785875008</v>
      </c>
      <c r="P856" s="150">
        <v>79674.316999999995</v>
      </c>
      <c r="Q856" s="150">
        <v>3380.4047858750127</v>
      </c>
      <c r="R856" s="150">
        <v>59070</v>
      </c>
      <c r="S856" s="150">
        <v>-55689.595214124987</v>
      </c>
      <c r="T856" s="50" t="s">
        <v>7175</v>
      </c>
      <c r="U856" s="50">
        <v>-5.3499309569219309E-4</v>
      </c>
      <c r="V856" s="50">
        <v>0.99</v>
      </c>
      <c r="W856" s="50">
        <v>0.9331591026205488</v>
      </c>
      <c r="X856" s="50" t="s">
        <v>7163</v>
      </c>
      <c r="Y856" s="50">
        <v>0.32</v>
      </c>
    </row>
    <row r="857" spans="2:25" x14ac:dyDescent="0.2">
      <c r="B857" s="50" t="s">
        <v>9</v>
      </c>
      <c r="C857" s="50" t="s">
        <v>841</v>
      </c>
      <c r="D857" s="50"/>
      <c r="E857" s="50"/>
      <c r="F857" s="51" t="s">
        <v>528</v>
      </c>
      <c r="G857" s="50" t="s">
        <v>527</v>
      </c>
      <c r="H857" s="50" t="s">
        <v>23</v>
      </c>
      <c r="I857" s="50">
        <v>0</v>
      </c>
      <c r="J857" s="50" t="s">
        <v>543</v>
      </c>
      <c r="K857" s="50" t="s">
        <v>7174</v>
      </c>
      <c r="L857" s="50">
        <v>106</v>
      </c>
      <c r="M857" s="50">
        <v>1.06</v>
      </c>
      <c r="N857" s="50">
        <v>0.86</v>
      </c>
      <c r="O857" s="150">
        <v>83054.721785875008</v>
      </c>
      <c r="P857" s="150">
        <v>79674.316999999995</v>
      </c>
      <c r="Q857" s="150">
        <v>3380.4047858750127</v>
      </c>
      <c r="R857" s="150">
        <v>59070</v>
      </c>
      <c r="S857" s="150">
        <v>-55689.595214124987</v>
      </c>
      <c r="T857" s="50" t="s">
        <v>7175</v>
      </c>
      <c r="U857" s="50">
        <v>-5.3499309569219309E-4</v>
      </c>
      <c r="V857" s="50">
        <v>0.99</v>
      </c>
      <c r="W857" s="50">
        <v>0.93262410952485664</v>
      </c>
      <c r="X857" s="50" t="s">
        <v>7162</v>
      </c>
      <c r="Y857" s="50">
        <v>0.32</v>
      </c>
    </row>
    <row r="858" spans="2:25" x14ac:dyDescent="0.2">
      <c r="B858" s="50" t="s">
        <v>9</v>
      </c>
      <c r="C858" s="50" t="s">
        <v>789</v>
      </c>
      <c r="D858" s="50"/>
      <c r="E858" s="50"/>
      <c r="F858" s="51" t="s">
        <v>528</v>
      </c>
      <c r="G858" s="50" t="s">
        <v>527</v>
      </c>
      <c r="H858" s="50" t="s">
        <v>10</v>
      </c>
      <c r="I858" s="50" t="s">
        <v>1121</v>
      </c>
      <c r="J858" s="50" t="s">
        <v>529</v>
      </c>
      <c r="K858" s="50" t="s">
        <v>7174</v>
      </c>
      <c r="L858" s="50">
        <v>105</v>
      </c>
      <c r="M858" s="50">
        <v>1.05</v>
      </c>
      <c r="N858" s="50">
        <v>0.32</v>
      </c>
      <c r="O858" s="150">
        <v>82271.186674687502</v>
      </c>
      <c r="P858" s="150">
        <v>78922.672500000001</v>
      </c>
      <c r="Q858" s="150">
        <v>3348.5141746875015</v>
      </c>
      <c r="R858" s="150">
        <v>59070</v>
      </c>
      <c r="S858" s="150">
        <v>-55721.485825312498</v>
      </c>
      <c r="T858" s="50" t="s">
        <v>7175</v>
      </c>
      <c r="U858" s="50">
        <v>-5.3529945914728956E-4</v>
      </c>
      <c r="V858" s="50">
        <v>0.99</v>
      </c>
      <c r="W858" s="50">
        <v>0.93208881006570932</v>
      </c>
      <c r="X858" s="50" t="s">
        <v>7162</v>
      </c>
      <c r="Y858" s="50">
        <v>0.32</v>
      </c>
    </row>
    <row r="859" spans="2:25" x14ac:dyDescent="0.2">
      <c r="B859" s="50" t="s">
        <v>9</v>
      </c>
      <c r="C859" s="50" t="s">
        <v>669</v>
      </c>
      <c r="D859" s="50"/>
      <c r="E859" s="50"/>
      <c r="F859" s="51" t="s">
        <v>528</v>
      </c>
      <c r="G859" s="50" t="s">
        <v>527</v>
      </c>
      <c r="H859" s="50" t="s">
        <v>10</v>
      </c>
      <c r="I859" s="50" t="s">
        <v>1121</v>
      </c>
      <c r="J859" s="50" t="s">
        <v>529</v>
      </c>
      <c r="K859" s="50" t="s">
        <v>7174</v>
      </c>
      <c r="L859" s="50">
        <v>105</v>
      </c>
      <c r="M859" s="50">
        <v>1.05</v>
      </c>
      <c r="N859" s="50">
        <v>0.32</v>
      </c>
      <c r="O859" s="150">
        <v>82271.186674687502</v>
      </c>
      <c r="P859" s="150">
        <v>78922.672500000001</v>
      </c>
      <c r="Q859" s="150">
        <v>3348.5141746875015</v>
      </c>
      <c r="R859" s="150">
        <v>59070</v>
      </c>
      <c r="S859" s="150">
        <v>-55721.485825312498</v>
      </c>
      <c r="T859" s="50" t="s">
        <v>7175</v>
      </c>
      <c r="U859" s="50">
        <v>-5.3529945914728956E-4</v>
      </c>
      <c r="V859" s="50">
        <v>0.99</v>
      </c>
      <c r="W859" s="50">
        <v>0.931553510606562</v>
      </c>
      <c r="X859" s="50" t="s">
        <v>7162</v>
      </c>
      <c r="Y859" s="50">
        <v>0.32</v>
      </c>
    </row>
    <row r="860" spans="2:25" x14ac:dyDescent="0.2">
      <c r="B860" s="50" t="s">
        <v>9</v>
      </c>
      <c r="C860" s="50" t="s">
        <v>855</v>
      </c>
      <c r="D860" s="50"/>
      <c r="E860" s="50"/>
      <c r="F860" s="51" t="s">
        <v>528</v>
      </c>
      <c r="G860" s="50" t="s">
        <v>527</v>
      </c>
      <c r="H860" s="50" t="s">
        <v>10</v>
      </c>
      <c r="I860" s="50" t="s">
        <v>1121</v>
      </c>
      <c r="J860" s="50" t="s">
        <v>529</v>
      </c>
      <c r="K860" s="50" t="s">
        <v>7174</v>
      </c>
      <c r="L860" s="50">
        <v>105</v>
      </c>
      <c r="M860" s="50">
        <v>1.05</v>
      </c>
      <c r="N860" s="50">
        <v>0.32</v>
      </c>
      <c r="O860" s="150">
        <v>82271.186674687502</v>
      </c>
      <c r="P860" s="150">
        <v>78922.672500000001</v>
      </c>
      <c r="Q860" s="150">
        <v>3348.5141746875015</v>
      </c>
      <c r="R860" s="150">
        <v>59070</v>
      </c>
      <c r="S860" s="150">
        <v>-55721.485825312498</v>
      </c>
      <c r="T860" s="50" t="s">
        <v>7175</v>
      </c>
      <c r="U860" s="50">
        <v>-5.3529945914728956E-4</v>
      </c>
      <c r="V860" s="50">
        <v>0.99</v>
      </c>
      <c r="W860" s="50">
        <v>0.93101821114741468</v>
      </c>
      <c r="X860" s="50" t="s">
        <v>7162</v>
      </c>
      <c r="Y860" s="50">
        <v>0.32</v>
      </c>
    </row>
    <row r="861" spans="2:25" x14ac:dyDescent="0.2">
      <c r="B861" s="50" t="s">
        <v>9</v>
      </c>
      <c r="C861" s="50" t="s">
        <v>628</v>
      </c>
      <c r="D861" s="50"/>
      <c r="E861" s="50"/>
      <c r="F861" s="51" t="s">
        <v>528</v>
      </c>
      <c r="G861" s="50" t="s">
        <v>527</v>
      </c>
      <c r="H861" s="50" t="s">
        <v>10</v>
      </c>
      <c r="I861" s="50" t="s">
        <v>1121</v>
      </c>
      <c r="J861" s="50" t="s">
        <v>529</v>
      </c>
      <c r="K861" s="50" t="s">
        <v>7174</v>
      </c>
      <c r="L861" s="50">
        <v>104</v>
      </c>
      <c r="M861" s="50">
        <v>1.04</v>
      </c>
      <c r="N861" s="50">
        <v>0.32</v>
      </c>
      <c r="O861" s="150">
        <v>81487.651563499996</v>
      </c>
      <c r="P861" s="150">
        <v>78171.028000000006</v>
      </c>
      <c r="Q861" s="150">
        <v>3316.6235634999903</v>
      </c>
      <c r="R861" s="150">
        <v>59070</v>
      </c>
      <c r="S861" s="150">
        <v>-55753.37643650001</v>
      </c>
      <c r="T861" s="50" t="s">
        <v>7175</v>
      </c>
      <c r="U861" s="50">
        <v>-5.3560582260238603E-4</v>
      </c>
      <c r="V861" s="50">
        <v>0.99</v>
      </c>
      <c r="W861" s="50">
        <v>0.93048260532481231</v>
      </c>
      <c r="X861" s="50" t="s">
        <v>7162</v>
      </c>
      <c r="Y861" s="50">
        <v>0.32</v>
      </c>
    </row>
    <row r="862" spans="2:25" x14ac:dyDescent="0.2">
      <c r="B862" s="50" t="s">
        <v>9</v>
      </c>
      <c r="C862" s="50" t="s">
        <v>1076</v>
      </c>
      <c r="D862" s="50"/>
      <c r="E862" s="50"/>
      <c r="F862" s="51" t="s">
        <v>528</v>
      </c>
      <c r="G862" s="50" t="s">
        <v>527</v>
      </c>
      <c r="H862" s="50" t="s">
        <v>10</v>
      </c>
      <c r="I862" s="50" t="s">
        <v>1121</v>
      </c>
      <c r="J862" s="50" t="s">
        <v>529</v>
      </c>
      <c r="K862" s="50" t="s">
        <v>7174</v>
      </c>
      <c r="L862" s="50">
        <v>104</v>
      </c>
      <c r="M862" s="50">
        <v>1.04</v>
      </c>
      <c r="N862" s="50">
        <v>0.32</v>
      </c>
      <c r="O862" s="150">
        <v>81487.651563499996</v>
      </c>
      <c r="P862" s="150">
        <v>78171.028000000006</v>
      </c>
      <c r="Q862" s="150">
        <v>3316.6235634999903</v>
      </c>
      <c r="R862" s="150">
        <v>59070</v>
      </c>
      <c r="S862" s="150">
        <v>-55753.37643650001</v>
      </c>
      <c r="T862" s="50" t="s">
        <v>7175</v>
      </c>
      <c r="U862" s="50">
        <v>-5.3560582260238603E-4</v>
      </c>
      <c r="V862" s="50">
        <v>0.99</v>
      </c>
      <c r="W862" s="50">
        <v>0.92994699950220994</v>
      </c>
      <c r="X862" s="50" t="s">
        <v>7163</v>
      </c>
      <c r="Y862" s="50">
        <v>0.32</v>
      </c>
    </row>
    <row r="863" spans="2:25" x14ac:dyDescent="0.2">
      <c r="B863" s="50" t="s">
        <v>9</v>
      </c>
      <c r="C863" s="50" t="s">
        <v>844</v>
      </c>
      <c r="D863" s="50"/>
      <c r="E863" s="50"/>
      <c r="F863" s="51" t="s">
        <v>528</v>
      </c>
      <c r="G863" s="50" t="s">
        <v>527</v>
      </c>
      <c r="H863" s="50" t="s">
        <v>10</v>
      </c>
      <c r="I863" s="50" t="s">
        <v>1121</v>
      </c>
      <c r="J863" s="50" t="s">
        <v>529</v>
      </c>
      <c r="K863" s="50" t="s">
        <v>7174</v>
      </c>
      <c r="L863" s="50">
        <v>103</v>
      </c>
      <c r="M863" s="50">
        <v>1.03</v>
      </c>
      <c r="N863" s="50">
        <v>0.32</v>
      </c>
      <c r="O863" s="150">
        <v>80704.11645231249</v>
      </c>
      <c r="P863" s="150">
        <v>77419.383499999996</v>
      </c>
      <c r="Q863" s="150">
        <v>3284.7329523124936</v>
      </c>
      <c r="R863" s="150">
        <v>59070</v>
      </c>
      <c r="S863" s="150">
        <v>-55785.267047687506</v>
      </c>
      <c r="T863" s="50" t="s">
        <v>7175</v>
      </c>
      <c r="U863" s="50">
        <v>-5.359121860574824E-4</v>
      </c>
      <c r="V863" s="50">
        <v>0.99</v>
      </c>
      <c r="W863" s="50">
        <v>0.92941108731615241</v>
      </c>
      <c r="X863" s="50" t="s">
        <v>7162</v>
      </c>
      <c r="Y863" s="50">
        <v>0.32</v>
      </c>
    </row>
    <row r="864" spans="2:25" x14ac:dyDescent="0.2">
      <c r="B864" s="50" t="s">
        <v>9</v>
      </c>
      <c r="C864" s="50" t="s">
        <v>618</v>
      </c>
      <c r="D864" s="50"/>
      <c r="E864" s="50"/>
      <c r="F864" s="51" t="s">
        <v>528</v>
      </c>
      <c r="G864" s="50" t="s">
        <v>527</v>
      </c>
      <c r="H864" s="50" t="s">
        <v>10</v>
      </c>
      <c r="I864" s="50" t="s">
        <v>1121</v>
      </c>
      <c r="J864" s="50" t="s">
        <v>529</v>
      </c>
      <c r="K864" s="50" t="s">
        <v>7174</v>
      </c>
      <c r="L864" s="50">
        <v>103</v>
      </c>
      <c r="M864" s="50">
        <v>1.03</v>
      </c>
      <c r="N864" s="50">
        <v>0.32</v>
      </c>
      <c r="O864" s="150">
        <v>80704.11645231249</v>
      </c>
      <c r="P864" s="150">
        <v>77419.383499999996</v>
      </c>
      <c r="Q864" s="150">
        <v>3284.7329523124936</v>
      </c>
      <c r="R864" s="150">
        <v>59070</v>
      </c>
      <c r="S864" s="150">
        <v>-55785.267047687506</v>
      </c>
      <c r="T864" s="50" t="s">
        <v>7175</v>
      </c>
      <c r="U864" s="50">
        <v>-5.359121860574824E-4</v>
      </c>
      <c r="V864" s="50">
        <v>0.99</v>
      </c>
      <c r="W864" s="50">
        <v>0.92887517513009488</v>
      </c>
      <c r="X864" s="50" t="s">
        <v>7162</v>
      </c>
      <c r="Y864" s="50">
        <v>0.32</v>
      </c>
    </row>
    <row r="865" spans="2:25" x14ac:dyDescent="0.2">
      <c r="B865" s="50" t="s">
        <v>9</v>
      </c>
      <c r="C865" s="50" t="s">
        <v>766</v>
      </c>
      <c r="D865" s="50"/>
      <c r="E865" s="50"/>
      <c r="F865" s="51" t="s">
        <v>528</v>
      </c>
      <c r="G865" s="50" t="s">
        <v>527</v>
      </c>
      <c r="H865" s="50" t="s">
        <v>10</v>
      </c>
      <c r="I865" s="50" t="s">
        <v>1121</v>
      </c>
      <c r="J865" s="50" t="s">
        <v>529</v>
      </c>
      <c r="K865" s="50" t="s">
        <v>7174</v>
      </c>
      <c r="L865" s="50">
        <v>101</v>
      </c>
      <c r="M865" s="50">
        <v>1.01</v>
      </c>
      <c r="N865" s="50">
        <v>0.32</v>
      </c>
      <c r="O865" s="150">
        <v>79137.046229937492</v>
      </c>
      <c r="P865" s="150">
        <v>75916.094500000007</v>
      </c>
      <c r="Q865" s="150">
        <v>3220.9517299374857</v>
      </c>
      <c r="R865" s="150">
        <v>59070</v>
      </c>
      <c r="S865" s="150">
        <v>-55849.048270062514</v>
      </c>
      <c r="T865" s="50" t="s">
        <v>7175</v>
      </c>
      <c r="U865" s="50">
        <v>-5.3652491296767512E-4</v>
      </c>
      <c r="V865" s="50">
        <v>0.99</v>
      </c>
      <c r="W865" s="50">
        <v>0.92833865021712725</v>
      </c>
      <c r="X865" s="50" t="s">
        <v>7161</v>
      </c>
      <c r="Y865" s="50">
        <v>0.32</v>
      </c>
    </row>
    <row r="866" spans="2:25" x14ac:dyDescent="0.2">
      <c r="B866" s="50" t="s">
        <v>9</v>
      </c>
      <c r="C866" s="50" t="s">
        <v>676</v>
      </c>
      <c r="D866" s="50"/>
      <c r="E866" s="50"/>
      <c r="F866" s="51" t="s">
        <v>528</v>
      </c>
      <c r="G866" s="50" t="s">
        <v>527</v>
      </c>
      <c r="H866" s="50" t="s">
        <v>10</v>
      </c>
      <c r="I866" s="50" t="s">
        <v>1121</v>
      </c>
      <c r="J866" s="50" t="s">
        <v>529</v>
      </c>
      <c r="K866" s="50" t="s">
        <v>7174</v>
      </c>
      <c r="L866" s="50">
        <v>100</v>
      </c>
      <c r="M866" s="50">
        <v>1</v>
      </c>
      <c r="N866" s="50">
        <v>0.32</v>
      </c>
      <c r="O866" s="150">
        <v>78353.511118750001</v>
      </c>
      <c r="P866" s="150">
        <v>75164.45</v>
      </c>
      <c r="Q866" s="150">
        <v>3189.0611187500035</v>
      </c>
      <c r="R866" s="150">
        <v>59070</v>
      </c>
      <c r="S866" s="150">
        <v>-55880.938881249996</v>
      </c>
      <c r="T866" s="50" t="s">
        <v>7175</v>
      </c>
      <c r="U866" s="50">
        <v>-5.3683127642277137E-4</v>
      </c>
      <c r="V866" s="50">
        <v>0.99</v>
      </c>
      <c r="W866" s="50">
        <v>0.92780181894070446</v>
      </c>
      <c r="X866" s="50" t="s">
        <v>7159</v>
      </c>
      <c r="Y866" s="50">
        <v>0.32</v>
      </c>
    </row>
    <row r="867" spans="2:25" x14ac:dyDescent="0.2">
      <c r="B867" s="50" t="s">
        <v>9</v>
      </c>
      <c r="C867" s="50" t="s">
        <v>608</v>
      </c>
      <c r="D867" s="50"/>
      <c r="E867" s="50"/>
      <c r="F867" s="51" t="s">
        <v>528</v>
      </c>
      <c r="G867" s="50" t="s">
        <v>527</v>
      </c>
      <c r="H867" s="50" t="s">
        <v>10</v>
      </c>
      <c r="I867" s="50" t="s">
        <v>1121</v>
      </c>
      <c r="J867" s="50" t="s">
        <v>529</v>
      </c>
      <c r="K867" s="50" t="s">
        <v>7174</v>
      </c>
      <c r="L867" s="50">
        <v>99</v>
      </c>
      <c r="M867" s="50">
        <v>0.99</v>
      </c>
      <c r="N867" s="50">
        <v>0.32</v>
      </c>
      <c r="O867" s="150">
        <v>77569.976007562494</v>
      </c>
      <c r="P867" s="150">
        <v>74412.805500000002</v>
      </c>
      <c r="Q867" s="150">
        <v>3157.1705075624923</v>
      </c>
      <c r="R867" s="150">
        <v>59070</v>
      </c>
      <c r="S867" s="150">
        <v>-55912.829492437508</v>
      </c>
      <c r="T867" s="50" t="s">
        <v>7175</v>
      </c>
      <c r="U867" s="50">
        <v>-5.3713763987786785E-4</v>
      </c>
      <c r="V867" s="50">
        <v>0.9900000000000001</v>
      </c>
      <c r="W867" s="50">
        <v>0.92726468130082662</v>
      </c>
      <c r="X867" s="50" t="s">
        <v>7162</v>
      </c>
      <c r="Y867" s="50">
        <v>0.32</v>
      </c>
    </row>
    <row r="868" spans="2:25" x14ac:dyDescent="0.2">
      <c r="B868" s="50" t="s">
        <v>9</v>
      </c>
      <c r="C868" s="50" t="s">
        <v>557</v>
      </c>
      <c r="D868" s="50"/>
      <c r="E868" s="50"/>
      <c r="F868" s="51" t="s">
        <v>528</v>
      </c>
      <c r="G868" s="50" t="s">
        <v>527</v>
      </c>
      <c r="H868" s="50" t="s">
        <v>10</v>
      </c>
      <c r="I868" s="50" t="s">
        <v>1121</v>
      </c>
      <c r="J868" s="50" t="s">
        <v>529</v>
      </c>
      <c r="K868" s="50" t="s">
        <v>7174</v>
      </c>
      <c r="L868" s="50">
        <v>98</v>
      </c>
      <c r="M868" s="50">
        <v>0.98</v>
      </c>
      <c r="N868" s="50">
        <v>0.32</v>
      </c>
      <c r="O868" s="150">
        <v>76786.440896374988</v>
      </c>
      <c r="P868" s="150">
        <v>73661.160999999993</v>
      </c>
      <c r="Q868" s="150">
        <v>3125.2798963749956</v>
      </c>
      <c r="R868" s="150">
        <v>59070</v>
      </c>
      <c r="S868" s="150">
        <v>-55944.720103625004</v>
      </c>
      <c r="T868" s="50" t="s">
        <v>7175</v>
      </c>
      <c r="U868" s="50">
        <v>-5.374440033329641E-4</v>
      </c>
      <c r="V868" s="50">
        <v>0.99</v>
      </c>
      <c r="W868" s="50">
        <v>0.92672723729749362</v>
      </c>
      <c r="X868" s="50" t="s">
        <v>7162</v>
      </c>
      <c r="Y868" s="50">
        <v>0.32</v>
      </c>
    </row>
    <row r="869" spans="2:25" x14ac:dyDescent="0.2">
      <c r="B869" s="50" t="s">
        <v>9</v>
      </c>
      <c r="C869" s="50" t="s">
        <v>675</v>
      </c>
      <c r="D869" s="50"/>
      <c r="E869" s="50"/>
      <c r="F869" s="51" t="s">
        <v>528</v>
      </c>
      <c r="G869" s="50" t="s">
        <v>527</v>
      </c>
      <c r="H869" s="50" t="s">
        <v>10</v>
      </c>
      <c r="I869" s="50" t="s">
        <v>1121</v>
      </c>
      <c r="J869" s="50" t="s">
        <v>529</v>
      </c>
      <c r="K869" s="50" t="s">
        <v>7174</v>
      </c>
      <c r="L869" s="50">
        <v>97</v>
      </c>
      <c r="M869" s="50">
        <v>0.97</v>
      </c>
      <c r="N869" s="50">
        <v>0.32</v>
      </c>
      <c r="O869" s="150">
        <v>76002.905785187497</v>
      </c>
      <c r="P869" s="150">
        <v>72909.516499999998</v>
      </c>
      <c r="Q869" s="150">
        <v>3093.3892851874989</v>
      </c>
      <c r="R869" s="150">
        <v>59070</v>
      </c>
      <c r="S869" s="150">
        <v>-55976.610714812501</v>
      </c>
      <c r="T869" s="50" t="s">
        <v>7175</v>
      </c>
      <c r="U869" s="50">
        <v>-5.3775036678806046E-4</v>
      </c>
      <c r="V869" s="50">
        <v>0.99</v>
      </c>
      <c r="W869" s="50">
        <v>0.92618948693070557</v>
      </c>
      <c r="X869" s="50" t="s">
        <v>7162</v>
      </c>
      <c r="Y869" s="50">
        <v>0.32</v>
      </c>
    </row>
    <row r="870" spans="2:25" x14ac:dyDescent="0.2">
      <c r="B870" s="50" t="s">
        <v>9</v>
      </c>
      <c r="C870" s="50" t="s">
        <v>581</v>
      </c>
      <c r="D870" s="50"/>
      <c r="E870" s="50"/>
      <c r="F870" s="51" t="s">
        <v>528</v>
      </c>
      <c r="G870" s="50" t="s">
        <v>527</v>
      </c>
      <c r="H870" s="50" t="s">
        <v>10</v>
      </c>
      <c r="I870" s="50" t="s">
        <v>1121</v>
      </c>
      <c r="J870" s="50" t="s">
        <v>529</v>
      </c>
      <c r="K870" s="50" t="s">
        <v>7174</v>
      </c>
      <c r="L870" s="50">
        <v>97</v>
      </c>
      <c r="M870" s="50">
        <v>0.97</v>
      </c>
      <c r="N870" s="50">
        <v>0.32</v>
      </c>
      <c r="O870" s="150">
        <v>76002.905785187497</v>
      </c>
      <c r="P870" s="150">
        <v>72909.516499999998</v>
      </c>
      <c r="Q870" s="150">
        <v>3093.3892851874989</v>
      </c>
      <c r="R870" s="150">
        <v>59070</v>
      </c>
      <c r="S870" s="150">
        <v>-55976.610714812501</v>
      </c>
      <c r="T870" s="50" t="s">
        <v>7175</v>
      </c>
      <c r="U870" s="50">
        <v>-5.3775036678806046E-4</v>
      </c>
      <c r="V870" s="50">
        <v>0.99</v>
      </c>
      <c r="W870" s="50">
        <v>0.92565173656391753</v>
      </c>
      <c r="X870" s="50" t="s">
        <v>7163</v>
      </c>
      <c r="Y870" s="50">
        <v>0.32</v>
      </c>
    </row>
    <row r="871" spans="2:25" x14ac:dyDescent="0.2">
      <c r="B871" s="50" t="s">
        <v>9</v>
      </c>
      <c r="C871" s="50" t="s">
        <v>877</v>
      </c>
      <c r="D871" s="50"/>
      <c r="E871" s="50"/>
      <c r="F871" s="51" t="s">
        <v>528</v>
      </c>
      <c r="G871" s="50" t="s">
        <v>527</v>
      </c>
      <c r="H871" s="50" t="s">
        <v>568</v>
      </c>
      <c r="I871" s="50">
        <v>0</v>
      </c>
      <c r="J871" s="50" t="s">
        <v>569</v>
      </c>
      <c r="K871" s="50" t="s">
        <v>7174</v>
      </c>
      <c r="L871" s="50">
        <v>97</v>
      </c>
      <c r="M871" s="50">
        <v>0.97</v>
      </c>
      <c r="N871" s="50">
        <v>0.86</v>
      </c>
      <c r="O871" s="150">
        <v>76002.905785187497</v>
      </c>
      <c r="P871" s="150">
        <v>72909.516499999998</v>
      </c>
      <c r="Q871" s="150">
        <v>3093.3892851874989</v>
      </c>
      <c r="R871" s="150">
        <v>59070</v>
      </c>
      <c r="S871" s="150">
        <v>-55976.610714812501</v>
      </c>
      <c r="T871" s="50" t="s">
        <v>7175</v>
      </c>
      <c r="U871" s="50">
        <v>-5.3775036678806046E-4</v>
      </c>
      <c r="V871" s="50">
        <v>0.99</v>
      </c>
      <c r="W871" s="50">
        <v>0.92511398619712948</v>
      </c>
      <c r="X871" s="50" t="s">
        <v>7161</v>
      </c>
      <c r="Y871" s="50">
        <v>0.32</v>
      </c>
    </row>
    <row r="872" spans="2:25" x14ac:dyDescent="0.2">
      <c r="B872" s="50" t="s">
        <v>9</v>
      </c>
      <c r="C872" s="50" t="s">
        <v>554</v>
      </c>
      <c r="D872" s="50"/>
      <c r="E872" s="50"/>
      <c r="F872" s="51" t="s">
        <v>528</v>
      </c>
      <c r="G872" s="50" t="s">
        <v>527</v>
      </c>
      <c r="H872" s="50" t="s">
        <v>23</v>
      </c>
      <c r="I872" s="50" t="s">
        <v>1120</v>
      </c>
      <c r="J872" s="50" t="s">
        <v>543</v>
      </c>
      <c r="K872" s="50" t="s">
        <v>7174</v>
      </c>
      <c r="L872" s="50">
        <v>80</v>
      </c>
      <c r="M872" s="50">
        <v>0.8</v>
      </c>
      <c r="N872" s="50">
        <v>0.95737704918032784</v>
      </c>
      <c r="O872" s="150">
        <v>62682.808895000002</v>
      </c>
      <c r="P872" s="150">
        <v>60131.56</v>
      </c>
      <c r="Q872" s="150">
        <v>2551.2488950000043</v>
      </c>
      <c r="R872" s="150">
        <v>58566.984369043086</v>
      </c>
      <c r="S872" s="150">
        <v>-56015.735474043082</v>
      </c>
      <c r="T872" s="50" t="s">
        <v>7175</v>
      </c>
      <c r="U872" s="50">
        <v>-5.3812622651515124E-4</v>
      </c>
      <c r="V872" s="50">
        <v>0.99</v>
      </c>
      <c r="W872" s="50">
        <v>0.92457585997061431</v>
      </c>
      <c r="X872" s="50" t="s">
        <v>7161</v>
      </c>
      <c r="Y872" s="50">
        <v>0.32</v>
      </c>
    </row>
    <row r="873" spans="2:25" x14ac:dyDescent="0.2">
      <c r="B873" s="50" t="s">
        <v>9</v>
      </c>
      <c r="C873" s="50" t="s">
        <v>850</v>
      </c>
      <c r="D873" s="50"/>
      <c r="E873" s="50"/>
      <c r="F873" s="51" t="s">
        <v>528</v>
      </c>
      <c r="G873" s="50" t="s">
        <v>527</v>
      </c>
      <c r="H873" s="50" t="s">
        <v>10</v>
      </c>
      <c r="I873" s="50" t="s">
        <v>1121</v>
      </c>
      <c r="J873" s="50" t="s">
        <v>529</v>
      </c>
      <c r="K873" s="50" t="s">
        <v>7174</v>
      </c>
      <c r="L873" s="50">
        <v>95</v>
      </c>
      <c r="M873" s="50">
        <v>0.95</v>
      </c>
      <c r="N873" s="50">
        <v>0.32</v>
      </c>
      <c r="O873" s="150">
        <v>74435.835562812485</v>
      </c>
      <c r="P873" s="150">
        <v>71406.227499999994</v>
      </c>
      <c r="Q873" s="150">
        <v>3029.608062812491</v>
      </c>
      <c r="R873" s="150">
        <v>59070</v>
      </c>
      <c r="S873" s="150">
        <v>-56040.391937187509</v>
      </c>
      <c r="T873" s="50" t="s">
        <v>7175</v>
      </c>
      <c r="U873" s="50">
        <v>-5.3836309369825329E-4</v>
      </c>
      <c r="V873" s="50">
        <v>0.99</v>
      </c>
      <c r="W873" s="50">
        <v>0.92403749687691605</v>
      </c>
      <c r="X873" s="50" t="s">
        <v>7162</v>
      </c>
      <c r="Y873" s="50">
        <v>0.32</v>
      </c>
    </row>
    <row r="874" spans="2:25" x14ac:dyDescent="0.2">
      <c r="B874" s="50" t="s">
        <v>9</v>
      </c>
      <c r="C874" s="50" t="s">
        <v>794</v>
      </c>
      <c r="D874" s="50"/>
      <c r="E874" s="50"/>
      <c r="F874" s="51" t="s">
        <v>528</v>
      </c>
      <c r="G874" s="50" t="s">
        <v>527</v>
      </c>
      <c r="H874" s="50" t="s">
        <v>10</v>
      </c>
      <c r="I874" s="50" t="s">
        <v>1121</v>
      </c>
      <c r="J874" s="50" t="s">
        <v>529</v>
      </c>
      <c r="K874" s="50" t="s">
        <v>7174</v>
      </c>
      <c r="L874" s="50">
        <v>95</v>
      </c>
      <c r="M874" s="50">
        <v>0.95</v>
      </c>
      <c r="N874" s="50">
        <v>0.32</v>
      </c>
      <c r="O874" s="150">
        <v>74435.835562812485</v>
      </c>
      <c r="P874" s="150">
        <v>71406.227499999994</v>
      </c>
      <c r="Q874" s="150">
        <v>3029.608062812491</v>
      </c>
      <c r="R874" s="150">
        <v>59070</v>
      </c>
      <c r="S874" s="150">
        <v>-56040.391937187509</v>
      </c>
      <c r="T874" s="50" t="s">
        <v>7175</v>
      </c>
      <c r="U874" s="50">
        <v>-5.3836309369825329E-4</v>
      </c>
      <c r="V874" s="50">
        <v>0.99</v>
      </c>
      <c r="W874" s="50">
        <v>0.9234991337832178</v>
      </c>
      <c r="X874" s="50" t="s">
        <v>7162</v>
      </c>
      <c r="Y874" s="50">
        <v>0.32</v>
      </c>
    </row>
    <row r="875" spans="2:25" x14ac:dyDescent="0.2">
      <c r="B875" s="50" t="s">
        <v>9</v>
      </c>
      <c r="C875" s="50" t="s">
        <v>970</v>
      </c>
      <c r="D875" s="50"/>
      <c r="E875" s="50"/>
      <c r="F875" s="51" t="s">
        <v>528</v>
      </c>
      <c r="G875" s="50" t="s">
        <v>527</v>
      </c>
      <c r="H875" s="50" t="s">
        <v>10</v>
      </c>
      <c r="I875" s="50">
        <v>0</v>
      </c>
      <c r="J875" s="50" t="s">
        <v>529</v>
      </c>
      <c r="K875" s="50" t="s">
        <v>7174</v>
      </c>
      <c r="L875" s="50">
        <v>92</v>
      </c>
      <c r="M875" s="50">
        <v>0.92</v>
      </c>
      <c r="N875" s="50">
        <v>0.11916421808684297</v>
      </c>
      <c r="O875" s="150">
        <v>72085.230229249995</v>
      </c>
      <c r="P875" s="150">
        <v>69151.293999999994</v>
      </c>
      <c r="Q875" s="150">
        <v>2933.9362292500009</v>
      </c>
      <c r="R875" s="150">
        <v>59070</v>
      </c>
      <c r="S875" s="150">
        <v>-56136.063770749999</v>
      </c>
      <c r="T875" s="50" t="s">
        <v>7175</v>
      </c>
      <c r="U875" s="50">
        <v>-5.3928218406354216E-4</v>
      </c>
      <c r="V875" s="50">
        <v>0.99</v>
      </c>
      <c r="W875" s="50">
        <v>0.92295985159915428</v>
      </c>
      <c r="X875" s="50" t="s">
        <v>7163</v>
      </c>
      <c r="Y875" s="50">
        <v>0.32</v>
      </c>
    </row>
    <row r="876" spans="2:25" x14ac:dyDescent="0.2">
      <c r="B876" s="50" t="s">
        <v>9</v>
      </c>
      <c r="C876" s="50" t="s">
        <v>707</v>
      </c>
      <c r="D876" s="50"/>
      <c r="E876" s="50"/>
      <c r="F876" s="51" t="s">
        <v>528</v>
      </c>
      <c r="G876" s="50" t="s">
        <v>527</v>
      </c>
      <c r="H876" s="50" t="s">
        <v>10</v>
      </c>
      <c r="I876" s="50" t="s">
        <v>1121</v>
      </c>
      <c r="J876" s="50" t="s">
        <v>529</v>
      </c>
      <c r="K876" s="50" t="s">
        <v>7174</v>
      </c>
      <c r="L876" s="50">
        <v>89</v>
      </c>
      <c r="M876" s="50">
        <v>0.89</v>
      </c>
      <c r="N876" s="50">
        <v>0.32</v>
      </c>
      <c r="O876" s="150">
        <v>69734.624895687492</v>
      </c>
      <c r="P876" s="150">
        <v>66896.36050000001</v>
      </c>
      <c r="Q876" s="150">
        <v>2838.2643956874817</v>
      </c>
      <c r="R876" s="150">
        <v>59070</v>
      </c>
      <c r="S876" s="150">
        <v>-56231.735604312518</v>
      </c>
      <c r="T876" s="50" t="s">
        <v>7175</v>
      </c>
      <c r="U876" s="50">
        <v>-5.4020127442883147E-4</v>
      </c>
      <c r="V876" s="50">
        <v>0.99</v>
      </c>
      <c r="W876" s="50">
        <v>0.92241965032472539</v>
      </c>
      <c r="X876" s="50" t="s">
        <v>7161</v>
      </c>
      <c r="Y876" s="50">
        <v>0.32</v>
      </c>
    </row>
    <row r="877" spans="2:25" x14ac:dyDescent="0.2">
      <c r="B877" s="50" t="s">
        <v>9</v>
      </c>
      <c r="C877" s="50" t="s">
        <v>737</v>
      </c>
      <c r="D877" s="50"/>
      <c r="E877" s="50"/>
      <c r="F877" s="51" t="s">
        <v>528</v>
      </c>
      <c r="G877" s="50" t="s">
        <v>527</v>
      </c>
      <c r="H877" s="50" t="s">
        <v>10</v>
      </c>
      <c r="I877" s="50" t="s">
        <v>1120</v>
      </c>
      <c r="J877" s="50" t="s">
        <v>529</v>
      </c>
      <c r="K877" s="50" t="s">
        <v>7174</v>
      </c>
      <c r="L877" s="50">
        <v>23</v>
      </c>
      <c r="M877" s="50">
        <v>0.23</v>
      </c>
      <c r="N877" s="50">
        <v>0.93151850276478099</v>
      </c>
      <c r="O877" s="150">
        <v>18021.307557312499</v>
      </c>
      <c r="P877" s="150">
        <v>17287.823499999999</v>
      </c>
      <c r="Q877" s="150">
        <v>733.48405731250023</v>
      </c>
      <c r="R877" s="150">
        <v>56985.102826110618</v>
      </c>
      <c r="S877" s="150">
        <v>-56251.618768798115</v>
      </c>
      <c r="T877" s="50" t="s">
        <v>7175</v>
      </c>
      <c r="U877" s="50">
        <v>-5.4039228597559173E-4</v>
      </c>
      <c r="V877" s="50">
        <v>0.99</v>
      </c>
      <c r="W877" s="50">
        <v>0.92187925803874982</v>
      </c>
      <c r="X877" s="50" t="s">
        <v>7163</v>
      </c>
      <c r="Y877" s="50">
        <v>0.32</v>
      </c>
    </row>
    <row r="878" spans="2:25" x14ac:dyDescent="0.2">
      <c r="B878" s="50" t="s">
        <v>9</v>
      </c>
      <c r="C878" s="50" t="s">
        <v>690</v>
      </c>
      <c r="D878" s="50"/>
      <c r="E878" s="50"/>
      <c r="F878" s="51" t="s">
        <v>528</v>
      </c>
      <c r="G878" s="50" t="s">
        <v>527</v>
      </c>
      <c r="H878" s="50" t="s">
        <v>10</v>
      </c>
      <c r="I878" s="50" t="s">
        <v>1121</v>
      </c>
      <c r="J878" s="50" t="s">
        <v>529</v>
      </c>
      <c r="K878" s="50" t="s">
        <v>7174</v>
      </c>
      <c r="L878" s="50">
        <v>88</v>
      </c>
      <c r="M878" s="50">
        <v>0.88</v>
      </c>
      <c r="N878" s="50">
        <v>0.32</v>
      </c>
      <c r="O878" s="150">
        <v>68951.0897845</v>
      </c>
      <c r="P878" s="150">
        <v>66144.716</v>
      </c>
      <c r="Q878" s="150">
        <v>2806.3737844999996</v>
      </c>
      <c r="R878" s="150">
        <v>59070</v>
      </c>
      <c r="S878" s="150">
        <v>-56263.6262155</v>
      </c>
      <c r="T878" s="50" t="s">
        <v>7175</v>
      </c>
      <c r="U878" s="50">
        <v>-5.4050763788392761E-4</v>
      </c>
      <c r="V878" s="50">
        <v>0.9900000000000001</v>
      </c>
      <c r="W878" s="50">
        <v>0.92133875040086588</v>
      </c>
      <c r="X878" s="50" t="s">
        <v>7163</v>
      </c>
      <c r="Y878" s="50">
        <v>0.32</v>
      </c>
    </row>
    <row r="879" spans="2:25" x14ac:dyDescent="0.2">
      <c r="B879" s="50" t="s">
        <v>9</v>
      </c>
      <c r="C879" s="50" t="s">
        <v>606</v>
      </c>
      <c r="D879" s="50"/>
      <c r="E879" s="50"/>
      <c r="F879" s="51" t="s">
        <v>528</v>
      </c>
      <c r="G879" s="50" t="s">
        <v>527</v>
      </c>
      <c r="H879" s="50" t="s">
        <v>10</v>
      </c>
      <c r="I879" s="50" t="s">
        <v>1121</v>
      </c>
      <c r="J879" s="50" t="s">
        <v>529</v>
      </c>
      <c r="K879" s="50" t="s">
        <v>7174</v>
      </c>
      <c r="L879" s="50">
        <v>88</v>
      </c>
      <c r="M879" s="50">
        <v>0.88</v>
      </c>
      <c r="N879" s="50">
        <v>0.32</v>
      </c>
      <c r="O879" s="150">
        <v>68951.0897845</v>
      </c>
      <c r="P879" s="150">
        <v>66144.716</v>
      </c>
      <c r="Q879" s="150">
        <v>2806.3737844999996</v>
      </c>
      <c r="R879" s="150">
        <v>59070</v>
      </c>
      <c r="S879" s="150">
        <v>-56263.6262155</v>
      </c>
      <c r="T879" s="50" t="s">
        <v>7175</v>
      </c>
      <c r="U879" s="50">
        <v>-5.4050763788392761E-4</v>
      </c>
      <c r="V879" s="50">
        <v>0.9900000000000001</v>
      </c>
      <c r="W879" s="50">
        <v>0.92079824276298194</v>
      </c>
      <c r="X879" s="50" t="s">
        <v>7162</v>
      </c>
      <c r="Y879" s="50">
        <v>0.32</v>
      </c>
    </row>
    <row r="880" spans="2:25" x14ac:dyDescent="0.2">
      <c r="B880" s="50" t="s">
        <v>9</v>
      </c>
      <c r="C880" s="50" t="s">
        <v>681</v>
      </c>
      <c r="D880" s="50"/>
      <c r="E880" s="50"/>
      <c r="F880" s="51" t="s">
        <v>528</v>
      </c>
      <c r="G880" s="50" t="s">
        <v>527</v>
      </c>
      <c r="H880" s="50" t="s">
        <v>621</v>
      </c>
      <c r="I880" s="50" t="s">
        <v>1121</v>
      </c>
      <c r="J880" s="50" t="s">
        <v>622</v>
      </c>
      <c r="K880" s="50" t="s">
        <v>7174</v>
      </c>
      <c r="L880" s="50">
        <v>87</v>
      </c>
      <c r="M880" s="50">
        <v>0.87</v>
      </c>
      <c r="N880" s="50">
        <v>0.32</v>
      </c>
      <c r="O880" s="150">
        <v>68167.554673312494</v>
      </c>
      <c r="P880" s="150">
        <v>65393.071499999998</v>
      </c>
      <c r="Q880" s="150">
        <v>2774.4831733124956</v>
      </c>
      <c r="R880" s="150">
        <v>59070</v>
      </c>
      <c r="S880" s="150">
        <v>-56295.516826687504</v>
      </c>
      <c r="T880" s="50" t="s">
        <v>7175</v>
      </c>
      <c r="U880" s="50">
        <v>-5.4081400133902397E-4</v>
      </c>
      <c r="V880" s="50">
        <v>0.99</v>
      </c>
      <c r="W880" s="50">
        <v>0.92025742876164296</v>
      </c>
      <c r="X880" s="50" t="s">
        <v>7161</v>
      </c>
      <c r="Y880" s="50">
        <v>0.32</v>
      </c>
    </row>
    <row r="881" spans="2:25" x14ac:dyDescent="0.2">
      <c r="B881" s="50" t="s">
        <v>9</v>
      </c>
      <c r="C881" s="50" t="s">
        <v>644</v>
      </c>
      <c r="D881" s="50"/>
      <c r="E881" s="50"/>
      <c r="F881" s="51" t="s">
        <v>528</v>
      </c>
      <c r="G881" s="50" t="s">
        <v>527</v>
      </c>
      <c r="H881" s="50" t="s">
        <v>10</v>
      </c>
      <c r="I881" s="50" t="s">
        <v>1121</v>
      </c>
      <c r="J881" s="50" t="s">
        <v>529</v>
      </c>
      <c r="K881" s="50" t="s">
        <v>7174</v>
      </c>
      <c r="L881" s="50">
        <v>86</v>
      </c>
      <c r="M881" s="50">
        <v>0.86</v>
      </c>
      <c r="N881" s="50">
        <v>0.32</v>
      </c>
      <c r="O881" s="150">
        <v>67384.019562124988</v>
      </c>
      <c r="P881" s="150">
        <v>64641.426999999996</v>
      </c>
      <c r="Q881" s="150">
        <v>2742.5925621249917</v>
      </c>
      <c r="R881" s="150">
        <v>59070</v>
      </c>
      <c r="S881" s="150">
        <v>-56327.407437875008</v>
      </c>
      <c r="T881" s="50" t="s">
        <v>7175</v>
      </c>
      <c r="U881" s="50">
        <v>-5.4112036479412044E-4</v>
      </c>
      <c r="V881" s="50">
        <v>0.99</v>
      </c>
      <c r="W881" s="50">
        <v>0.91971630839684881</v>
      </c>
      <c r="X881" s="50" t="s">
        <v>7163</v>
      </c>
      <c r="Y881" s="50">
        <v>0.32</v>
      </c>
    </row>
    <row r="882" spans="2:25" x14ac:dyDescent="0.2">
      <c r="B882" s="50" t="s">
        <v>9</v>
      </c>
      <c r="C882" s="50" t="s">
        <v>550</v>
      </c>
      <c r="D882" s="50"/>
      <c r="E882" s="50"/>
      <c r="F882" s="51" t="s">
        <v>528</v>
      </c>
      <c r="G882" s="50" t="s">
        <v>527</v>
      </c>
      <c r="H882" s="50" t="s">
        <v>23</v>
      </c>
      <c r="I882" s="50">
        <v>0</v>
      </c>
      <c r="J882" s="50" t="s">
        <v>543</v>
      </c>
      <c r="K882" s="50" t="s">
        <v>7174</v>
      </c>
      <c r="L882" s="50">
        <v>85</v>
      </c>
      <c r="M882" s="50">
        <v>0.85</v>
      </c>
      <c r="N882" s="50">
        <v>0.86</v>
      </c>
      <c r="O882" s="150">
        <v>66600.484450937496</v>
      </c>
      <c r="P882" s="150">
        <v>63889.782500000001</v>
      </c>
      <c r="Q882" s="150">
        <v>2710.701950937495</v>
      </c>
      <c r="R882" s="150">
        <v>59070</v>
      </c>
      <c r="S882" s="150">
        <v>-56359.298049062505</v>
      </c>
      <c r="T882" s="50" t="s">
        <v>7175</v>
      </c>
      <c r="U882" s="50">
        <v>-5.414267282492167E-4</v>
      </c>
      <c r="V882" s="50">
        <v>0.9900000000000001</v>
      </c>
      <c r="W882" s="50">
        <v>0.91917488166859962</v>
      </c>
      <c r="X882" s="50" t="s">
        <v>7161</v>
      </c>
      <c r="Y882" s="50">
        <v>0.32</v>
      </c>
    </row>
    <row r="883" spans="2:25" x14ac:dyDescent="0.2">
      <c r="B883" s="50" t="s">
        <v>9</v>
      </c>
      <c r="C883" s="50" t="s">
        <v>1002</v>
      </c>
      <c r="D883" s="50"/>
      <c r="E883" s="50"/>
      <c r="F883" s="51" t="s">
        <v>528</v>
      </c>
      <c r="G883" s="50" t="s">
        <v>527</v>
      </c>
      <c r="H883" s="50" t="s">
        <v>10</v>
      </c>
      <c r="I883" s="50" t="s">
        <v>1121</v>
      </c>
      <c r="J883" s="50" t="s">
        <v>529</v>
      </c>
      <c r="K883" s="50" t="s">
        <v>7174</v>
      </c>
      <c r="L883" s="50">
        <v>74</v>
      </c>
      <c r="M883" s="50">
        <v>0.74</v>
      </c>
      <c r="N883" s="50">
        <v>0.32</v>
      </c>
      <c r="O883" s="150">
        <v>57981.598227874994</v>
      </c>
      <c r="P883" s="150">
        <v>55621.693000000007</v>
      </c>
      <c r="Q883" s="150">
        <v>2359.9052278749878</v>
      </c>
      <c r="R883" s="150">
        <v>59070</v>
      </c>
      <c r="S883" s="150">
        <v>-56710.094772125012</v>
      </c>
      <c r="T883" s="50" t="s">
        <v>7175</v>
      </c>
      <c r="U883" s="50">
        <v>-5.4479672625527668E-4</v>
      </c>
      <c r="V883" s="50">
        <v>0.9900000000000001</v>
      </c>
      <c r="W883" s="50">
        <v>0.91863008494234433</v>
      </c>
      <c r="X883" s="50" t="s">
        <v>7160</v>
      </c>
      <c r="Y883" s="50">
        <v>0.32</v>
      </c>
    </row>
    <row r="884" spans="2:25" x14ac:dyDescent="0.2">
      <c r="B884" s="50" t="s">
        <v>9</v>
      </c>
      <c r="C884" s="50" t="s">
        <v>626</v>
      </c>
      <c r="D884" s="50"/>
      <c r="E884" s="50"/>
      <c r="F884" s="51" t="s">
        <v>528</v>
      </c>
      <c r="G884" s="50" t="s">
        <v>527</v>
      </c>
      <c r="H884" s="50" t="s">
        <v>535</v>
      </c>
      <c r="I884" s="50">
        <v>0</v>
      </c>
      <c r="J884" s="50" t="s">
        <v>536</v>
      </c>
      <c r="K884" s="50" t="s">
        <v>7174</v>
      </c>
      <c r="L884" s="50">
        <v>67</v>
      </c>
      <c r="M884" s="50">
        <v>0.67</v>
      </c>
      <c r="N884" s="50">
        <v>0.86</v>
      </c>
      <c r="O884" s="150">
        <v>52496.852449562502</v>
      </c>
      <c r="P884" s="150">
        <v>50360.181499999999</v>
      </c>
      <c r="Q884" s="150">
        <v>2136.6709495625037</v>
      </c>
      <c r="R884" s="150">
        <v>59070</v>
      </c>
      <c r="S884" s="150">
        <v>-56933.329050437496</v>
      </c>
      <c r="T884" s="50" t="s">
        <v>7175</v>
      </c>
      <c r="U884" s="50">
        <v>-5.46941270440951E-4</v>
      </c>
      <c r="V884" s="50">
        <v>0.99</v>
      </c>
      <c r="W884" s="50">
        <v>0.91808314367190336</v>
      </c>
      <c r="X884" s="50" t="s">
        <v>7160</v>
      </c>
      <c r="Y884" s="50">
        <v>0.32</v>
      </c>
    </row>
    <row r="885" spans="2:25" x14ac:dyDescent="0.2">
      <c r="B885" s="50" t="s">
        <v>9</v>
      </c>
      <c r="C885" s="50" t="s">
        <v>548</v>
      </c>
      <c r="D885" s="50"/>
      <c r="E885" s="50"/>
      <c r="F885" s="51" t="s">
        <v>528</v>
      </c>
      <c r="G885" s="50" t="s">
        <v>527</v>
      </c>
      <c r="H885" s="50" t="s">
        <v>535</v>
      </c>
      <c r="I885" s="50">
        <v>0</v>
      </c>
      <c r="J885" s="50" t="s">
        <v>536</v>
      </c>
      <c r="K885" s="50" t="s">
        <v>7174</v>
      </c>
      <c r="L885" s="50">
        <v>64</v>
      </c>
      <c r="M885" s="50">
        <v>0.64</v>
      </c>
      <c r="N885" s="50">
        <v>0.86</v>
      </c>
      <c r="O885" s="150">
        <v>50146.247115999999</v>
      </c>
      <c r="P885" s="150">
        <v>48105.248</v>
      </c>
      <c r="Q885" s="150">
        <v>2040.999115999999</v>
      </c>
      <c r="R885" s="150">
        <v>59070</v>
      </c>
      <c r="S885" s="150">
        <v>-57029.000884000001</v>
      </c>
      <c r="T885" s="50" t="s">
        <v>7175</v>
      </c>
      <c r="U885" s="50">
        <v>-5.4786036080624009E-4</v>
      </c>
      <c r="V885" s="50">
        <v>0.99</v>
      </c>
      <c r="W885" s="50">
        <v>0.91753528331109713</v>
      </c>
      <c r="X885" s="50" t="s">
        <v>7161</v>
      </c>
      <c r="Y885" s="50">
        <v>0.32</v>
      </c>
    </row>
    <row r="886" spans="2:25" x14ac:dyDescent="0.2">
      <c r="B886" s="50" t="s">
        <v>9</v>
      </c>
      <c r="C886" s="50" t="s">
        <v>1055</v>
      </c>
      <c r="D886" s="50"/>
      <c r="E886" s="50"/>
      <c r="F886" s="51" t="s">
        <v>528</v>
      </c>
      <c r="G886" s="50" t="s">
        <v>527</v>
      </c>
      <c r="H886" s="50" t="s">
        <v>10</v>
      </c>
      <c r="I886" s="50">
        <v>0</v>
      </c>
      <c r="J886" s="50" t="s">
        <v>529</v>
      </c>
      <c r="K886" s="50" t="s">
        <v>7174</v>
      </c>
      <c r="L886" s="50">
        <v>62</v>
      </c>
      <c r="M886" s="50">
        <v>0.62</v>
      </c>
      <c r="N886" s="50">
        <v>1.5020576131687244</v>
      </c>
      <c r="O886" s="150">
        <v>48579.176893624994</v>
      </c>
      <c r="P886" s="150">
        <v>46601.958999999995</v>
      </c>
      <c r="Q886" s="150">
        <v>1977.2178936249984</v>
      </c>
      <c r="R886" s="150">
        <v>59070</v>
      </c>
      <c r="S886" s="150">
        <v>-57092.782106375002</v>
      </c>
      <c r="T886" s="50" t="s">
        <v>7175</v>
      </c>
      <c r="U886" s="50">
        <v>-5.4847308771643281E-4</v>
      </c>
      <c r="V886" s="50">
        <v>0.99</v>
      </c>
      <c r="W886" s="50">
        <v>0.91698681022338069</v>
      </c>
      <c r="X886" s="50" t="s">
        <v>7160</v>
      </c>
      <c r="Y886" s="50">
        <v>0.32</v>
      </c>
    </row>
    <row r="887" spans="2:25" x14ac:dyDescent="0.2">
      <c r="B887" s="50" t="s">
        <v>9</v>
      </c>
      <c r="C887" s="50" t="s">
        <v>816</v>
      </c>
      <c r="D887" s="50"/>
      <c r="E887" s="50"/>
      <c r="F887" s="51" t="s">
        <v>528</v>
      </c>
      <c r="G887" s="50" t="s">
        <v>527</v>
      </c>
      <c r="H887" s="50" t="s">
        <v>10</v>
      </c>
      <c r="I887" s="50" t="s">
        <v>1120</v>
      </c>
      <c r="J887" s="50" t="s">
        <v>529</v>
      </c>
      <c r="K887" s="50" t="s">
        <v>7174</v>
      </c>
      <c r="L887" s="50">
        <v>99</v>
      </c>
      <c r="M887" s="50">
        <v>0.99</v>
      </c>
      <c r="N887" s="50">
        <v>0.98678281766296194</v>
      </c>
      <c r="O887" s="150">
        <v>77569.976007562494</v>
      </c>
      <c r="P887" s="150">
        <v>74412.805500000002</v>
      </c>
      <c r="Q887" s="150">
        <v>3157.1705075624923</v>
      </c>
      <c r="R887" s="150">
        <v>60365.865159591202</v>
      </c>
      <c r="S887" s="150">
        <v>-57208.694652028709</v>
      </c>
      <c r="T887" s="50" t="s">
        <v>7175</v>
      </c>
      <c r="U887" s="50">
        <v>-5.4958662448017484E-4</v>
      </c>
      <c r="V887" s="50">
        <v>0.9900000000000001</v>
      </c>
      <c r="W887" s="50">
        <v>0.91643722359890056</v>
      </c>
      <c r="X887" s="50" t="s">
        <v>7162</v>
      </c>
      <c r="Y887" s="50">
        <v>0.32</v>
      </c>
    </row>
    <row r="888" spans="2:25" x14ac:dyDescent="0.2">
      <c r="B888" s="50" t="s">
        <v>9</v>
      </c>
      <c r="C888" s="50" t="s">
        <v>785</v>
      </c>
      <c r="D888" s="50"/>
      <c r="E888" s="50"/>
      <c r="F888" s="51" t="s">
        <v>528</v>
      </c>
      <c r="G888" s="50" t="s">
        <v>527</v>
      </c>
      <c r="H888" s="50" t="s">
        <v>10</v>
      </c>
      <c r="I888" s="50" t="s">
        <v>1120</v>
      </c>
      <c r="J888" s="50" t="s">
        <v>529</v>
      </c>
      <c r="K888" s="50" t="s">
        <v>7174</v>
      </c>
      <c r="L888" s="50">
        <v>99</v>
      </c>
      <c r="M888" s="50">
        <v>0.99</v>
      </c>
      <c r="N888" s="50">
        <v>0.98748731822793367</v>
      </c>
      <c r="O888" s="150">
        <v>77569.976007562494</v>
      </c>
      <c r="P888" s="150">
        <v>74412.805500000002</v>
      </c>
      <c r="Q888" s="150">
        <v>3157.1705075624923</v>
      </c>
      <c r="R888" s="150">
        <v>60408.962572059994</v>
      </c>
      <c r="S888" s="150">
        <v>-57251.792064497502</v>
      </c>
      <c r="T888" s="50" t="s">
        <v>7175</v>
      </c>
      <c r="U888" s="50">
        <v>-5.5000064828523846E-4</v>
      </c>
      <c r="V888" s="50">
        <v>0.9900000000000001</v>
      </c>
      <c r="W888" s="50">
        <v>0.91588722295061531</v>
      </c>
      <c r="X888" s="50" t="s">
        <v>7162</v>
      </c>
      <c r="Y888" s="50">
        <v>0.32</v>
      </c>
    </row>
    <row r="889" spans="2:25" x14ac:dyDescent="0.2">
      <c r="B889" s="50" t="s">
        <v>9</v>
      </c>
      <c r="C889" s="50" t="s">
        <v>837</v>
      </c>
      <c r="D889" s="50"/>
      <c r="E889" s="50"/>
      <c r="F889" s="51" t="s">
        <v>528</v>
      </c>
      <c r="G889" s="50" t="s">
        <v>527</v>
      </c>
      <c r="H889" s="50" t="s">
        <v>535</v>
      </c>
      <c r="I889" s="50">
        <v>0</v>
      </c>
      <c r="J889" s="50" t="s">
        <v>536</v>
      </c>
      <c r="K889" s="50" t="s">
        <v>7174</v>
      </c>
      <c r="L889" s="50">
        <v>50.16</v>
      </c>
      <c r="M889" s="50">
        <v>0.50160000000000005</v>
      </c>
      <c r="N889" s="50">
        <v>0.86</v>
      </c>
      <c r="O889" s="150">
        <v>39302.121177164998</v>
      </c>
      <c r="P889" s="150">
        <v>37702.488119999995</v>
      </c>
      <c r="Q889" s="150">
        <v>1599.6330571650033</v>
      </c>
      <c r="R889" s="150">
        <v>59070</v>
      </c>
      <c r="S889" s="150">
        <v>-57470.366942834997</v>
      </c>
      <c r="T889" s="50" t="s">
        <v>7175</v>
      </c>
      <c r="U889" s="50">
        <v>-5.5210043102477363E-4</v>
      </c>
      <c r="V889" s="50">
        <v>0.98999999999999988</v>
      </c>
      <c r="W889" s="50">
        <v>0.91533512251959048</v>
      </c>
      <c r="X889" s="50" t="s">
        <v>7159</v>
      </c>
      <c r="Y889" s="50">
        <v>0.32</v>
      </c>
    </row>
    <row r="890" spans="2:25" x14ac:dyDescent="0.2">
      <c r="B890" s="50" t="s">
        <v>9</v>
      </c>
      <c r="C890" s="50" t="s">
        <v>1035</v>
      </c>
      <c r="D890" s="50"/>
      <c r="E890" s="50"/>
      <c r="F890" s="51" t="s">
        <v>528</v>
      </c>
      <c r="G890" s="50" t="s">
        <v>527</v>
      </c>
      <c r="H890" s="50" t="s">
        <v>10</v>
      </c>
      <c r="I890" s="50" t="s">
        <v>1121</v>
      </c>
      <c r="J890" s="50" t="s">
        <v>529</v>
      </c>
      <c r="K890" s="50" t="s">
        <v>7174</v>
      </c>
      <c r="L890" s="50">
        <v>50</v>
      </c>
      <c r="M890" s="50">
        <v>0.5</v>
      </c>
      <c r="N890" s="50">
        <v>0.32</v>
      </c>
      <c r="O890" s="150">
        <v>39176.755559375</v>
      </c>
      <c r="P890" s="150">
        <v>37582.224999999999</v>
      </c>
      <c r="Q890" s="150">
        <v>1594.5305593750018</v>
      </c>
      <c r="R890" s="150">
        <v>59070</v>
      </c>
      <c r="S890" s="150">
        <v>-57475.469440624998</v>
      </c>
      <c r="T890" s="50" t="s">
        <v>7175</v>
      </c>
      <c r="U890" s="50">
        <v>-5.5214944917758905E-4</v>
      </c>
      <c r="V890" s="50">
        <v>0.99</v>
      </c>
      <c r="W890" s="50">
        <v>0.9147829730704129</v>
      </c>
      <c r="X890" s="50" t="s">
        <v>7160</v>
      </c>
      <c r="Y890" s="50">
        <v>0.32</v>
      </c>
    </row>
    <row r="891" spans="2:25" x14ac:dyDescent="0.2">
      <c r="B891" s="50" t="s">
        <v>9</v>
      </c>
      <c r="C891" s="50" t="s">
        <v>813</v>
      </c>
      <c r="D891" s="50"/>
      <c r="E891" s="50"/>
      <c r="F891" s="51" t="s">
        <v>528</v>
      </c>
      <c r="G891" s="50" t="s">
        <v>527</v>
      </c>
      <c r="H891" s="50" t="s">
        <v>10</v>
      </c>
      <c r="I891" s="50" t="s">
        <v>1121</v>
      </c>
      <c r="J891" s="50" t="s">
        <v>529</v>
      </c>
      <c r="K891" s="50" t="s">
        <v>7174</v>
      </c>
      <c r="L891" s="50">
        <v>50</v>
      </c>
      <c r="M891" s="50">
        <v>0.5</v>
      </c>
      <c r="N891" s="50">
        <v>0.32</v>
      </c>
      <c r="O891" s="150">
        <v>39176.755559375</v>
      </c>
      <c r="P891" s="150">
        <v>37582.224999999999</v>
      </c>
      <c r="Q891" s="150">
        <v>1594.5305593750018</v>
      </c>
      <c r="R891" s="150">
        <v>59070</v>
      </c>
      <c r="S891" s="150">
        <v>-57475.469440624998</v>
      </c>
      <c r="T891" s="50" t="s">
        <v>7175</v>
      </c>
      <c r="U891" s="50">
        <v>-5.5214944917758905E-4</v>
      </c>
      <c r="V891" s="50">
        <v>0.99</v>
      </c>
      <c r="W891" s="50">
        <v>0.91423082362123531</v>
      </c>
      <c r="X891" s="50" t="s">
        <v>7162</v>
      </c>
      <c r="Y891" s="50">
        <v>0.32</v>
      </c>
    </row>
    <row r="892" spans="2:25" x14ac:dyDescent="0.2">
      <c r="B892" s="50" t="s">
        <v>9</v>
      </c>
      <c r="C892" s="50" t="s">
        <v>936</v>
      </c>
      <c r="D892" s="50"/>
      <c r="E892" s="50"/>
      <c r="F892" s="51" t="s">
        <v>528</v>
      </c>
      <c r="G892" s="50" t="s">
        <v>527</v>
      </c>
      <c r="H892" s="50" t="s">
        <v>10</v>
      </c>
      <c r="I892" s="50" t="s">
        <v>1121</v>
      </c>
      <c r="J892" s="50" t="s">
        <v>529</v>
      </c>
      <c r="K892" s="50" t="s">
        <v>7174</v>
      </c>
      <c r="L892" s="50">
        <v>47</v>
      </c>
      <c r="M892" s="50">
        <v>0.47</v>
      </c>
      <c r="N892" s="50">
        <v>0.32</v>
      </c>
      <c r="O892" s="150">
        <v>36826.150225812497</v>
      </c>
      <c r="P892" s="150">
        <v>35327.291499999999</v>
      </c>
      <c r="Q892" s="150">
        <v>1498.8587258124971</v>
      </c>
      <c r="R892" s="150">
        <v>59070</v>
      </c>
      <c r="S892" s="150">
        <v>-57571.141274187503</v>
      </c>
      <c r="T892" s="50" t="s">
        <v>7175</v>
      </c>
      <c r="U892" s="50">
        <v>-5.5306853954287813E-4</v>
      </c>
      <c r="V892" s="50">
        <v>0.99</v>
      </c>
      <c r="W892" s="50">
        <v>0.91367775508169247</v>
      </c>
      <c r="X892" s="50" t="s">
        <v>7161</v>
      </c>
      <c r="Y892" s="50">
        <v>0.32</v>
      </c>
    </row>
    <row r="893" spans="2:25" x14ac:dyDescent="0.2">
      <c r="B893" s="50" t="s">
        <v>9</v>
      </c>
      <c r="C893" s="50" t="s">
        <v>919</v>
      </c>
      <c r="D893" s="50"/>
      <c r="E893" s="50"/>
      <c r="F893" s="51" t="s">
        <v>528</v>
      </c>
      <c r="G893" s="50" t="s">
        <v>527</v>
      </c>
      <c r="H893" s="50" t="s">
        <v>10</v>
      </c>
      <c r="I893" s="50" t="s">
        <v>1121</v>
      </c>
      <c r="J893" s="50" t="s">
        <v>529</v>
      </c>
      <c r="K893" s="50" t="s">
        <v>7174</v>
      </c>
      <c r="L893" s="50">
        <v>45</v>
      </c>
      <c r="M893" s="50">
        <v>0.45</v>
      </c>
      <c r="N893" s="50">
        <v>0.32</v>
      </c>
      <c r="O893" s="150">
        <v>35259.080003437499</v>
      </c>
      <c r="P893" s="150">
        <v>33824.002499999995</v>
      </c>
      <c r="Q893" s="150">
        <v>1435.0775034375038</v>
      </c>
      <c r="R893" s="150">
        <v>59070</v>
      </c>
      <c r="S893" s="150">
        <v>-57634.922496562496</v>
      </c>
      <c r="T893" s="50" t="s">
        <v>7175</v>
      </c>
      <c r="U893" s="50">
        <v>-5.5368126645307086E-4</v>
      </c>
      <c r="V893" s="50">
        <v>0.99</v>
      </c>
      <c r="W893" s="50">
        <v>0.91312407381523941</v>
      </c>
      <c r="X893" s="50" t="s">
        <v>7163</v>
      </c>
      <c r="Y893" s="50">
        <v>0.32</v>
      </c>
    </row>
    <row r="894" spans="2:25" x14ac:dyDescent="0.2">
      <c r="B894" s="50" t="s">
        <v>9</v>
      </c>
      <c r="C894" s="50" t="s">
        <v>957</v>
      </c>
      <c r="D894" s="50"/>
      <c r="E894" s="50"/>
      <c r="F894" s="51" t="s">
        <v>528</v>
      </c>
      <c r="G894" s="50" t="s">
        <v>527</v>
      </c>
      <c r="H894" s="50" t="s">
        <v>531</v>
      </c>
      <c r="I894" s="50" t="s">
        <v>1120</v>
      </c>
      <c r="J894" s="50" t="s">
        <v>532</v>
      </c>
      <c r="K894" s="50" t="s">
        <v>7174</v>
      </c>
      <c r="L894" s="50">
        <v>7</v>
      </c>
      <c r="M894" s="50">
        <v>0</v>
      </c>
      <c r="N894" s="50">
        <v>0.86</v>
      </c>
      <c r="O894" s="150">
        <v>0</v>
      </c>
      <c r="P894" s="150">
        <v>5110</v>
      </c>
      <c r="Q894" s="150">
        <v>-5110</v>
      </c>
      <c r="R894" s="150">
        <v>52610</v>
      </c>
      <c r="S894" s="150">
        <v>-57720</v>
      </c>
      <c r="T894" s="50" t="s">
        <v>7175</v>
      </c>
      <c r="U894" s="50">
        <v>-5.5449858029352499E-4</v>
      </c>
      <c r="V894" s="50">
        <v>1</v>
      </c>
      <c r="W894" s="50">
        <v>0.91256957523494586</v>
      </c>
      <c r="X894" s="50" t="s">
        <v>7162</v>
      </c>
      <c r="Y894" s="50">
        <v>0.32</v>
      </c>
    </row>
    <row r="895" spans="2:25" x14ac:dyDescent="0.2">
      <c r="B895" s="50" t="s">
        <v>9</v>
      </c>
      <c r="C895" s="50" t="s">
        <v>952</v>
      </c>
      <c r="D895" s="50"/>
      <c r="E895" s="50"/>
      <c r="F895" s="51" t="s">
        <v>528</v>
      </c>
      <c r="G895" s="50" t="s">
        <v>527</v>
      </c>
      <c r="H895" s="50" t="s">
        <v>561</v>
      </c>
      <c r="I895" s="50">
        <v>0</v>
      </c>
      <c r="J895" s="50" t="s">
        <v>562</v>
      </c>
      <c r="K895" s="50" t="s">
        <v>7174</v>
      </c>
      <c r="L895" s="50">
        <v>39</v>
      </c>
      <c r="M895" s="50">
        <v>0.39</v>
      </c>
      <c r="N895" s="50">
        <v>0.86</v>
      </c>
      <c r="O895" s="150">
        <v>30557.869336312495</v>
      </c>
      <c r="P895" s="150">
        <v>29314.135500000004</v>
      </c>
      <c r="Q895" s="150">
        <v>1243.7338363124909</v>
      </c>
      <c r="R895" s="150">
        <v>59070</v>
      </c>
      <c r="S895" s="150">
        <v>-57826.266163687513</v>
      </c>
      <c r="T895" s="50" t="s">
        <v>7175</v>
      </c>
      <c r="U895" s="50">
        <v>-5.5551944718364914E-4</v>
      </c>
      <c r="V895" s="50">
        <v>0.99</v>
      </c>
      <c r="W895" s="50">
        <v>0.91201405578776218</v>
      </c>
      <c r="X895" s="50" t="s">
        <v>7159</v>
      </c>
      <c r="Y895" s="50">
        <v>0.32</v>
      </c>
    </row>
    <row r="896" spans="2:25" x14ac:dyDescent="0.2">
      <c r="B896" s="50" t="s">
        <v>9</v>
      </c>
      <c r="C896" s="50" t="s">
        <v>751</v>
      </c>
      <c r="D896" s="50"/>
      <c r="E896" s="50"/>
      <c r="F896" s="51" t="s">
        <v>528</v>
      </c>
      <c r="G896" s="50" t="s">
        <v>527</v>
      </c>
      <c r="H896" s="50" t="s">
        <v>535</v>
      </c>
      <c r="I896" s="50">
        <v>0</v>
      </c>
      <c r="J896" s="50" t="s">
        <v>536</v>
      </c>
      <c r="K896" s="50" t="s">
        <v>7174</v>
      </c>
      <c r="L896" s="50">
        <v>39</v>
      </c>
      <c r="M896" s="50">
        <v>0.39</v>
      </c>
      <c r="N896" s="50">
        <v>0.86</v>
      </c>
      <c r="O896" s="150">
        <v>30557.869336312495</v>
      </c>
      <c r="P896" s="150">
        <v>29314.135500000004</v>
      </c>
      <c r="Q896" s="150">
        <v>1243.7338363124909</v>
      </c>
      <c r="R896" s="150">
        <v>59070</v>
      </c>
      <c r="S896" s="150">
        <v>-57826.266163687513</v>
      </c>
      <c r="T896" s="50" t="s">
        <v>7175</v>
      </c>
      <c r="U896" s="50">
        <v>-5.5551944718364914E-4</v>
      </c>
      <c r="V896" s="50">
        <v>0.99</v>
      </c>
      <c r="W896" s="50">
        <v>0.9114585363405785</v>
      </c>
      <c r="X896" s="50" t="s">
        <v>7162</v>
      </c>
      <c r="Y896" s="50">
        <v>0.32</v>
      </c>
    </row>
    <row r="897" spans="2:25" x14ac:dyDescent="0.2">
      <c r="B897" s="50" t="s">
        <v>9</v>
      </c>
      <c r="C897" s="50" t="s">
        <v>980</v>
      </c>
      <c r="D897" s="50"/>
      <c r="E897" s="50"/>
      <c r="F897" s="51" t="s">
        <v>528</v>
      </c>
      <c r="G897" s="50" t="s">
        <v>527</v>
      </c>
      <c r="H897" s="50" t="s">
        <v>10</v>
      </c>
      <c r="I897" s="50" t="s">
        <v>1124</v>
      </c>
      <c r="J897" s="50" t="s">
        <v>529</v>
      </c>
      <c r="K897" s="50" t="s">
        <v>7174</v>
      </c>
      <c r="L897" s="50">
        <v>26</v>
      </c>
      <c r="M897" s="50">
        <v>0.26</v>
      </c>
      <c r="N897" s="50">
        <v>0.86</v>
      </c>
      <c r="O897" s="150">
        <v>20371.912890874999</v>
      </c>
      <c r="P897" s="150">
        <v>19542.757000000001</v>
      </c>
      <c r="Q897" s="150">
        <v>829.15589087499757</v>
      </c>
      <c r="R897" s="150">
        <v>59070</v>
      </c>
      <c r="S897" s="150">
        <v>-58240.844109124999</v>
      </c>
      <c r="T897" s="50" t="s">
        <v>7175</v>
      </c>
      <c r="U897" s="50">
        <v>-5.5950217209990152E-4</v>
      </c>
      <c r="V897" s="50">
        <v>0.99</v>
      </c>
      <c r="W897" s="50">
        <v>0.91089903416847862</v>
      </c>
      <c r="X897" s="50" t="s">
        <v>7161</v>
      </c>
      <c r="Y897" s="50">
        <v>0.32</v>
      </c>
    </row>
    <row r="898" spans="2:25" x14ac:dyDescent="0.2">
      <c r="B898" s="50" t="s">
        <v>9</v>
      </c>
      <c r="C898" s="50" t="s">
        <v>753</v>
      </c>
      <c r="D898" s="50"/>
      <c r="E898" s="50"/>
      <c r="F898" s="51" t="s">
        <v>528</v>
      </c>
      <c r="G898" s="50" t="s">
        <v>527</v>
      </c>
      <c r="H898" s="50" t="s">
        <v>568</v>
      </c>
      <c r="I898" s="50">
        <v>0</v>
      </c>
      <c r="J898" s="50" t="s">
        <v>569</v>
      </c>
      <c r="K898" s="50" t="s">
        <v>7174</v>
      </c>
      <c r="L898" s="50">
        <v>6</v>
      </c>
      <c r="M898" s="50">
        <v>0.06</v>
      </c>
      <c r="N898" s="50">
        <v>0.30932203389830509</v>
      </c>
      <c r="O898" s="150">
        <v>4701.2106671250003</v>
      </c>
      <c r="P898" s="150">
        <v>4509.8670000000002</v>
      </c>
      <c r="Q898" s="150">
        <v>191.34366712500014</v>
      </c>
      <c r="R898" s="150">
        <v>59070</v>
      </c>
      <c r="S898" s="150">
        <v>-58878.656332874998</v>
      </c>
      <c r="T898" s="50" t="s">
        <v>7175</v>
      </c>
      <c r="U898" s="50">
        <v>-5.6562944120182865E-4</v>
      </c>
      <c r="V898" s="50">
        <v>0.9900000000000001</v>
      </c>
      <c r="W898" s="50">
        <v>0.91033340472727675</v>
      </c>
      <c r="X898" s="50" t="s">
        <v>7159</v>
      </c>
      <c r="Y898" s="50">
        <v>0.32</v>
      </c>
    </row>
    <row r="899" spans="2:25" x14ac:dyDescent="0.2">
      <c r="B899" s="50" t="s">
        <v>9</v>
      </c>
      <c r="C899" s="50" t="s">
        <v>1062</v>
      </c>
      <c r="D899" s="50"/>
      <c r="E899" s="50"/>
      <c r="F899" s="51" t="s">
        <v>528</v>
      </c>
      <c r="G899" s="50" t="s">
        <v>527</v>
      </c>
      <c r="H899" s="50" t="s">
        <v>10</v>
      </c>
      <c r="I899" s="50" t="s">
        <v>1120</v>
      </c>
      <c r="J899" s="50" t="s">
        <v>529</v>
      </c>
      <c r="K899" s="50" t="s">
        <v>7174</v>
      </c>
      <c r="L899" s="50">
        <v>19</v>
      </c>
      <c r="M899" s="50">
        <v>9.5000000000000001E-2</v>
      </c>
      <c r="N899" s="50">
        <v>0.86</v>
      </c>
      <c r="O899" s="150">
        <v>7443.5835562812499</v>
      </c>
      <c r="P899" s="150">
        <v>14075.62275</v>
      </c>
      <c r="Q899" s="150">
        <v>-6632.0391937187505</v>
      </c>
      <c r="R899" s="150">
        <v>52610</v>
      </c>
      <c r="S899" s="150">
        <v>-59242.039193718752</v>
      </c>
      <c r="T899" s="50" t="s">
        <v>7175</v>
      </c>
      <c r="U899" s="50">
        <v>-5.6912035042637574E-4</v>
      </c>
      <c r="V899" s="50">
        <v>0.99500000000000011</v>
      </c>
      <c r="W899" s="50">
        <v>0.90976428437685042</v>
      </c>
      <c r="X899" s="50" t="s">
        <v>7160</v>
      </c>
      <c r="Y899" s="50">
        <v>0.32</v>
      </c>
    </row>
    <row r="900" spans="2:25" x14ac:dyDescent="0.2">
      <c r="B900" s="50" t="s">
        <v>9</v>
      </c>
      <c r="C900" s="50" t="s">
        <v>774</v>
      </c>
      <c r="D900" s="50"/>
      <c r="E900" s="50"/>
      <c r="F900" s="51" t="s">
        <v>528</v>
      </c>
      <c r="G900" s="50" t="s">
        <v>527</v>
      </c>
      <c r="H900" s="50" t="s">
        <v>10</v>
      </c>
      <c r="I900" s="50" t="s">
        <v>1120</v>
      </c>
      <c r="J900" s="50" t="s">
        <v>529</v>
      </c>
      <c r="K900" s="50" t="s">
        <v>7174</v>
      </c>
      <c r="L900" s="50">
        <v>65</v>
      </c>
      <c r="M900" s="50">
        <v>0.65</v>
      </c>
      <c r="N900" s="50">
        <v>1.0121317157712306</v>
      </c>
      <c r="O900" s="150">
        <v>50929.782227187497</v>
      </c>
      <c r="P900" s="150">
        <v>48856.892500000002</v>
      </c>
      <c r="Q900" s="150">
        <v>2072.8897271874957</v>
      </c>
      <c r="R900" s="150">
        <v>61916.569263633071</v>
      </c>
      <c r="S900" s="150">
        <v>-59843.679536445576</v>
      </c>
      <c r="T900" s="50" t="s">
        <v>7175</v>
      </c>
      <c r="U900" s="50">
        <v>-5.7490012720893527E-4</v>
      </c>
      <c r="V900" s="50">
        <v>0.98999999999999988</v>
      </c>
      <c r="W900" s="50">
        <v>0.90918938424964146</v>
      </c>
      <c r="X900" s="50" t="s">
        <v>7161</v>
      </c>
      <c r="Y900" s="50">
        <v>0.32</v>
      </c>
    </row>
    <row r="901" spans="2:25" x14ac:dyDescent="0.2">
      <c r="B901" s="50" t="s">
        <v>9</v>
      </c>
      <c r="C901" s="50" t="s">
        <v>775</v>
      </c>
      <c r="D901" s="50"/>
      <c r="E901" s="50"/>
      <c r="F901" s="51" t="s">
        <v>528</v>
      </c>
      <c r="G901" s="50" t="s">
        <v>527</v>
      </c>
      <c r="H901" s="50" t="s">
        <v>10</v>
      </c>
      <c r="I901" s="50" t="s">
        <v>1120</v>
      </c>
      <c r="J901" s="50" t="s">
        <v>529</v>
      </c>
      <c r="K901" s="50" t="s">
        <v>7174</v>
      </c>
      <c r="L901" s="50">
        <v>47</v>
      </c>
      <c r="M901" s="50">
        <v>0.47</v>
      </c>
      <c r="N901" s="50">
        <v>1.0248696349779383</v>
      </c>
      <c r="O901" s="150">
        <v>36826.150225812497</v>
      </c>
      <c r="P901" s="150">
        <v>35327.291499999999</v>
      </c>
      <c r="Q901" s="150">
        <v>1498.8587258124971</v>
      </c>
      <c r="R901" s="150">
        <v>62695.80406533643</v>
      </c>
      <c r="S901" s="150">
        <v>-61196.945339523932</v>
      </c>
      <c r="T901" s="50" t="s">
        <v>7175</v>
      </c>
      <c r="U901" s="50">
        <v>-5.8790054243011898E-4</v>
      </c>
      <c r="V901" s="50">
        <v>0.99</v>
      </c>
      <c r="W901" s="50">
        <v>0.90860148370721139</v>
      </c>
      <c r="X901" s="50" t="s">
        <v>7163</v>
      </c>
      <c r="Y901" s="50">
        <v>0.32</v>
      </c>
    </row>
    <row r="902" spans="2:25" x14ac:dyDescent="0.2">
      <c r="B902" s="50" t="s">
        <v>9</v>
      </c>
      <c r="C902" s="50" t="s">
        <v>1243</v>
      </c>
      <c r="D902" s="50"/>
      <c r="E902" s="50"/>
      <c r="F902" s="51" t="s">
        <v>528</v>
      </c>
      <c r="G902" s="50" t="s">
        <v>527</v>
      </c>
      <c r="H902" s="50" t="s">
        <v>10</v>
      </c>
      <c r="I902" s="50" t="s">
        <v>1120</v>
      </c>
      <c r="J902" s="50" t="s">
        <v>529</v>
      </c>
      <c r="K902" s="50" t="s">
        <v>7174</v>
      </c>
      <c r="L902" s="50">
        <v>90</v>
      </c>
      <c r="M902" s="50">
        <v>0.45</v>
      </c>
      <c r="N902" s="50">
        <v>0.48894842598794375</v>
      </c>
      <c r="O902" s="150">
        <v>35259.080003437499</v>
      </c>
      <c r="P902" s="150">
        <v>66674.002500000002</v>
      </c>
      <c r="Q902" s="150">
        <v>-31414.922496562504</v>
      </c>
      <c r="R902" s="150">
        <v>29911.135687471771</v>
      </c>
      <c r="S902" s="150">
        <v>-61326.058184034278</v>
      </c>
      <c r="T902" s="50" t="s">
        <v>7175</v>
      </c>
      <c r="U902" s="50">
        <v>-5.8914089047202212E-4</v>
      </c>
      <c r="V902" s="50">
        <v>0.995</v>
      </c>
      <c r="W902" s="50">
        <v>0.90801234281673937</v>
      </c>
      <c r="X902" s="50" t="e">
        <v>#N/A</v>
      </c>
      <c r="Y902" s="50">
        <v>0.32</v>
      </c>
    </row>
    <row r="903" spans="2:25" x14ac:dyDescent="0.2">
      <c r="B903" s="50" t="s">
        <v>9</v>
      </c>
      <c r="C903" s="50" t="s">
        <v>655</v>
      </c>
      <c r="D903" s="50"/>
      <c r="E903" s="50"/>
      <c r="F903" s="51" t="s">
        <v>528</v>
      </c>
      <c r="G903" s="50" t="s">
        <v>527</v>
      </c>
      <c r="H903" s="50" t="s">
        <v>10</v>
      </c>
      <c r="I903" s="50" t="s">
        <v>1120</v>
      </c>
      <c r="J903" s="50" t="s">
        <v>529</v>
      </c>
      <c r="K903" s="50" t="s">
        <v>7174</v>
      </c>
      <c r="L903" s="50">
        <v>116</v>
      </c>
      <c r="M903" s="50">
        <v>1.1599999999999999</v>
      </c>
      <c r="N903" s="50">
        <v>1.0773317591499409</v>
      </c>
      <c r="O903" s="150">
        <v>90890.072897749982</v>
      </c>
      <c r="P903" s="150">
        <v>87190.762000000002</v>
      </c>
      <c r="Q903" s="150">
        <v>3699.3108977499796</v>
      </c>
      <c r="R903" s="150">
        <v>65905.144010323711</v>
      </c>
      <c r="S903" s="150">
        <v>-62205.833112573731</v>
      </c>
      <c r="T903" s="50" t="s">
        <v>7175</v>
      </c>
      <c r="U903" s="50">
        <v>-5.9759262208763128E-4</v>
      </c>
      <c r="V903" s="50">
        <v>0.99</v>
      </c>
      <c r="W903" s="50">
        <v>0.90741475019465179</v>
      </c>
      <c r="X903" s="50" t="s">
        <v>7162</v>
      </c>
      <c r="Y903" s="50">
        <v>0.32</v>
      </c>
    </row>
    <row r="904" spans="2:25" x14ac:dyDescent="0.2">
      <c r="B904" s="50" t="s">
        <v>9</v>
      </c>
      <c r="C904" s="50" t="s">
        <v>572</v>
      </c>
      <c r="D904" s="50"/>
      <c r="E904" s="50"/>
      <c r="F904" s="51" t="s">
        <v>528</v>
      </c>
      <c r="G904" s="50" t="s">
        <v>527</v>
      </c>
      <c r="H904" s="50" t="s">
        <v>23</v>
      </c>
      <c r="I904" s="50">
        <v>0</v>
      </c>
      <c r="J904" s="50" t="s">
        <v>543</v>
      </c>
      <c r="K904" s="50" t="s">
        <v>7174</v>
      </c>
      <c r="L904" s="50">
        <v>12</v>
      </c>
      <c r="M904" s="50">
        <v>0.06</v>
      </c>
      <c r="N904" s="50">
        <v>0.41540212443095603</v>
      </c>
      <c r="O904" s="150">
        <v>4701.2106671250003</v>
      </c>
      <c r="P904" s="150">
        <v>8889.8670000000002</v>
      </c>
      <c r="Q904" s="150">
        <v>-4188.6563328749999</v>
      </c>
      <c r="R904" s="150">
        <v>59070</v>
      </c>
      <c r="S904" s="150">
        <v>-63258.656332874998</v>
      </c>
      <c r="T904" s="50" t="s">
        <v>7175</v>
      </c>
      <c r="U904" s="50">
        <v>-6.0770677629686746E-4</v>
      </c>
      <c r="V904" s="50">
        <v>0.995</v>
      </c>
      <c r="W904" s="50">
        <v>0.90680704341835494</v>
      </c>
      <c r="X904" s="50" t="s">
        <v>7162</v>
      </c>
      <c r="Y904" s="50">
        <v>0.32</v>
      </c>
    </row>
    <row r="905" spans="2:25" x14ac:dyDescent="0.2">
      <c r="B905" s="50" t="s">
        <v>9</v>
      </c>
      <c r="C905" s="50" t="s">
        <v>1029</v>
      </c>
      <c r="D905" s="50"/>
      <c r="E905" s="50"/>
      <c r="F905" s="51" t="s">
        <v>528</v>
      </c>
      <c r="G905" s="50" t="s">
        <v>527</v>
      </c>
      <c r="H905" s="50" t="s">
        <v>10</v>
      </c>
      <c r="I905" s="50" t="s">
        <v>1120</v>
      </c>
      <c r="J905" s="50" t="s">
        <v>529</v>
      </c>
      <c r="K905" s="50" t="s">
        <v>7174</v>
      </c>
      <c r="L905" s="50">
        <v>30</v>
      </c>
      <c r="M905" s="50">
        <v>0.3</v>
      </c>
      <c r="N905" s="50">
        <v>1.0527400082406262</v>
      </c>
      <c r="O905" s="150">
        <v>23506.053335624998</v>
      </c>
      <c r="P905" s="150">
        <v>22549.334999999999</v>
      </c>
      <c r="Q905" s="150">
        <v>956.71833562499887</v>
      </c>
      <c r="R905" s="150">
        <v>64400.75794597598</v>
      </c>
      <c r="S905" s="150">
        <v>-63444.039610350985</v>
      </c>
      <c r="T905" s="50" t="s">
        <v>7175</v>
      </c>
      <c r="U905" s="50">
        <v>-6.0948769736704402E-4</v>
      </c>
      <c r="V905" s="50">
        <v>0.99</v>
      </c>
      <c r="W905" s="50">
        <v>0.90619755572098792</v>
      </c>
      <c r="X905" s="50" t="s">
        <v>7160</v>
      </c>
      <c r="Y905" s="50">
        <v>0.32</v>
      </c>
    </row>
    <row r="906" spans="2:25" x14ac:dyDescent="0.2">
      <c r="B906" s="50" t="s">
        <v>9</v>
      </c>
      <c r="C906" s="50" t="s">
        <v>1059</v>
      </c>
      <c r="D906" s="50"/>
      <c r="E906" s="50"/>
      <c r="F906" s="51" t="s">
        <v>528</v>
      </c>
      <c r="G906" s="50" t="s">
        <v>527</v>
      </c>
      <c r="H906" s="50" t="s">
        <v>23</v>
      </c>
      <c r="I906" s="50" t="s">
        <v>1120</v>
      </c>
      <c r="J906" s="50" t="s">
        <v>543</v>
      </c>
      <c r="K906" s="50" t="s">
        <v>7174</v>
      </c>
      <c r="L906" s="50">
        <v>40</v>
      </c>
      <c r="M906" s="50">
        <v>1.2</v>
      </c>
      <c r="N906" s="50">
        <v>2.056724267468069</v>
      </c>
      <c r="O906" s="150">
        <v>94024.213342499992</v>
      </c>
      <c r="P906" s="150">
        <v>31797.34</v>
      </c>
      <c r="Q906" s="150">
        <v>62226.873342499995</v>
      </c>
      <c r="R906" s="150">
        <v>125818.91129243617</v>
      </c>
      <c r="S906" s="150">
        <v>-63592.037949936173</v>
      </c>
      <c r="T906" s="50" t="s">
        <v>7175</v>
      </c>
      <c r="U906" s="50">
        <v>-6.1090947264746313E-4</v>
      </c>
      <c r="V906" s="50">
        <v>0.97</v>
      </c>
      <c r="W906" s="50">
        <v>0.90558664624834051</v>
      </c>
      <c r="X906" s="50" t="s">
        <v>7160</v>
      </c>
      <c r="Y906" s="50">
        <v>0.32</v>
      </c>
    </row>
    <row r="907" spans="2:25" x14ac:dyDescent="0.2">
      <c r="B907" s="50" t="s">
        <v>9</v>
      </c>
      <c r="C907" s="50" t="s">
        <v>842</v>
      </c>
      <c r="D907" s="50"/>
      <c r="E907" s="50"/>
      <c r="F907" s="51" t="s">
        <v>528</v>
      </c>
      <c r="G907" s="50" t="s">
        <v>527</v>
      </c>
      <c r="H907" s="50" t="s">
        <v>10</v>
      </c>
      <c r="I907" s="50" t="s">
        <v>1120</v>
      </c>
      <c r="J907" s="50" t="s">
        <v>529</v>
      </c>
      <c r="K907" s="50" t="s">
        <v>7174</v>
      </c>
      <c r="L907" s="50">
        <v>62</v>
      </c>
      <c r="M907" s="50">
        <v>0.62</v>
      </c>
      <c r="N907" s="50">
        <v>1.0766961651917404</v>
      </c>
      <c r="O907" s="150">
        <v>48579.176893624994</v>
      </c>
      <c r="P907" s="150">
        <v>46601.958999999995</v>
      </c>
      <c r="Q907" s="150">
        <v>1977.2178936249984</v>
      </c>
      <c r="R907" s="150">
        <v>65866.261919462166</v>
      </c>
      <c r="S907" s="150">
        <v>-63889.044025837167</v>
      </c>
      <c r="T907" s="50" t="s">
        <v>7175</v>
      </c>
      <c r="U907" s="50">
        <v>-6.1376272017736003E-4</v>
      </c>
      <c r="V907" s="50">
        <v>0.99</v>
      </c>
      <c r="W907" s="50">
        <v>0.90497288352816319</v>
      </c>
      <c r="X907" s="50" t="s">
        <v>7163</v>
      </c>
      <c r="Y907" s="50">
        <v>0.32</v>
      </c>
    </row>
    <row r="908" spans="2:25" x14ac:dyDescent="0.2">
      <c r="B908" s="50" t="s">
        <v>9</v>
      </c>
      <c r="C908" s="50" t="s">
        <v>379</v>
      </c>
      <c r="D908" s="50"/>
      <c r="E908" s="50"/>
      <c r="F908" s="51" t="s">
        <v>528</v>
      </c>
      <c r="G908" s="50" t="s">
        <v>527</v>
      </c>
      <c r="H908" s="50" t="s">
        <v>15</v>
      </c>
      <c r="I908" s="50" t="s">
        <v>1120</v>
      </c>
      <c r="J908" s="50" t="s">
        <v>16</v>
      </c>
      <c r="K908" s="50" t="s">
        <v>7174</v>
      </c>
      <c r="L908" s="50">
        <v>125</v>
      </c>
      <c r="M908" s="50">
        <v>1.25</v>
      </c>
      <c r="N908" s="50">
        <v>1.1099044309296264</v>
      </c>
      <c r="O908" s="150">
        <v>97941.888898437479</v>
      </c>
      <c r="P908" s="150">
        <v>93955.562500000015</v>
      </c>
      <c r="Q908" s="150">
        <v>3986.3263984374644</v>
      </c>
      <c r="R908" s="150">
        <v>67897.758268846097</v>
      </c>
      <c r="S908" s="150">
        <v>-63911.431870408633</v>
      </c>
      <c r="T908" s="50" t="s">
        <v>7175</v>
      </c>
      <c r="U908" s="50">
        <v>-6.1397779342806536E-4</v>
      </c>
      <c r="V908" s="50">
        <v>0.99</v>
      </c>
      <c r="W908" s="50">
        <v>0.9043589057347351</v>
      </c>
      <c r="X908" s="50" t="s">
        <v>7161</v>
      </c>
      <c r="Y908" s="50">
        <v>0.32</v>
      </c>
    </row>
    <row r="909" spans="2:25" x14ac:dyDescent="0.2">
      <c r="B909" s="50" t="s">
        <v>9</v>
      </c>
      <c r="C909" s="50" t="s">
        <v>670</v>
      </c>
      <c r="D909" s="50"/>
      <c r="E909" s="50"/>
      <c r="F909" s="51" t="s">
        <v>528</v>
      </c>
      <c r="G909" s="50" t="s">
        <v>527</v>
      </c>
      <c r="H909" s="50" t="s">
        <v>10</v>
      </c>
      <c r="I909" s="50" t="s">
        <v>1120</v>
      </c>
      <c r="J909" s="50" t="s">
        <v>529</v>
      </c>
      <c r="K909" s="50" t="s">
        <v>7174</v>
      </c>
      <c r="L909" s="50">
        <v>45</v>
      </c>
      <c r="M909" s="50">
        <v>0.45</v>
      </c>
      <c r="N909" s="50">
        <v>1.0820158102766797</v>
      </c>
      <c r="O909" s="150">
        <v>35259.080003437499</v>
      </c>
      <c r="P909" s="150">
        <v>33824.002499999995</v>
      </c>
      <c r="Q909" s="150">
        <v>1435.0775034375038</v>
      </c>
      <c r="R909" s="150">
        <v>66191.688114716424</v>
      </c>
      <c r="S909" s="150">
        <v>-64756.61061127892</v>
      </c>
      <c r="T909" s="50" t="s">
        <v>7175</v>
      </c>
      <c r="U909" s="50">
        <v>-6.2209716993372795E-4</v>
      </c>
      <c r="V909" s="50">
        <v>0.99</v>
      </c>
      <c r="W909" s="50">
        <v>0.90373680856480132</v>
      </c>
      <c r="X909" s="50" t="s">
        <v>7162</v>
      </c>
      <c r="Y909" s="50">
        <v>0.32</v>
      </c>
    </row>
    <row r="910" spans="2:25" x14ac:dyDescent="0.2">
      <c r="B910" s="50" t="s">
        <v>9</v>
      </c>
      <c r="C910" s="50" t="s">
        <v>585</v>
      </c>
      <c r="D910" s="50"/>
      <c r="E910" s="50"/>
      <c r="F910" s="51" t="s">
        <v>528</v>
      </c>
      <c r="G910" s="50" t="s">
        <v>527</v>
      </c>
      <c r="H910" s="50" t="s">
        <v>10</v>
      </c>
      <c r="I910" s="50" t="s">
        <v>1120</v>
      </c>
      <c r="J910" s="50" t="s">
        <v>529</v>
      </c>
      <c r="K910" s="50" t="s">
        <v>7174</v>
      </c>
      <c r="L910" s="50">
        <v>48</v>
      </c>
      <c r="M910" s="50">
        <v>0.48</v>
      </c>
      <c r="N910" s="50">
        <v>1.0846953937592867</v>
      </c>
      <c r="O910" s="150">
        <v>37609.685337000003</v>
      </c>
      <c r="P910" s="150">
        <v>36078.936000000002</v>
      </c>
      <c r="Q910" s="150">
        <v>1530.7493370000011</v>
      </c>
      <c r="R910" s="150">
        <v>66355.61007636752</v>
      </c>
      <c r="S910" s="150">
        <v>-64824.860739367519</v>
      </c>
      <c r="T910" s="50" t="s">
        <v>7175</v>
      </c>
      <c r="U910" s="50">
        <v>-6.2275282826931312E-4</v>
      </c>
      <c r="V910" s="50">
        <v>0.9900000000000001</v>
      </c>
      <c r="W910" s="50">
        <v>0.90311405573653203</v>
      </c>
      <c r="X910" s="50" t="s">
        <v>7161</v>
      </c>
      <c r="Y910" s="50">
        <v>0.32</v>
      </c>
    </row>
    <row r="911" spans="2:25" x14ac:dyDescent="0.2">
      <c r="B911" s="50" t="s">
        <v>9</v>
      </c>
      <c r="C911" s="50" t="s">
        <v>1081</v>
      </c>
      <c r="D911" s="50"/>
      <c r="E911" s="50"/>
      <c r="F911" s="51" t="s">
        <v>528</v>
      </c>
      <c r="G911" s="50" t="s">
        <v>527</v>
      </c>
      <c r="H911" s="50" t="s">
        <v>10</v>
      </c>
      <c r="I911" s="50" t="s">
        <v>1120</v>
      </c>
      <c r="J911" s="50" t="s">
        <v>529</v>
      </c>
      <c r="K911" s="50" t="s">
        <v>7174</v>
      </c>
      <c r="L911" s="50">
        <v>111</v>
      </c>
      <c r="M911" s="50">
        <v>1.1100000000000001</v>
      </c>
      <c r="N911" s="50">
        <v>1.118488253319714</v>
      </c>
      <c r="O911" s="150">
        <v>86972.397341812495</v>
      </c>
      <c r="P911" s="150">
        <v>83432.539499999999</v>
      </c>
      <c r="Q911" s="150">
        <v>3539.8578418124962</v>
      </c>
      <c r="R911" s="150">
        <v>68422.868612965307</v>
      </c>
      <c r="S911" s="150">
        <v>-64883.010771152811</v>
      </c>
      <c r="T911" s="50" t="s">
        <v>7175</v>
      </c>
      <c r="U911" s="50">
        <v>-6.2331145803488778E-4</v>
      </c>
      <c r="V911" s="50">
        <v>0.99</v>
      </c>
      <c r="W911" s="50">
        <v>0.90249074427849718</v>
      </c>
      <c r="X911" s="50" t="s">
        <v>7162</v>
      </c>
      <c r="Y911" s="50">
        <v>0.32</v>
      </c>
    </row>
    <row r="912" spans="2:25" x14ac:dyDescent="0.2">
      <c r="B912" s="50" t="s">
        <v>9</v>
      </c>
      <c r="C912" s="50" t="s">
        <v>706</v>
      </c>
      <c r="D912" s="50"/>
      <c r="E912" s="50"/>
      <c r="F912" s="51" t="s">
        <v>528</v>
      </c>
      <c r="G912" s="50" t="s">
        <v>527</v>
      </c>
      <c r="H912" s="50" t="s">
        <v>10</v>
      </c>
      <c r="I912" s="50" t="s">
        <v>1120</v>
      </c>
      <c r="J912" s="50" t="s">
        <v>529</v>
      </c>
      <c r="K912" s="50" t="s">
        <v>7174</v>
      </c>
      <c r="L912" s="50">
        <v>110</v>
      </c>
      <c r="M912" s="50">
        <v>1.1000000000000001</v>
      </c>
      <c r="N912" s="50">
        <v>1.1189454322501533</v>
      </c>
      <c r="O912" s="150">
        <v>86188.862230625004</v>
      </c>
      <c r="P912" s="150">
        <v>82680.895000000004</v>
      </c>
      <c r="Q912" s="150">
        <v>3507.9672306249995</v>
      </c>
      <c r="R912" s="150">
        <v>68450.836268233223</v>
      </c>
      <c r="S912" s="150">
        <v>-64942.869037608223</v>
      </c>
      <c r="T912" s="50" t="s">
        <v>7175</v>
      </c>
      <c r="U912" s="50">
        <v>-6.2388649829421485E-4</v>
      </c>
      <c r="V912" s="50">
        <v>0.9900000000000001</v>
      </c>
      <c r="W912" s="50">
        <v>0.90186685778020292</v>
      </c>
      <c r="X912" s="50" t="s">
        <v>7163</v>
      </c>
      <c r="Y912" s="50">
        <v>0.32</v>
      </c>
    </row>
    <row r="913" spans="2:25" x14ac:dyDescent="0.2">
      <c r="B913" s="50" t="s">
        <v>9</v>
      </c>
      <c r="C913" s="50" t="s">
        <v>1040</v>
      </c>
      <c r="D913" s="50"/>
      <c r="E913" s="50"/>
      <c r="F913" s="51" t="s">
        <v>528</v>
      </c>
      <c r="G913" s="50" t="s">
        <v>527</v>
      </c>
      <c r="H913" s="50" t="s">
        <v>10</v>
      </c>
      <c r="I913" s="50">
        <v>0</v>
      </c>
      <c r="J913" s="50" t="s">
        <v>529</v>
      </c>
      <c r="K913" s="50" t="s">
        <v>7174</v>
      </c>
      <c r="L913" s="50">
        <v>9</v>
      </c>
      <c r="M913" s="50">
        <v>0</v>
      </c>
      <c r="N913" s="50">
        <v>0.86</v>
      </c>
      <c r="O913" s="150">
        <v>0</v>
      </c>
      <c r="P913" s="150">
        <v>6570</v>
      </c>
      <c r="Q913" s="150">
        <v>-6570</v>
      </c>
      <c r="R913" s="150">
        <v>59070</v>
      </c>
      <c r="S913" s="150">
        <v>-65640</v>
      </c>
      <c r="T913" s="50" t="s">
        <v>7175</v>
      </c>
      <c r="U913" s="50">
        <v>-6.3058362457496498E-4</v>
      </c>
      <c r="V913" s="50">
        <v>1</v>
      </c>
      <c r="W913" s="50">
        <v>0.90123627415562801</v>
      </c>
      <c r="X913" s="50" t="s">
        <v>7159</v>
      </c>
      <c r="Y913" s="50">
        <v>0.32</v>
      </c>
    </row>
    <row r="914" spans="2:25" x14ac:dyDescent="0.2">
      <c r="B914" s="50" t="s">
        <v>9</v>
      </c>
      <c r="C914" s="50" t="s">
        <v>1056</v>
      </c>
      <c r="D914" s="50"/>
      <c r="E914" s="50"/>
      <c r="F914" s="51" t="s">
        <v>528</v>
      </c>
      <c r="G914" s="50" t="s">
        <v>527</v>
      </c>
      <c r="H914" s="50" t="s">
        <v>10</v>
      </c>
      <c r="I914" s="50" t="s">
        <v>1120</v>
      </c>
      <c r="J914" s="50" t="s">
        <v>529</v>
      </c>
      <c r="K914" s="50" t="s">
        <v>7174</v>
      </c>
      <c r="L914" s="50">
        <v>7</v>
      </c>
      <c r="M914" s="50">
        <v>0.14000000000000001</v>
      </c>
      <c r="N914" s="50">
        <v>1.1644806806097128</v>
      </c>
      <c r="O914" s="150">
        <v>10969.491556625002</v>
      </c>
      <c r="P914" s="150">
        <v>5413.0230000000001</v>
      </c>
      <c r="Q914" s="150">
        <v>5556.4685566250018</v>
      </c>
      <c r="R914" s="150">
        <v>71236.428612647651</v>
      </c>
      <c r="S914" s="150">
        <v>-65679.960056022654</v>
      </c>
      <c r="T914" s="50" t="s">
        <v>7175</v>
      </c>
      <c r="U914" s="50">
        <v>-6.309675087456686E-4</v>
      </c>
      <c r="V914" s="50">
        <v>0.98000000000000009</v>
      </c>
      <c r="W914" s="50">
        <v>0.90060530664688232</v>
      </c>
      <c r="X914" s="50" t="s">
        <v>7160</v>
      </c>
      <c r="Y914" s="50">
        <v>0.32</v>
      </c>
    </row>
    <row r="915" spans="2:25" x14ac:dyDescent="0.2">
      <c r="B915" s="50" t="s">
        <v>9</v>
      </c>
      <c r="C915" s="50" t="s">
        <v>592</v>
      </c>
      <c r="D915" s="50"/>
      <c r="E915" s="50"/>
      <c r="F915" s="51" t="s">
        <v>528</v>
      </c>
      <c r="G915" s="50" t="s">
        <v>527</v>
      </c>
      <c r="H915" s="50" t="s">
        <v>10</v>
      </c>
      <c r="I915" s="50" t="s">
        <v>1120</v>
      </c>
      <c r="J915" s="50" t="s">
        <v>529</v>
      </c>
      <c r="K915" s="50" t="s">
        <v>7174</v>
      </c>
      <c r="L915" s="50">
        <v>20</v>
      </c>
      <c r="M915" s="50">
        <v>0</v>
      </c>
      <c r="N915" s="50">
        <v>0.86</v>
      </c>
      <c r="O915" s="150">
        <v>0</v>
      </c>
      <c r="P915" s="150">
        <v>14600</v>
      </c>
      <c r="Q915" s="150">
        <v>-14600</v>
      </c>
      <c r="R915" s="150">
        <v>52610</v>
      </c>
      <c r="S915" s="150">
        <v>-67210</v>
      </c>
      <c r="T915" s="50" t="s">
        <v>7175</v>
      </c>
      <c r="U915" s="50">
        <v>-6.4566613966610901E-4</v>
      </c>
      <c r="V915" s="50">
        <v>1</v>
      </c>
      <c r="W915" s="50">
        <v>0.89995964050721622</v>
      </c>
      <c r="X915" s="50" t="s">
        <v>7162</v>
      </c>
      <c r="Y915" s="50">
        <v>0.32</v>
      </c>
    </row>
    <row r="916" spans="2:25" x14ac:dyDescent="0.2">
      <c r="B916" s="50" t="s">
        <v>9</v>
      </c>
      <c r="C916" s="50" t="s">
        <v>587</v>
      </c>
      <c r="D916" s="50"/>
      <c r="E916" s="50"/>
      <c r="F916" s="51" t="s">
        <v>528</v>
      </c>
      <c r="G916" s="50" t="s">
        <v>527</v>
      </c>
      <c r="H916" s="50" t="s">
        <v>10</v>
      </c>
      <c r="I916" s="50" t="s">
        <v>1120</v>
      </c>
      <c r="J916" s="50" t="s">
        <v>529</v>
      </c>
      <c r="K916" s="50" t="s">
        <v>7174</v>
      </c>
      <c r="L916" s="50">
        <v>23</v>
      </c>
      <c r="M916" s="50">
        <v>0.46</v>
      </c>
      <c r="N916" s="50">
        <v>1.4223088163662934</v>
      </c>
      <c r="O916" s="150">
        <v>36042.615114624998</v>
      </c>
      <c r="P916" s="150">
        <v>17785.647000000001</v>
      </c>
      <c r="Q916" s="150">
        <v>18256.968114624997</v>
      </c>
      <c r="R916" s="150">
        <v>87008.914917477538</v>
      </c>
      <c r="S916" s="150">
        <v>-68751.946802852544</v>
      </c>
      <c r="T916" s="50" t="s">
        <v>7175</v>
      </c>
      <c r="U916" s="50">
        <v>-6.604791561780611E-4</v>
      </c>
      <c r="V916" s="50">
        <v>0.98</v>
      </c>
      <c r="W916" s="50">
        <v>0.89929916135103816</v>
      </c>
      <c r="X916" s="50" t="s">
        <v>7163</v>
      </c>
      <c r="Y916" s="50">
        <v>0.32</v>
      </c>
    </row>
    <row r="917" spans="2:25" x14ac:dyDescent="0.2">
      <c r="B917" s="50" t="s">
        <v>9</v>
      </c>
      <c r="C917" s="50" t="s">
        <v>978</v>
      </c>
      <c r="D917" s="50"/>
      <c r="E917" s="50"/>
      <c r="F917" s="51" t="s">
        <v>528</v>
      </c>
      <c r="G917" s="50" t="s">
        <v>527</v>
      </c>
      <c r="H917" s="50" t="s">
        <v>561</v>
      </c>
      <c r="I917" s="50" t="s">
        <v>1120</v>
      </c>
      <c r="J917" s="50" t="s">
        <v>562</v>
      </c>
      <c r="K917" s="50" t="s">
        <v>7174</v>
      </c>
      <c r="L917" s="50">
        <v>50</v>
      </c>
      <c r="M917" s="50">
        <v>0.25</v>
      </c>
      <c r="N917" s="50">
        <v>0.86</v>
      </c>
      <c r="O917" s="150">
        <v>19588.3777796875</v>
      </c>
      <c r="P917" s="150">
        <v>37041.112500000003</v>
      </c>
      <c r="Q917" s="150">
        <v>-17452.734720312503</v>
      </c>
      <c r="R917" s="150">
        <v>52610</v>
      </c>
      <c r="S917" s="150">
        <v>-70062.734720312495</v>
      </c>
      <c r="T917" s="50" t="s">
        <v>7175</v>
      </c>
      <c r="U917" s="50">
        <v>-6.7307149920123246E-4</v>
      </c>
      <c r="V917" s="50">
        <v>0.995</v>
      </c>
      <c r="W917" s="50">
        <v>0.8986260898518369</v>
      </c>
      <c r="X917" s="50" t="s">
        <v>7159</v>
      </c>
      <c r="Y917" s="50">
        <v>0.32</v>
      </c>
    </row>
    <row r="918" spans="2:25" x14ac:dyDescent="0.2">
      <c r="B918" s="50" t="s">
        <v>9</v>
      </c>
      <c r="C918" s="50" t="s">
        <v>695</v>
      </c>
      <c r="D918" s="50"/>
      <c r="E918" s="50"/>
      <c r="F918" s="51" t="s">
        <v>528</v>
      </c>
      <c r="G918" s="50" t="s">
        <v>527</v>
      </c>
      <c r="H918" s="50" t="s">
        <v>10</v>
      </c>
      <c r="I918" s="50" t="s">
        <v>1120</v>
      </c>
      <c r="J918" s="50" t="s">
        <v>529</v>
      </c>
      <c r="K918" s="50" t="s">
        <v>7174</v>
      </c>
      <c r="L918" s="50">
        <v>69</v>
      </c>
      <c r="M918" s="50">
        <v>0.69</v>
      </c>
      <c r="N918" s="50">
        <v>1.1880650994575046</v>
      </c>
      <c r="O918" s="150">
        <v>54063.922671937493</v>
      </c>
      <c r="P918" s="150">
        <v>51863.470500000003</v>
      </c>
      <c r="Q918" s="150">
        <v>2200.4521719374898</v>
      </c>
      <c r="R918" s="150">
        <v>72679.191723789903</v>
      </c>
      <c r="S918" s="150">
        <v>-70478.739551852414</v>
      </c>
      <c r="T918" s="50" t="s">
        <v>7175</v>
      </c>
      <c r="U918" s="50">
        <v>-6.7706793178065258E-4</v>
      </c>
      <c r="V918" s="50">
        <v>0.99</v>
      </c>
      <c r="W918" s="50">
        <v>0.89794902192005621</v>
      </c>
      <c r="X918" s="50" t="s">
        <v>7163</v>
      </c>
      <c r="Y918" s="50">
        <v>0.32</v>
      </c>
    </row>
    <row r="919" spans="2:25" x14ac:dyDescent="0.2">
      <c r="B919" s="50" t="s">
        <v>9</v>
      </c>
      <c r="C919" s="50" t="s">
        <v>795</v>
      </c>
      <c r="D919" s="50"/>
      <c r="E919" s="50"/>
      <c r="F919" s="51" t="s">
        <v>528</v>
      </c>
      <c r="G919" s="50" t="s">
        <v>527</v>
      </c>
      <c r="H919" s="50" t="s">
        <v>545</v>
      </c>
      <c r="I919" s="50" t="s">
        <v>1120</v>
      </c>
      <c r="J919" s="50" t="s">
        <v>546</v>
      </c>
      <c r="K919" s="50" t="s">
        <v>7174</v>
      </c>
      <c r="L919" s="50">
        <v>25</v>
      </c>
      <c r="M919" s="50">
        <v>0</v>
      </c>
      <c r="N919" s="50">
        <v>0.86</v>
      </c>
      <c r="O919" s="150">
        <v>0</v>
      </c>
      <c r="P919" s="150">
        <v>18250</v>
      </c>
      <c r="Q919" s="150">
        <v>-18250</v>
      </c>
      <c r="R919" s="150">
        <v>52610</v>
      </c>
      <c r="S919" s="150">
        <v>-70860</v>
      </c>
      <c r="T919" s="50" t="s">
        <v>7175</v>
      </c>
      <c r="U919" s="50">
        <v>-6.807305855786414E-4</v>
      </c>
      <c r="V919" s="50">
        <v>1</v>
      </c>
      <c r="W919" s="50">
        <v>0.89726829133447761</v>
      </c>
      <c r="X919" s="50" t="s">
        <v>7162</v>
      </c>
      <c r="Y919" s="50">
        <v>0.32</v>
      </c>
    </row>
    <row r="920" spans="2:25" x14ac:dyDescent="0.2">
      <c r="B920" s="50" t="s">
        <v>9</v>
      </c>
      <c r="C920" s="50" t="s">
        <v>612</v>
      </c>
      <c r="D920" s="50"/>
      <c r="E920" s="50"/>
      <c r="F920" s="51" t="s">
        <v>528</v>
      </c>
      <c r="G920" s="50" t="s">
        <v>527</v>
      </c>
      <c r="H920" s="50" t="s">
        <v>10</v>
      </c>
      <c r="I920" s="50" t="s">
        <v>1121</v>
      </c>
      <c r="J920" s="50" t="s">
        <v>529</v>
      </c>
      <c r="K920" s="50" t="s">
        <v>7174</v>
      </c>
      <c r="L920" s="50">
        <v>260</v>
      </c>
      <c r="M920" s="50">
        <v>2.6</v>
      </c>
      <c r="N920" s="50">
        <v>0.43</v>
      </c>
      <c r="O920" s="150">
        <v>203719.12890874999</v>
      </c>
      <c r="P920" s="150">
        <v>195427.57</v>
      </c>
      <c r="Q920" s="150">
        <v>8291.5589087499829</v>
      </c>
      <c r="R920" s="150">
        <v>79375.3125</v>
      </c>
      <c r="S920" s="150">
        <v>-71083.753591250017</v>
      </c>
      <c r="T920" s="50" t="s">
        <v>7175</v>
      </c>
      <c r="U920" s="50">
        <v>-6.8288011864661973E-4</v>
      </c>
      <c r="V920" s="50">
        <v>0.98999999999999988</v>
      </c>
      <c r="W920" s="50">
        <v>0.89658541121583102</v>
      </c>
      <c r="X920" s="50" t="s">
        <v>7162</v>
      </c>
      <c r="Y920" s="50">
        <v>0.43</v>
      </c>
    </row>
    <row r="921" spans="2:25" x14ac:dyDescent="0.2">
      <c r="B921" s="50" t="s">
        <v>9</v>
      </c>
      <c r="C921" s="50" t="s">
        <v>709</v>
      </c>
      <c r="D921" s="50"/>
      <c r="E921" s="50"/>
      <c r="F921" s="51" t="s">
        <v>528</v>
      </c>
      <c r="G921" s="50" t="s">
        <v>527</v>
      </c>
      <c r="H921" s="50" t="s">
        <v>10</v>
      </c>
      <c r="I921" s="50" t="s">
        <v>1120</v>
      </c>
      <c r="J921" s="50" t="s">
        <v>529</v>
      </c>
      <c r="K921" s="50" t="s">
        <v>7174</v>
      </c>
      <c r="L921" s="50">
        <v>68</v>
      </c>
      <c r="M921" s="50">
        <v>0</v>
      </c>
      <c r="N921" s="50">
        <v>0.3564453125</v>
      </c>
      <c r="O921" s="150">
        <v>0</v>
      </c>
      <c r="P921" s="150">
        <v>49640</v>
      </c>
      <c r="Q921" s="150">
        <v>-49640</v>
      </c>
      <c r="R921" s="150">
        <v>21805.334756540698</v>
      </c>
      <c r="S921" s="150">
        <v>-71445.334756540702</v>
      </c>
      <c r="T921" s="50" t="s">
        <v>7175</v>
      </c>
      <c r="U921" s="50">
        <v>-6.8635371952698292E-4</v>
      </c>
      <c r="V921" s="50">
        <v>1</v>
      </c>
      <c r="W921" s="50">
        <v>0.89589905749630405</v>
      </c>
      <c r="X921" s="50" t="s">
        <v>7163</v>
      </c>
      <c r="Y921" s="50">
        <v>0.32</v>
      </c>
    </row>
    <row r="922" spans="2:25" x14ac:dyDescent="0.2">
      <c r="B922" s="50" t="s">
        <v>9</v>
      </c>
      <c r="C922" s="50" t="s">
        <v>735</v>
      </c>
      <c r="D922" s="50"/>
      <c r="E922" s="50"/>
      <c r="F922" s="51" t="s">
        <v>528</v>
      </c>
      <c r="G922" s="50" t="s">
        <v>527</v>
      </c>
      <c r="H922" s="50" t="s">
        <v>10</v>
      </c>
      <c r="I922" s="50" t="s">
        <v>1120</v>
      </c>
      <c r="J922" s="50" t="s">
        <v>529</v>
      </c>
      <c r="K922" s="50" t="s">
        <v>7174</v>
      </c>
      <c r="L922" s="50">
        <v>63</v>
      </c>
      <c r="M922" s="50">
        <v>0.63</v>
      </c>
      <c r="N922" s="50">
        <v>1.25</v>
      </c>
      <c r="O922" s="150">
        <v>49362.7120048125</v>
      </c>
      <c r="P922" s="150">
        <v>47353.603499999997</v>
      </c>
      <c r="Q922" s="150">
        <v>2009.1085048125024</v>
      </c>
      <c r="R922" s="150">
        <v>76468.02325581394</v>
      </c>
      <c r="S922" s="150">
        <v>-74458.91475100143</v>
      </c>
      <c r="T922" s="50" t="s">
        <v>7175</v>
      </c>
      <c r="U922" s="50">
        <v>-7.1530427095680695E-4</v>
      </c>
      <c r="V922" s="50">
        <v>0.99</v>
      </c>
      <c r="W922" s="50">
        <v>0.89518375322534727</v>
      </c>
      <c r="X922" s="50" t="s">
        <v>7163</v>
      </c>
      <c r="Y922" s="50">
        <v>0.32</v>
      </c>
    </row>
    <row r="923" spans="2:25" x14ac:dyDescent="0.2">
      <c r="B923" s="50" t="s">
        <v>9</v>
      </c>
      <c r="C923" s="50" t="s">
        <v>804</v>
      </c>
      <c r="D923" s="50"/>
      <c r="E923" s="50"/>
      <c r="F923" s="51" t="s">
        <v>528</v>
      </c>
      <c r="G923" s="50" t="s">
        <v>527</v>
      </c>
      <c r="H923" s="50" t="s">
        <v>10</v>
      </c>
      <c r="I923" s="50" t="s">
        <v>1120</v>
      </c>
      <c r="J923" s="50" t="s">
        <v>529</v>
      </c>
      <c r="K923" s="50" t="s">
        <v>7174</v>
      </c>
      <c r="L923" s="50">
        <v>28</v>
      </c>
      <c r="M923" s="50">
        <v>0.28000000000000003</v>
      </c>
      <c r="N923" s="50">
        <v>1.2405589123867069</v>
      </c>
      <c r="O923" s="150">
        <v>21938.983113250004</v>
      </c>
      <c r="P923" s="150">
        <v>21046.046000000002</v>
      </c>
      <c r="Q923" s="150">
        <v>892.93711325000186</v>
      </c>
      <c r="R923" s="150">
        <v>75890.470210075175</v>
      </c>
      <c r="S923" s="150">
        <v>-74997.53309682518</v>
      </c>
      <c r="T923" s="50" t="s">
        <v>7175</v>
      </c>
      <c r="U923" s="50">
        <v>-7.2047861447862465E-4</v>
      </c>
      <c r="V923" s="50">
        <v>0.99</v>
      </c>
      <c r="W923" s="50">
        <v>0.89446327461086861</v>
      </c>
      <c r="X923" s="50" t="s">
        <v>7160</v>
      </c>
      <c r="Y923" s="50">
        <v>0.32</v>
      </c>
    </row>
    <row r="924" spans="2:25" x14ac:dyDescent="0.2">
      <c r="B924" s="50" t="s">
        <v>9</v>
      </c>
      <c r="C924" s="50" t="s">
        <v>1069</v>
      </c>
      <c r="D924" s="50"/>
      <c r="E924" s="50"/>
      <c r="F924" s="51" t="s">
        <v>528</v>
      </c>
      <c r="G924" s="50" t="s">
        <v>527</v>
      </c>
      <c r="H924" s="50" t="s">
        <v>10</v>
      </c>
      <c r="I924" s="50" t="s">
        <v>1120</v>
      </c>
      <c r="J924" s="50" t="s">
        <v>529</v>
      </c>
      <c r="K924" s="50" t="s">
        <v>7174</v>
      </c>
      <c r="L924" s="50">
        <v>21</v>
      </c>
      <c r="M924" s="50">
        <v>0.21</v>
      </c>
      <c r="N924" s="50">
        <v>1.2410744644678682</v>
      </c>
      <c r="O924" s="150">
        <v>16454.237334937498</v>
      </c>
      <c r="P924" s="150">
        <v>15784.5345</v>
      </c>
      <c r="Q924" s="150">
        <v>669.70283493749776</v>
      </c>
      <c r="R924" s="150">
        <v>75922.008808900631</v>
      </c>
      <c r="S924" s="150">
        <v>-75252.305973963128</v>
      </c>
      <c r="T924" s="50" t="s">
        <v>7175</v>
      </c>
      <c r="U924" s="50">
        <v>-7.2292614044311334E-4</v>
      </c>
      <c r="V924" s="50">
        <v>0.99</v>
      </c>
      <c r="W924" s="50">
        <v>0.89374034847042549</v>
      </c>
      <c r="X924" s="50" t="s">
        <v>7159</v>
      </c>
      <c r="Y924" s="50">
        <v>0.32</v>
      </c>
    </row>
    <row r="925" spans="2:25" x14ac:dyDescent="0.2">
      <c r="B925" s="50" t="s">
        <v>9</v>
      </c>
      <c r="C925" s="50" t="s">
        <v>948</v>
      </c>
      <c r="D925" s="50"/>
      <c r="E925" s="50"/>
      <c r="F925" s="51" t="s">
        <v>528</v>
      </c>
      <c r="G925" s="50" t="s">
        <v>527</v>
      </c>
      <c r="H925" s="50" t="s">
        <v>535</v>
      </c>
      <c r="I925" s="50" t="s">
        <v>1120</v>
      </c>
      <c r="J925" s="50" t="s">
        <v>536</v>
      </c>
      <c r="K925" s="50" t="s">
        <v>7174</v>
      </c>
      <c r="L925" s="50">
        <v>70</v>
      </c>
      <c r="M925" s="50">
        <v>0.35</v>
      </c>
      <c r="N925" s="50">
        <v>0.86</v>
      </c>
      <c r="O925" s="150">
        <v>27423.728891562496</v>
      </c>
      <c r="P925" s="150">
        <v>51857.557500000003</v>
      </c>
      <c r="Q925" s="150">
        <v>-24433.828608437507</v>
      </c>
      <c r="R925" s="150">
        <v>52610</v>
      </c>
      <c r="S925" s="150">
        <v>-77043.828608437499</v>
      </c>
      <c r="T925" s="50" t="s">
        <v>7175</v>
      </c>
      <c r="U925" s="50">
        <v>-7.4013675647533362E-4</v>
      </c>
      <c r="V925" s="50">
        <v>0.99500000000000011</v>
      </c>
      <c r="W925" s="50">
        <v>0.89300021171395016</v>
      </c>
      <c r="X925" s="50" t="s">
        <v>7163</v>
      </c>
      <c r="Y925" s="50">
        <v>0.32</v>
      </c>
    </row>
    <row r="926" spans="2:25" x14ac:dyDescent="0.2">
      <c r="B926" s="50" t="s">
        <v>9</v>
      </c>
      <c r="C926" s="50" t="s">
        <v>171</v>
      </c>
      <c r="D926" s="50"/>
      <c r="E926" s="50"/>
      <c r="F926" s="51" t="s">
        <v>528</v>
      </c>
      <c r="G926" s="50" t="s">
        <v>527</v>
      </c>
      <c r="H926" s="50" t="s">
        <v>15</v>
      </c>
      <c r="I926" s="50" t="s">
        <v>1120</v>
      </c>
      <c r="J926" s="50" t="s">
        <v>16</v>
      </c>
      <c r="K926" s="50" t="s">
        <v>7174</v>
      </c>
      <c r="L926" s="50">
        <v>82</v>
      </c>
      <c r="M926" s="50">
        <v>0.82</v>
      </c>
      <c r="N926" s="50">
        <v>1.3279625779625781</v>
      </c>
      <c r="O926" s="150">
        <v>64249.879117374992</v>
      </c>
      <c r="P926" s="150">
        <v>61634.848999999995</v>
      </c>
      <c r="Q926" s="150">
        <v>2615.0301173749976</v>
      </c>
      <c r="R926" s="150">
        <v>81237.338635594453</v>
      </c>
      <c r="S926" s="150">
        <v>-78622.308518219448</v>
      </c>
      <c r="T926" s="50" t="s">
        <v>7175</v>
      </c>
      <c r="U926" s="50">
        <v>-7.5530073549466732E-4</v>
      </c>
      <c r="V926" s="50">
        <v>0.9900000000000001</v>
      </c>
      <c r="W926" s="50">
        <v>0.89224491097845549</v>
      </c>
      <c r="X926" s="50" t="s">
        <v>7162</v>
      </c>
      <c r="Y926" s="50">
        <v>0.32</v>
      </c>
    </row>
    <row r="927" spans="2:25" x14ac:dyDescent="0.2">
      <c r="B927" s="50" t="s">
        <v>9</v>
      </c>
      <c r="C927" s="50" t="s">
        <v>754</v>
      </c>
      <c r="D927" s="50"/>
      <c r="E927" s="50"/>
      <c r="F927" s="51" t="s">
        <v>528</v>
      </c>
      <c r="G927" s="50" t="s">
        <v>527</v>
      </c>
      <c r="H927" s="50" t="s">
        <v>23</v>
      </c>
      <c r="I927" s="50" t="s">
        <v>1120</v>
      </c>
      <c r="J927" s="50" t="s">
        <v>543</v>
      </c>
      <c r="K927" s="50" t="s">
        <v>7174</v>
      </c>
      <c r="L927" s="50">
        <v>36</v>
      </c>
      <c r="M927" s="50">
        <v>0</v>
      </c>
      <c r="N927" s="50">
        <v>0.86</v>
      </c>
      <c r="O927" s="150">
        <v>0</v>
      </c>
      <c r="P927" s="150">
        <v>26280</v>
      </c>
      <c r="Q927" s="150">
        <v>-26280</v>
      </c>
      <c r="R927" s="150">
        <v>52610</v>
      </c>
      <c r="S927" s="150">
        <v>-78890</v>
      </c>
      <c r="T927" s="50" t="s">
        <v>7175</v>
      </c>
      <c r="U927" s="50">
        <v>-7.5787236658621249E-4</v>
      </c>
      <c r="V927" s="50">
        <v>1</v>
      </c>
      <c r="W927" s="50">
        <v>0.89148703861186929</v>
      </c>
      <c r="X927" s="50" t="s">
        <v>7162</v>
      </c>
      <c r="Y927" s="50">
        <v>0.32</v>
      </c>
    </row>
    <row r="928" spans="2:25" x14ac:dyDescent="0.2">
      <c r="B928" s="50" t="s">
        <v>9</v>
      </c>
      <c r="C928" s="50" t="s">
        <v>984</v>
      </c>
      <c r="D928" s="50"/>
      <c r="E928" s="50"/>
      <c r="F928" s="51" t="s">
        <v>528</v>
      </c>
      <c r="G928" s="50" t="s">
        <v>527</v>
      </c>
      <c r="H928" s="50" t="s">
        <v>23</v>
      </c>
      <c r="I928" s="50" t="s">
        <v>1120</v>
      </c>
      <c r="J928" s="50" t="s">
        <v>543</v>
      </c>
      <c r="K928" s="50" t="s">
        <v>7174</v>
      </c>
      <c r="L928" s="50">
        <v>60</v>
      </c>
      <c r="M928" s="50">
        <v>0.6</v>
      </c>
      <c r="N928" s="50">
        <v>1.3394495412844036</v>
      </c>
      <c r="O928" s="150">
        <v>47012.106671249996</v>
      </c>
      <c r="P928" s="150">
        <v>45098.67</v>
      </c>
      <c r="Q928" s="150">
        <v>1913.4366712499977</v>
      </c>
      <c r="R928" s="150">
        <v>81940.046938340092</v>
      </c>
      <c r="S928" s="150">
        <v>-80026.610267090087</v>
      </c>
      <c r="T928" s="50" t="s">
        <v>7175</v>
      </c>
      <c r="U928" s="50">
        <v>-7.687914376092287E-4</v>
      </c>
      <c r="V928" s="50">
        <v>0.99</v>
      </c>
      <c r="W928" s="50">
        <v>0.89071824717426007</v>
      </c>
      <c r="X928" s="50" t="s">
        <v>7163</v>
      </c>
      <c r="Y928" s="50">
        <v>0.32</v>
      </c>
    </row>
    <row r="929" spans="2:25" x14ac:dyDescent="0.2">
      <c r="B929" s="50" t="s">
        <v>9</v>
      </c>
      <c r="C929" s="50" t="s">
        <v>553</v>
      </c>
      <c r="D929" s="50"/>
      <c r="E929" s="50"/>
      <c r="F929" s="51" t="s">
        <v>528</v>
      </c>
      <c r="G929" s="50" t="s">
        <v>527</v>
      </c>
      <c r="H929" s="50" t="s">
        <v>23</v>
      </c>
      <c r="I929" s="50">
        <v>0</v>
      </c>
      <c r="J929" s="50" t="s">
        <v>543</v>
      </c>
      <c r="K929" s="50" t="s">
        <v>7174</v>
      </c>
      <c r="L929" s="50">
        <v>29</v>
      </c>
      <c r="M929" s="50">
        <v>0</v>
      </c>
      <c r="N929" s="50">
        <v>0.86</v>
      </c>
      <c r="O929" s="150">
        <v>0</v>
      </c>
      <c r="P929" s="150">
        <v>21170</v>
      </c>
      <c r="Q929" s="150">
        <v>-21170</v>
      </c>
      <c r="R929" s="150">
        <v>59070</v>
      </c>
      <c r="S929" s="150">
        <v>-80240</v>
      </c>
      <c r="T929" s="50" t="s">
        <v>7175</v>
      </c>
      <c r="U929" s="50">
        <v>-7.7084140822509433E-4</v>
      </c>
      <c r="V929" s="50">
        <v>1</v>
      </c>
      <c r="W929" s="50">
        <v>0.88994740576603493</v>
      </c>
      <c r="X929" s="50" t="s">
        <v>7161</v>
      </c>
      <c r="Y929" s="50">
        <v>0.32</v>
      </c>
    </row>
    <row r="930" spans="2:25" x14ac:dyDescent="0.2">
      <c r="B930" s="50" t="s">
        <v>9</v>
      </c>
      <c r="C930" s="50" t="s">
        <v>641</v>
      </c>
      <c r="D930" s="50"/>
      <c r="E930" s="50"/>
      <c r="F930" s="51" t="s">
        <v>528</v>
      </c>
      <c r="G930" s="50" t="s">
        <v>527</v>
      </c>
      <c r="H930" s="50" t="s">
        <v>535</v>
      </c>
      <c r="I930" s="50">
        <v>0</v>
      </c>
      <c r="J930" s="50" t="s">
        <v>536</v>
      </c>
      <c r="K930" s="50" t="s">
        <v>7174</v>
      </c>
      <c r="L930" s="50">
        <v>61</v>
      </c>
      <c r="M930" s="50">
        <v>0.30499999999999999</v>
      </c>
      <c r="N930" s="50">
        <v>0.86</v>
      </c>
      <c r="O930" s="150">
        <v>23897.820891218747</v>
      </c>
      <c r="P930" s="150">
        <v>45190.157249999997</v>
      </c>
      <c r="Q930" s="150">
        <v>-21292.336358781249</v>
      </c>
      <c r="R930" s="150">
        <v>59070</v>
      </c>
      <c r="S930" s="150">
        <v>-80362.336358781249</v>
      </c>
      <c r="T930" s="50" t="s">
        <v>7175</v>
      </c>
      <c r="U930" s="50">
        <v>-7.7201665661841517E-4</v>
      </c>
      <c r="V930" s="50">
        <v>0.995</v>
      </c>
      <c r="W930" s="50">
        <v>0.88917538910941651</v>
      </c>
      <c r="X930" s="50" t="s">
        <v>7161</v>
      </c>
      <c r="Y930" s="50">
        <v>0.32</v>
      </c>
    </row>
    <row r="931" spans="2:25" x14ac:dyDescent="0.2">
      <c r="B931" s="50" t="s">
        <v>9</v>
      </c>
      <c r="C931" s="50" t="s">
        <v>840</v>
      </c>
      <c r="D931" s="50"/>
      <c r="E931" s="50"/>
      <c r="F931" s="51" t="s">
        <v>528</v>
      </c>
      <c r="G931" s="50" t="s">
        <v>527</v>
      </c>
      <c r="H931" s="50" t="s">
        <v>10</v>
      </c>
      <c r="I931" s="50" t="s">
        <v>1120</v>
      </c>
      <c r="J931" s="50" t="s">
        <v>529</v>
      </c>
      <c r="K931" s="50" t="s">
        <v>7174</v>
      </c>
      <c r="L931" s="50">
        <v>115</v>
      </c>
      <c r="M931" s="50">
        <v>1.1499999999999999</v>
      </c>
      <c r="N931" s="50">
        <v>1.4202334630350195</v>
      </c>
      <c r="O931" s="150">
        <v>90106.537786562491</v>
      </c>
      <c r="P931" s="150">
        <v>86439.117500000008</v>
      </c>
      <c r="Q931" s="150">
        <v>3667.4202865624829</v>
      </c>
      <c r="R931" s="150">
        <v>86881.95638403765</v>
      </c>
      <c r="S931" s="150">
        <v>-83214.536097475167</v>
      </c>
      <c r="T931" s="50" t="s">
        <v>7175</v>
      </c>
      <c r="U931" s="50">
        <v>-7.9941687674695537E-4</v>
      </c>
      <c r="V931" s="50">
        <v>0.99</v>
      </c>
      <c r="W931" s="50">
        <v>0.88837597223266951</v>
      </c>
      <c r="X931" s="50" t="s">
        <v>7162</v>
      </c>
      <c r="Y931" s="50">
        <v>0.32</v>
      </c>
    </row>
    <row r="932" spans="2:25" x14ac:dyDescent="0.2">
      <c r="B932" s="50" t="s">
        <v>9</v>
      </c>
      <c r="C932" s="50" t="s">
        <v>831</v>
      </c>
      <c r="D932" s="50"/>
      <c r="E932" s="50"/>
      <c r="F932" s="51" t="s">
        <v>528</v>
      </c>
      <c r="G932" s="50" t="s">
        <v>527</v>
      </c>
      <c r="H932" s="50" t="s">
        <v>10</v>
      </c>
      <c r="I932" s="50" t="s">
        <v>1120</v>
      </c>
      <c r="J932" s="50" t="s">
        <v>529</v>
      </c>
      <c r="K932" s="50" t="s">
        <v>7174</v>
      </c>
      <c r="L932" s="50">
        <v>90</v>
      </c>
      <c r="M932" s="50">
        <v>0.45</v>
      </c>
      <c r="N932" s="50">
        <v>0.86</v>
      </c>
      <c r="O932" s="150">
        <v>35259.080003437499</v>
      </c>
      <c r="P932" s="150">
        <v>66674.002500000002</v>
      </c>
      <c r="Q932" s="150">
        <v>-31414.922496562504</v>
      </c>
      <c r="R932" s="150">
        <v>52610</v>
      </c>
      <c r="S932" s="150">
        <v>-84024.922496562504</v>
      </c>
      <c r="T932" s="50" t="s">
        <v>7175</v>
      </c>
      <c r="U932" s="50">
        <v>-8.0720201374943478E-4</v>
      </c>
      <c r="V932" s="50">
        <v>0.995</v>
      </c>
      <c r="W932" s="50">
        <v>0.88756877021892011</v>
      </c>
      <c r="X932" s="50" t="s">
        <v>7159</v>
      </c>
      <c r="Y932" s="50">
        <v>0.32</v>
      </c>
    </row>
    <row r="933" spans="2:25" x14ac:dyDescent="0.2">
      <c r="B933" s="50" t="s">
        <v>9</v>
      </c>
      <c r="C933" s="50" t="s">
        <v>547</v>
      </c>
      <c r="D933" s="50"/>
      <c r="E933" s="50"/>
      <c r="F933" s="51" t="s">
        <v>528</v>
      </c>
      <c r="G933" s="50" t="s">
        <v>527</v>
      </c>
      <c r="H933" s="50" t="s">
        <v>10</v>
      </c>
      <c r="I933" s="50" t="s">
        <v>1120</v>
      </c>
      <c r="J933" s="50" t="s">
        <v>529</v>
      </c>
      <c r="K933" s="50" t="s">
        <v>7174</v>
      </c>
      <c r="L933" s="50">
        <v>44</v>
      </c>
      <c r="M933" s="50">
        <v>0</v>
      </c>
      <c r="N933" s="50">
        <v>0.86</v>
      </c>
      <c r="O933" s="150">
        <v>0</v>
      </c>
      <c r="P933" s="150">
        <v>32120</v>
      </c>
      <c r="Q933" s="150">
        <v>-32120</v>
      </c>
      <c r="R933" s="150">
        <v>52610</v>
      </c>
      <c r="S933" s="150">
        <v>-84730</v>
      </c>
      <c r="T933" s="50" t="s">
        <v>7175</v>
      </c>
      <c r="U933" s="50">
        <v>-8.1397548004626423E-4</v>
      </c>
      <c r="V933" s="50">
        <v>1</v>
      </c>
      <c r="W933" s="50">
        <v>0.88675479473887386</v>
      </c>
      <c r="X933" s="50" t="s">
        <v>7161</v>
      </c>
      <c r="Y933" s="50">
        <v>0.32</v>
      </c>
    </row>
    <row r="934" spans="2:25" x14ac:dyDescent="0.2">
      <c r="B934" s="50" t="s">
        <v>9</v>
      </c>
      <c r="C934" s="50" t="s">
        <v>654</v>
      </c>
      <c r="D934" s="50"/>
      <c r="E934" s="50"/>
      <c r="F934" s="51" t="s">
        <v>528</v>
      </c>
      <c r="G934" s="50" t="s">
        <v>527</v>
      </c>
      <c r="H934" s="50" t="s">
        <v>10</v>
      </c>
      <c r="I934" s="50" t="s">
        <v>1120</v>
      </c>
      <c r="J934" s="50" t="s">
        <v>529</v>
      </c>
      <c r="K934" s="50" t="s">
        <v>7174</v>
      </c>
      <c r="L934" s="50">
        <v>120</v>
      </c>
      <c r="M934" s="50">
        <v>1.2</v>
      </c>
      <c r="N934" s="50">
        <v>1.5314685314685315</v>
      </c>
      <c r="O934" s="150">
        <v>94024.213342499992</v>
      </c>
      <c r="P934" s="150">
        <v>90197.34</v>
      </c>
      <c r="Q934" s="150">
        <v>3826.8733424999955</v>
      </c>
      <c r="R934" s="150">
        <v>93686.697023906323</v>
      </c>
      <c r="S934" s="150">
        <v>-89859.823681406328</v>
      </c>
      <c r="T934" s="50" t="s">
        <v>7175</v>
      </c>
      <c r="U934" s="50">
        <v>-8.6325614443462026E-4</v>
      </c>
      <c r="V934" s="50">
        <v>0.99</v>
      </c>
      <c r="W934" s="50">
        <v>0.88589153859443925</v>
      </c>
      <c r="X934" s="50" t="s">
        <v>7159</v>
      </c>
      <c r="Y934" s="50">
        <v>0.32</v>
      </c>
    </row>
    <row r="935" spans="2:25" x14ac:dyDescent="0.2">
      <c r="B935" s="50" t="s">
        <v>9</v>
      </c>
      <c r="C935" s="50" t="s">
        <v>702</v>
      </c>
      <c r="D935" s="50"/>
      <c r="E935" s="50"/>
      <c r="F935" s="51" t="s">
        <v>528</v>
      </c>
      <c r="G935" s="50" t="s">
        <v>527</v>
      </c>
      <c r="H935" s="50" t="s">
        <v>10</v>
      </c>
      <c r="I935" s="50" t="s">
        <v>1120</v>
      </c>
      <c r="J935" s="50" t="s">
        <v>529</v>
      </c>
      <c r="K935" s="50" t="s">
        <v>7174</v>
      </c>
      <c r="L935" s="50">
        <v>75</v>
      </c>
      <c r="M935" s="50">
        <v>0.75</v>
      </c>
      <c r="N935" s="50">
        <v>1.5328083989501313</v>
      </c>
      <c r="O935" s="150">
        <v>58765.1333390625</v>
      </c>
      <c r="P935" s="150">
        <v>56373.337499999994</v>
      </c>
      <c r="Q935" s="150">
        <v>2391.7958390625063</v>
      </c>
      <c r="R935" s="150">
        <v>93768.662638100475</v>
      </c>
      <c r="S935" s="150">
        <v>-91376.866799037962</v>
      </c>
      <c r="T935" s="50" t="s">
        <v>7175</v>
      </c>
      <c r="U935" s="50">
        <v>-8.778299187757638E-4</v>
      </c>
      <c r="V935" s="50">
        <v>0.99</v>
      </c>
      <c r="W935" s="50">
        <v>0.88501370867566354</v>
      </c>
      <c r="X935" s="50" t="s">
        <v>7159</v>
      </c>
      <c r="Y935" s="50">
        <v>0.32</v>
      </c>
    </row>
    <row r="936" spans="2:25" x14ac:dyDescent="0.2">
      <c r="B936" s="50" t="s">
        <v>9</v>
      </c>
      <c r="C936" s="50" t="s">
        <v>714</v>
      </c>
      <c r="D936" s="50"/>
      <c r="E936" s="50"/>
      <c r="F936" s="51" t="s">
        <v>528</v>
      </c>
      <c r="G936" s="50" t="s">
        <v>527</v>
      </c>
      <c r="H936" s="50" t="s">
        <v>10</v>
      </c>
      <c r="I936" s="50" t="s">
        <v>1120</v>
      </c>
      <c r="J936" s="50" t="s">
        <v>529</v>
      </c>
      <c r="K936" s="50" t="s">
        <v>7174</v>
      </c>
      <c r="L936" s="50">
        <v>50</v>
      </c>
      <c r="M936" s="50">
        <v>0.5</v>
      </c>
      <c r="N936" s="50">
        <v>1.533027873234059</v>
      </c>
      <c r="O936" s="150">
        <v>39176.755559375</v>
      </c>
      <c r="P936" s="150">
        <v>37582.224999999999</v>
      </c>
      <c r="Q936" s="150">
        <v>1594.5305593750018</v>
      </c>
      <c r="R936" s="150">
        <v>93782.088849818421</v>
      </c>
      <c r="S936" s="150">
        <v>-92187.558290443412</v>
      </c>
      <c r="T936" s="50" t="s">
        <v>7175</v>
      </c>
      <c r="U936" s="50">
        <v>-8.8561798670785605E-4</v>
      </c>
      <c r="V936" s="50">
        <v>0.99</v>
      </c>
      <c r="W936" s="50">
        <v>0.8841280906889557</v>
      </c>
      <c r="X936" s="50" t="s">
        <v>7161</v>
      </c>
      <c r="Y936" s="50">
        <v>0.32</v>
      </c>
    </row>
    <row r="937" spans="2:25" x14ac:dyDescent="0.2">
      <c r="B937" s="50" t="s">
        <v>9</v>
      </c>
      <c r="C937" s="50" t="s">
        <v>896</v>
      </c>
      <c r="D937" s="50"/>
      <c r="E937" s="50"/>
      <c r="F937" s="51" t="s">
        <v>528</v>
      </c>
      <c r="G937" s="50" t="s">
        <v>527</v>
      </c>
      <c r="H937" s="50" t="s">
        <v>535</v>
      </c>
      <c r="I937" s="50" t="s">
        <v>1121</v>
      </c>
      <c r="J937" s="50" t="s">
        <v>536</v>
      </c>
      <c r="K937" s="50" t="s">
        <v>7174</v>
      </c>
      <c r="L937" s="50">
        <v>100</v>
      </c>
      <c r="M937" s="50">
        <v>0.5</v>
      </c>
      <c r="N937" s="50">
        <v>0.32</v>
      </c>
      <c r="O937" s="150">
        <v>39176.755559375</v>
      </c>
      <c r="P937" s="150">
        <v>74082.225000000006</v>
      </c>
      <c r="Q937" s="150">
        <v>-34905.469440625006</v>
      </c>
      <c r="R937" s="150">
        <v>59070</v>
      </c>
      <c r="S937" s="150">
        <v>-93975.469440625006</v>
      </c>
      <c r="T937" s="50" t="s">
        <v>7175</v>
      </c>
      <c r="U937" s="50">
        <v>-9.0279390830291242E-4</v>
      </c>
      <c r="V937" s="50">
        <v>0.995</v>
      </c>
      <c r="W937" s="50">
        <v>0.88322529678065276</v>
      </c>
      <c r="X937" s="50" t="s">
        <v>7159</v>
      </c>
      <c r="Y937" s="50">
        <v>0.32</v>
      </c>
    </row>
    <row r="938" spans="2:25" x14ac:dyDescent="0.2">
      <c r="B938" s="50" t="s">
        <v>9</v>
      </c>
      <c r="C938" s="50" t="s">
        <v>889</v>
      </c>
      <c r="D938" s="50"/>
      <c r="E938" s="50"/>
      <c r="F938" s="51" t="s">
        <v>528</v>
      </c>
      <c r="G938" s="50" t="s">
        <v>527</v>
      </c>
      <c r="H938" s="50" t="s">
        <v>535</v>
      </c>
      <c r="I938" s="50" t="s">
        <v>1120</v>
      </c>
      <c r="J938" s="50" t="s">
        <v>536</v>
      </c>
      <c r="K938" s="50" t="s">
        <v>7174</v>
      </c>
      <c r="L938" s="50">
        <v>119</v>
      </c>
      <c r="M938" s="50">
        <v>0.59499999999999997</v>
      </c>
      <c r="N938" s="50">
        <v>0.86</v>
      </c>
      <c r="O938" s="150">
        <v>46620.339115656236</v>
      </c>
      <c r="P938" s="150">
        <v>88157.847750000001</v>
      </c>
      <c r="Q938" s="150">
        <v>-41537.508634343765</v>
      </c>
      <c r="R938" s="150">
        <v>52610</v>
      </c>
      <c r="S938" s="150">
        <v>-94147.508634343772</v>
      </c>
      <c r="T938" s="50" t="s">
        <v>7175</v>
      </c>
      <c r="U938" s="50">
        <v>-9.0444663679688155E-4</v>
      </c>
      <c r="V938" s="50">
        <v>0.995</v>
      </c>
      <c r="W938" s="50">
        <v>0.88232085014385586</v>
      </c>
      <c r="X938" s="50" t="s">
        <v>7162</v>
      </c>
      <c r="Y938" s="50">
        <v>0.32</v>
      </c>
    </row>
    <row r="939" spans="2:25" x14ac:dyDescent="0.2">
      <c r="B939" s="50" t="s">
        <v>9</v>
      </c>
      <c r="C939" s="50" t="s">
        <v>975</v>
      </c>
      <c r="D939" s="50"/>
      <c r="E939" s="50"/>
      <c r="F939" s="51" t="s">
        <v>528</v>
      </c>
      <c r="G939" s="50" t="s">
        <v>527</v>
      </c>
      <c r="H939" s="50" t="s">
        <v>621</v>
      </c>
      <c r="I939" s="50" t="s">
        <v>1120</v>
      </c>
      <c r="J939" s="50" t="s">
        <v>622</v>
      </c>
      <c r="K939" s="50" t="s">
        <v>7174</v>
      </c>
      <c r="L939" s="50">
        <v>57</v>
      </c>
      <c r="M939" s="50">
        <v>0</v>
      </c>
      <c r="N939" s="50">
        <v>0.86</v>
      </c>
      <c r="O939" s="150">
        <v>0</v>
      </c>
      <c r="P939" s="150">
        <v>41610</v>
      </c>
      <c r="Q939" s="150">
        <v>-41610</v>
      </c>
      <c r="R939" s="150">
        <v>52610</v>
      </c>
      <c r="S939" s="150">
        <v>-94220</v>
      </c>
      <c r="T939" s="50" t="s">
        <v>7175</v>
      </c>
      <c r="U939" s="50">
        <v>-9.0514303941884825E-4</v>
      </c>
      <c r="V939" s="50">
        <v>1</v>
      </c>
      <c r="W939" s="50">
        <v>0.88141570710443706</v>
      </c>
      <c r="X939" s="50" t="s">
        <v>7159</v>
      </c>
      <c r="Y939" s="50">
        <v>0.32</v>
      </c>
    </row>
    <row r="940" spans="2:25" x14ac:dyDescent="0.2">
      <c r="B940" s="50" t="s">
        <v>9</v>
      </c>
      <c r="C940" s="50" t="s">
        <v>1065</v>
      </c>
      <c r="D940" s="50"/>
      <c r="E940" s="50"/>
      <c r="F940" s="51" t="s">
        <v>528</v>
      </c>
      <c r="G940" s="50" t="s">
        <v>527</v>
      </c>
      <c r="H940" s="50" t="s">
        <v>535</v>
      </c>
      <c r="I940" s="50" t="s">
        <v>1120</v>
      </c>
      <c r="J940" s="50" t="s">
        <v>536</v>
      </c>
      <c r="K940" s="50" t="s">
        <v>7174</v>
      </c>
      <c r="L940" s="50">
        <v>135</v>
      </c>
      <c r="M940" s="50">
        <v>0.67500000000000004</v>
      </c>
      <c r="N940" s="50">
        <v>0.86</v>
      </c>
      <c r="O940" s="150">
        <v>52888.620005156248</v>
      </c>
      <c r="P940" s="150">
        <v>100011.00375</v>
      </c>
      <c r="Q940" s="150">
        <v>-47122.383744843755</v>
      </c>
      <c r="R940" s="150">
        <v>52610</v>
      </c>
      <c r="S940" s="150">
        <v>-99732.383744843755</v>
      </c>
      <c r="T940" s="50" t="s">
        <v>7175</v>
      </c>
      <c r="U940" s="50">
        <v>-9.5809884261616228E-4</v>
      </c>
      <c r="V940" s="50">
        <v>0.99499999999999988</v>
      </c>
      <c r="W940" s="50">
        <v>0.88045760826182085</v>
      </c>
      <c r="X940" s="50" t="s">
        <v>7159</v>
      </c>
      <c r="Y940" s="50">
        <v>0.32</v>
      </c>
    </row>
    <row r="941" spans="2:25" x14ac:dyDescent="0.2">
      <c r="B941" s="50" t="s">
        <v>9</v>
      </c>
      <c r="C941" s="50" t="s">
        <v>879</v>
      </c>
      <c r="D941" s="50"/>
      <c r="E941" s="50"/>
      <c r="F941" s="51" t="s">
        <v>528</v>
      </c>
      <c r="G941" s="50" t="s">
        <v>527</v>
      </c>
      <c r="H941" s="50" t="s">
        <v>10</v>
      </c>
      <c r="I941" s="50">
        <v>0</v>
      </c>
      <c r="J941" s="50" t="s">
        <v>529</v>
      </c>
      <c r="K941" s="50" t="s">
        <v>7174</v>
      </c>
      <c r="L941" s="50">
        <v>63.1</v>
      </c>
      <c r="M941" s="50">
        <v>6.3100000000000003E-2</v>
      </c>
      <c r="N941" s="50">
        <v>0.86</v>
      </c>
      <c r="O941" s="150">
        <v>4944.106551593125</v>
      </c>
      <c r="P941" s="150">
        <v>46199.576795000001</v>
      </c>
      <c r="Q941" s="150">
        <v>-41255.470243406875</v>
      </c>
      <c r="R941" s="150">
        <v>59070</v>
      </c>
      <c r="S941" s="150">
        <v>-100325.47024340687</v>
      </c>
      <c r="T941" s="50" t="s">
        <v>7175</v>
      </c>
      <c r="U941" s="50">
        <v>-9.6379644520529098E-4</v>
      </c>
      <c r="V941" s="50">
        <v>0.999</v>
      </c>
      <c r="W941" s="50">
        <v>0.87949381181661557</v>
      </c>
      <c r="X941" s="50" t="s">
        <v>7162</v>
      </c>
      <c r="Y941" s="50">
        <v>0.32</v>
      </c>
    </row>
    <row r="942" spans="2:25" x14ac:dyDescent="0.2">
      <c r="B942" s="50" t="s">
        <v>9</v>
      </c>
      <c r="C942" s="50" t="s">
        <v>711</v>
      </c>
      <c r="D942" s="50"/>
      <c r="E942" s="50"/>
      <c r="F942" s="51" t="s">
        <v>528</v>
      </c>
      <c r="G942" s="50" t="s">
        <v>527</v>
      </c>
      <c r="H942" s="50" t="s">
        <v>10</v>
      </c>
      <c r="I942" s="50" t="s">
        <v>1120</v>
      </c>
      <c r="J942" s="50" t="s">
        <v>529</v>
      </c>
      <c r="K942" s="50" t="s">
        <v>7174</v>
      </c>
      <c r="L942" s="50">
        <v>87</v>
      </c>
      <c r="M942" s="50">
        <v>0.87</v>
      </c>
      <c r="N942" s="50">
        <v>1.6898148148148147</v>
      </c>
      <c r="O942" s="150">
        <v>68167.554673312494</v>
      </c>
      <c r="P942" s="150">
        <v>65393.071499999998</v>
      </c>
      <c r="Q942" s="150">
        <v>2774.4831733124956</v>
      </c>
      <c r="R942" s="150">
        <v>103373.43884582256</v>
      </c>
      <c r="S942" s="150">
        <v>-100598.95567251006</v>
      </c>
      <c r="T942" s="50" t="s">
        <v>7175</v>
      </c>
      <c r="U942" s="50">
        <v>-9.6642373699615518E-4</v>
      </c>
      <c r="V942" s="50">
        <v>0.99</v>
      </c>
      <c r="W942" s="50">
        <v>0.87852738807961939</v>
      </c>
      <c r="X942" s="50" t="s">
        <v>7161</v>
      </c>
      <c r="Y942" s="50">
        <v>0.32</v>
      </c>
    </row>
    <row r="943" spans="2:25" x14ac:dyDescent="0.2">
      <c r="B943" s="50" t="s">
        <v>9</v>
      </c>
      <c r="C943" s="50" t="s">
        <v>1247</v>
      </c>
      <c r="D943" s="50"/>
      <c r="E943" s="50"/>
      <c r="F943" s="51" t="s">
        <v>528</v>
      </c>
      <c r="G943" s="50" t="s">
        <v>527</v>
      </c>
      <c r="H943" s="50" t="s">
        <v>23</v>
      </c>
      <c r="I943" s="50" t="s">
        <v>1120</v>
      </c>
      <c r="J943" s="50" t="s">
        <v>543</v>
      </c>
      <c r="K943" s="50" t="s">
        <v>7174</v>
      </c>
      <c r="L943" s="50">
        <v>67</v>
      </c>
      <c r="M943" s="50">
        <v>0</v>
      </c>
      <c r="N943" s="50">
        <v>0.86</v>
      </c>
      <c r="O943" s="150">
        <v>0</v>
      </c>
      <c r="P943" s="150">
        <v>48910</v>
      </c>
      <c r="Q943" s="150">
        <v>-48910</v>
      </c>
      <c r="R943" s="150">
        <v>52610</v>
      </c>
      <c r="S943" s="150">
        <v>-101520</v>
      </c>
      <c r="T943" s="50" t="s">
        <v>7175</v>
      </c>
      <c r="U943" s="50">
        <v>-9.7527193124391292E-4</v>
      </c>
      <c r="V943" s="50">
        <v>1</v>
      </c>
      <c r="W943" s="50">
        <v>0.87755211614837547</v>
      </c>
      <c r="X943" s="50" t="s">
        <v>7163</v>
      </c>
      <c r="Y943" s="50">
        <v>0.32</v>
      </c>
    </row>
    <row r="944" spans="2:25" x14ac:dyDescent="0.2">
      <c r="B944" s="50" t="s">
        <v>9</v>
      </c>
      <c r="C944" s="50" t="s">
        <v>835</v>
      </c>
      <c r="D944" s="50"/>
      <c r="E944" s="50"/>
      <c r="F944" s="51" t="s">
        <v>528</v>
      </c>
      <c r="G944" s="50" t="s">
        <v>527</v>
      </c>
      <c r="H944" s="50" t="s">
        <v>23</v>
      </c>
      <c r="I944" s="50" t="s">
        <v>1120</v>
      </c>
      <c r="J944" s="50" t="s">
        <v>543</v>
      </c>
      <c r="K944" s="50" t="s">
        <v>7174</v>
      </c>
      <c r="L944" s="50">
        <v>68</v>
      </c>
      <c r="M944" s="50">
        <v>0</v>
      </c>
      <c r="N944" s="50">
        <v>0.86</v>
      </c>
      <c r="O944" s="150">
        <v>0</v>
      </c>
      <c r="P944" s="150">
        <v>49640</v>
      </c>
      <c r="Q944" s="150">
        <v>-49640</v>
      </c>
      <c r="R944" s="150">
        <v>52610</v>
      </c>
      <c r="S944" s="150">
        <v>-102250</v>
      </c>
      <c r="T944" s="50" t="s">
        <v>7175</v>
      </c>
      <c r="U944" s="50">
        <v>-9.8228482042641944E-4</v>
      </c>
      <c r="V944" s="50">
        <v>1</v>
      </c>
      <c r="W944" s="50">
        <v>0.87656983132794908</v>
      </c>
      <c r="X944" s="50" t="s">
        <v>7162</v>
      </c>
      <c r="Y944" s="50">
        <v>0.32</v>
      </c>
    </row>
    <row r="945" spans="2:25" x14ac:dyDescent="0.2">
      <c r="B945" s="50" t="s">
        <v>9</v>
      </c>
      <c r="C945" s="50" t="s">
        <v>833</v>
      </c>
      <c r="D945" s="50"/>
      <c r="E945" s="50"/>
      <c r="F945" s="51" t="s">
        <v>528</v>
      </c>
      <c r="G945" s="50" t="s">
        <v>527</v>
      </c>
      <c r="H945" s="50" t="s">
        <v>10</v>
      </c>
      <c r="I945" s="50">
        <v>0</v>
      </c>
      <c r="J945" s="50" t="s">
        <v>529</v>
      </c>
      <c r="K945" s="50" t="s">
        <v>7174</v>
      </c>
      <c r="L945" s="50">
        <v>124</v>
      </c>
      <c r="M945" s="50">
        <v>0.62</v>
      </c>
      <c r="N945" s="50">
        <v>0.45271317829457369</v>
      </c>
      <c r="O945" s="150">
        <v>48579.176893624994</v>
      </c>
      <c r="P945" s="150">
        <v>91861.959000000003</v>
      </c>
      <c r="Q945" s="150">
        <v>-43282.782106375009</v>
      </c>
      <c r="R945" s="150">
        <v>59070</v>
      </c>
      <c r="S945" s="150">
        <v>-102352.782106375</v>
      </c>
      <c r="T945" s="50" t="s">
        <v>7175</v>
      </c>
      <c r="U945" s="50">
        <v>-9.8327221703183379E-4</v>
      </c>
      <c r="V945" s="50">
        <v>0.995</v>
      </c>
      <c r="W945" s="50">
        <v>0.87558655911091721</v>
      </c>
      <c r="X945" s="50" t="s">
        <v>7161</v>
      </c>
      <c r="Y945" s="50">
        <v>0.32</v>
      </c>
    </row>
    <row r="946" spans="2:25" x14ac:dyDescent="0.2">
      <c r="B946" s="50" t="s">
        <v>9</v>
      </c>
      <c r="C946" s="50" t="s">
        <v>876</v>
      </c>
      <c r="D946" s="50"/>
      <c r="E946" s="50"/>
      <c r="F946" s="51" t="s">
        <v>528</v>
      </c>
      <c r="G946" s="50" t="s">
        <v>527</v>
      </c>
      <c r="H946" s="50" t="s">
        <v>10</v>
      </c>
      <c r="I946" s="50" t="s">
        <v>1121</v>
      </c>
      <c r="J946" s="50" t="s">
        <v>529</v>
      </c>
      <c r="K946" s="50" t="s">
        <v>7174</v>
      </c>
      <c r="L946" s="50">
        <v>61.6</v>
      </c>
      <c r="M946" s="50">
        <v>0</v>
      </c>
      <c r="N946" s="50">
        <v>0.32</v>
      </c>
      <c r="O946" s="150">
        <v>0</v>
      </c>
      <c r="P946" s="150">
        <v>44968</v>
      </c>
      <c r="Q946" s="150">
        <v>-44968</v>
      </c>
      <c r="R946" s="150">
        <v>59070</v>
      </c>
      <c r="S946" s="150">
        <v>-104038</v>
      </c>
      <c r="T946" s="50" t="s">
        <v>7175</v>
      </c>
      <c r="U946" s="50">
        <v>-9.9946159557480507E-4</v>
      </c>
      <c r="V946" s="50">
        <v>1</v>
      </c>
      <c r="W946" s="50">
        <v>0.87458709751534236</v>
      </c>
      <c r="X946" s="50" t="s">
        <v>7162</v>
      </c>
      <c r="Y946" s="50">
        <v>0.32</v>
      </c>
    </row>
    <row r="947" spans="2:25" x14ac:dyDescent="0.2">
      <c r="B947" s="50" t="s">
        <v>9</v>
      </c>
      <c r="C947" s="50" t="s">
        <v>555</v>
      </c>
      <c r="D947" s="50"/>
      <c r="E947" s="50"/>
      <c r="F947" s="51" t="s">
        <v>528</v>
      </c>
      <c r="G947" s="50" t="s">
        <v>527</v>
      </c>
      <c r="H947" s="50" t="s">
        <v>10</v>
      </c>
      <c r="I947" s="50" t="s">
        <v>1120</v>
      </c>
      <c r="J947" s="50" t="s">
        <v>529</v>
      </c>
      <c r="K947" s="50" t="s">
        <v>7174</v>
      </c>
      <c r="L947" s="50">
        <v>70.5</v>
      </c>
      <c r="M947" s="50">
        <v>0</v>
      </c>
      <c r="N947" s="50">
        <v>0.86</v>
      </c>
      <c r="O947" s="150">
        <v>0</v>
      </c>
      <c r="P947" s="150">
        <v>51465</v>
      </c>
      <c r="Q947" s="150">
        <v>-51465</v>
      </c>
      <c r="R947" s="150">
        <v>52610</v>
      </c>
      <c r="S947" s="150">
        <v>-104075</v>
      </c>
      <c r="T947" s="50" t="s">
        <v>7175</v>
      </c>
      <c r="U947" s="50">
        <v>-9.9981704338268553E-4</v>
      </c>
      <c r="V947" s="50">
        <v>1</v>
      </c>
      <c r="W947" s="50">
        <v>0.87358728047195966</v>
      </c>
      <c r="X947" s="50" t="s">
        <v>7161</v>
      </c>
      <c r="Y947" s="50">
        <v>0.32</v>
      </c>
    </row>
    <row r="948" spans="2:25" x14ac:dyDescent="0.2">
      <c r="B948" s="50" t="s">
        <v>9</v>
      </c>
      <c r="C948" s="50" t="s">
        <v>443</v>
      </c>
      <c r="D948" s="50"/>
      <c r="E948" s="50"/>
      <c r="F948" s="51" t="s">
        <v>528</v>
      </c>
      <c r="G948" s="50" t="s">
        <v>527</v>
      </c>
      <c r="H948" s="50" t="s">
        <v>19</v>
      </c>
      <c r="I948" s="50" t="s">
        <v>1120</v>
      </c>
      <c r="J948" s="50" t="s">
        <v>20</v>
      </c>
      <c r="K948" s="50" t="s">
        <v>7174</v>
      </c>
      <c r="L948" s="50">
        <v>75</v>
      </c>
      <c r="M948" s="50">
        <v>0.75</v>
      </c>
      <c r="N948" s="50">
        <v>1.7576243980738362</v>
      </c>
      <c r="O948" s="150">
        <v>58765.1333390625</v>
      </c>
      <c r="P948" s="150">
        <v>56373.337499999994</v>
      </c>
      <c r="Q948" s="150">
        <v>2391.7958390625063</v>
      </c>
      <c r="R948" s="150">
        <v>107521.65067751688</v>
      </c>
      <c r="S948" s="150">
        <v>-105129.85483845437</v>
      </c>
      <c r="T948" s="50" t="s">
        <v>7175</v>
      </c>
      <c r="U948" s="50">
        <v>-1.009950714732975E-3</v>
      </c>
      <c r="V948" s="50">
        <v>0.99</v>
      </c>
      <c r="W948" s="50">
        <v>0.87257732975722668</v>
      </c>
      <c r="X948" s="50" t="s">
        <v>7160</v>
      </c>
      <c r="Y948" s="50">
        <v>0.32</v>
      </c>
    </row>
    <row r="949" spans="2:25" x14ac:dyDescent="0.2">
      <c r="B949" s="50" t="s">
        <v>9</v>
      </c>
      <c r="C949" s="50" t="s">
        <v>716</v>
      </c>
      <c r="D949" s="50"/>
      <c r="E949" s="50"/>
      <c r="F949" s="51" t="s">
        <v>528</v>
      </c>
      <c r="G949" s="50" t="s">
        <v>527</v>
      </c>
      <c r="H949" s="50" t="s">
        <v>10</v>
      </c>
      <c r="I949" s="50" t="s">
        <v>1120</v>
      </c>
      <c r="J949" s="50" t="s">
        <v>529</v>
      </c>
      <c r="K949" s="50" t="s">
        <v>7174</v>
      </c>
      <c r="L949" s="50">
        <v>72</v>
      </c>
      <c r="M949" s="50">
        <v>0</v>
      </c>
      <c r="N949" s="50">
        <v>0.86</v>
      </c>
      <c r="O949" s="150">
        <v>0</v>
      </c>
      <c r="P949" s="150">
        <v>52560</v>
      </c>
      <c r="Q949" s="150">
        <v>-52560</v>
      </c>
      <c r="R949" s="150">
        <v>52610</v>
      </c>
      <c r="S949" s="150">
        <v>-105170</v>
      </c>
      <c r="T949" s="50" t="s">
        <v>7175</v>
      </c>
      <c r="U949" s="50">
        <v>-1.0103363771564453E-3</v>
      </c>
      <c r="V949" s="50">
        <v>1</v>
      </c>
      <c r="W949" s="50">
        <v>0.87156699338007027</v>
      </c>
      <c r="X949" s="50" t="s">
        <v>7162</v>
      </c>
      <c r="Y949" s="50">
        <v>0.32</v>
      </c>
    </row>
    <row r="950" spans="2:25" x14ac:dyDescent="0.2">
      <c r="B950" s="50" t="s">
        <v>9</v>
      </c>
      <c r="C950" s="50" t="s">
        <v>673</v>
      </c>
      <c r="D950" s="50"/>
      <c r="E950" s="50"/>
      <c r="F950" s="51" t="s">
        <v>528</v>
      </c>
      <c r="G950" s="50" t="s">
        <v>527</v>
      </c>
      <c r="H950" s="50" t="s">
        <v>10</v>
      </c>
      <c r="I950" s="50" t="s">
        <v>1120</v>
      </c>
      <c r="J950" s="50" t="s">
        <v>529</v>
      </c>
      <c r="K950" s="50" t="s">
        <v>7174</v>
      </c>
      <c r="L950" s="50">
        <v>101</v>
      </c>
      <c r="M950" s="50">
        <v>1.01</v>
      </c>
      <c r="N950" s="50">
        <v>1.8766066838046271</v>
      </c>
      <c r="O950" s="150">
        <v>79137.046229937492</v>
      </c>
      <c r="P950" s="150">
        <v>75916.094500000007</v>
      </c>
      <c r="Q950" s="150">
        <v>3220.9517299374857</v>
      </c>
      <c r="R950" s="150">
        <v>114800.3228313505</v>
      </c>
      <c r="S950" s="150">
        <v>-111579.37110141301</v>
      </c>
      <c r="T950" s="50" t="s">
        <v>7175</v>
      </c>
      <c r="U950" s="50">
        <v>-1.0719092665588683E-3</v>
      </c>
      <c r="V950" s="50">
        <v>0.99</v>
      </c>
      <c r="W950" s="50">
        <v>0.8704950841135114</v>
      </c>
      <c r="X950" s="50" t="s">
        <v>7162</v>
      </c>
      <c r="Y950" s="50">
        <v>0.32</v>
      </c>
    </row>
    <row r="951" spans="2:25" x14ac:dyDescent="0.2">
      <c r="B951" s="50" t="s">
        <v>9</v>
      </c>
      <c r="C951" s="50" t="s">
        <v>891</v>
      </c>
      <c r="D951" s="50"/>
      <c r="E951" s="50"/>
      <c r="F951" s="51" t="s">
        <v>528</v>
      </c>
      <c r="G951" s="50" t="s">
        <v>527</v>
      </c>
      <c r="H951" s="50" t="s">
        <v>531</v>
      </c>
      <c r="I951" s="50">
        <v>0</v>
      </c>
      <c r="J951" s="50" t="s">
        <v>532</v>
      </c>
      <c r="K951" s="50" t="s">
        <v>7174</v>
      </c>
      <c r="L951" s="50">
        <v>155</v>
      </c>
      <c r="M951" s="50">
        <v>0.77500000000000002</v>
      </c>
      <c r="N951" s="50">
        <v>0.86</v>
      </c>
      <c r="O951" s="150">
        <v>60723.971117031251</v>
      </c>
      <c r="P951" s="150">
        <v>114827.44875000001</v>
      </c>
      <c r="Q951" s="150">
        <v>-54103.477632968759</v>
      </c>
      <c r="R951" s="150">
        <v>59070</v>
      </c>
      <c r="S951" s="150">
        <v>-113173.47763296876</v>
      </c>
      <c r="T951" s="50" t="s">
        <v>7175</v>
      </c>
      <c r="U951" s="50">
        <v>-1.0872233658066905E-3</v>
      </c>
      <c r="V951" s="50">
        <v>0.995</v>
      </c>
      <c r="W951" s="50">
        <v>0.86940786074770471</v>
      </c>
      <c r="X951" s="50" t="s">
        <v>7159</v>
      </c>
      <c r="Y951" s="50">
        <v>0.32</v>
      </c>
    </row>
    <row r="952" spans="2:25" x14ac:dyDescent="0.2">
      <c r="B952" s="50" t="s">
        <v>9</v>
      </c>
      <c r="C952" s="50" t="s">
        <v>703</v>
      </c>
      <c r="D952" s="50"/>
      <c r="E952" s="50"/>
      <c r="F952" s="51" t="s">
        <v>528</v>
      </c>
      <c r="G952" s="50" t="s">
        <v>527</v>
      </c>
      <c r="H952" s="50" t="s">
        <v>23</v>
      </c>
      <c r="I952" s="50">
        <v>0</v>
      </c>
      <c r="J952" s="50" t="s">
        <v>543</v>
      </c>
      <c r="K952" s="50" t="s">
        <v>7174</v>
      </c>
      <c r="L952" s="50">
        <v>96.003</v>
      </c>
      <c r="M952" s="50">
        <v>0</v>
      </c>
      <c r="N952" s="50">
        <v>0.86</v>
      </c>
      <c r="O952" s="150">
        <v>0</v>
      </c>
      <c r="P952" s="150">
        <v>70082.19</v>
      </c>
      <c r="Q952" s="150">
        <v>-70082.19</v>
      </c>
      <c r="R952" s="150">
        <v>59070</v>
      </c>
      <c r="S952" s="150">
        <v>-129152.19</v>
      </c>
      <c r="T952" s="50" t="s">
        <v>7175</v>
      </c>
      <c r="U952" s="50">
        <v>-1.2407260221205751E-3</v>
      </c>
      <c r="V952" s="50">
        <v>1</v>
      </c>
      <c r="W952" s="50">
        <v>0.86816713472558416</v>
      </c>
      <c r="X952" s="50" t="s">
        <v>7163</v>
      </c>
      <c r="Y952" s="50">
        <v>0.32</v>
      </c>
    </row>
    <row r="953" spans="2:25" x14ac:dyDescent="0.2">
      <c r="B953" s="50" t="s">
        <v>9</v>
      </c>
      <c r="C953" s="50" t="s">
        <v>7184</v>
      </c>
      <c r="D953" s="50"/>
      <c r="E953" s="50"/>
      <c r="F953" s="51" t="s">
        <v>528</v>
      </c>
      <c r="G953" s="50" t="s">
        <v>527</v>
      </c>
      <c r="H953" s="50" t="s">
        <v>10</v>
      </c>
      <c r="I953" s="50" t="s">
        <v>1120</v>
      </c>
      <c r="J953" s="50" t="s">
        <v>529</v>
      </c>
      <c r="K953" s="50" t="s">
        <v>7174</v>
      </c>
      <c r="L953" s="50">
        <v>111</v>
      </c>
      <c r="M953" s="50">
        <v>0</v>
      </c>
      <c r="N953" s="50">
        <v>0.86</v>
      </c>
      <c r="O953" s="150">
        <v>0</v>
      </c>
      <c r="P953" s="150">
        <v>81030</v>
      </c>
      <c r="Q953" s="150">
        <v>-81030</v>
      </c>
      <c r="R953" s="150">
        <v>52610</v>
      </c>
      <c r="S953" s="150">
        <v>-133640</v>
      </c>
      <c r="T953" s="50" t="s">
        <v>7175</v>
      </c>
      <c r="U953" s="50">
        <v>-1.2838390552741975E-3</v>
      </c>
      <c r="V953" s="50">
        <v>1</v>
      </c>
      <c r="W953" s="50">
        <v>0.86688329567030997</v>
      </c>
      <c r="X953" s="50" t="s">
        <v>7160</v>
      </c>
      <c r="Y953" s="50">
        <v>0.32</v>
      </c>
    </row>
    <row r="954" spans="2:25" x14ac:dyDescent="0.2">
      <c r="B954" s="50" t="s">
        <v>9</v>
      </c>
      <c r="C954" s="50" t="s">
        <v>538</v>
      </c>
      <c r="D954" s="50"/>
      <c r="E954" s="50"/>
      <c r="F954" s="51" t="s">
        <v>528</v>
      </c>
      <c r="G954" s="50" t="s">
        <v>527</v>
      </c>
      <c r="H954" s="50" t="s">
        <v>535</v>
      </c>
      <c r="I954" s="50" t="s">
        <v>1120</v>
      </c>
      <c r="J954" s="50" t="s">
        <v>536</v>
      </c>
      <c r="K954" s="50" t="s">
        <v>7174</v>
      </c>
      <c r="L954" s="50">
        <v>115</v>
      </c>
      <c r="M954" s="50">
        <v>0</v>
      </c>
      <c r="N954" s="50">
        <v>0.86</v>
      </c>
      <c r="O954" s="150">
        <v>0</v>
      </c>
      <c r="P954" s="150">
        <v>83950</v>
      </c>
      <c r="Q954" s="150">
        <v>-83950</v>
      </c>
      <c r="R954" s="150">
        <v>52610</v>
      </c>
      <c r="S954" s="150">
        <v>-136560</v>
      </c>
      <c r="T954" s="50" t="s">
        <v>7175</v>
      </c>
      <c r="U954" s="50">
        <v>-1.3118906120042234E-3</v>
      </c>
      <c r="V954" s="50">
        <v>1</v>
      </c>
      <c r="W954" s="50">
        <v>0.86557140505830577</v>
      </c>
      <c r="X954" s="50" t="s">
        <v>7161</v>
      </c>
      <c r="Y954" s="50">
        <v>0.32</v>
      </c>
    </row>
    <row r="955" spans="2:25" x14ac:dyDescent="0.2">
      <c r="B955" s="50" t="s">
        <v>9</v>
      </c>
      <c r="C955" s="50" t="s">
        <v>1022</v>
      </c>
      <c r="D955" s="50"/>
      <c r="E955" s="50"/>
      <c r="F955" s="51" t="s">
        <v>528</v>
      </c>
      <c r="G955" s="50" t="s">
        <v>527</v>
      </c>
      <c r="H955" s="50" t="s">
        <v>535</v>
      </c>
      <c r="I955" s="50" t="s">
        <v>1120</v>
      </c>
      <c r="J955" s="50" t="s">
        <v>536</v>
      </c>
      <c r="K955" s="50" t="s">
        <v>7174</v>
      </c>
      <c r="L955" s="50">
        <v>128</v>
      </c>
      <c r="M955" s="50">
        <v>0</v>
      </c>
      <c r="N955" s="50">
        <v>0.86</v>
      </c>
      <c r="O955" s="150">
        <v>0</v>
      </c>
      <c r="P955" s="150">
        <v>93440</v>
      </c>
      <c r="Q955" s="150">
        <v>-93440</v>
      </c>
      <c r="R955" s="150">
        <v>52610</v>
      </c>
      <c r="S955" s="150">
        <v>-146050</v>
      </c>
      <c r="T955" s="50" t="s">
        <v>7175</v>
      </c>
      <c r="U955" s="50">
        <v>-1.4030581713768073E-3</v>
      </c>
      <c r="V955" s="50">
        <v>1</v>
      </c>
      <c r="W955" s="50">
        <v>0.86416834688692901</v>
      </c>
      <c r="X955" s="50" t="s">
        <v>7160</v>
      </c>
      <c r="Y955" s="50">
        <v>0.32</v>
      </c>
    </row>
    <row r="956" spans="2:25" x14ac:dyDescent="0.2">
      <c r="B956" s="50" t="s">
        <v>9</v>
      </c>
      <c r="C956" s="50" t="s">
        <v>1042</v>
      </c>
      <c r="D956" s="50"/>
      <c r="E956" s="50"/>
      <c r="F956" s="51" t="s">
        <v>528</v>
      </c>
      <c r="G956" s="50" t="s">
        <v>527</v>
      </c>
      <c r="H956" s="50" t="s">
        <v>23</v>
      </c>
      <c r="I956" s="50" t="s">
        <v>1120</v>
      </c>
      <c r="J956" s="50" t="s">
        <v>543</v>
      </c>
      <c r="K956" s="50" t="s">
        <v>7174</v>
      </c>
      <c r="L956" s="50">
        <v>158</v>
      </c>
      <c r="M956" s="50">
        <v>0</v>
      </c>
      <c r="N956" s="50">
        <v>0.86</v>
      </c>
      <c r="O956" s="150">
        <v>0</v>
      </c>
      <c r="P956" s="150">
        <v>115340</v>
      </c>
      <c r="Q956" s="150">
        <v>-115340</v>
      </c>
      <c r="R956" s="150">
        <v>52610</v>
      </c>
      <c r="S956" s="150">
        <v>-167950</v>
      </c>
      <c r="T956" s="50" t="s">
        <v>7175</v>
      </c>
      <c r="U956" s="50">
        <v>-1.6134448468520014E-3</v>
      </c>
      <c r="V956" s="50">
        <v>1</v>
      </c>
      <c r="W956" s="50">
        <v>0.86255490204007701</v>
      </c>
      <c r="X956" s="50" t="s">
        <v>7161</v>
      </c>
      <c r="Y956" s="50">
        <v>0.32</v>
      </c>
    </row>
    <row r="957" spans="2:25" x14ac:dyDescent="0.2">
      <c r="B957" s="50" t="s">
        <v>9</v>
      </c>
      <c r="C957" s="50" t="s">
        <v>639</v>
      </c>
      <c r="D957" s="50"/>
      <c r="E957" s="50"/>
      <c r="F957" s="51" t="s">
        <v>528</v>
      </c>
      <c r="G957" s="50" t="s">
        <v>527</v>
      </c>
      <c r="H957" s="50" t="s">
        <v>23</v>
      </c>
      <c r="I957" s="50">
        <v>0</v>
      </c>
      <c r="J957" s="50" t="s">
        <v>543</v>
      </c>
      <c r="K957" s="50" t="s">
        <v>7174</v>
      </c>
      <c r="L957" s="50">
        <v>150</v>
      </c>
      <c r="M957" s="50">
        <v>0</v>
      </c>
      <c r="N957" s="50">
        <v>0.86</v>
      </c>
      <c r="O957" s="150">
        <v>0</v>
      </c>
      <c r="P957" s="150">
        <v>109500</v>
      </c>
      <c r="Q957" s="150">
        <v>-109500</v>
      </c>
      <c r="R957" s="150">
        <v>59070</v>
      </c>
      <c r="S957" s="150">
        <v>-168570</v>
      </c>
      <c r="T957" s="50" t="s">
        <v>7175</v>
      </c>
      <c r="U957" s="50">
        <v>-1.6194009993083767E-3</v>
      </c>
      <c r="V957" s="50">
        <v>1</v>
      </c>
      <c r="W957" s="50">
        <v>0.86093550104076866</v>
      </c>
      <c r="X957" s="50" t="s">
        <v>7162</v>
      </c>
      <c r="Y957" s="50">
        <v>0.32</v>
      </c>
    </row>
    <row r="958" spans="2:25" x14ac:dyDescent="0.2">
      <c r="B958" s="50" t="s">
        <v>9</v>
      </c>
      <c r="C958" s="50" t="s">
        <v>1067</v>
      </c>
      <c r="D958" s="50"/>
      <c r="E958" s="50"/>
      <c r="F958" s="51" t="s">
        <v>528</v>
      </c>
      <c r="G958" s="50" t="s">
        <v>527</v>
      </c>
      <c r="H958" s="50" t="s">
        <v>10</v>
      </c>
      <c r="I958" s="50" t="s">
        <v>1121</v>
      </c>
      <c r="J958" s="50" t="s">
        <v>529</v>
      </c>
      <c r="K958" s="50" t="s">
        <v>7174</v>
      </c>
      <c r="L958" s="50">
        <v>130</v>
      </c>
      <c r="M958" s="50">
        <v>1.3</v>
      </c>
      <c r="N958" s="50">
        <v>1</v>
      </c>
      <c r="O958" s="150">
        <v>101859.56445437499</v>
      </c>
      <c r="P958" s="150">
        <v>97713.785000000003</v>
      </c>
      <c r="Q958" s="150">
        <v>4145.7794543749915</v>
      </c>
      <c r="R958" s="150">
        <v>184593.75</v>
      </c>
      <c r="S958" s="150">
        <v>-180447.97054562502</v>
      </c>
      <c r="T958" s="50" t="s">
        <v>7175</v>
      </c>
      <c r="U958" s="50">
        <v>-1.7335090693762455E-3</v>
      </c>
      <c r="V958" s="50">
        <v>0.98999999999999988</v>
      </c>
      <c r="W958" s="50">
        <v>0.85920199197139246</v>
      </c>
      <c r="X958" s="50" t="s">
        <v>7161</v>
      </c>
      <c r="Y958" s="50">
        <v>1</v>
      </c>
    </row>
    <row r="959" spans="2:25" x14ac:dyDescent="0.2">
      <c r="B959" s="50" t="s">
        <v>9</v>
      </c>
      <c r="C959" s="50" t="s">
        <v>1032</v>
      </c>
      <c r="D959" s="50"/>
      <c r="E959" s="50"/>
      <c r="F959" s="51" t="s">
        <v>528</v>
      </c>
      <c r="G959" s="50" t="s">
        <v>527</v>
      </c>
      <c r="H959" s="50" t="s">
        <v>23</v>
      </c>
      <c r="I959" s="50" t="s">
        <v>1121</v>
      </c>
      <c r="J959" s="50" t="s">
        <v>543</v>
      </c>
      <c r="K959" s="50" t="s">
        <v>7174</v>
      </c>
      <c r="L959" s="50">
        <v>175</v>
      </c>
      <c r="M959" s="50">
        <v>0</v>
      </c>
      <c r="N959" s="50">
        <v>0.32</v>
      </c>
      <c r="O959" s="150">
        <v>0</v>
      </c>
      <c r="P959" s="150">
        <v>127750</v>
      </c>
      <c r="Q959" s="150">
        <v>-127750</v>
      </c>
      <c r="R959" s="150">
        <v>59070</v>
      </c>
      <c r="S959" s="150">
        <v>-186820</v>
      </c>
      <c r="T959" s="50" t="s">
        <v>7175</v>
      </c>
      <c r="U959" s="50">
        <v>-1.7947232288710385E-3</v>
      </c>
      <c r="V959" s="50">
        <v>1</v>
      </c>
      <c r="W959" s="50">
        <v>0.85740726874252138</v>
      </c>
      <c r="X959" s="50" t="s">
        <v>7159</v>
      </c>
      <c r="Y959" s="50">
        <v>0.32</v>
      </c>
    </row>
    <row r="960" spans="2:25" x14ac:dyDescent="0.2">
      <c r="B960" s="50" t="s">
        <v>9</v>
      </c>
      <c r="C960" s="50" t="s">
        <v>631</v>
      </c>
      <c r="D960" s="50"/>
      <c r="E960" s="50"/>
      <c r="F960" s="51" t="s">
        <v>528</v>
      </c>
      <c r="G960" s="50" t="s">
        <v>527</v>
      </c>
      <c r="H960" s="50" t="s">
        <v>535</v>
      </c>
      <c r="I960" s="50">
        <v>0</v>
      </c>
      <c r="J960" s="50" t="s">
        <v>536</v>
      </c>
      <c r="K960" s="50" t="s">
        <v>7174</v>
      </c>
      <c r="L960" s="50">
        <v>192</v>
      </c>
      <c r="M960" s="50">
        <v>0</v>
      </c>
      <c r="N960" s="50">
        <v>0.86</v>
      </c>
      <c r="O960" s="150">
        <v>0</v>
      </c>
      <c r="P960" s="150">
        <v>140160</v>
      </c>
      <c r="Q960" s="150">
        <v>-140160</v>
      </c>
      <c r="R960" s="150">
        <v>59070</v>
      </c>
      <c r="S960" s="150">
        <v>-199230</v>
      </c>
      <c r="T960" s="50" t="s">
        <v>7175</v>
      </c>
      <c r="U960" s="50">
        <v>-1.9139423449736482E-3</v>
      </c>
      <c r="V960" s="50">
        <v>1</v>
      </c>
      <c r="W960" s="50">
        <v>0.85549332639754772</v>
      </c>
      <c r="X960" s="50" t="s">
        <v>7163</v>
      </c>
      <c r="Y960" s="50">
        <v>0.32</v>
      </c>
    </row>
    <row r="961" spans="2:25" x14ac:dyDescent="0.2">
      <c r="B961" s="50" t="s">
        <v>9</v>
      </c>
      <c r="C961" s="50" t="s">
        <v>549</v>
      </c>
      <c r="D961" s="50"/>
      <c r="E961" s="50"/>
      <c r="F961" s="51" t="s">
        <v>528</v>
      </c>
      <c r="G961" s="50" t="s">
        <v>527</v>
      </c>
      <c r="H961" s="50" t="s">
        <v>23</v>
      </c>
      <c r="I961" s="50">
        <v>0</v>
      </c>
      <c r="J961" s="50" t="s">
        <v>543</v>
      </c>
      <c r="K961" s="50" t="s">
        <v>7174</v>
      </c>
      <c r="L961" s="50">
        <v>211</v>
      </c>
      <c r="M961" s="50">
        <v>0</v>
      </c>
      <c r="N961" s="50">
        <v>0.86</v>
      </c>
      <c r="O961" s="150">
        <v>0</v>
      </c>
      <c r="P961" s="150">
        <v>154030</v>
      </c>
      <c r="Q961" s="150">
        <v>-154030</v>
      </c>
      <c r="R961" s="150">
        <v>59070</v>
      </c>
      <c r="S961" s="150">
        <v>-213100</v>
      </c>
      <c r="T961" s="50" t="s">
        <v>7175</v>
      </c>
      <c r="U961" s="50">
        <v>-2.0471872394412713E-3</v>
      </c>
      <c r="V961" s="50">
        <v>1</v>
      </c>
      <c r="W961" s="50">
        <v>0.85344613915810641</v>
      </c>
      <c r="X961" s="50" t="s">
        <v>7161</v>
      </c>
      <c r="Y961" s="50">
        <v>0.32</v>
      </c>
    </row>
    <row r="962" spans="2:25" x14ac:dyDescent="0.2">
      <c r="B962" s="50" t="s">
        <v>9</v>
      </c>
      <c r="C962" s="50" t="s">
        <v>1034</v>
      </c>
      <c r="D962" s="10"/>
      <c r="E962" s="152"/>
      <c r="F962" s="51" t="s">
        <v>528</v>
      </c>
      <c r="G962" s="50" t="s">
        <v>527</v>
      </c>
      <c r="H962" s="50" t="s">
        <v>23</v>
      </c>
      <c r="I962" s="50" t="s">
        <v>1121</v>
      </c>
      <c r="J962" s="50" t="s">
        <v>543</v>
      </c>
      <c r="K962" s="50" t="s">
        <v>7174</v>
      </c>
      <c r="L962" s="50">
        <v>321</v>
      </c>
      <c r="M962" s="50">
        <v>0</v>
      </c>
      <c r="N962" s="50">
        <v>0.32</v>
      </c>
      <c r="O962" s="150">
        <v>0</v>
      </c>
      <c r="P962" s="150">
        <v>234330</v>
      </c>
      <c r="Q962" s="150">
        <v>-234330</v>
      </c>
      <c r="R962" s="150">
        <v>59070</v>
      </c>
      <c r="S962" s="150">
        <v>-293400</v>
      </c>
      <c r="T962" s="50" t="s">
        <v>7175</v>
      </c>
      <c r="U962" s="50">
        <v>-2.8186050495169826E-3</v>
      </c>
      <c r="V962" s="50">
        <v>1</v>
      </c>
      <c r="W962" s="50">
        <v>0.85062753410858938</v>
      </c>
      <c r="X962" s="50" t="s">
        <v>7162</v>
      </c>
      <c r="Y962" s="50">
        <v>0.32</v>
      </c>
    </row>
    <row r="963" spans="2:25" x14ac:dyDescent="0.2">
      <c r="B963" s="50" t="s">
        <v>9</v>
      </c>
      <c r="C963" s="9" t="s">
        <v>7185</v>
      </c>
      <c r="D963" s="10" t="s">
        <v>1126</v>
      </c>
      <c r="E963" s="10"/>
      <c r="F963" s="9" t="s">
        <v>17</v>
      </c>
      <c r="G963" s="55" t="s">
        <v>527</v>
      </c>
      <c r="H963" s="50" t="s">
        <v>602</v>
      </c>
      <c r="I963" s="10"/>
      <c r="J963" s="50" t="s">
        <v>603</v>
      </c>
      <c r="K963" s="50"/>
      <c r="L963" s="50"/>
      <c r="M963" s="50"/>
      <c r="N963" s="50"/>
      <c r="O963" s="150"/>
      <c r="P963" s="150"/>
      <c r="Q963" s="150"/>
      <c r="R963" s="150"/>
      <c r="S963" s="150"/>
      <c r="T963" s="50"/>
      <c r="U963" s="50"/>
      <c r="V963" s="50"/>
      <c r="W963" s="50"/>
      <c r="X963" s="50"/>
      <c r="Y963" s="50"/>
    </row>
    <row r="964" spans="2:25" x14ac:dyDescent="0.2">
      <c r="B964" s="50" t="s">
        <v>9</v>
      </c>
      <c r="C964" s="9" t="s">
        <v>1139</v>
      </c>
      <c r="D964" s="10" t="s">
        <v>1141</v>
      </c>
      <c r="E964" s="10"/>
      <c r="F964" s="9" t="s">
        <v>17</v>
      </c>
      <c r="G964" s="55" t="s">
        <v>527</v>
      </c>
      <c r="H964" s="50" t="s">
        <v>602</v>
      </c>
      <c r="I964" s="10"/>
      <c r="J964" s="50" t="s">
        <v>603</v>
      </c>
      <c r="K964" s="50"/>
      <c r="L964" s="50"/>
      <c r="M964" s="50"/>
      <c r="N964" s="50"/>
      <c r="O964" s="150"/>
      <c r="P964" s="150"/>
      <c r="Q964" s="150"/>
      <c r="R964" s="150"/>
      <c r="S964" s="150"/>
      <c r="T964" s="50"/>
      <c r="U964" s="50"/>
      <c r="V964" s="50"/>
      <c r="W964" s="50"/>
      <c r="X964" s="50"/>
      <c r="Y964" s="50"/>
    </row>
    <row r="965" spans="2:25" x14ac:dyDescent="0.2">
      <c r="B965" s="50" t="s">
        <v>9</v>
      </c>
      <c r="C965" s="9" t="s">
        <v>1147</v>
      </c>
      <c r="D965" s="10" t="s">
        <v>1141</v>
      </c>
      <c r="E965" s="10"/>
      <c r="F965" s="9" t="s">
        <v>17</v>
      </c>
      <c r="G965" s="55" t="s">
        <v>527</v>
      </c>
      <c r="H965" s="50" t="s">
        <v>602</v>
      </c>
      <c r="I965" s="10"/>
      <c r="J965" s="50" t="s">
        <v>603</v>
      </c>
      <c r="K965" s="50"/>
      <c r="L965" s="50"/>
      <c r="M965" s="50"/>
      <c r="N965" s="50"/>
      <c r="O965" s="150"/>
      <c r="P965" s="150"/>
      <c r="Q965" s="150"/>
      <c r="R965" s="150"/>
      <c r="S965" s="150"/>
      <c r="T965" s="50"/>
      <c r="U965" s="50"/>
      <c r="V965" s="50"/>
      <c r="W965" s="50"/>
      <c r="X965" s="50"/>
      <c r="Y965" s="50"/>
    </row>
    <row r="966" spans="2:25" x14ac:dyDescent="0.2">
      <c r="B966" s="50" t="s">
        <v>9</v>
      </c>
      <c r="C966" s="9" t="s">
        <v>1151</v>
      </c>
      <c r="D966" s="10" t="s">
        <v>1141</v>
      </c>
      <c r="E966" s="10"/>
      <c r="F966" s="9" t="s">
        <v>17</v>
      </c>
      <c r="G966" s="55" t="s">
        <v>527</v>
      </c>
      <c r="H966" s="50" t="s">
        <v>602</v>
      </c>
      <c r="I966" s="10"/>
      <c r="J966" s="50" t="s">
        <v>603</v>
      </c>
      <c r="K966" s="50"/>
      <c r="L966" s="50"/>
      <c r="M966" s="50"/>
      <c r="N966" s="50"/>
      <c r="O966" s="150"/>
      <c r="P966" s="150"/>
      <c r="Q966" s="150"/>
      <c r="R966" s="150"/>
      <c r="S966" s="150"/>
      <c r="T966" s="50"/>
      <c r="U966" s="50"/>
      <c r="V966" s="50"/>
      <c r="W966" s="50"/>
      <c r="X966" s="50"/>
      <c r="Y966" s="50"/>
    </row>
    <row r="967" spans="2:25" x14ac:dyDescent="0.2">
      <c r="B967" s="50" t="s">
        <v>9</v>
      </c>
      <c r="C967" s="9" t="s">
        <v>1153</v>
      </c>
      <c r="D967" s="10" t="s">
        <v>1141</v>
      </c>
      <c r="E967" s="10"/>
      <c r="F967" s="9" t="s">
        <v>17</v>
      </c>
      <c r="G967" s="55" t="s">
        <v>527</v>
      </c>
      <c r="H967" s="50" t="s">
        <v>602</v>
      </c>
      <c r="I967" s="10"/>
      <c r="J967" s="50" t="s">
        <v>603</v>
      </c>
      <c r="K967" s="50"/>
      <c r="L967" s="50"/>
      <c r="M967" s="50"/>
      <c r="N967" s="50"/>
      <c r="O967" s="150"/>
      <c r="P967" s="150"/>
      <c r="Q967" s="150"/>
      <c r="R967" s="150"/>
      <c r="S967" s="150"/>
      <c r="T967" s="50"/>
      <c r="U967" s="50"/>
      <c r="V967" s="50"/>
      <c r="W967" s="50"/>
      <c r="X967" s="50"/>
      <c r="Y967" s="50"/>
    </row>
    <row r="968" spans="2:25" x14ac:dyDescent="0.2">
      <c r="B968" s="50" t="s">
        <v>9</v>
      </c>
      <c r="C968" s="9" t="s">
        <v>1154</v>
      </c>
      <c r="D968" s="10" t="s">
        <v>1141</v>
      </c>
      <c r="E968" s="10"/>
      <c r="F968" s="9" t="s">
        <v>17</v>
      </c>
      <c r="G968" s="55" t="s">
        <v>527</v>
      </c>
      <c r="H968" s="50" t="s">
        <v>602</v>
      </c>
      <c r="I968" s="10"/>
      <c r="J968" s="50" t="s">
        <v>603</v>
      </c>
      <c r="K968" s="50"/>
      <c r="L968" s="50"/>
      <c r="M968" s="50"/>
      <c r="N968" s="50"/>
      <c r="O968" s="150"/>
      <c r="P968" s="150"/>
      <c r="Q968" s="150"/>
      <c r="R968" s="150"/>
      <c r="S968" s="150"/>
      <c r="T968" s="50"/>
      <c r="U968" s="50"/>
      <c r="V968" s="50"/>
      <c r="W968" s="50"/>
      <c r="X968" s="50"/>
      <c r="Y968" s="50"/>
    </row>
    <row r="969" spans="2:25" x14ac:dyDescent="0.2">
      <c r="B969" s="50" t="s">
        <v>9</v>
      </c>
      <c r="C969" s="9" t="s">
        <v>1155</v>
      </c>
      <c r="D969" s="10" t="s">
        <v>1141</v>
      </c>
      <c r="E969" s="10"/>
      <c r="F969" s="9" t="s">
        <v>17</v>
      </c>
      <c r="G969" s="55" t="s">
        <v>527</v>
      </c>
      <c r="H969" s="50" t="s">
        <v>602</v>
      </c>
      <c r="I969" s="10"/>
      <c r="J969" s="50" t="s">
        <v>603</v>
      </c>
      <c r="K969" s="50"/>
      <c r="L969" s="50"/>
      <c r="M969" s="50"/>
      <c r="N969" s="50"/>
      <c r="O969" s="150"/>
      <c r="P969" s="150"/>
      <c r="Q969" s="150"/>
      <c r="R969" s="150"/>
      <c r="S969" s="150"/>
      <c r="T969" s="50"/>
      <c r="U969" s="50"/>
      <c r="V969" s="50"/>
      <c r="W969" s="50"/>
      <c r="X969" s="50"/>
      <c r="Y969" s="50"/>
    </row>
    <row r="970" spans="2:25" x14ac:dyDescent="0.2">
      <c r="B970" s="50" t="s">
        <v>9</v>
      </c>
      <c r="C970" s="9" t="s">
        <v>1232</v>
      </c>
      <c r="D970" s="10" t="s">
        <v>1233</v>
      </c>
      <c r="E970" s="10"/>
      <c r="F970" s="9" t="s">
        <v>17</v>
      </c>
      <c r="G970" s="55" t="s">
        <v>527</v>
      </c>
      <c r="H970" s="50" t="s">
        <v>602</v>
      </c>
      <c r="I970" s="10"/>
      <c r="J970" s="50" t="s">
        <v>603</v>
      </c>
      <c r="K970" s="50"/>
      <c r="L970" s="50"/>
      <c r="M970" s="50"/>
      <c r="N970" s="50"/>
      <c r="O970" s="150"/>
      <c r="P970" s="150"/>
      <c r="Q970" s="150"/>
      <c r="R970" s="150"/>
      <c r="S970" s="150"/>
      <c r="T970" s="50"/>
      <c r="U970" s="50"/>
      <c r="V970" s="50"/>
      <c r="W970" s="50"/>
      <c r="X970" s="50"/>
      <c r="Y970" s="50"/>
    </row>
    <row r="971" spans="2:25" x14ac:dyDescent="0.2">
      <c r="B971" s="50" t="s">
        <v>9</v>
      </c>
      <c r="C971" s="9" t="s">
        <v>1237</v>
      </c>
      <c r="D971" s="10" t="s">
        <v>1238</v>
      </c>
      <c r="E971" s="10"/>
      <c r="F971" s="9" t="s">
        <v>17</v>
      </c>
      <c r="G971" s="55" t="s">
        <v>527</v>
      </c>
      <c r="H971" s="50" t="s">
        <v>602</v>
      </c>
      <c r="I971" s="10"/>
      <c r="J971" s="50" t="s">
        <v>603</v>
      </c>
      <c r="K971" s="50"/>
      <c r="L971" s="50"/>
      <c r="M971" s="50"/>
      <c r="N971" s="50"/>
      <c r="O971" s="150"/>
      <c r="P971" s="150"/>
      <c r="Q971" s="150"/>
      <c r="R971" s="150"/>
      <c r="S971" s="150"/>
      <c r="T971" s="50"/>
      <c r="U971" s="50"/>
      <c r="V971" s="50"/>
      <c r="W971" s="50"/>
      <c r="X971" s="50"/>
      <c r="Y971" s="50"/>
    </row>
    <row r="972" spans="2:25" x14ac:dyDescent="0.2">
      <c r="B972" s="50" t="s">
        <v>9</v>
      </c>
      <c r="C972" s="9" t="s">
        <v>1239</v>
      </c>
      <c r="D972" s="10" t="s">
        <v>1241</v>
      </c>
      <c r="E972" s="10"/>
      <c r="F972" s="9" t="s">
        <v>17</v>
      </c>
      <c r="G972" s="55" t="s">
        <v>527</v>
      </c>
      <c r="H972" s="50" t="s">
        <v>602</v>
      </c>
      <c r="I972" s="10"/>
      <c r="J972" s="50" t="s">
        <v>603</v>
      </c>
      <c r="K972" s="50"/>
      <c r="L972" s="50"/>
      <c r="M972" s="50"/>
      <c r="N972" s="50"/>
      <c r="O972" s="150"/>
      <c r="P972" s="150"/>
      <c r="Q972" s="150"/>
      <c r="R972" s="150"/>
      <c r="S972" s="150"/>
      <c r="T972" s="50"/>
      <c r="U972" s="50"/>
      <c r="V972" s="50"/>
      <c r="W972" s="50"/>
      <c r="X972" s="50"/>
      <c r="Y972" s="50"/>
    </row>
    <row r="973" spans="2:25" x14ac:dyDescent="0.2">
      <c r="B973" s="50" t="s">
        <v>9</v>
      </c>
      <c r="C973" s="9" t="s">
        <v>1245</v>
      </c>
      <c r="D973" s="10" t="s">
        <v>1244</v>
      </c>
      <c r="E973" s="10"/>
      <c r="F973" s="9" t="s">
        <v>17</v>
      </c>
      <c r="G973" s="55" t="s">
        <v>527</v>
      </c>
      <c r="H973" s="50" t="s">
        <v>602</v>
      </c>
      <c r="I973" s="10"/>
      <c r="J973" s="50" t="s">
        <v>603</v>
      </c>
      <c r="K973" s="50"/>
      <c r="L973" s="50"/>
      <c r="M973" s="50"/>
      <c r="N973" s="50"/>
      <c r="O973" s="150"/>
      <c r="P973" s="150"/>
      <c r="Q973" s="150"/>
      <c r="R973" s="150"/>
      <c r="S973" s="150"/>
      <c r="T973" s="50"/>
      <c r="U973" s="50"/>
      <c r="V973" s="50"/>
      <c r="W973" s="50"/>
      <c r="X973" s="50"/>
      <c r="Y973" s="50"/>
    </row>
    <row r="974" spans="2:25" x14ac:dyDescent="0.2">
      <c r="B974" s="50" t="s">
        <v>9</v>
      </c>
      <c r="C974" s="9" t="s">
        <v>1249</v>
      </c>
      <c r="D974" s="10" t="s">
        <v>1233</v>
      </c>
      <c r="E974" s="10"/>
      <c r="F974" s="9" t="s">
        <v>17</v>
      </c>
      <c r="G974" s="55" t="s">
        <v>527</v>
      </c>
      <c r="H974" s="50" t="s">
        <v>602</v>
      </c>
      <c r="I974" s="10"/>
      <c r="J974" s="50" t="s">
        <v>603</v>
      </c>
      <c r="K974" s="50"/>
      <c r="L974" s="50"/>
      <c r="M974" s="50"/>
      <c r="N974" s="50"/>
      <c r="O974" s="150"/>
      <c r="P974" s="150"/>
      <c r="Q974" s="150"/>
      <c r="R974" s="150"/>
      <c r="S974" s="150"/>
      <c r="T974" s="50"/>
      <c r="U974" s="50"/>
      <c r="V974" s="50"/>
      <c r="W974" s="50"/>
      <c r="X974" s="50"/>
      <c r="Y974" s="50"/>
    </row>
    <row r="975" spans="2:25" x14ac:dyDescent="0.2">
      <c r="B975" s="50" t="s">
        <v>9</v>
      </c>
      <c r="C975" s="9" t="s">
        <v>1251</v>
      </c>
      <c r="D975" s="10" t="s">
        <v>1223</v>
      </c>
      <c r="E975" s="10"/>
      <c r="F975" s="9" t="s">
        <v>17</v>
      </c>
      <c r="G975" s="55" t="s">
        <v>527</v>
      </c>
      <c r="H975" s="50" t="s">
        <v>602</v>
      </c>
      <c r="I975" s="10"/>
      <c r="J975" s="50" t="s">
        <v>603</v>
      </c>
      <c r="K975" s="50"/>
      <c r="L975" s="50"/>
      <c r="M975" s="50"/>
      <c r="N975" s="50"/>
      <c r="O975" s="150"/>
      <c r="P975" s="150"/>
      <c r="Q975" s="150"/>
      <c r="R975" s="150"/>
      <c r="S975" s="150"/>
      <c r="T975" s="50"/>
      <c r="U975" s="50"/>
      <c r="V975" s="50"/>
      <c r="W975" s="50"/>
      <c r="X975" s="50"/>
      <c r="Y975" s="50"/>
    </row>
    <row r="976" spans="2:25" x14ac:dyDescent="0.2">
      <c r="B976" s="50" t="s">
        <v>9</v>
      </c>
      <c r="C976" s="9" t="s">
        <v>601</v>
      </c>
      <c r="D976" s="10" t="s">
        <v>1233</v>
      </c>
      <c r="E976" s="10"/>
      <c r="F976" s="9" t="s">
        <v>17</v>
      </c>
      <c r="G976" s="55" t="s">
        <v>527</v>
      </c>
      <c r="H976" s="50" t="s">
        <v>602</v>
      </c>
      <c r="I976" s="10"/>
      <c r="J976" s="50" t="s">
        <v>603</v>
      </c>
      <c r="K976" s="50"/>
      <c r="L976" s="50">
        <v>119</v>
      </c>
      <c r="M976" s="50">
        <v>1.19</v>
      </c>
      <c r="N976" s="50">
        <v>0.29530744336569581</v>
      </c>
      <c r="O976" s="150">
        <v>93240.678231312471</v>
      </c>
      <c r="P976" s="150">
        <v>89445.695500000002</v>
      </c>
      <c r="Q976" s="150">
        <v>3794.9827313124697</v>
      </c>
      <c r="R976" s="150">
        <v>18065.261157522393</v>
      </c>
      <c r="S976" s="150">
        <v>-14270.278426209923</v>
      </c>
      <c r="T976" s="50" t="s">
        <v>7175</v>
      </c>
      <c r="U976" s="50">
        <v>-1.3709024822811366E-4</v>
      </c>
      <c r="V976" s="50">
        <v>0.99</v>
      </c>
      <c r="W976" s="50">
        <v>1.0340520510495783</v>
      </c>
      <c r="X976" s="50" t="e">
        <v>#N/A</v>
      </c>
      <c r="Y976" s="50">
        <v>0.32</v>
      </c>
    </row>
    <row r="977" spans="2:25" x14ac:dyDescent="0.2">
      <c r="B977" s="50" t="s">
        <v>9</v>
      </c>
      <c r="C977" s="9" t="s">
        <v>1255</v>
      </c>
      <c r="D977" s="10" t="s">
        <v>1166</v>
      </c>
      <c r="E977" s="10"/>
      <c r="F977" s="9" t="s">
        <v>17</v>
      </c>
      <c r="G977" s="55" t="s">
        <v>527</v>
      </c>
      <c r="H977" s="50" t="s">
        <v>602</v>
      </c>
      <c r="I977" s="10"/>
      <c r="J977" s="50" t="s">
        <v>603</v>
      </c>
      <c r="K977" s="50"/>
      <c r="L977" s="50"/>
      <c r="M977" s="50"/>
      <c r="N977" s="50"/>
      <c r="O977" s="150"/>
      <c r="P977" s="150"/>
      <c r="Q977" s="150"/>
      <c r="R977" s="150"/>
      <c r="S977" s="150"/>
      <c r="T977" s="50"/>
      <c r="U977" s="50"/>
      <c r="V977" s="50"/>
      <c r="W977" s="50"/>
      <c r="X977" s="50"/>
      <c r="Y977" s="50"/>
    </row>
    <row r="978" spans="2:25" x14ac:dyDescent="0.2">
      <c r="B978" s="50" t="s">
        <v>9</v>
      </c>
      <c r="C978" s="9" t="s">
        <v>1256</v>
      </c>
      <c r="D978" s="10" t="s">
        <v>1176</v>
      </c>
      <c r="E978" s="10"/>
      <c r="F978" s="9" t="s">
        <v>17</v>
      </c>
      <c r="G978" s="55" t="s">
        <v>527</v>
      </c>
      <c r="H978" s="50" t="s">
        <v>602</v>
      </c>
      <c r="I978" s="10"/>
      <c r="J978" s="50" t="s">
        <v>603</v>
      </c>
      <c r="K978" s="50"/>
      <c r="L978" s="50"/>
      <c r="M978" s="50"/>
      <c r="N978" s="50"/>
      <c r="O978" s="150"/>
      <c r="P978" s="150"/>
      <c r="Q978" s="150"/>
      <c r="R978" s="150"/>
      <c r="S978" s="150"/>
      <c r="T978" s="50"/>
      <c r="U978" s="50"/>
      <c r="V978" s="50"/>
      <c r="W978" s="50"/>
      <c r="X978" s="50"/>
      <c r="Y978" s="50"/>
    </row>
    <row r="979" spans="2:25" x14ac:dyDescent="0.2">
      <c r="B979" s="50" t="s">
        <v>9</v>
      </c>
      <c r="C979" s="9" t="s">
        <v>627</v>
      </c>
      <c r="D979" s="10" t="s">
        <v>1209</v>
      </c>
      <c r="E979" s="10"/>
      <c r="F979" s="9" t="s">
        <v>17</v>
      </c>
      <c r="G979" s="55" t="s">
        <v>527</v>
      </c>
      <c r="H979" s="50" t="s">
        <v>602</v>
      </c>
      <c r="I979" s="10"/>
      <c r="J979" s="50" t="s">
        <v>603</v>
      </c>
      <c r="K979" s="50"/>
      <c r="L979" s="50"/>
      <c r="M979" s="50"/>
      <c r="N979" s="50"/>
      <c r="O979" s="150"/>
      <c r="P979" s="150"/>
      <c r="Q979" s="150"/>
      <c r="R979" s="150"/>
      <c r="S979" s="150"/>
      <c r="T979" s="50"/>
      <c r="U979" s="50"/>
      <c r="V979" s="50"/>
      <c r="W979" s="50"/>
      <c r="X979" s="50"/>
      <c r="Y979" s="50"/>
    </row>
    <row r="980" spans="2:25" x14ac:dyDescent="0.2">
      <c r="B980" s="50" t="s">
        <v>9</v>
      </c>
      <c r="C980" s="9" t="s">
        <v>1265</v>
      </c>
      <c r="D980" s="10" t="s">
        <v>1244</v>
      </c>
      <c r="E980" s="10"/>
      <c r="F980" s="9" t="s">
        <v>17</v>
      </c>
      <c r="G980" s="55" t="s">
        <v>527</v>
      </c>
      <c r="H980" s="50" t="s">
        <v>602</v>
      </c>
      <c r="I980" s="10"/>
      <c r="J980" s="50" t="s">
        <v>603</v>
      </c>
      <c r="K980" s="50"/>
      <c r="L980" s="50"/>
      <c r="M980" s="50"/>
      <c r="N980" s="50"/>
      <c r="O980" s="150"/>
      <c r="P980" s="150"/>
      <c r="Q980" s="150"/>
      <c r="R980" s="150"/>
      <c r="S980" s="150"/>
      <c r="T980" s="50"/>
      <c r="U980" s="50"/>
      <c r="V980" s="50"/>
      <c r="W980" s="50"/>
      <c r="X980" s="50"/>
      <c r="Y980" s="50"/>
    </row>
    <row r="981" spans="2:25" x14ac:dyDescent="0.2">
      <c r="B981" s="50" t="s">
        <v>9</v>
      </c>
      <c r="C981" s="9" t="s">
        <v>1271</v>
      </c>
      <c r="D981" s="10" t="s">
        <v>1166</v>
      </c>
      <c r="E981" s="10"/>
      <c r="F981" s="9" t="s">
        <v>17</v>
      </c>
      <c r="G981" s="55" t="s">
        <v>527</v>
      </c>
      <c r="H981" s="50" t="s">
        <v>602</v>
      </c>
      <c r="I981" s="10"/>
      <c r="J981" s="50" t="s">
        <v>603</v>
      </c>
      <c r="K981" s="50"/>
      <c r="L981" s="50"/>
      <c r="M981" s="50"/>
      <c r="N981" s="50"/>
      <c r="O981" s="150"/>
      <c r="P981" s="150"/>
      <c r="Q981" s="150"/>
      <c r="R981" s="150"/>
      <c r="S981" s="150"/>
      <c r="T981" s="50"/>
      <c r="U981" s="50"/>
      <c r="V981" s="50"/>
      <c r="W981" s="50"/>
      <c r="X981" s="50"/>
      <c r="Y981" s="50"/>
    </row>
    <row r="982" spans="2:25" x14ac:dyDescent="0.2">
      <c r="B982" s="50" t="s">
        <v>9</v>
      </c>
      <c r="C982" s="9" t="s">
        <v>1272</v>
      </c>
      <c r="D982" s="10" t="s">
        <v>1168</v>
      </c>
      <c r="E982" s="10"/>
      <c r="F982" s="9" t="s">
        <v>17</v>
      </c>
      <c r="G982" s="55" t="s">
        <v>527</v>
      </c>
      <c r="H982" s="50" t="s">
        <v>602</v>
      </c>
      <c r="I982" s="10"/>
      <c r="J982" s="50" t="s">
        <v>603</v>
      </c>
      <c r="K982" s="50"/>
      <c r="L982" s="50"/>
      <c r="M982" s="50"/>
      <c r="N982" s="50"/>
      <c r="O982" s="150"/>
      <c r="P982" s="150"/>
      <c r="Q982" s="150"/>
      <c r="R982" s="150"/>
      <c r="S982" s="150"/>
      <c r="T982" s="50"/>
      <c r="U982" s="50"/>
      <c r="V982" s="50"/>
      <c r="W982" s="50"/>
      <c r="X982" s="50"/>
      <c r="Y982" s="50"/>
    </row>
    <row r="983" spans="2:25" x14ac:dyDescent="0.2">
      <c r="B983" s="50" t="s">
        <v>9</v>
      </c>
      <c r="C983" s="9" t="s">
        <v>1278</v>
      </c>
      <c r="D983" s="10" t="s">
        <v>1180</v>
      </c>
      <c r="E983" s="10"/>
      <c r="F983" s="9" t="s">
        <v>17</v>
      </c>
      <c r="G983" s="55" t="s">
        <v>527</v>
      </c>
      <c r="H983" s="50" t="s">
        <v>602</v>
      </c>
      <c r="I983" s="10"/>
      <c r="J983" s="50" t="s">
        <v>603</v>
      </c>
      <c r="K983" s="50"/>
      <c r="L983" s="50"/>
      <c r="M983" s="50"/>
      <c r="N983" s="50"/>
      <c r="O983" s="150"/>
      <c r="P983" s="150"/>
      <c r="Q983" s="150"/>
      <c r="R983" s="150"/>
      <c r="S983" s="150"/>
      <c r="T983" s="50"/>
      <c r="U983" s="50"/>
      <c r="V983" s="50"/>
      <c r="W983" s="50"/>
      <c r="X983" s="50"/>
      <c r="Y983" s="50"/>
    </row>
    <row r="984" spans="2:25" x14ac:dyDescent="0.2">
      <c r="B984" s="50" t="s">
        <v>9</v>
      </c>
      <c r="C984" s="9" t="s">
        <v>1281</v>
      </c>
      <c r="D984" s="10" t="s">
        <v>1263</v>
      </c>
      <c r="E984" s="10"/>
      <c r="F984" s="9" t="s">
        <v>17</v>
      </c>
      <c r="G984" s="55" t="s">
        <v>527</v>
      </c>
      <c r="H984" s="50" t="s">
        <v>602</v>
      </c>
      <c r="I984" s="10"/>
      <c r="J984" s="50" t="s">
        <v>603</v>
      </c>
      <c r="K984" s="50"/>
      <c r="L984" s="50"/>
      <c r="M984" s="50"/>
      <c r="N984" s="50"/>
      <c r="O984" s="150"/>
      <c r="P984" s="150"/>
      <c r="Q984" s="150"/>
      <c r="R984" s="150"/>
      <c r="S984" s="150"/>
      <c r="T984" s="50"/>
      <c r="U984" s="50"/>
      <c r="V984" s="50"/>
      <c r="W984" s="50"/>
      <c r="X984" s="50"/>
      <c r="Y984" s="50"/>
    </row>
    <row r="985" spans="2:25" x14ac:dyDescent="0.2">
      <c r="B985" s="50" t="s">
        <v>9</v>
      </c>
      <c r="C985" s="9" t="s">
        <v>1288</v>
      </c>
      <c r="D985" s="10" t="s">
        <v>1275</v>
      </c>
      <c r="E985" s="10"/>
      <c r="F985" s="9" t="s">
        <v>17</v>
      </c>
      <c r="G985" s="55" t="s">
        <v>527</v>
      </c>
      <c r="H985" s="50" t="s">
        <v>602</v>
      </c>
      <c r="I985" s="10"/>
      <c r="J985" s="50" t="s">
        <v>603</v>
      </c>
      <c r="K985" s="50"/>
      <c r="L985" s="50"/>
      <c r="M985" s="50"/>
      <c r="N985" s="50"/>
      <c r="O985" s="150"/>
      <c r="P985" s="150"/>
      <c r="Q985" s="150"/>
      <c r="R985" s="150"/>
      <c r="S985" s="150"/>
      <c r="T985" s="50"/>
      <c r="U985" s="50"/>
      <c r="V985" s="50"/>
      <c r="W985" s="50"/>
      <c r="X985" s="50"/>
      <c r="Y985" s="50"/>
    </row>
    <row r="986" spans="2:25" x14ac:dyDescent="0.2">
      <c r="B986" s="50" t="s">
        <v>9</v>
      </c>
      <c r="C986" s="9" t="s">
        <v>1292</v>
      </c>
      <c r="D986" s="10" t="s">
        <v>1197</v>
      </c>
      <c r="E986" s="10"/>
      <c r="F986" s="9" t="s">
        <v>17</v>
      </c>
      <c r="G986" s="55" t="s">
        <v>527</v>
      </c>
      <c r="H986" s="50" t="s">
        <v>602</v>
      </c>
      <c r="I986" s="10"/>
      <c r="J986" s="50" t="s">
        <v>603</v>
      </c>
      <c r="K986" s="50"/>
      <c r="L986" s="50"/>
      <c r="M986" s="50"/>
      <c r="N986" s="50"/>
      <c r="O986" s="150"/>
      <c r="P986" s="150"/>
      <c r="Q986" s="150"/>
      <c r="R986" s="150"/>
      <c r="S986" s="150"/>
      <c r="T986" s="50"/>
      <c r="U986" s="50"/>
      <c r="V986" s="50"/>
      <c r="W986" s="50"/>
      <c r="X986" s="50"/>
      <c r="Y986" s="50"/>
    </row>
    <row r="987" spans="2:25" x14ac:dyDescent="0.2">
      <c r="B987" s="50" t="s">
        <v>9</v>
      </c>
      <c r="C987" s="9" t="s">
        <v>1296</v>
      </c>
      <c r="D987" s="10" t="s">
        <v>1297</v>
      </c>
      <c r="E987" s="10"/>
      <c r="F987" s="9" t="s">
        <v>17</v>
      </c>
      <c r="G987" s="55" t="s">
        <v>527</v>
      </c>
      <c r="H987" s="50" t="s">
        <v>602</v>
      </c>
      <c r="I987" s="10"/>
      <c r="J987" s="50" t="s">
        <v>603</v>
      </c>
      <c r="K987" s="50"/>
      <c r="L987" s="50"/>
      <c r="M987" s="50"/>
      <c r="N987" s="50"/>
      <c r="O987" s="150"/>
      <c r="P987" s="150"/>
      <c r="Q987" s="150"/>
      <c r="R987" s="150"/>
      <c r="S987" s="150"/>
      <c r="T987" s="50"/>
      <c r="U987" s="50"/>
      <c r="V987" s="50"/>
      <c r="W987" s="50"/>
      <c r="X987" s="50"/>
      <c r="Y987" s="50"/>
    </row>
    <row r="988" spans="2:25" x14ac:dyDescent="0.2">
      <c r="B988" s="50" t="s">
        <v>9</v>
      </c>
      <c r="C988" s="9" t="s">
        <v>1299</v>
      </c>
      <c r="D988" s="10" t="s">
        <v>1238</v>
      </c>
      <c r="E988" s="10"/>
      <c r="F988" s="9" t="s">
        <v>17</v>
      </c>
      <c r="G988" s="55" t="s">
        <v>527</v>
      </c>
      <c r="H988" s="50" t="s">
        <v>602</v>
      </c>
      <c r="I988" s="10"/>
      <c r="J988" s="50" t="s">
        <v>603</v>
      </c>
      <c r="K988" s="50"/>
      <c r="L988" s="50"/>
      <c r="M988" s="50"/>
      <c r="N988" s="50"/>
      <c r="O988" s="150"/>
      <c r="P988" s="150"/>
      <c r="Q988" s="150"/>
      <c r="R988" s="150"/>
      <c r="S988" s="150"/>
      <c r="T988" s="50"/>
      <c r="U988" s="50"/>
      <c r="V988" s="50"/>
      <c r="W988" s="50"/>
      <c r="X988" s="50"/>
      <c r="Y988" s="50"/>
    </row>
    <row r="989" spans="2:25" x14ac:dyDescent="0.2">
      <c r="B989" s="50" t="s">
        <v>9</v>
      </c>
      <c r="C989" s="9" t="s">
        <v>678</v>
      </c>
      <c r="D989" s="10" t="s">
        <v>1241</v>
      </c>
      <c r="E989" s="10"/>
      <c r="F989" s="9" t="s">
        <v>17</v>
      </c>
      <c r="G989" s="55" t="s">
        <v>527</v>
      </c>
      <c r="H989" s="50" t="s">
        <v>602</v>
      </c>
      <c r="I989" s="10"/>
      <c r="J989" s="50" t="s">
        <v>603</v>
      </c>
      <c r="K989" s="50"/>
      <c r="L989" s="50"/>
      <c r="M989" s="50"/>
      <c r="N989" s="50"/>
      <c r="O989" s="150"/>
      <c r="P989" s="150"/>
      <c r="Q989" s="150"/>
      <c r="R989" s="150"/>
      <c r="S989" s="150"/>
      <c r="T989" s="50"/>
      <c r="U989" s="50"/>
      <c r="V989" s="50"/>
      <c r="W989" s="50"/>
      <c r="X989" s="50"/>
      <c r="Y989" s="50"/>
    </row>
    <row r="990" spans="2:25" x14ac:dyDescent="0.2">
      <c r="B990" s="50" t="s">
        <v>9</v>
      </c>
      <c r="C990" s="9" t="s">
        <v>1304</v>
      </c>
      <c r="D990" s="10" t="s">
        <v>1176</v>
      </c>
      <c r="E990" s="10"/>
      <c r="F990" s="9" t="s">
        <v>17</v>
      </c>
      <c r="G990" s="55" t="s">
        <v>527</v>
      </c>
      <c r="H990" s="50" t="s">
        <v>602</v>
      </c>
      <c r="I990" s="10"/>
      <c r="J990" s="50" t="s">
        <v>603</v>
      </c>
      <c r="K990" s="50"/>
      <c r="L990" s="50"/>
      <c r="M990" s="50"/>
      <c r="N990" s="50"/>
      <c r="O990" s="150"/>
      <c r="P990" s="150"/>
      <c r="Q990" s="150"/>
      <c r="R990" s="150"/>
      <c r="S990" s="150"/>
      <c r="T990" s="50"/>
      <c r="U990" s="50"/>
      <c r="V990" s="50"/>
      <c r="W990" s="50"/>
      <c r="X990" s="50"/>
      <c r="Y990" s="50"/>
    </row>
    <row r="991" spans="2:25" x14ac:dyDescent="0.2">
      <c r="B991" s="50" t="s">
        <v>9</v>
      </c>
      <c r="C991" s="9" t="s">
        <v>713</v>
      </c>
      <c r="D991" s="10" t="s">
        <v>1126</v>
      </c>
      <c r="E991" s="10"/>
      <c r="F991" s="9" t="s">
        <v>17</v>
      </c>
      <c r="G991" s="55" t="s">
        <v>527</v>
      </c>
      <c r="H991" s="50" t="s">
        <v>602</v>
      </c>
      <c r="I991" s="10"/>
      <c r="J991" s="50" t="s">
        <v>603</v>
      </c>
      <c r="K991" s="50" t="s">
        <v>7174</v>
      </c>
      <c r="L991" s="50">
        <v>8</v>
      </c>
      <c r="M991" s="50">
        <v>3.2</v>
      </c>
      <c r="N991" s="50">
        <v>1.4573502722323048</v>
      </c>
      <c r="O991" s="150">
        <v>250731.23558000001</v>
      </c>
      <c r="P991" s="150">
        <v>12766.24</v>
      </c>
      <c r="Q991" s="150">
        <v>237964.99558000002</v>
      </c>
      <c r="R991" s="150">
        <v>59070</v>
      </c>
      <c r="S991" s="150">
        <v>178894.99558000002</v>
      </c>
      <c r="T991" s="50" t="s">
        <v>7175</v>
      </c>
      <c r="U991" s="50">
        <v>1.7185901086404442E-3</v>
      </c>
      <c r="V991" s="50">
        <v>0.6</v>
      </c>
      <c r="W991" s="50">
        <v>1.0061737917116029</v>
      </c>
      <c r="X991" s="50" t="e">
        <v>#N/A</v>
      </c>
      <c r="Y991" s="50">
        <v>0.32</v>
      </c>
    </row>
    <row r="992" spans="2:25" x14ac:dyDescent="0.2">
      <c r="B992" s="50" t="s">
        <v>9</v>
      </c>
      <c r="C992" s="9" t="s">
        <v>1311</v>
      </c>
      <c r="D992" s="10" t="s">
        <v>1270</v>
      </c>
      <c r="E992" s="10"/>
      <c r="F992" s="9" t="s">
        <v>17</v>
      </c>
      <c r="G992" s="55" t="s">
        <v>527</v>
      </c>
      <c r="H992" s="50" t="s">
        <v>602</v>
      </c>
      <c r="I992" s="10"/>
      <c r="J992" s="50" t="s">
        <v>603</v>
      </c>
      <c r="K992" s="50"/>
      <c r="L992" s="50"/>
      <c r="M992" s="50"/>
      <c r="N992" s="50"/>
      <c r="O992" s="150"/>
      <c r="P992" s="150"/>
      <c r="Q992" s="150"/>
      <c r="R992" s="150"/>
      <c r="S992" s="150"/>
      <c r="T992" s="50"/>
      <c r="U992" s="50"/>
      <c r="V992" s="50"/>
      <c r="W992" s="50"/>
      <c r="X992" s="50"/>
      <c r="Y992" s="50"/>
    </row>
    <row r="993" spans="2:25" x14ac:dyDescent="0.2">
      <c r="B993" s="50" t="s">
        <v>9</v>
      </c>
      <c r="C993" s="9" t="s">
        <v>1312</v>
      </c>
      <c r="D993" s="10" t="s">
        <v>1131</v>
      </c>
      <c r="E993" s="10"/>
      <c r="F993" s="9" t="s">
        <v>17</v>
      </c>
      <c r="G993" s="55" t="s">
        <v>527</v>
      </c>
      <c r="H993" s="50" t="s">
        <v>602</v>
      </c>
      <c r="I993" s="10"/>
      <c r="J993" s="50" t="s">
        <v>603</v>
      </c>
      <c r="K993" s="50"/>
      <c r="L993" s="50"/>
      <c r="M993" s="50"/>
      <c r="N993" s="50"/>
      <c r="O993" s="150"/>
      <c r="P993" s="150"/>
      <c r="Q993" s="150"/>
      <c r="R993" s="150"/>
      <c r="S993" s="150"/>
      <c r="T993" s="50"/>
      <c r="U993" s="50"/>
      <c r="V993" s="50"/>
      <c r="W993" s="50"/>
      <c r="X993" s="50"/>
      <c r="Y993" s="50"/>
    </row>
    <row r="994" spans="2:25" x14ac:dyDescent="0.2">
      <c r="B994" s="50" t="s">
        <v>9</v>
      </c>
      <c r="C994" s="9" t="s">
        <v>1316</v>
      </c>
      <c r="D994" s="10" t="s">
        <v>1138</v>
      </c>
      <c r="E994" s="10"/>
      <c r="F994" s="9" t="s">
        <v>17</v>
      </c>
      <c r="G994" s="55" t="s">
        <v>527</v>
      </c>
      <c r="H994" s="50" t="s">
        <v>602</v>
      </c>
      <c r="I994" s="10"/>
      <c r="J994" s="50" t="s">
        <v>603</v>
      </c>
      <c r="K994" s="50"/>
      <c r="L994" s="50"/>
      <c r="M994" s="50"/>
      <c r="N994" s="50"/>
      <c r="O994" s="150"/>
      <c r="P994" s="150"/>
      <c r="Q994" s="150"/>
      <c r="R994" s="150"/>
      <c r="S994" s="150"/>
      <c r="T994" s="50"/>
      <c r="U994" s="50"/>
      <c r="V994" s="50"/>
      <c r="W994" s="50"/>
      <c r="X994" s="50"/>
      <c r="Y994" s="50"/>
    </row>
    <row r="995" spans="2:25" x14ac:dyDescent="0.2">
      <c r="B995" s="50" t="s">
        <v>9</v>
      </c>
      <c r="C995" s="9" t="s">
        <v>1325</v>
      </c>
      <c r="D995" s="10" t="s">
        <v>1223</v>
      </c>
      <c r="E995" s="10"/>
      <c r="F995" s="9" t="s">
        <v>17</v>
      </c>
      <c r="G995" s="55" t="s">
        <v>527</v>
      </c>
      <c r="H995" s="50" t="s">
        <v>602</v>
      </c>
      <c r="I995" s="10"/>
      <c r="J995" s="50" t="s">
        <v>603</v>
      </c>
      <c r="K995" s="50"/>
      <c r="L995" s="50"/>
      <c r="M995" s="50"/>
      <c r="N995" s="50"/>
      <c r="O995" s="150"/>
      <c r="P995" s="150"/>
      <c r="Q995" s="150"/>
      <c r="R995" s="150"/>
      <c r="S995" s="150"/>
      <c r="T995" s="50"/>
      <c r="U995" s="50"/>
      <c r="V995" s="50"/>
      <c r="W995" s="50"/>
      <c r="X995" s="50"/>
      <c r="Y995" s="50"/>
    </row>
    <row r="996" spans="2:25" x14ac:dyDescent="0.2">
      <c r="B996" s="50" t="s">
        <v>9</v>
      </c>
      <c r="C996" s="9" t="s">
        <v>1911</v>
      </c>
      <c r="D996" s="10" t="s">
        <v>1327</v>
      </c>
      <c r="E996" s="10"/>
      <c r="F996" s="9" t="s">
        <v>17</v>
      </c>
      <c r="G996" s="55" t="s">
        <v>527</v>
      </c>
      <c r="H996" s="50" t="s">
        <v>602</v>
      </c>
      <c r="I996" s="10"/>
      <c r="J996" s="50" t="s">
        <v>603</v>
      </c>
      <c r="K996" s="50"/>
      <c r="L996" s="50"/>
      <c r="M996" s="50"/>
      <c r="N996" s="50"/>
      <c r="O996" s="150"/>
      <c r="P996" s="150"/>
      <c r="Q996" s="150"/>
      <c r="R996" s="150"/>
      <c r="S996" s="150"/>
      <c r="T996" s="50"/>
      <c r="U996" s="50"/>
      <c r="V996" s="50"/>
      <c r="W996" s="50"/>
      <c r="X996" s="50"/>
      <c r="Y996" s="50"/>
    </row>
    <row r="997" spans="2:25" x14ac:dyDescent="0.2">
      <c r="B997" s="50" t="s">
        <v>9</v>
      </c>
      <c r="C997" s="9" t="s">
        <v>1335</v>
      </c>
      <c r="D997" s="10" t="s">
        <v>1197</v>
      </c>
      <c r="E997" s="10"/>
      <c r="F997" s="9" t="s">
        <v>17</v>
      </c>
      <c r="G997" s="55" t="s">
        <v>527</v>
      </c>
      <c r="H997" s="50" t="s">
        <v>602</v>
      </c>
      <c r="I997" s="10"/>
      <c r="J997" s="50" t="s">
        <v>603</v>
      </c>
      <c r="K997" s="50"/>
      <c r="L997" s="50"/>
      <c r="M997" s="50"/>
      <c r="N997" s="50"/>
      <c r="O997" s="150"/>
      <c r="P997" s="150"/>
      <c r="Q997" s="150"/>
      <c r="R997" s="150"/>
      <c r="S997" s="150"/>
      <c r="T997" s="50"/>
      <c r="U997" s="50"/>
      <c r="V997" s="50"/>
      <c r="W997" s="50"/>
      <c r="X997" s="50"/>
      <c r="Y997" s="50"/>
    </row>
    <row r="998" spans="2:25" x14ac:dyDescent="0.2">
      <c r="B998" s="50" t="s">
        <v>9</v>
      </c>
      <c r="C998" s="9" t="s">
        <v>1340</v>
      </c>
      <c r="D998" s="10" t="s">
        <v>1197</v>
      </c>
      <c r="E998" s="10"/>
      <c r="F998" s="9" t="s">
        <v>17</v>
      </c>
      <c r="G998" s="55" t="s">
        <v>527</v>
      </c>
      <c r="H998" s="50" t="s">
        <v>602</v>
      </c>
      <c r="I998" s="10"/>
      <c r="J998" s="50" t="s">
        <v>603</v>
      </c>
      <c r="K998" s="50"/>
      <c r="L998" s="50"/>
      <c r="M998" s="50"/>
      <c r="N998" s="50"/>
      <c r="O998" s="150"/>
      <c r="P998" s="150"/>
      <c r="Q998" s="150"/>
      <c r="R998" s="150"/>
      <c r="S998" s="150"/>
      <c r="T998" s="50"/>
      <c r="U998" s="50"/>
      <c r="V998" s="50"/>
      <c r="W998" s="50"/>
      <c r="X998" s="50"/>
      <c r="Y998" s="50"/>
    </row>
    <row r="999" spans="2:25" x14ac:dyDescent="0.2">
      <c r="B999" s="50" t="s">
        <v>9</v>
      </c>
      <c r="C999" s="9" t="s">
        <v>760</v>
      </c>
      <c r="D999" s="10" t="s">
        <v>1191</v>
      </c>
      <c r="E999" s="10"/>
      <c r="F999" s="9" t="s">
        <v>17</v>
      </c>
      <c r="G999" s="55" t="s">
        <v>527</v>
      </c>
      <c r="H999" s="50" t="s">
        <v>602</v>
      </c>
      <c r="I999" s="10"/>
      <c r="J999" s="50" t="s">
        <v>603</v>
      </c>
      <c r="K999" s="50"/>
      <c r="L999" s="50"/>
      <c r="M999" s="50"/>
      <c r="N999" s="50"/>
      <c r="O999" s="50"/>
      <c r="P999" s="50"/>
      <c r="Q999" s="50"/>
      <c r="R999" s="50"/>
      <c r="S999" s="50"/>
      <c r="T999" s="50"/>
      <c r="U999" s="50"/>
      <c r="V999" s="50"/>
      <c r="W999" s="50"/>
      <c r="X999" s="50"/>
      <c r="Y999" s="50"/>
    </row>
    <row r="1000" spans="2:25" x14ac:dyDescent="0.2">
      <c r="B1000" s="50" t="s">
        <v>9</v>
      </c>
      <c r="C1000" s="9" t="s">
        <v>1342</v>
      </c>
      <c r="D1000" s="10" t="s">
        <v>1223</v>
      </c>
      <c r="E1000" s="10"/>
      <c r="F1000" s="9" t="s">
        <v>17</v>
      </c>
      <c r="G1000" s="55" t="s">
        <v>527</v>
      </c>
      <c r="H1000" s="50" t="s">
        <v>602</v>
      </c>
      <c r="I1000" s="10"/>
      <c r="J1000" s="50" t="s">
        <v>603</v>
      </c>
      <c r="K1000" s="50"/>
      <c r="L1000" s="50"/>
      <c r="M1000" s="50"/>
      <c r="N1000" s="50"/>
      <c r="O1000" s="50"/>
      <c r="P1000" s="50"/>
      <c r="Q1000" s="50"/>
      <c r="R1000" s="50"/>
      <c r="S1000" s="50"/>
      <c r="T1000" s="50"/>
      <c r="U1000" s="50"/>
      <c r="V1000" s="50"/>
      <c r="W1000" s="50"/>
      <c r="X1000" s="50"/>
      <c r="Y1000" s="50"/>
    </row>
    <row r="1001" spans="2:25" x14ac:dyDescent="0.2">
      <c r="B1001" s="50" t="s">
        <v>9</v>
      </c>
      <c r="C1001" s="9" t="s">
        <v>1346</v>
      </c>
      <c r="D1001" s="10" t="s">
        <v>1270</v>
      </c>
      <c r="E1001" s="10"/>
      <c r="F1001" s="9" t="s">
        <v>17</v>
      </c>
      <c r="G1001" s="55" t="s">
        <v>527</v>
      </c>
      <c r="H1001" s="50" t="s">
        <v>602</v>
      </c>
      <c r="I1001" s="10"/>
      <c r="J1001" s="50" t="s">
        <v>603</v>
      </c>
      <c r="K1001" s="50"/>
      <c r="L1001" s="50"/>
      <c r="M1001" s="50"/>
      <c r="N1001" s="50"/>
      <c r="O1001" s="50"/>
      <c r="P1001" s="50"/>
      <c r="Q1001" s="50"/>
      <c r="R1001" s="50"/>
      <c r="S1001" s="50"/>
      <c r="T1001" s="50"/>
      <c r="U1001" s="50"/>
      <c r="V1001" s="50"/>
      <c r="W1001" s="50"/>
      <c r="X1001" s="50"/>
      <c r="Y1001" s="50"/>
    </row>
    <row r="1002" spans="2:25" x14ac:dyDescent="0.2">
      <c r="B1002" s="50" t="s">
        <v>9</v>
      </c>
      <c r="C1002" s="9" t="s">
        <v>1349</v>
      </c>
      <c r="D1002" s="10" t="s">
        <v>1327</v>
      </c>
      <c r="E1002" s="10"/>
      <c r="F1002" s="9" t="s">
        <v>17</v>
      </c>
      <c r="G1002" s="55" t="s">
        <v>527</v>
      </c>
      <c r="H1002" s="50" t="s">
        <v>602</v>
      </c>
      <c r="I1002" s="10"/>
      <c r="J1002" s="50" t="s">
        <v>603</v>
      </c>
      <c r="K1002" s="50"/>
      <c r="L1002" s="50"/>
      <c r="M1002" s="50"/>
      <c r="N1002" s="50"/>
      <c r="O1002" s="50"/>
      <c r="P1002" s="50"/>
      <c r="Q1002" s="50"/>
      <c r="R1002" s="50"/>
      <c r="S1002" s="50"/>
      <c r="T1002" s="50"/>
      <c r="U1002" s="50"/>
      <c r="V1002" s="50"/>
      <c r="W1002" s="50"/>
      <c r="X1002" s="50"/>
      <c r="Y1002" s="50"/>
    </row>
    <row r="1003" spans="2:25" x14ac:dyDescent="0.2">
      <c r="B1003" s="50" t="s">
        <v>9</v>
      </c>
      <c r="C1003" s="9" t="s">
        <v>1351</v>
      </c>
      <c r="D1003" s="10" t="s">
        <v>1233</v>
      </c>
      <c r="E1003" s="10"/>
      <c r="F1003" s="9" t="s">
        <v>17</v>
      </c>
      <c r="G1003" s="55" t="s">
        <v>527</v>
      </c>
      <c r="H1003" s="50" t="s">
        <v>602</v>
      </c>
      <c r="I1003" s="10"/>
      <c r="J1003" s="50" t="s">
        <v>603</v>
      </c>
      <c r="K1003" s="50"/>
      <c r="L1003" s="50"/>
      <c r="M1003" s="50"/>
      <c r="N1003" s="50"/>
      <c r="O1003" s="50"/>
      <c r="P1003" s="50"/>
      <c r="Q1003" s="50"/>
      <c r="R1003" s="50"/>
      <c r="S1003" s="50"/>
      <c r="T1003" s="50"/>
      <c r="U1003" s="50"/>
      <c r="V1003" s="50"/>
      <c r="W1003" s="50"/>
      <c r="X1003" s="50"/>
      <c r="Y1003" s="50"/>
    </row>
    <row r="1004" spans="2:25" x14ac:dyDescent="0.2">
      <c r="B1004" s="50" t="s">
        <v>9</v>
      </c>
      <c r="C1004" s="9" t="s">
        <v>1354</v>
      </c>
      <c r="D1004" s="10" t="s">
        <v>1187</v>
      </c>
      <c r="E1004" s="10"/>
      <c r="F1004" s="9" t="s">
        <v>17</v>
      </c>
      <c r="G1004" s="55" t="s">
        <v>527</v>
      </c>
      <c r="H1004" s="50" t="s">
        <v>602</v>
      </c>
      <c r="I1004" s="10"/>
      <c r="J1004" s="50" t="s">
        <v>603</v>
      </c>
      <c r="K1004" s="50"/>
      <c r="L1004" s="50"/>
      <c r="M1004" s="50"/>
      <c r="N1004" s="50"/>
      <c r="O1004" s="50"/>
      <c r="P1004" s="50"/>
      <c r="Q1004" s="50"/>
      <c r="R1004" s="50"/>
      <c r="S1004" s="50"/>
      <c r="T1004" s="50"/>
      <c r="U1004" s="50"/>
      <c r="V1004" s="50"/>
      <c r="W1004" s="50"/>
      <c r="X1004" s="50"/>
      <c r="Y1004" s="50"/>
    </row>
    <row r="1005" spans="2:25" x14ac:dyDescent="0.2">
      <c r="B1005" s="50" t="s">
        <v>9</v>
      </c>
      <c r="C1005" s="9" t="s">
        <v>799</v>
      </c>
      <c r="D1005" s="11"/>
      <c r="E1005" s="11"/>
      <c r="F1005" s="9" t="s">
        <v>17</v>
      </c>
      <c r="G1005" s="55" t="s">
        <v>527</v>
      </c>
      <c r="H1005" s="50" t="s">
        <v>800</v>
      </c>
      <c r="I1005" s="10"/>
      <c r="J1005" s="50" t="s">
        <v>801</v>
      </c>
      <c r="K1005" s="50"/>
      <c r="L1005" s="50"/>
      <c r="M1005" s="50"/>
      <c r="N1005" s="50"/>
      <c r="O1005" s="50"/>
      <c r="P1005" s="50"/>
      <c r="Q1005" s="50"/>
      <c r="R1005" s="50"/>
      <c r="S1005" s="50"/>
      <c r="T1005" s="50"/>
      <c r="U1005" s="50"/>
      <c r="V1005" s="50"/>
      <c r="W1005" s="50"/>
      <c r="X1005" s="50"/>
      <c r="Y1005" s="50"/>
    </row>
    <row r="1006" spans="2:25" x14ac:dyDescent="0.2">
      <c r="B1006" s="50" t="s">
        <v>9</v>
      </c>
      <c r="C1006" s="9" t="s">
        <v>809</v>
      </c>
      <c r="D1006" s="10" t="s">
        <v>1361</v>
      </c>
      <c r="E1006" s="10"/>
      <c r="F1006" s="9" t="s">
        <v>17</v>
      </c>
      <c r="G1006" s="55" t="s">
        <v>527</v>
      </c>
      <c r="H1006" s="50" t="s">
        <v>602</v>
      </c>
      <c r="I1006" s="10"/>
      <c r="J1006" s="50" t="s">
        <v>603</v>
      </c>
      <c r="K1006" s="50"/>
      <c r="L1006" s="50"/>
      <c r="M1006" s="50"/>
      <c r="N1006" s="50"/>
      <c r="O1006" s="50"/>
      <c r="P1006" s="50"/>
      <c r="Q1006" s="50"/>
      <c r="R1006" s="50"/>
      <c r="S1006" s="50"/>
      <c r="T1006" s="50"/>
      <c r="U1006" s="50"/>
      <c r="V1006" s="50"/>
      <c r="W1006" s="50"/>
      <c r="X1006" s="50"/>
      <c r="Y1006" s="50"/>
    </row>
    <row r="1007" spans="2:25" x14ac:dyDescent="0.2">
      <c r="B1007" s="50" t="s">
        <v>9</v>
      </c>
      <c r="C1007" s="9" t="s">
        <v>1365</v>
      </c>
      <c r="D1007" s="10" t="s">
        <v>1180</v>
      </c>
      <c r="E1007" s="10"/>
      <c r="F1007" s="9" t="s">
        <v>17</v>
      </c>
      <c r="G1007" s="55" t="s">
        <v>527</v>
      </c>
      <c r="H1007" s="50" t="s">
        <v>602</v>
      </c>
      <c r="I1007" s="10"/>
      <c r="J1007" s="50" t="s">
        <v>603</v>
      </c>
      <c r="K1007" s="50"/>
      <c r="L1007" s="50"/>
      <c r="M1007" s="50"/>
      <c r="N1007" s="50"/>
      <c r="O1007" s="50"/>
      <c r="P1007" s="50"/>
      <c r="Q1007" s="50"/>
      <c r="R1007" s="50"/>
      <c r="S1007" s="50"/>
      <c r="T1007" s="50"/>
      <c r="U1007" s="50"/>
      <c r="V1007" s="50"/>
      <c r="W1007" s="50"/>
      <c r="X1007" s="50"/>
      <c r="Y1007" s="50"/>
    </row>
    <row r="1008" spans="2:25" x14ac:dyDescent="0.2">
      <c r="B1008" s="50" t="s">
        <v>9</v>
      </c>
      <c r="C1008" s="9" t="s">
        <v>1368</v>
      </c>
      <c r="D1008" s="10" t="s">
        <v>1176</v>
      </c>
      <c r="E1008" s="10"/>
      <c r="F1008" s="9" t="s">
        <v>17</v>
      </c>
      <c r="G1008" s="55" t="s">
        <v>527</v>
      </c>
      <c r="H1008" s="50" t="s">
        <v>602</v>
      </c>
      <c r="I1008" s="10"/>
      <c r="J1008" s="50" t="s">
        <v>603</v>
      </c>
      <c r="K1008" s="50"/>
      <c r="L1008" s="50"/>
      <c r="M1008" s="50"/>
      <c r="N1008" s="50"/>
      <c r="O1008" s="50"/>
      <c r="P1008" s="50"/>
      <c r="Q1008" s="50"/>
      <c r="R1008" s="50"/>
      <c r="S1008" s="50"/>
      <c r="T1008" s="50"/>
      <c r="U1008" s="50"/>
      <c r="V1008" s="50"/>
      <c r="W1008" s="50"/>
      <c r="X1008" s="50"/>
      <c r="Y1008" s="50"/>
    </row>
    <row r="1009" spans="2:25" x14ac:dyDescent="0.2">
      <c r="B1009" s="50" t="s">
        <v>9</v>
      </c>
      <c r="C1009" s="9" t="s">
        <v>819</v>
      </c>
      <c r="D1009" s="10" t="s">
        <v>1369</v>
      </c>
      <c r="E1009" s="10"/>
      <c r="F1009" s="9" t="s">
        <v>17</v>
      </c>
      <c r="G1009" s="55" t="s">
        <v>527</v>
      </c>
      <c r="H1009" s="50" t="s">
        <v>602</v>
      </c>
      <c r="I1009" s="10"/>
      <c r="J1009" s="50" t="s">
        <v>603</v>
      </c>
      <c r="K1009" s="50"/>
      <c r="L1009" s="50"/>
      <c r="M1009" s="50"/>
      <c r="N1009" s="50"/>
      <c r="O1009" s="50"/>
      <c r="P1009" s="50"/>
      <c r="Q1009" s="50"/>
      <c r="R1009" s="50"/>
      <c r="S1009" s="50"/>
      <c r="T1009" s="50"/>
      <c r="U1009" s="50"/>
      <c r="V1009" s="50"/>
      <c r="W1009" s="50"/>
      <c r="X1009" s="50"/>
      <c r="Y1009" s="50"/>
    </row>
    <row r="1010" spans="2:25" x14ac:dyDescent="0.2">
      <c r="B1010" s="50" t="s">
        <v>9</v>
      </c>
      <c r="C1010" s="9" t="s">
        <v>1370</v>
      </c>
      <c r="D1010" s="10" t="s">
        <v>1187</v>
      </c>
      <c r="E1010" s="10"/>
      <c r="F1010" s="9" t="s">
        <v>17</v>
      </c>
      <c r="G1010" s="55" t="s">
        <v>527</v>
      </c>
      <c r="H1010" s="50" t="s">
        <v>602</v>
      </c>
      <c r="I1010" s="10"/>
      <c r="J1010" s="50" t="s">
        <v>603</v>
      </c>
      <c r="K1010" s="50"/>
      <c r="L1010" s="50"/>
      <c r="M1010" s="50"/>
      <c r="N1010" s="50"/>
      <c r="O1010" s="50"/>
      <c r="P1010" s="50"/>
      <c r="Q1010" s="50"/>
      <c r="R1010" s="50"/>
      <c r="S1010" s="50"/>
      <c r="T1010" s="50"/>
      <c r="U1010" s="50"/>
      <c r="V1010" s="50"/>
      <c r="W1010" s="50"/>
      <c r="X1010" s="50"/>
      <c r="Y1010" s="50"/>
    </row>
    <row r="1011" spans="2:25" x14ac:dyDescent="0.2">
      <c r="B1011" s="50" t="s">
        <v>9</v>
      </c>
      <c r="C1011" s="9" t="s">
        <v>825</v>
      </c>
      <c r="D1011" s="10" t="s">
        <v>1369</v>
      </c>
      <c r="E1011" s="10"/>
      <c r="F1011" s="9" t="s">
        <v>17</v>
      </c>
      <c r="G1011" s="55" t="s">
        <v>527</v>
      </c>
      <c r="H1011" s="50" t="s">
        <v>602</v>
      </c>
      <c r="I1011" s="10"/>
      <c r="J1011" s="50" t="s">
        <v>603</v>
      </c>
      <c r="K1011" s="50"/>
      <c r="L1011" s="50"/>
      <c r="M1011" s="50"/>
      <c r="N1011" s="50"/>
      <c r="O1011" s="50"/>
      <c r="P1011" s="50"/>
      <c r="Q1011" s="50"/>
      <c r="R1011" s="50"/>
      <c r="S1011" s="50"/>
      <c r="T1011" s="50"/>
      <c r="U1011" s="50"/>
      <c r="V1011" s="50"/>
      <c r="W1011" s="50"/>
      <c r="X1011" s="50"/>
      <c r="Y1011" s="50"/>
    </row>
    <row r="1012" spans="2:25" x14ac:dyDescent="0.2">
      <c r="B1012" s="50" t="s">
        <v>9</v>
      </c>
      <c r="C1012" s="9" t="s">
        <v>1379</v>
      </c>
      <c r="D1012" s="10" t="s">
        <v>1166</v>
      </c>
      <c r="E1012" s="10"/>
      <c r="F1012" s="9" t="s">
        <v>17</v>
      </c>
      <c r="G1012" s="55" t="s">
        <v>527</v>
      </c>
      <c r="H1012" s="50" t="s">
        <v>602</v>
      </c>
      <c r="I1012" s="10"/>
      <c r="J1012" s="50" t="s">
        <v>603</v>
      </c>
      <c r="K1012" s="50"/>
      <c r="L1012" s="50"/>
      <c r="M1012" s="50"/>
      <c r="N1012" s="50"/>
      <c r="O1012" s="50"/>
      <c r="P1012" s="50"/>
      <c r="Q1012" s="50"/>
      <c r="R1012" s="50"/>
      <c r="S1012" s="50"/>
      <c r="T1012" s="50"/>
      <c r="U1012" s="50"/>
      <c r="V1012" s="50"/>
      <c r="W1012" s="50"/>
      <c r="X1012" s="50"/>
      <c r="Y1012" s="50"/>
    </row>
    <row r="1013" spans="2:25" x14ac:dyDescent="0.2">
      <c r="B1013" s="50" t="s">
        <v>9</v>
      </c>
      <c r="C1013" s="9" t="s">
        <v>1383</v>
      </c>
      <c r="D1013" s="10" t="s">
        <v>1187</v>
      </c>
      <c r="E1013" s="10"/>
      <c r="F1013" s="9" t="s">
        <v>17</v>
      </c>
      <c r="G1013" s="55" t="s">
        <v>527</v>
      </c>
      <c r="H1013" s="50" t="s">
        <v>602</v>
      </c>
      <c r="I1013" s="10"/>
      <c r="J1013" s="50" t="s">
        <v>603</v>
      </c>
      <c r="K1013" s="50"/>
      <c r="L1013" s="50"/>
      <c r="M1013" s="50"/>
      <c r="N1013" s="50"/>
      <c r="O1013" s="50"/>
      <c r="P1013" s="50"/>
      <c r="Q1013" s="50"/>
      <c r="R1013" s="50"/>
      <c r="S1013" s="50"/>
      <c r="T1013" s="50"/>
      <c r="U1013" s="50"/>
      <c r="V1013" s="50"/>
      <c r="W1013" s="50"/>
      <c r="X1013" s="50"/>
      <c r="Y1013" s="50"/>
    </row>
    <row r="1014" spans="2:25" x14ac:dyDescent="0.2">
      <c r="B1014" s="50" t="s">
        <v>9</v>
      </c>
      <c r="C1014" s="9" t="s">
        <v>1384</v>
      </c>
      <c r="D1014" s="10" t="s">
        <v>1369</v>
      </c>
      <c r="E1014" s="10"/>
      <c r="F1014" s="9" t="s">
        <v>17</v>
      </c>
      <c r="G1014" s="55" t="s">
        <v>527</v>
      </c>
      <c r="H1014" s="50" t="s">
        <v>602</v>
      </c>
      <c r="I1014" s="10"/>
      <c r="J1014" s="50" t="s">
        <v>603</v>
      </c>
      <c r="K1014" s="50"/>
      <c r="L1014" s="50"/>
      <c r="M1014" s="50"/>
      <c r="N1014" s="50"/>
      <c r="O1014" s="50"/>
      <c r="P1014" s="50"/>
      <c r="Q1014" s="50"/>
      <c r="R1014" s="50"/>
      <c r="S1014" s="50"/>
      <c r="T1014" s="50"/>
      <c r="U1014" s="50"/>
      <c r="V1014" s="50"/>
      <c r="W1014" s="50"/>
      <c r="X1014" s="50"/>
      <c r="Y1014" s="50"/>
    </row>
    <row r="1015" spans="2:25" x14ac:dyDescent="0.2">
      <c r="B1015" s="50" t="s">
        <v>9</v>
      </c>
      <c r="C1015" s="9" t="s">
        <v>1385</v>
      </c>
      <c r="D1015" s="10" t="s">
        <v>1386</v>
      </c>
      <c r="E1015" s="10"/>
      <c r="F1015" s="9" t="s">
        <v>17</v>
      </c>
      <c r="G1015" s="55" t="s">
        <v>527</v>
      </c>
      <c r="H1015" s="50" t="s">
        <v>602</v>
      </c>
      <c r="I1015" s="10"/>
      <c r="J1015" s="50" t="s">
        <v>603</v>
      </c>
      <c r="K1015" s="50" t="s">
        <v>7174</v>
      </c>
      <c r="L1015" s="50">
        <v>11</v>
      </c>
      <c r="M1015" s="50">
        <v>10.23</v>
      </c>
      <c r="N1015" s="50">
        <v>0.86</v>
      </c>
      <c r="O1015" s="150">
        <v>801556.41874481249</v>
      </c>
      <c r="P1015" s="150">
        <v>30172.323499999999</v>
      </c>
      <c r="Q1015" s="150">
        <v>771384.09524481255</v>
      </c>
      <c r="R1015" s="150">
        <v>59070</v>
      </c>
      <c r="S1015" s="150">
        <v>712314.09524481255</v>
      </c>
      <c r="T1015" s="50" t="s">
        <v>7175</v>
      </c>
      <c r="U1015" s="50">
        <v>6.8429860453277074E-3</v>
      </c>
      <c r="V1015" s="50">
        <v>6.9999999999999965E-2</v>
      </c>
      <c r="W1015" s="50">
        <v>0.96005221233223548</v>
      </c>
      <c r="X1015" s="50" t="e">
        <v>#N/A</v>
      </c>
      <c r="Y1015" s="50">
        <v>0.32</v>
      </c>
    </row>
    <row r="1016" spans="2:25" x14ac:dyDescent="0.2">
      <c r="B1016" s="50" t="s">
        <v>9</v>
      </c>
      <c r="C1016" s="9" t="s">
        <v>856</v>
      </c>
      <c r="D1016" s="10" t="s">
        <v>1369</v>
      </c>
      <c r="E1016" s="10"/>
      <c r="F1016" s="9" t="s">
        <v>17</v>
      </c>
      <c r="G1016" s="55" t="s">
        <v>527</v>
      </c>
      <c r="H1016" s="50" t="s">
        <v>602</v>
      </c>
      <c r="I1016" s="10"/>
      <c r="J1016" s="50" t="s">
        <v>603</v>
      </c>
      <c r="K1016" s="50"/>
      <c r="L1016" s="50"/>
      <c r="M1016" s="50"/>
      <c r="N1016" s="50"/>
      <c r="O1016" s="50"/>
      <c r="P1016" s="50"/>
      <c r="Q1016" s="50"/>
      <c r="R1016" s="50"/>
      <c r="S1016" s="50"/>
      <c r="T1016" s="50"/>
      <c r="U1016" s="50"/>
      <c r="V1016" s="50"/>
      <c r="W1016" s="50"/>
      <c r="X1016" s="50"/>
      <c r="Y1016" s="50"/>
    </row>
    <row r="1017" spans="2:25" x14ac:dyDescent="0.2">
      <c r="B1017" s="50" t="s">
        <v>9</v>
      </c>
      <c r="C1017" s="9" t="s">
        <v>1390</v>
      </c>
      <c r="D1017" s="10" t="s">
        <v>1369</v>
      </c>
      <c r="E1017" s="10"/>
      <c r="F1017" s="9" t="s">
        <v>17</v>
      </c>
      <c r="G1017" s="55" t="s">
        <v>527</v>
      </c>
      <c r="H1017" s="50" t="s">
        <v>602</v>
      </c>
      <c r="I1017" s="10"/>
      <c r="J1017" s="50" t="s">
        <v>603</v>
      </c>
      <c r="K1017" s="50"/>
      <c r="L1017" s="50"/>
      <c r="M1017" s="50"/>
      <c r="N1017" s="50"/>
      <c r="O1017" s="50"/>
      <c r="P1017" s="50"/>
      <c r="Q1017" s="50"/>
      <c r="R1017" s="50"/>
      <c r="S1017" s="50"/>
      <c r="T1017" s="50"/>
      <c r="U1017" s="50"/>
      <c r="V1017" s="50"/>
      <c r="W1017" s="50"/>
      <c r="X1017" s="50"/>
      <c r="Y1017" s="50"/>
    </row>
    <row r="1018" spans="2:25" x14ac:dyDescent="0.2">
      <c r="B1018" s="50" t="s">
        <v>9</v>
      </c>
      <c r="C1018" s="9" t="s">
        <v>1392</v>
      </c>
      <c r="D1018" s="10" t="s">
        <v>1369</v>
      </c>
      <c r="E1018" s="10"/>
      <c r="F1018" s="9" t="s">
        <v>17</v>
      </c>
      <c r="G1018" s="55" t="s">
        <v>527</v>
      </c>
      <c r="H1018" s="50" t="s">
        <v>602</v>
      </c>
      <c r="I1018" s="10"/>
      <c r="J1018" s="50" t="s">
        <v>603</v>
      </c>
      <c r="K1018" s="50"/>
      <c r="L1018" s="50"/>
      <c r="M1018" s="50"/>
      <c r="N1018" s="50"/>
      <c r="O1018" s="50"/>
      <c r="P1018" s="50"/>
      <c r="Q1018" s="50"/>
      <c r="R1018" s="50"/>
      <c r="S1018" s="50"/>
      <c r="T1018" s="50"/>
      <c r="U1018" s="50"/>
      <c r="V1018" s="50"/>
      <c r="W1018" s="50"/>
      <c r="X1018" s="50"/>
      <c r="Y1018" s="50"/>
    </row>
    <row r="1019" spans="2:25" x14ac:dyDescent="0.2">
      <c r="B1019" s="50" t="s">
        <v>9</v>
      </c>
      <c r="C1019" s="9" t="s">
        <v>859</v>
      </c>
      <c r="D1019" s="10" t="s">
        <v>1369</v>
      </c>
      <c r="E1019" s="10"/>
      <c r="F1019" s="9" t="s">
        <v>17</v>
      </c>
      <c r="G1019" s="55" t="s">
        <v>527</v>
      </c>
      <c r="H1019" s="50" t="s">
        <v>602</v>
      </c>
      <c r="I1019" s="10"/>
      <c r="J1019" s="50" t="s">
        <v>603</v>
      </c>
      <c r="K1019" s="50" t="s">
        <v>7174</v>
      </c>
      <c r="L1019" s="50">
        <v>5</v>
      </c>
      <c r="M1019" s="50">
        <v>4.5999999999999996</v>
      </c>
      <c r="N1019" s="50">
        <v>0.85430076067875949</v>
      </c>
      <c r="O1019" s="150">
        <v>360426.15114624996</v>
      </c>
      <c r="P1019" s="150">
        <v>13606.469999999998</v>
      </c>
      <c r="Q1019" s="150">
        <v>346819.68114624999</v>
      </c>
      <c r="R1019" s="150">
        <v>52261.352348034343</v>
      </c>
      <c r="S1019" s="150">
        <v>294558.32879821566</v>
      </c>
      <c r="T1019" s="50" t="s">
        <v>7175</v>
      </c>
      <c r="U1019" s="50">
        <v>2.8297327638988896E-3</v>
      </c>
      <c r="V1019" s="50">
        <v>8.0000000000000071E-2</v>
      </c>
      <c r="W1019" s="50">
        <v>0.99349249654086769</v>
      </c>
      <c r="X1019" s="50" t="e">
        <v>#N/A</v>
      </c>
      <c r="Y1019" s="50">
        <v>0.32</v>
      </c>
    </row>
    <row r="1020" spans="2:25" x14ac:dyDescent="0.2">
      <c r="B1020" s="50" t="s">
        <v>9</v>
      </c>
      <c r="C1020" s="9" t="s">
        <v>1399</v>
      </c>
      <c r="D1020" s="10" t="s">
        <v>1197</v>
      </c>
      <c r="E1020" s="10"/>
      <c r="F1020" s="9" t="s">
        <v>17</v>
      </c>
      <c r="G1020" s="55" t="s">
        <v>527</v>
      </c>
      <c r="H1020" s="50" t="s">
        <v>800</v>
      </c>
      <c r="I1020" s="10"/>
      <c r="J1020" s="50" t="s">
        <v>801</v>
      </c>
      <c r="K1020" s="50"/>
      <c r="L1020" s="50"/>
      <c r="M1020" s="50"/>
      <c r="N1020" s="50"/>
      <c r="O1020" s="50"/>
      <c r="P1020" s="50"/>
      <c r="Q1020" s="50"/>
      <c r="R1020" s="50"/>
      <c r="S1020" s="50"/>
      <c r="T1020" s="50"/>
      <c r="U1020" s="50"/>
      <c r="V1020" s="50"/>
      <c r="W1020" s="50"/>
      <c r="X1020" s="50"/>
      <c r="Y1020" s="50"/>
    </row>
    <row r="1021" spans="2:25" x14ac:dyDescent="0.2">
      <c r="B1021" s="50" t="s">
        <v>9</v>
      </c>
      <c r="C1021" s="9" t="s">
        <v>1400</v>
      </c>
      <c r="D1021" s="10" t="s">
        <v>1369</v>
      </c>
      <c r="E1021" s="10"/>
      <c r="F1021" s="9" t="s">
        <v>17</v>
      </c>
      <c r="G1021" s="55" t="s">
        <v>527</v>
      </c>
      <c r="H1021" s="50" t="s">
        <v>602</v>
      </c>
      <c r="I1021" s="10"/>
      <c r="J1021" s="50" t="s">
        <v>603</v>
      </c>
      <c r="K1021" s="50"/>
      <c r="L1021" s="50"/>
      <c r="M1021" s="50"/>
      <c r="N1021" s="50"/>
      <c r="O1021" s="50"/>
      <c r="P1021" s="50"/>
      <c r="Q1021" s="50"/>
      <c r="R1021" s="50"/>
      <c r="S1021" s="50"/>
      <c r="T1021" s="50"/>
      <c r="U1021" s="50"/>
      <c r="V1021" s="50"/>
      <c r="W1021" s="50"/>
      <c r="X1021" s="50"/>
      <c r="Y1021" s="50"/>
    </row>
    <row r="1022" spans="2:25" x14ac:dyDescent="0.2">
      <c r="B1022" s="50" t="s">
        <v>9</v>
      </c>
      <c r="C1022" s="9" t="s">
        <v>865</v>
      </c>
      <c r="D1022" s="10" t="s">
        <v>1386</v>
      </c>
      <c r="E1022" s="10"/>
      <c r="F1022" s="9" t="s">
        <v>17</v>
      </c>
      <c r="G1022" s="55" t="s">
        <v>527</v>
      </c>
      <c r="H1022" s="50" t="s">
        <v>602</v>
      </c>
      <c r="I1022" s="10"/>
      <c r="J1022" s="50" t="s">
        <v>603</v>
      </c>
      <c r="K1022" s="50" t="s">
        <v>7174</v>
      </c>
      <c r="L1022" s="50">
        <v>8</v>
      </c>
      <c r="M1022" s="50">
        <v>7.84</v>
      </c>
      <c r="N1022" s="50">
        <v>0.4434993924665856</v>
      </c>
      <c r="O1022" s="150">
        <v>614291.52717099991</v>
      </c>
      <c r="P1022" s="150">
        <v>22809.288</v>
      </c>
      <c r="Q1022" s="150">
        <v>591482.23917099996</v>
      </c>
      <c r="R1022" s="150">
        <v>27130.817485659387</v>
      </c>
      <c r="S1022" s="150">
        <v>564351.42168534058</v>
      </c>
      <c r="T1022" s="50" t="s">
        <v>7175</v>
      </c>
      <c r="U1022" s="50">
        <v>5.421553397629137E-3</v>
      </c>
      <c r="V1022" s="50">
        <v>2.0000000000000018E-2</v>
      </c>
      <c r="W1022" s="50">
        <v>0.96547376572986465</v>
      </c>
      <c r="X1022" s="50" t="e">
        <v>#N/A</v>
      </c>
      <c r="Y1022" s="50">
        <v>0.32</v>
      </c>
    </row>
    <row r="1023" spans="2:25" x14ac:dyDescent="0.2">
      <c r="B1023" s="50" t="s">
        <v>9</v>
      </c>
      <c r="C1023" s="9" t="s">
        <v>866</v>
      </c>
      <c r="D1023" s="10" t="s">
        <v>1386</v>
      </c>
      <c r="E1023" s="10"/>
      <c r="F1023" s="9" t="s">
        <v>17</v>
      </c>
      <c r="G1023" s="55" t="s">
        <v>527</v>
      </c>
      <c r="H1023" s="50" t="s">
        <v>602</v>
      </c>
      <c r="I1023" s="10"/>
      <c r="J1023" s="50" t="s">
        <v>603</v>
      </c>
      <c r="K1023" s="50" t="s">
        <v>7174</v>
      </c>
      <c r="L1023" s="50">
        <v>13</v>
      </c>
      <c r="M1023" s="50">
        <v>7.54</v>
      </c>
      <c r="N1023" s="50">
        <v>0.86</v>
      </c>
      <c r="O1023" s="150">
        <v>590785.47383537493</v>
      </c>
      <c r="P1023" s="150">
        <v>25809.952999999998</v>
      </c>
      <c r="Q1023" s="150">
        <v>564975.52083537495</v>
      </c>
      <c r="R1023" s="150">
        <v>52610</v>
      </c>
      <c r="S1023" s="150">
        <v>512365.52083537495</v>
      </c>
      <c r="T1023" s="50" t="s">
        <v>7175</v>
      </c>
      <c r="U1023" s="50">
        <v>4.9221405733639624E-3</v>
      </c>
      <c r="V1023" s="50">
        <v>0.42</v>
      </c>
      <c r="W1023" s="50">
        <v>0.97039590630322858</v>
      </c>
      <c r="X1023" s="50" t="e">
        <v>#N/A</v>
      </c>
      <c r="Y1023" s="50">
        <v>0.32</v>
      </c>
    </row>
    <row r="1024" spans="2:25" x14ac:dyDescent="0.2">
      <c r="B1024" s="50" t="s">
        <v>9</v>
      </c>
      <c r="C1024" s="9" t="s">
        <v>1413</v>
      </c>
      <c r="D1024" s="10" t="s">
        <v>1180</v>
      </c>
      <c r="E1024" s="10"/>
      <c r="F1024" s="9" t="s">
        <v>17</v>
      </c>
      <c r="G1024" s="55" t="s">
        <v>527</v>
      </c>
      <c r="H1024" s="50" t="s">
        <v>602</v>
      </c>
      <c r="I1024" s="10"/>
      <c r="J1024" s="50" t="s">
        <v>603</v>
      </c>
      <c r="K1024" s="50"/>
      <c r="L1024" s="50"/>
      <c r="M1024" s="50"/>
      <c r="N1024" s="50"/>
      <c r="O1024" s="50"/>
      <c r="P1024" s="50"/>
      <c r="Q1024" s="50"/>
      <c r="R1024" s="50"/>
      <c r="S1024" s="50"/>
      <c r="T1024" s="50"/>
      <c r="U1024" s="50"/>
      <c r="V1024" s="50"/>
      <c r="W1024" s="50"/>
      <c r="X1024" s="50"/>
      <c r="Y1024" s="50"/>
    </row>
    <row r="1025" spans="2:25" x14ac:dyDescent="0.2">
      <c r="B1025" s="50" t="s">
        <v>9</v>
      </c>
      <c r="C1025" s="9" t="s">
        <v>1417</v>
      </c>
      <c r="D1025" s="11"/>
      <c r="E1025" s="11"/>
      <c r="F1025" s="9" t="s">
        <v>17</v>
      </c>
      <c r="G1025" s="55" t="s">
        <v>527</v>
      </c>
      <c r="H1025" s="50" t="s">
        <v>800</v>
      </c>
      <c r="I1025" s="10"/>
      <c r="J1025" s="50" t="s">
        <v>801</v>
      </c>
      <c r="K1025" s="50"/>
      <c r="L1025" s="50"/>
      <c r="M1025" s="50"/>
      <c r="N1025" s="50"/>
      <c r="O1025" s="50"/>
      <c r="P1025" s="50"/>
      <c r="Q1025" s="50"/>
      <c r="R1025" s="50"/>
      <c r="S1025" s="50"/>
      <c r="T1025" s="50"/>
      <c r="U1025" s="50"/>
      <c r="V1025" s="50"/>
      <c r="W1025" s="50"/>
      <c r="X1025" s="50"/>
      <c r="Y1025" s="50"/>
    </row>
    <row r="1026" spans="2:25" x14ac:dyDescent="0.2">
      <c r="B1026" s="50" t="s">
        <v>9</v>
      </c>
      <c r="C1026" s="9" t="s">
        <v>1422</v>
      </c>
      <c r="D1026" s="10" t="s">
        <v>1149</v>
      </c>
      <c r="E1026" s="10"/>
      <c r="F1026" s="9" t="s">
        <v>17</v>
      </c>
      <c r="G1026" s="55" t="s">
        <v>527</v>
      </c>
      <c r="H1026" s="50" t="s">
        <v>602</v>
      </c>
      <c r="I1026" s="10"/>
      <c r="J1026" s="50" t="s">
        <v>603</v>
      </c>
      <c r="K1026" s="50"/>
      <c r="L1026" s="50"/>
      <c r="M1026" s="50"/>
      <c r="N1026" s="50"/>
      <c r="O1026" s="50"/>
      <c r="P1026" s="50"/>
      <c r="Q1026" s="50"/>
      <c r="R1026" s="50"/>
      <c r="S1026" s="50"/>
      <c r="T1026" s="50"/>
      <c r="U1026" s="50"/>
      <c r="V1026" s="50"/>
      <c r="W1026" s="50"/>
      <c r="X1026" s="50"/>
      <c r="Y1026" s="50"/>
    </row>
    <row r="1027" spans="2:25" x14ac:dyDescent="0.2">
      <c r="B1027" s="50" t="s">
        <v>9</v>
      </c>
      <c r="C1027" s="9" t="s">
        <v>1447</v>
      </c>
      <c r="D1027" s="11"/>
      <c r="E1027" s="11"/>
      <c r="F1027" s="9" t="s">
        <v>17</v>
      </c>
      <c r="G1027" s="55" t="s">
        <v>527</v>
      </c>
      <c r="H1027" s="50" t="s">
        <v>800</v>
      </c>
      <c r="I1027" s="10"/>
      <c r="J1027" s="50" t="s">
        <v>801</v>
      </c>
      <c r="K1027" s="50"/>
      <c r="L1027" s="50"/>
      <c r="M1027" s="50"/>
      <c r="N1027" s="50"/>
      <c r="O1027" s="50"/>
      <c r="P1027" s="50"/>
      <c r="Q1027" s="50"/>
      <c r="R1027" s="50"/>
      <c r="S1027" s="50"/>
      <c r="T1027" s="50"/>
      <c r="U1027" s="50"/>
      <c r="V1027" s="50"/>
      <c r="W1027" s="50"/>
      <c r="X1027" s="50"/>
      <c r="Y1027" s="50"/>
    </row>
    <row r="1028" spans="2:25" x14ac:dyDescent="0.2">
      <c r="B1028" s="50" t="s">
        <v>9</v>
      </c>
      <c r="C1028" s="9" t="s">
        <v>1462</v>
      </c>
      <c r="D1028" s="10" t="s">
        <v>1166</v>
      </c>
      <c r="E1028" s="10"/>
      <c r="F1028" s="9" t="s">
        <v>17</v>
      </c>
      <c r="G1028" s="55" t="s">
        <v>527</v>
      </c>
      <c r="H1028" s="50" t="s">
        <v>602</v>
      </c>
      <c r="I1028" s="10"/>
      <c r="J1028" s="50" t="s">
        <v>603</v>
      </c>
      <c r="K1028" s="50"/>
      <c r="L1028" s="50"/>
      <c r="M1028" s="50"/>
      <c r="N1028" s="50"/>
      <c r="O1028" s="50"/>
      <c r="P1028" s="50"/>
      <c r="Q1028" s="50"/>
      <c r="R1028" s="50"/>
      <c r="S1028" s="50"/>
      <c r="T1028" s="50"/>
      <c r="U1028" s="50"/>
      <c r="V1028" s="50"/>
      <c r="W1028" s="50"/>
      <c r="X1028" s="50"/>
      <c r="Y1028" s="50"/>
    </row>
    <row r="1029" spans="2:25" x14ac:dyDescent="0.2">
      <c r="B1029" s="50" t="s">
        <v>9</v>
      </c>
      <c r="C1029" s="9" t="s">
        <v>1463</v>
      </c>
      <c r="D1029" s="10" t="s">
        <v>1166</v>
      </c>
      <c r="E1029" s="10"/>
      <c r="F1029" s="9" t="s">
        <v>17</v>
      </c>
      <c r="G1029" s="55" t="s">
        <v>527</v>
      </c>
      <c r="H1029" s="50" t="s">
        <v>602</v>
      </c>
      <c r="I1029" s="10"/>
      <c r="J1029" s="50" t="s">
        <v>603</v>
      </c>
      <c r="K1029" s="50"/>
      <c r="L1029" s="50"/>
      <c r="M1029" s="50"/>
      <c r="N1029" s="50"/>
      <c r="O1029" s="50"/>
      <c r="P1029" s="50"/>
      <c r="Q1029" s="50"/>
      <c r="R1029" s="50"/>
      <c r="S1029" s="50"/>
      <c r="T1029" s="50"/>
      <c r="U1029" s="50"/>
      <c r="V1029" s="50"/>
      <c r="W1029" s="50"/>
      <c r="X1029" s="50"/>
      <c r="Y1029" s="50"/>
    </row>
    <row r="1030" spans="2:25" x14ac:dyDescent="0.2">
      <c r="B1030" s="50" t="s">
        <v>9</v>
      </c>
      <c r="C1030" s="9" t="s">
        <v>1471</v>
      </c>
      <c r="D1030" s="10" t="s">
        <v>1190</v>
      </c>
      <c r="E1030" s="10"/>
      <c r="F1030" s="9" t="s">
        <v>17</v>
      </c>
      <c r="G1030" s="55" t="s">
        <v>527</v>
      </c>
      <c r="H1030" s="50" t="s">
        <v>602</v>
      </c>
      <c r="I1030" s="10"/>
      <c r="J1030" s="50" t="s">
        <v>603</v>
      </c>
      <c r="K1030" s="50"/>
      <c r="L1030" s="50"/>
      <c r="M1030" s="50"/>
      <c r="N1030" s="50"/>
      <c r="O1030" s="50"/>
      <c r="P1030" s="50"/>
      <c r="Q1030" s="50"/>
      <c r="R1030" s="50"/>
      <c r="S1030" s="50"/>
      <c r="T1030" s="50"/>
      <c r="U1030" s="50"/>
      <c r="V1030" s="50"/>
      <c r="W1030" s="50"/>
      <c r="X1030" s="50"/>
      <c r="Y1030" s="50"/>
    </row>
    <row r="1031" spans="2:25" x14ac:dyDescent="0.2">
      <c r="B1031" s="50" t="s">
        <v>9</v>
      </c>
      <c r="C1031" s="9" t="s">
        <v>1482</v>
      </c>
      <c r="D1031" s="10" t="s">
        <v>1180</v>
      </c>
      <c r="E1031" s="10"/>
      <c r="F1031" s="9" t="s">
        <v>17</v>
      </c>
      <c r="G1031" s="55" t="s">
        <v>527</v>
      </c>
      <c r="H1031" s="50" t="s">
        <v>602</v>
      </c>
      <c r="I1031" s="10"/>
      <c r="J1031" s="50" t="s">
        <v>603</v>
      </c>
      <c r="K1031" s="50"/>
      <c r="L1031" s="50"/>
      <c r="M1031" s="50"/>
      <c r="N1031" s="50"/>
      <c r="O1031" s="50"/>
      <c r="P1031" s="50"/>
      <c r="Q1031" s="50"/>
      <c r="R1031" s="50"/>
      <c r="S1031" s="50"/>
      <c r="T1031" s="50"/>
      <c r="U1031" s="50"/>
      <c r="V1031" s="50"/>
      <c r="W1031" s="50"/>
      <c r="X1031" s="50"/>
      <c r="Y1031" s="50"/>
    </row>
    <row r="1032" spans="2:25" x14ac:dyDescent="0.2">
      <c r="B1032" s="50" t="s">
        <v>9</v>
      </c>
      <c r="C1032" s="9" t="s">
        <v>1484</v>
      </c>
      <c r="D1032" s="10" t="s">
        <v>1231</v>
      </c>
      <c r="E1032" s="10"/>
      <c r="F1032" s="9" t="s">
        <v>17</v>
      </c>
      <c r="G1032" s="55" t="s">
        <v>527</v>
      </c>
      <c r="H1032" s="50" t="s">
        <v>602</v>
      </c>
      <c r="I1032" s="10"/>
      <c r="J1032" s="50" t="s">
        <v>603</v>
      </c>
      <c r="K1032" s="50"/>
      <c r="L1032" s="50"/>
      <c r="M1032" s="50"/>
      <c r="N1032" s="50"/>
      <c r="O1032" s="50"/>
      <c r="P1032" s="50"/>
      <c r="Q1032" s="50"/>
      <c r="R1032" s="50"/>
      <c r="S1032" s="50"/>
      <c r="T1032" s="50"/>
      <c r="U1032" s="50"/>
      <c r="V1032" s="50"/>
      <c r="W1032" s="50"/>
      <c r="X1032" s="50"/>
      <c r="Y1032" s="50"/>
    </row>
    <row r="1033" spans="2:25" x14ac:dyDescent="0.2">
      <c r="B1033" s="50" t="s">
        <v>9</v>
      </c>
      <c r="C1033" s="9" t="s">
        <v>1485</v>
      </c>
      <c r="D1033" s="10" t="s">
        <v>1231</v>
      </c>
      <c r="E1033" s="10"/>
      <c r="F1033" s="9" t="s">
        <v>17</v>
      </c>
      <c r="G1033" s="55" t="s">
        <v>527</v>
      </c>
      <c r="H1033" s="50" t="s">
        <v>602</v>
      </c>
      <c r="I1033" s="10"/>
      <c r="J1033" s="50" t="s">
        <v>603</v>
      </c>
      <c r="K1033" s="50"/>
      <c r="L1033" s="50"/>
      <c r="M1033" s="50"/>
      <c r="N1033" s="50"/>
      <c r="O1033" s="50"/>
      <c r="P1033" s="50"/>
      <c r="Q1033" s="50"/>
      <c r="R1033" s="50"/>
      <c r="S1033" s="50"/>
      <c r="T1033" s="50"/>
      <c r="U1033" s="50"/>
      <c r="V1033" s="50"/>
      <c r="W1033" s="50"/>
      <c r="X1033" s="50"/>
      <c r="Y1033" s="50"/>
    </row>
    <row r="1034" spans="2:25" x14ac:dyDescent="0.2">
      <c r="B1034" s="50" t="s">
        <v>9</v>
      </c>
      <c r="C1034" s="9" t="s">
        <v>1494</v>
      </c>
      <c r="D1034" s="10" t="s">
        <v>1231</v>
      </c>
      <c r="E1034" s="10"/>
      <c r="F1034" s="9" t="s">
        <v>17</v>
      </c>
      <c r="G1034" s="55" t="s">
        <v>527</v>
      </c>
      <c r="H1034" s="50" t="s">
        <v>602</v>
      </c>
      <c r="I1034" s="10"/>
      <c r="J1034" s="50" t="s">
        <v>603</v>
      </c>
      <c r="K1034" s="50"/>
      <c r="L1034" s="50"/>
      <c r="M1034" s="50"/>
      <c r="N1034" s="50"/>
      <c r="O1034" s="50"/>
      <c r="P1034" s="50"/>
      <c r="Q1034" s="50"/>
      <c r="R1034" s="50"/>
      <c r="S1034" s="50"/>
      <c r="T1034" s="50"/>
      <c r="U1034" s="50"/>
      <c r="V1034" s="50"/>
      <c r="W1034" s="50"/>
      <c r="X1034" s="50"/>
      <c r="Y1034" s="50"/>
    </row>
    <row r="1035" spans="2:25" x14ac:dyDescent="0.2">
      <c r="B1035" s="50" t="s">
        <v>9</v>
      </c>
      <c r="C1035" s="9" t="s">
        <v>1497</v>
      </c>
      <c r="D1035" s="10" t="s">
        <v>1270</v>
      </c>
      <c r="E1035" s="10"/>
      <c r="F1035" s="9" t="s">
        <v>17</v>
      </c>
      <c r="G1035" s="55" t="s">
        <v>527</v>
      </c>
      <c r="H1035" s="50" t="s">
        <v>602</v>
      </c>
      <c r="I1035" s="10"/>
      <c r="J1035" s="50" t="s">
        <v>603</v>
      </c>
      <c r="K1035" s="50"/>
      <c r="L1035" s="50"/>
      <c r="M1035" s="50"/>
      <c r="N1035" s="50"/>
      <c r="O1035" s="50"/>
      <c r="P1035" s="50"/>
      <c r="Q1035" s="50"/>
      <c r="R1035" s="50"/>
      <c r="S1035" s="50"/>
      <c r="T1035" s="50"/>
      <c r="U1035" s="50"/>
      <c r="V1035" s="50"/>
      <c r="W1035" s="50"/>
      <c r="X1035" s="50"/>
      <c r="Y1035" s="50"/>
    </row>
    <row r="1036" spans="2:25" x14ac:dyDescent="0.2">
      <c r="B1036" s="50" t="s">
        <v>9</v>
      </c>
      <c r="C1036" s="9" t="s">
        <v>1507</v>
      </c>
      <c r="D1036" s="10" t="s">
        <v>1231</v>
      </c>
      <c r="E1036" s="10"/>
      <c r="F1036" s="9" t="s">
        <v>17</v>
      </c>
      <c r="G1036" s="55" t="s">
        <v>527</v>
      </c>
      <c r="H1036" s="50" t="s">
        <v>602</v>
      </c>
      <c r="I1036" s="10"/>
      <c r="J1036" s="50" t="s">
        <v>603</v>
      </c>
      <c r="K1036" s="50"/>
      <c r="L1036" s="50"/>
      <c r="M1036" s="50"/>
      <c r="N1036" s="50"/>
      <c r="O1036" s="50"/>
      <c r="P1036" s="50"/>
      <c r="Q1036" s="50"/>
      <c r="R1036" s="50"/>
      <c r="S1036" s="50"/>
      <c r="T1036" s="50"/>
      <c r="U1036" s="50"/>
      <c r="V1036" s="50"/>
      <c r="W1036" s="50"/>
      <c r="X1036" s="50"/>
      <c r="Y1036" s="50"/>
    </row>
    <row r="1037" spans="2:25" x14ac:dyDescent="0.2">
      <c r="B1037" s="50" t="s">
        <v>9</v>
      </c>
      <c r="C1037" s="9" t="s">
        <v>1526</v>
      </c>
      <c r="D1037" s="10" t="s">
        <v>1416</v>
      </c>
      <c r="E1037" s="10"/>
      <c r="F1037" s="9" t="s">
        <v>17</v>
      </c>
      <c r="G1037" s="55" t="s">
        <v>527</v>
      </c>
      <c r="H1037" s="50" t="s">
        <v>602</v>
      </c>
      <c r="I1037" s="10"/>
      <c r="J1037" s="50" t="s">
        <v>603</v>
      </c>
      <c r="K1037" s="50"/>
      <c r="L1037" s="50"/>
      <c r="M1037" s="50"/>
      <c r="N1037" s="50"/>
      <c r="O1037" s="50"/>
      <c r="P1037" s="50"/>
      <c r="Q1037" s="50"/>
      <c r="R1037" s="50"/>
      <c r="S1037" s="50"/>
      <c r="T1037" s="50"/>
      <c r="U1037" s="50"/>
      <c r="V1037" s="50"/>
      <c r="W1037" s="50"/>
      <c r="X1037" s="50"/>
      <c r="Y1037" s="50"/>
    </row>
    <row r="1038" spans="2:25" x14ac:dyDescent="0.2">
      <c r="B1038" s="50" t="s">
        <v>9</v>
      </c>
      <c r="C1038" s="9" t="s">
        <v>1537</v>
      </c>
      <c r="D1038" s="10" t="s">
        <v>1233</v>
      </c>
      <c r="E1038" s="10"/>
      <c r="F1038" s="9" t="s">
        <v>17</v>
      </c>
      <c r="G1038" s="55" t="s">
        <v>527</v>
      </c>
      <c r="H1038" s="50" t="s">
        <v>602</v>
      </c>
      <c r="I1038" s="10"/>
      <c r="J1038" s="50" t="s">
        <v>603</v>
      </c>
      <c r="K1038" s="50"/>
      <c r="L1038" s="50"/>
      <c r="M1038" s="50"/>
      <c r="N1038" s="50"/>
      <c r="O1038" s="50"/>
      <c r="P1038" s="50"/>
      <c r="Q1038" s="50"/>
      <c r="R1038" s="50"/>
      <c r="S1038" s="50"/>
      <c r="T1038" s="50"/>
      <c r="U1038" s="50"/>
      <c r="V1038" s="50"/>
      <c r="W1038" s="50"/>
      <c r="X1038" s="50"/>
      <c r="Y1038" s="50"/>
    </row>
    <row r="1039" spans="2:25" x14ac:dyDescent="0.2">
      <c r="B1039" s="50" t="s">
        <v>9</v>
      </c>
      <c r="C1039" s="9" t="s">
        <v>941</v>
      </c>
      <c r="D1039" s="10" t="s">
        <v>1138</v>
      </c>
      <c r="E1039" s="10"/>
      <c r="F1039" s="9" t="s">
        <v>17</v>
      </c>
      <c r="G1039" s="55" t="s">
        <v>527</v>
      </c>
      <c r="H1039" s="50" t="s">
        <v>602</v>
      </c>
      <c r="I1039" s="10"/>
      <c r="J1039" s="50" t="s">
        <v>603</v>
      </c>
      <c r="K1039" s="50"/>
      <c r="L1039" s="50"/>
      <c r="M1039" s="50"/>
      <c r="N1039" s="50"/>
      <c r="O1039" s="50"/>
      <c r="P1039" s="50"/>
      <c r="Q1039" s="50"/>
      <c r="R1039" s="50"/>
      <c r="S1039" s="50"/>
      <c r="T1039" s="50"/>
      <c r="U1039" s="50"/>
      <c r="V1039" s="50"/>
      <c r="W1039" s="50"/>
      <c r="X1039" s="50"/>
      <c r="Y1039" s="50"/>
    </row>
    <row r="1040" spans="2:25" x14ac:dyDescent="0.2">
      <c r="B1040" s="50" t="s">
        <v>9</v>
      </c>
      <c r="C1040" s="9" t="s">
        <v>1562</v>
      </c>
      <c r="D1040" s="10" t="s">
        <v>1149</v>
      </c>
      <c r="E1040" s="10"/>
      <c r="F1040" s="9" t="s">
        <v>17</v>
      </c>
      <c r="G1040" s="55" t="s">
        <v>527</v>
      </c>
      <c r="H1040" s="50" t="s">
        <v>602</v>
      </c>
      <c r="I1040" s="10"/>
      <c r="J1040" s="50" t="s">
        <v>603</v>
      </c>
      <c r="K1040" s="50"/>
      <c r="L1040" s="50"/>
      <c r="M1040" s="50"/>
      <c r="N1040" s="50"/>
      <c r="O1040" s="50"/>
      <c r="P1040" s="50"/>
      <c r="Q1040" s="50"/>
      <c r="R1040" s="50"/>
      <c r="S1040" s="50"/>
      <c r="T1040" s="50"/>
      <c r="U1040" s="50"/>
      <c r="V1040" s="50"/>
      <c r="W1040" s="50"/>
      <c r="X1040" s="50"/>
      <c r="Y1040" s="50"/>
    </row>
    <row r="1041" spans="2:25" x14ac:dyDescent="0.2">
      <c r="B1041" s="50" t="s">
        <v>9</v>
      </c>
      <c r="C1041" s="9" t="s">
        <v>1564</v>
      </c>
      <c r="D1041" s="10" t="s">
        <v>1191</v>
      </c>
      <c r="E1041" s="10"/>
      <c r="F1041" s="9" t="s">
        <v>17</v>
      </c>
      <c r="G1041" s="55" t="s">
        <v>527</v>
      </c>
      <c r="H1041" s="50" t="s">
        <v>800</v>
      </c>
      <c r="I1041" s="10"/>
      <c r="J1041" s="50" t="s">
        <v>801</v>
      </c>
      <c r="K1041" s="50"/>
      <c r="L1041" s="50"/>
      <c r="M1041" s="50"/>
      <c r="N1041" s="50"/>
      <c r="O1041" s="50"/>
      <c r="P1041" s="50"/>
      <c r="Q1041" s="50"/>
      <c r="R1041" s="50"/>
      <c r="S1041" s="50"/>
      <c r="T1041" s="50"/>
      <c r="U1041" s="50"/>
      <c r="V1041" s="50"/>
      <c r="W1041" s="50"/>
      <c r="X1041" s="50"/>
      <c r="Y1041" s="50"/>
    </row>
    <row r="1042" spans="2:25" x14ac:dyDescent="0.2">
      <c r="B1042" s="50" t="s">
        <v>9</v>
      </c>
      <c r="C1042" s="9" t="s">
        <v>1581</v>
      </c>
      <c r="D1042" s="10" t="s">
        <v>1275</v>
      </c>
      <c r="E1042" s="10"/>
      <c r="F1042" s="9" t="s">
        <v>17</v>
      </c>
      <c r="G1042" s="55" t="s">
        <v>527</v>
      </c>
      <c r="H1042" s="50" t="s">
        <v>602</v>
      </c>
      <c r="I1042" s="10"/>
      <c r="J1042" s="50" t="s">
        <v>603</v>
      </c>
      <c r="K1042" s="50"/>
      <c r="L1042" s="50"/>
      <c r="M1042" s="50"/>
      <c r="N1042" s="50"/>
      <c r="O1042" s="50"/>
      <c r="P1042" s="50"/>
      <c r="Q1042" s="50"/>
      <c r="R1042" s="50"/>
      <c r="S1042" s="50"/>
      <c r="T1042" s="50"/>
      <c r="U1042" s="50"/>
      <c r="V1042" s="50"/>
      <c r="W1042" s="50"/>
      <c r="X1042" s="50"/>
      <c r="Y1042" s="50"/>
    </row>
    <row r="1043" spans="2:25" x14ac:dyDescent="0.2">
      <c r="B1043" s="50" t="s">
        <v>9</v>
      </c>
      <c r="C1043" s="9" t="s">
        <v>1591</v>
      </c>
      <c r="D1043" s="11"/>
      <c r="E1043" s="11"/>
      <c r="F1043" s="9" t="s">
        <v>17</v>
      </c>
      <c r="G1043" s="55" t="s">
        <v>527</v>
      </c>
      <c r="H1043" s="50" t="s">
        <v>800</v>
      </c>
      <c r="I1043" s="10"/>
      <c r="J1043" s="50" t="s">
        <v>801</v>
      </c>
      <c r="K1043" s="50"/>
      <c r="L1043" s="50"/>
      <c r="M1043" s="50"/>
      <c r="N1043" s="50"/>
      <c r="O1043" s="50"/>
      <c r="P1043" s="50"/>
      <c r="Q1043" s="50"/>
      <c r="R1043" s="50"/>
      <c r="S1043" s="50"/>
      <c r="T1043" s="50"/>
      <c r="U1043" s="50"/>
      <c r="V1043" s="50"/>
      <c r="W1043" s="50"/>
      <c r="X1043" s="50"/>
      <c r="Y1043" s="50"/>
    </row>
    <row r="1044" spans="2:25" x14ac:dyDescent="0.2">
      <c r="B1044" s="50" t="s">
        <v>9</v>
      </c>
      <c r="C1044" s="9" t="s">
        <v>1601</v>
      </c>
      <c r="D1044" s="10" t="s">
        <v>1290</v>
      </c>
      <c r="E1044" s="10"/>
      <c r="F1044" s="9" t="s">
        <v>17</v>
      </c>
      <c r="G1044" s="55" t="s">
        <v>527</v>
      </c>
      <c r="H1044" s="50" t="s">
        <v>602</v>
      </c>
      <c r="I1044" s="10"/>
      <c r="J1044" s="50" t="s">
        <v>603</v>
      </c>
      <c r="K1044" s="50"/>
      <c r="L1044" s="50"/>
      <c r="M1044" s="50"/>
      <c r="N1044" s="50"/>
      <c r="O1044" s="50"/>
      <c r="P1044" s="50"/>
      <c r="Q1044" s="50"/>
      <c r="R1044" s="50"/>
      <c r="S1044" s="50"/>
      <c r="T1044" s="50"/>
      <c r="U1044" s="50"/>
      <c r="V1044" s="50"/>
      <c r="W1044" s="50"/>
      <c r="X1044" s="50"/>
      <c r="Y1044" s="50"/>
    </row>
    <row r="1045" spans="2:25" x14ac:dyDescent="0.2">
      <c r="B1045" s="50" t="s">
        <v>9</v>
      </c>
      <c r="C1045" s="9" t="s">
        <v>1602</v>
      </c>
      <c r="D1045" s="10" t="s">
        <v>1546</v>
      </c>
      <c r="E1045" s="10"/>
      <c r="F1045" s="9" t="s">
        <v>17</v>
      </c>
      <c r="G1045" s="55" t="s">
        <v>527</v>
      </c>
      <c r="H1045" s="50" t="s">
        <v>602</v>
      </c>
      <c r="I1045" s="10"/>
      <c r="J1045" s="50" t="s">
        <v>603</v>
      </c>
      <c r="K1045" s="50"/>
      <c r="L1045" s="50"/>
      <c r="M1045" s="50"/>
      <c r="N1045" s="50"/>
      <c r="O1045" s="50"/>
      <c r="P1045" s="50"/>
      <c r="Q1045" s="50"/>
      <c r="R1045" s="50"/>
      <c r="S1045" s="50"/>
      <c r="T1045" s="50"/>
      <c r="U1045" s="50"/>
      <c r="V1045" s="50"/>
      <c r="W1045" s="50"/>
      <c r="X1045" s="50"/>
      <c r="Y1045" s="50"/>
    </row>
    <row r="1046" spans="2:25" x14ac:dyDescent="0.2">
      <c r="B1046" s="50" t="s">
        <v>9</v>
      </c>
      <c r="C1046" s="9" t="s">
        <v>1608</v>
      </c>
      <c r="D1046" s="10" t="s">
        <v>1290</v>
      </c>
      <c r="E1046" s="10"/>
      <c r="F1046" s="9" t="s">
        <v>17</v>
      </c>
      <c r="G1046" s="55" t="s">
        <v>527</v>
      </c>
      <c r="H1046" s="50" t="s">
        <v>602</v>
      </c>
      <c r="I1046" s="10"/>
      <c r="J1046" s="50" t="s">
        <v>603</v>
      </c>
      <c r="K1046" s="50"/>
      <c r="L1046" s="50"/>
      <c r="M1046" s="50"/>
      <c r="N1046" s="50"/>
      <c r="O1046" s="50"/>
      <c r="P1046" s="50"/>
      <c r="Q1046" s="50"/>
      <c r="R1046" s="50"/>
      <c r="S1046" s="50"/>
      <c r="T1046" s="50"/>
      <c r="U1046" s="50"/>
      <c r="V1046" s="50"/>
      <c r="W1046" s="50"/>
      <c r="X1046" s="50"/>
      <c r="Y1046" s="50"/>
    </row>
    <row r="1047" spans="2:25" x14ac:dyDescent="0.2">
      <c r="B1047" s="50" t="s">
        <v>9</v>
      </c>
      <c r="C1047" s="9" t="s">
        <v>1616</v>
      </c>
      <c r="D1047" s="10" t="s">
        <v>1228</v>
      </c>
      <c r="E1047" s="10"/>
      <c r="F1047" s="9" t="s">
        <v>17</v>
      </c>
      <c r="G1047" s="55" t="s">
        <v>527</v>
      </c>
      <c r="H1047" s="50" t="s">
        <v>602</v>
      </c>
      <c r="I1047" s="10"/>
      <c r="J1047" s="50" t="s">
        <v>603</v>
      </c>
      <c r="K1047" s="50"/>
      <c r="L1047" s="50"/>
      <c r="M1047" s="50"/>
      <c r="N1047" s="50"/>
      <c r="O1047" s="50"/>
      <c r="P1047" s="50"/>
      <c r="Q1047" s="50"/>
      <c r="R1047" s="50"/>
      <c r="S1047" s="50"/>
      <c r="T1047" s="50"/>
      <c r="U1047" s="50"/>
      <c r="V1047" s="50"/>
      <c r="W1047" s="50"/>
      <c r="X1047" s="50"/>
      <c r="Y1047" s="50"/>
    </row>
    <row r="1048" spans="2:25" x14ac:dyDescent="0.2">
      <c r="B1048" s="50" t="s">
        <v>9</v>
      </c>
      <c r="C1048" s="9" t="s">
        <v>1617</v>
      </c>
      <c r="D1048" s="10" t="s">
        <v>1228</v>
      </c>
      <c r="E1048" s="10"/>
      <c r="F1048" s="9" t="s">
        <v>17</v>
      </c>
      <c r="G1048" s="55" t="s">
        <v>527</v>
      </c>
      <c r="H1048" s="50" t="s">
        <v>602</v>
      </c>
      <c r="I1048" s="10"/>
      <c r="J1048" s="50" t="s">
        <v>603</v>
      </c>
      <c r="K1048" s="50"/>
      <c r="L1048" s="50"/>
      <c r="M1048" s="50"/>
      <c r="N1048" s="50"/>
      <c r="O1048" s="50"/>
      <c r="P1048" s="50"/>
      <c r="Q1048" s="50"/>
      <c r="R1048" s="50"/>
      <c r="S1048" s="50"/>
      <c r="T1048" s="50"/>
      <c r="U1048" s="50"/>
      <c r="V1048" s="50"/>
      <c r="W1048" s="50"/>
      <c r="X1048" s="50"/>
      <c r="Y1048" s="50"/>
    </row>
    <row r="1049" spans="2:25" x14ac:dyDescent="0.2">
      <c r="B1049" s="50" t="s">
        <v>9</v>
      </c>
      <c r="C1049" s="9" t="s">
        <v>1625</v>
      </c>
      <c r="D1049" s="10" t="s">
        <v>1191</v>
      </c>
      <c r="E1049" s="10"/>
      <c r="F1049" s="9" t="s">
        <v>17</v>
      </c>
      <c r="G1049" s="55" t="s">
        <v>527</v>
      </c>
      <c r="H1049" s="50" t="s">
        <v>602</v>
      </c>
      <c r="I1049" s="10"/>
      <c r="J1049" s="50" t="s">
        <v>603</v>
      </c>
      <c r="K1049" s="50"/>
      <c r="L1049" s="50"/>
      <c r="M1049" s="50"/>
      <c r="N1049" s="50"/>
      <c r="O1049" s="50"/>
      <c r="P1049" s="50"/>
      <c r="Q1049" s="50"/>
      <c r="R1049" s="50"/>
      <c r="S1049" s="50"/>
      <c r="T1049" s="50"/>
      <c r="U1049" s="50"/>
      <c r="V1049" s="50"/>
      <c r="W1049" s="50"/>
      <c r="X1049" s="50"/>
      <c r="Y1049" s="50"/>
    </row>
    <row r="1050" spans="2:25" x14ac:dyDescent="0.2">
      <c r="B1050" s="50" t="s">
        <v>9</v>
      </c>
      <c r="C1050" s="9" t="s">
        <v>1626</v>
      </c>
      <c r="D1050" s="10" t="s">
        <v>1290</v>
      </c>
      <c r="E1050" s="10"/>
      <c r="F1050" s="9" t="s">
        <v>17</v>
      </c>
      <c r="G1050" s="55" t="s">
        <v>527</v>
      </c>
      <c r="H1050" s="50" t="s">
        <v>602</v>
      </c>
      <c r="I1050" s="10"/>
      <c r="J1050" s="50" t="s">
        <v>603</v>
      </c>
      <c r="K1050" s="50"/>
      <c r="L1050" s="50"/>
      <c r="M1050" s="50"/>
      <c r="N1050" s="50"/>
      <c r="O1050" s="50"/>
      <c r="P1050" s="50"/>
      <c r="Q1050" s="50"/>
      <c r="R1050" s="50"/>
      <c r="S1050" s="50"/>
      <c r="T1050" s="50"/>
      <c r="U1050" s="50"/>
      <c r="V1050" s="50"/>
      <c r="W1050" s="50"/>
      <c r="X1050" s="50"/>
      <c r="Y1050" s="50"/>
    </row>
    <row r="1051" spans="2:25" x14ac:dyDescent="0.2">
      <c r="B1051" s="50" t="s">
        <v>9</v>
      </c>
      <c r="C1051" s="9" t="s">
        <v>1627</v>
      </c>
      <c r="D1051" s="10" t="s">
        <v>1290</v>
      </c>
      <c r="E1051" s="10"/>
      <c r="F1051" s="9" t="s">
        <v>17</v>
      </c>
      <c r="G1051" s="55" t="s">
        <v>527</v>
      </c>
      <c r="H1051" s="50" t="s">
        <v>602</v>
      </c>
      <c r="I1051" s="10"/>
      <c r="J1051" s="50" t="s">
        <v>603</v>
      </c>
      <c r="K1051" s="50"/>
      <c r="L1051" s="50"/>
      <c r="M1051" s="50"/>
      <c r="N1051" s="50"/>
      <c r="O1051" s="50"/>
      <c r="P1051" s="50"/>
      <c r="Q1051" s="50"/>
      <c r="R1051" s="50"/>
      <c r="S1051" s="50"/>
      <c r="T1051" s="50"/>
      <c r="U1051" s="50"/>
      <c r="V1051" s="50"/>
      <c r="W1051" s="50"/>
      <c r="X1051" s="50"/>
      <c r="Y1051" s="50"/>
    </row>
    <row r="1052" spans="2:25" x14ac:dyDescent="0.2">
      <c r="B1052" s="50" t="s">
        <v>9</v>
      </c>
      <c r="C1052" s="9" t="s">
        <v>1628</v>
      </c>
      <c r="D1052" s="10" t="s">
        <v>1290</v>
      </c>
      <c r="E1052" s="10"/>
      <c r="F1052" s="9" t="s">
        <v>17</v>
      </c>
      <c r="G1052" s="55" t="s">
        <v>527</v>
      </c>
      <c r="H1052" s="50" t="s">
        <v>602</v>
      </c>
      <c r="I1052" s="10"/>
      <c r="J1052" s="50" t="s">
        <v>603</v>
      </c>
      <c r="K1052" s="50"/>
      <c r="L1052" s="50"/>
      <c r="M1052" s="50"/>
      <c r="N1052" s="50"/>
      <c r="O1052" s="50"/>
      <c r="P1052" s="50"/>
      <c r="Q1052" s="50"/>
      <c r="R1052" s="50"/>
      <c r="S1052" s="50"/>
      <c r="T1052" s="50"/>
      <c r="U1052" s="50"/>
      <c r="V1052" s="50"/>
      <c r="W1052" s="50"/>
      <c r="X1052" s="50"/>
      <c r="Y1052" s="50"/>
    </row>
    <row r="1053" spans="2:25" x14ac:dyDescent="0.2">
      <c r="B1053" s="50" t="s">
        <v>9</v>
      </c>
      <c r="C1053" s="9" t="s">
        <v>1641</v>
      </c>
      <c r="D1053" s="10" t="s">
        <v>1361</v>
      </c>
      <c r="E1053" s="10"/>
      <c r="F1053" s="9" t="s">
        <v>17</v>
      </c>
      <c r="G1053" s="55" t="s">
        <v>527</v>
      </c>
      <c r="H1053" s="50" t="s">
        <v>602</v>
      </c>
      <c r="I1053" s="10"/>
      <c r="J1053" s="50" t="s">
        <v>603</v>
      </c>
      <c r="K1053" s="50"/>
      <c r="L1053" s="50"/>
      <c r="M1053" s="50"/>
      <c r="N1053" s="50"/>
      <c r="O1053" s="50"/>
      <c r="P1053" s="50"/>
      <c r="Q1053" s="50"/>
      <c r="R1053" s="50"/>
      <c r="S1053" s="50"/>
      <c r="T1053" s="50"/>
      <c r="U1053" s="50"/>
      <c r="V1053" s="50"/>
      <c r="W1053" s="50"/>
      <c r="X1053" s="50"/>
      <c r="Y1053" s="50"/>
    </row>
    <row r="1054" spans="2:25" x14ac:dyDescent="0.2">
      <c r="B1054" s="50" t="s">
        <v>9</v>
      </c>
      <c r="C1054" s="9" t="s">
        <v>1646</v>
      </c>
      <c r="D1054" s="10" t="s">
        <v>1191</v>
      </c>
      <c r="E1054" s="10"/>
      <c r="F1054" s="9" t="s">
        <v>17</v>
      </c>
      <c r="G1054" s="55" t="s">
        <v>527</v>
      </c>
      <c r="H1054" s="50" t="s">
        <v>602</v>
      </c>
      <c r="I1054" s="10"/>
      <c r="J1054" s="50" t="s">
        <v>603</v>
      </c>
      <c r="K1054" s="50"/>
      <c r="L1054" s="50"/>
      <c r="M1054" s="50"/>
      <c r="N1054" s="50"/>
      <c r="O1054" s="50"/>
      <c r="P1054" s="50"/>
      <c r="Q1054" s="50"/>
      <c r="R1054" s="50"/>
      <c r="S1054" s="50"/>
      <c r="T1054" s="50"/>
      <c r="U1054" s="50"/>
      <c r="V1054" s="50"/>
      <c r="W1054" s="50"/>
      <c r="X1054" s="50"/>
      <c r="Y1054" s="50"/>
    </row>
    <row r="1055" spans="2:25" x14ac:dyDescent="0.2">
      <c r="B1055" s="50" t="s">
        <v>9</v>
      </c>
      <c r="C1055" s="9" t="s">
        <v>1648</v>
      </c>
      <c r="D1055" s="10" t="s">
        <v>1582</v>
      </c>
      <c r="E1055" s="10"/>
      <c r="F1055" s="9" t="s">
        <v>17</v>
      </c>
      <c r="G1055" s="55" t="s">
        <v>527</v>
      </c>
      <c r="H1055" s="50" t="s">
        <v>602</v>
      </c>
      <c r="I1055" s="10"/>
      <c r="J1055" s="50" t="s">
        <v>603</v>
      </c>
      <c r="K1055" s="50"/>
      <c r="L1055" s="50"/>
      <c r="M1055" s="50"/>
      <c r="N1055" s="50"/>
      <c r="O1055" s="50"/>
      <c r="P1055" s="50"/>
      <c r="Q1055" s="50"/>
      <c r="R1055" s="50"/>
      <c r="S1055" s="50"/>
      <c r="T1055" s="50"/>
      <c r="U1055" s="50"/>
      <c r="V1055" s="50"/>
      <c r="W1055" s="50"/>
      <c r="X1055" s="50"/>
      <c r="Y1055" s="50"/>
    </row>
    <row r="1056" spans="2:25" x14ac:dyDescent="0.2">
      <c r="B1056" s="50" t="s">
        <v>9</v>
      </c>
      <c r="C1056" s="9" t="s">
        <v>1653</v>
      </c>
      <c r="D1056" s="10" t="s">
        <v>1361</v>
      </c>
      <c r="E1056" s="10"/>
      <c r="F1056" s="9" t="s">
        <v>17</v>
      </c>
      <c r="G1056" s="55" t="s">
        <v>527</v>
      </c>
      <c r="H1056" s="50" t="s">
        <v>602</v>
      </c>
      <c r="I1056" s="10"/>
      <c r="J1056" s="50" t="s">
        <v>603</v>
      </c>
      <c r="K1056" s="50"/>
      <c r="L1056" s="50"/>
      <c r="M1056" s="50"/>
      <c r="N1056" s="50"/>
      <c r="O1056" s="50"/>
      <c r="P1056" s="50"/>
      <c r="Q1056" s="50"/>
      <c r="R1056" s="50"/>
      <c r="S1056" s="50"/>
      <c r="T1056" s="50"/>
      <c r="U1056" s="50"/>
      <c r="V1056" s="50"/>
      <c r="W1056" s="50"/>
      <c r="X1056" s="50"/>
      <c r="Y1056" s="50"/>
    </row>
    <row r="1057" spans="2:25" x14ac:dyDescent="0.2">
      <c r="B1057" s="50" t="s">
        <v>9</v>
      </c>
      <c r="C1057" s="9" t="s">
        <v>1656</v>
      </c>
      <c r="D1057" s="10" t="s">
        <v>1582</v>
      </c>
      <c r="E1057" s="10"/>
      <c r="F1057" s="9" t="s">
        <v>17</v>
      </c>
      <c r="G1057" s="55" t="s">
        <v>527</v>
      </c>
      <c r="H1057" s="50" t="s">
        <v>602</v>
      </c>
      <c r="I1057" s="10"/>
      <c r="J1057" s="50" t="s">
        <v>603</v>
      </c>
      <c r="K1057" s="50"/>
      <c r="L1057" s="50"/>
      <c r="M1057" s="50"/>
      <c r="N1057" s="50"/>
      <c r="O1057" s="50"/>
      <c r="P1057" s="50"/>
      <c r="Q1057" s="50"/>
      <c r="R1057" s="50"/>
      <c r="S1057" s="50"/>
      <c r="T1057" s="50"/>
      <c r="U1057" s="50"/>
      <c r="V1057" s="50"/>
      <c r="W1057" s="50"/>
      <c r="X1057" s="50"/>
      <c r="Y1057" s="50"/>
    </row>
    <row r="1058" spans="2:25" x14ac:dyDescent="0.2">
      <c r="B1058" s="50" t="s">
        <v>9</v>
      </c>
      <c r="C1058" s="9" t="s">
        <v>1658</v>
      </c>
      <c r="D1058" s="10" t="s">
        <v>1191</v>
      </c>
      <c r="E1058" s="10"/>
      <c r="F1058" s="9" t="s">
        <v>17</v>
      </c>
      <c r="G1058" s="55" t="s">
        <v>527</v>
      </c>
      <c r="H1058" s="50" t="s">
        <v>602</v>
      </c>
      <c r="I1058" s="10"/>
      <c r="J1058" s="50" t="s">
        <v>603</v>
      </c>
      <c r="K1058" s="50"/>
      <c r="L1058" s="50"/>
      <c r="M1058" s="50"/>
      <c r="N1058" s="50"/>
      <c r="O1058" s="50"/>
      <c r="P1058" s="50"/>
      <c r="Q1058" s="50"/>
      <c r="R1058" s="50"/>
      <c r="S1058" s="50"/>
      <c r="T1058" s="50"/>
      <c r="U1058" s="50"/>
      <c r="V1058" s="50"/>
      <c r="W1058" s="50"/>
      <c r="X1058" s="50"/>
      <c r="Y1058" s="50"/>
    </row>
    <row r="1059" spans="2:25" x14ac:dyDescent="0.2">
      <c r="B1059" s="50" t="s">
        <v>9</v>
      </c>
      <c r="C1059" s="9" t="s">
        <v>1666</v>
      </c>
      <c r="D1059" s="10" t="s">
        <v>1275</v>
      </c>
      <c r="E1059" s="10"/>
      <c r="F1059" s="9" t="s">
        <v>17</v>
      </c>
      <c r="G1059" s="55" t="s">
        <v>527</v>
      </c>
      <c r="H1059" s="50" t="s">
        <v>602</v>
      </c>
      <c r="I1059" s="10"/>
      <c r="J1059" s="50" t="s">
        <v>603</v>
      </c>
      <c r="K1059" s="50"/>
      <c r="L1059" s="50"/>
      <c r="M1059" s="50"/>
      <c r="N1059" s="50"/>
      <c r="O1059" s="50"/>
      <c r="P1059" s="50"/>
      <c r="Q1059" s="50"/>
      <c r="R1059" s="50"/>
      <c r="S1059" s="50"/>
      <c r="T1059" s="50"/>
      <c r="U1059" s="50"/>
      <c r="V1059" s="50"/>
      <c r="W1059" s="50"/>
      <c r="X1059" s="50"/>
      <c r="Y1059" s="50"/>
    </row>
    <row r="1060" spans="2:25" x14ac:dyDescent="0.2">
      <c r="B1060" s="50" t="s">
        <v>9</v>
      </c>
      <c r="C1060" s="9" t="s">
        <v>1677</v>
      </c>
      <c r="D1060" s="10" t="s">
        <v>1187</v>
      </c>
      <c r="E1060" s="10"/>
      <c r="F1060" s="9" t="s">
        <v>17</v>
      </c>
      <c r="G1060" s="55" t="s">
        <v>527</v>
      </c>
      <c r="H1060" s="50" t="s">
        <v>602</v>
      </c>
      <c r="I1060" s="10"/>
      <c r="J1060" s="50" t="s">
        <v>603</v>
      </c>
      <c r="K1060" s="50"/>
      <c r="L1060" s="50"/>
      <c r="M1060" s="50"/>
      <c r="N1060" s="50"/>
      <c r="O1060" s="50"/>
      <c r="P1060" s="50"/>
      <c r="Q1060" s="50"/>
      <c r="R1060" s="50"/>
      <c r="S1060" s="50"/>
      <c r="T1060" s="50"/>
      <c r="U1060" s="50"/>
      <c r="V1060" s="50"/>
      <c r="W1060" s="50"/>
      <c r="X1060" s="50"/>
      <c r="Y1060" s="50"/>
    </row>
    <row r="1061" spans="2:25" x14ac:dyDescent="0.2">
      <c r="B1061" s="50" t="s">
        <v>9</v>
      </c>
      <c r="C1061" s="9" t="s">
        <v>1680</v>
      </c>
      <c r="D1061" s="10" t="s">
        <v>1187</v>
      </c>
      <c r="E1061" s="10"/>
      <c r="F1061" s="9" t="s">
        <v>17</v>
      </c>
      <c r="G1061" s="55" t="s">
        <v>527</v>
      </c>
      <c r="H1061" s="50" t="s">
        <v>602</v>
      </c>
      <c r="I1061" s="10"/>
      <c r="J1061" s="50" t="s">
        <v>603</v>
      </c>
      <c r="K1061" s="50"/>
      <c r="L1061" s="50"/>
      <c r="M1061" s="50"/>
      <c r="N1061" s="50"/>
      <c r="O1061" s="50"/>
      <c r="P1061" s="50"/>
      <c r="Q1061" s="50"/>
      <c r="R1061" s="50"/>
      <c r="S1061" s="50"/>
      <c r="T1061" s="50"/>
      <c r="U1061" s="50"/>
      <c r="V1061" s="50"/>
      <c r="W1061" s="50"/>
      <c r="X1061" s="50"/>
      <c r="Y1061" s="50"/>
    </row>
    <row r="1062" spans="2:25" x14ac:dyDescent="0.2">
      <c r="B1062" s="50" t="s">
        <v>9</v>
      </c>
      <c r="C1062" s="9" t="s">
        <v>1681</v>
      </c>
      <c r="D1062" s="10" t="s">
        <v>1396</v>
      </c>
      <c r="E1062" s="10"/>
      <c r="F1062" s="9" t="s">
        <v>17</v>
      </c>
      <c r="G1062" s="55" t="s">
        <v>527</v>
      </c>
      <c r="H1062" s="50" t="s">
        <v>602</v>
      </c>
      <c r="I1062" s="10"/>
      <c r="J1062" s="50" t="s">
        <v>603</v>
      </c>
      <c r="K1062" s="50"/>
      <c r="L1062" s="50"/>
      <c r="M1062" s="50"/>
      <c r="N1062" s="50"/>
      <c r="O1062" s="50"/>
      <c r="P1062" s="50"/>
      <c r="Q1062" s="50"/>
      <c r="R1062" s="50"/>
      <c r="S1062" s="50"/>
      <c r="T1062" s="50"/>
      <c r="U1062" s="50"/>
      <c r="V1062" s="50"/>
      <c r="W1062" s="50"/>
      <c r="X1062" s="50"/>
      <c r="Y1062" s="50"/>
    </row>
    <row r="1063" spans="2:25" x14ac:dyDescent="0.2">
      <c r="B1063" s="50" t="s">
        <v>9</v>
      </c>
      <c r="C1063" s="9" t="s">
        <v>1683</v>
      </c>
      <c r="D1063" s="10" t="s">
        <v>1187</v>
      </c>
      <c r="E1063" s="10"/>
      <c r="F1063" s="9" t="s">
        <v>17</v>
      </c>
      <c r="G1063" s="55" t="s">
        <v>527</v>
      </c>
      <c r="H1063" s="50" t="s">
        <v>602</v>
      </c>
      <c r="I1063" s="10"/>
      <c r="J1063" s="50" t="s">
        <v>603</v>
      </c>
      <c r="K1063" s="50"/>
      <c r="L1063" s="50"/>
      <c r="M1063" s="50"/>
      <c r="N1063" s="50"/>
      <c r="O1063" s="50"/>
      <c r="P1063" s="50"/>
      <c r="Q1063" s="50"/>
      <c r="R1063" s="50"/>
      <c r="S1063" s="50"/>
      <c r="T1063" s="50"/>
      <c r="U1063" s="50"/>
      <c r="V1063" s="50"/>
      <c r="W1063" s="50"/>
      <c r="X1063" s="50"/>
      <c r="Y1063" s="50"/>
    </row>
    <row r="1064" spans="2:25" x14ac:dyDescent="0.2">
      <c r="B1064" s="50" t="s">
        <v>9</v>
      </c>
      <c r="C1064" s="9" t="s">
        <v>1684</v>
      </c>
      <c r="D1064" s="10" t="s">
        <v>1582</v>
      </c>
      <c r="E1064" s="10"/>
      <c r="F1064" s="9" t="s">
        <v>17</v>
      </c>
      <c r="G1064" s="55" t="s">
        <v>527</v>
      </c>
      <c r="H1064" s="50" t="s">
        <v>602</v>
      </c>
      <c r="I1064" s="10"/>
      <c r="J1064" s="50" t="s">
        <v>603</v>
      </c>
      <c r="K1064" s="50"/>
      <c r="L1064" s="50"/>
      <c r="M1064" s="50"/>
      <c r="N1064" s="50"/>
      <c r="O1064" s="50"/>
      <c r="P1064" s="50"/>
      <c r="Q1064" s="50"/>
      <c r="R1064" s="50"/>
      <c r="S1064" s="50"/>
      <c r="T1064" s="50"/>
      <c r="U1064" s="50"/>
      <c r="V1064" s="50"/>
      <c r="W1064" s="50"/>
      <c r="X1064" s="50"/>
      <c r="Y1064" s="50"/>
    </row>
    <row r="1065" spans="2:25" x14ac:dyDescent="0.2">
      <c r="B1065" s="50" t="s">
        <v>9</v>
      </c>
      <c r="C1065" s="9" t="s">
        <v>1685</v>
      </c>
      <c r="D1065" s="10" t="s">
        <v>1187</v>
      </c>
      <c r="E1065" s="10"/>
      <c r="F1065" s="9" t="s">
        <v>17</v>
      </c>
      <c r="G1065" s="55" t="s">
        <v>527</v>
      </c>
      <c r="H1065" s="50" t="s">
        <v>602</v>
      </c>
      <c r="I1065" s="10"/>
      <c r="J1065" s="50" t="s">
        <v>603</v>
      </c>
      <c r="K1065" s="50"/>
      <c r="L1065" s="50"/>
      <c r="M1065" s="50"/>
      <c r="N1065" s="50"/>
      <c r="O1065" s="50"/>
      <c r="P1065" s="50"/>
      <c r="Q1065" s="50"/>
      <c r="R1065" s="50"/>
      <c r="S1065" s="50"/>
      <c r="T1065" s="50"/>
      <c r="U1065" s="50"/>
      <c r="V1065" s="50"/>
      <c r="W1065" s="50"/>
      <c r="X1065" s="50"/>
      <c r="Y1065" s="50"/>
    </row>
    <row r="1066" spans="2:25" x14ac:dyDescent="0.2">
      <c r="B1066" s="50" t="s">
        <v>9</v>
      </c>
      <c r="C1066" s="9" t="s">
        <v>1686</v>
      </c>
      <c r="D1066" s="10" t="s">
        <v>1396</v>
      </c>
      <c r="E1066" s="10"/>
      <c r="F1066" s="9" t="s">
        <v>17</v>
      </c>
      <c r="G1066" s="55" t="s">
        <v>527</v>
      </c>
      <c r="H1066" s="50" t="s">
        <v>602</v>
      </c>
      <c r="I1066" s="10"/>
      <c r="J1066" s="50" t="s">
        <v>603</v>
      </c>
      <c r="K1066" s="50"/>
      <c r="L1066" s="50"/>
      <c r="M1066" s="50"/>
      <c r="N1066" s="50"/>
      <c r="O1066" s="50"/>
      <c r="P1066" s="50"/>
      <c r="Q1066" s="50"/>
      <c r="R1066" s="50"/>
      <c r="S1066" s="50"/>
      <c r="T1066" s="50"/>
      <c r="U1066" s="50"/>
      <c r="V1066" s="50"/>
      <c r="W1066" s="50"/>
      <c r="X1066" s="50"/>
      <c r="Y1066" s="50"/>
    </row>
    <row r="1067" spans="2:25" x14ac:dyDescent="0.2">
      <c r="B1067" s="50" t="s">
        <v>9</v>
      </c>
      <c r="C1067" s="9" t="s">
        <v>1688</v>
      </c>
      <c r="D1067" s="10" t="s">
        <v>1187</v>
      </c>
      <c r="E1067" s="10"/>
      <c r="F1067" s="9" t="s">
        <v>17</v>
      </c>
      <c r="G1067" s="55" t="s">
        <v>527</v>
      </c>
      <c r="H1067" s="50" t="s">
        <v>602</v>
      </c>
      <c r="I1067" s="10"/>
      <c r="J1067" s="50" t="s">
        <v>603</v>
      </c>
      <c r="K1067" s="50"/>
      <c r="L1067" s="50"/>
      <c r="M1067" s="50"/>
      <c r="N1067" s="50"/>
      <c r="O1067" s="50"/>
      <c r="P1067" s="50"/>
      <c r="Q1067" s="50"/>
      <c r="R1067" s="50"/>
      <c r="S1067" s="50"/>
      <c r="T1067" s="50"/>
      <c r="U1067" s="50"/>
      <c r="V1067" s="50"/>
      <c r="W1067" s="50"/>
      <c r="X1067" s="50"/>
      <c r="Y1067" s="50"/>
    </row>
    <row r="1068" spans="2:25" x14ac:dyDescent="0.2">
      <c r="B1068" s="50" t="s">
        <v>9</v>
      </c>
      <c r="C1068" s="9" t="s">
        <v>1690</v>
      </c>
      <c r="D1068" s="10" t="s">
        <v>1144</v>
      </c>
      <c r="E1068" s="10"/>
      <c r="F1068" s="9" t="s">
        <v>17</v>
      </c>
      <c r="G1068" s="55" t="s">
        <v>527</v>
      </c>
      <c r="H1068" s="50" t="s">
        <v>602</v>
      </c>
      <c r="I1068" s="10"/>
      <c r="J1068" s="50" t="s">
        <v>603</v>
      </c>
      <c r="K1068" s="50"/>
      <c r="L1068" s="50"/>
      <c r="M1068" s="50"/>
      <c r="N1068" s="50"/>
      <c r="O1068" s="50"/>
      <c r="P1068" s="50"/>
      <c r="Q1068" s="50"/>
      <c r="R1068" s="50"/>
      <c r="S1068" s="50"/>
      <c r="T1068" s="50"/>
      <c r="U1068" s="50"/>
      <c r="V1068" s="50"/>
      <c r="W1068" s="50"/>
      <c r="X1068" s="50"/>
      <c r="Y1068" s="50"/>
    </row>
    <row r="1069" spans="2:25" x14ac:dyDescent="0.2">
      <c r="B1069" s="50" t="s">
        <v>9</v>
      </c>
      <c r="C1069" s="9" t="s">
        <v>1691</v>
      </c>
      <c r="D1069" s="10" t="s">
        <v>1166</v>
      </c>
      <c r="E1069" s="10"/>
      <c r="F1069" s="9" t="s">
        <v>17</v>
      </c>
      <c r="G1069" s="55" t="s">
        <v>527</v>
      </c>
      <c r="H1069" s="50" t="s">
        <v>602</v>
      </c>
      <c r="I1069" s="10"/>
      <c r="J1069" s="50" t="s">
        <v>603</v>
      </c>
      <c r="K1069" s="50"/>
      <c r="L1069" s="50"/>
      <c r="M1069" s="50"/>
      <c r="N1069" s="50"/>
      <c r="O1069" s="50"/>
      <c r="P1069" s="50"/>
      <c r="Q1069" s="50"/>
      <c r="R1069" s="50"/>
      <c r="S1069" s="50"/>
      <c r="T1069" s="50"/>
      <c r="U1069" s="50"/>
      <c r="V1069" s="50"/>
      <c r="W1069" s="50"/>
      <c r="X1069" s="50"/>
      <c r="Y1069" s="50"/>
    </row>
    <row r="1070" spans="2:25" x14ac:dyDescent="0.2">
      <c r="B1070" s="50" t="s">
        <v>9</v>
      </c>
      <c r="C1070" s="9" t="s">
        <v>1693</v>
      </c>
      <c r="D1070" s="11"/>
      <c r="E1070" s="11"/>
      <c r="F1070" s="9" t="s">
        <v>17</v>
      </c>
      <c r="G1070" s="55" t="s">
        <v>527</v>
      </c>
      <c r="H1070" s="50" t="s">
        <v>800</v>
      </c>
      <c r="I1070" s="10"/>
      <c r="J1070" s="50" t="s">
        <v>801</v>
      </c>
      <c r="K1070" s="50"/>
      <c r="L1070" s="50"/>
      <c r="M1070" s="50"/>
      <c r="N1070" s="50"/>
      <c r="O1070" s="50"/>
      <c r="P1070" s="50"/>
      <c r="Q1070" s="50"/>
      <c r="R1070" s="50"/>
      <c r="S1070" s="50"/>
      <c r="T1070" s="50"/>
      <c r="U1070" s="50"/>
      <c r="V1070" s="50"/>
      <c r="W1070" s="50"/>
      <c r="X1070" s="50"/>
      <c r="Y1070" s="50"/>
    </row>
    <row r="1071" spans="2:25" x14ac:dyDescent="0.2">
      <c r="B1071" s="50" t="s">
        <v>9</v>
      </c>
      <c r="C1071" s="9" t="s">
        <v>1694</v>
      </c>
      <c r="D1071" s="10" t="s">
        <v>1146</v>
      </c>
      <c r="E1071" s="10"/>
      <c r="F1071" s="9" t="s">
        <v>17</v>
      </c>
      <c r="G1071" s="55" t="s">
        <v>527</v>
      </c>
      <c r="H1071" s="50" t="s">
        <v>602</v>
      </c>
      <c r="I1071" s="10"/>
      <c r="J1071" s="50" t="s">
        <v>603</v>
      </c>
      <c r="K1071" s="50"/>
      <c r="L1071" s="50"/>
      <c r="M1071" s="50"/>
      <c r="N1071" s="50"/>
      <c r="O1071" s="50"/>
      <c r="P1071" s="50"/>
      <c r="Q1071" s="50"/>
      <c r="R1071" s="50"/>
      <c r="S1071" s="50"/>
      <c r="T1071" s="50"/>
      <c r="U1071" s="50"/>
      <c r="V1071" s="50"/>
      <c r="W1071" s="50"/>
      <c r="X1071" s="50"/>
      <c r="Y1071" s="50"/>
    </row>
    <row r="1072" spans="2:25" x14ac:dyDescent="0.2">
      <c r="B1072" s="50" t="s">
        <v>9</v>
      </c>
      <c r="C1072" s="9" t="s">
        <v>1047</v>
      </c>
      <c r="D1072" s="10" t="s">
        <v>1146</v>
      </c>
      <c r="E1072" s="10"/>
      <c r="F1072" s="9" t="s">
        <v>17</v>
      </c>
      <c r="G1072" s="55" t="s">
        <v>527</v>
      </c>
      <c r="H1072" s="50" t="s">
        <v>602</v>
      </c>
      <c r="I1072" s="10"/>
      <c r="J1072" s="50" t="s">
        <v>603</v>
      </c>
      <c r="K1072" s="50"/>
      <c r="L1072" s="50"/>
      <c r="M1072" s="50"/>
      <c r="N1072" s="50"/>
      <c r="O1072" s="50"/>
      <c r="P1072" s="50"/>
      <c r="Q1072" s="50"/>
      <c r="R1072" s="50"/>
      <c r="S1072" s="50"/>
      <c r="T1072" s="50"/>
      <c r="U1072" s="50"/>
      <c r="V1072" s="50"/>
      <c r="W1072" s="50"/>
      <c r="X1072" s="50"/>
      <c r="Y1072" s="50"/>
    </row>
    <row r="1073" spans="2:25" x14ac:dyDescent="0.2">
      <c r="B1073" s="50" t="s">
        <v>9</v>
      </c>
      <c r="C1073" s="9" t="s">
        <v>1697</v>
      </c>
      <c r="D1073" s="10" t="s">
        <v>1146</v>
      </c>
      <c r="E1073" s="10"/>
      <c r="F1073" s="9" t="s">
        <v>17</v>
      </c>
      <c r="G1073" s="55" t="s">
        <v>527</v>
      </c>
      <c r="H1073" s="50" t="s">
        <v>602</v>
      </c>
      <c r="I1073" s="10"/>
      <c r="J1073" s="50" t="s">
        <v>603</v>
      </c>
      <c r="K1073" s="50"/>
      <c r="L1073" s="50"/>
      <c r="M1073" s="50"/>
      <c r="N1073" s="50"/>
      <c r="O1073" s="50"/>
      <c r="P1073" s="50"/>
      <c r="Q1073" s="50"/>
      <c r="R1073" s="50"/>
      <c r="S1073" s="50"/>
      <c r="T1073" s="50"/>
      <c r="U1073" s="50"/>
      <c r="V1073" s="50"/>
      <c r="W1073" s="50"/>
      <c r="X1073" s="50"/>
      <c r="Y1073" s="50"/>
    </row>
    <row r="1074" spans="2:25" x14ac:dyDescent="0.2">
      <c r="B1074" s="50" t="s">
        <v>9</v>
      </c>
      <c r="C1074" s="9" t="s">
        <v>1702</v>
      </c>
      <c r="D1074" s="10" t="s">
        <v>1146</v>
      </c>
      <c r="E1074" s="10"/>
      <c r="F1074" s="9" t="s">
        <v>17</v>
      </c>
      <c r="G1074" s="55" t="s">
        <v>527</v>
      </c>
      <c r="H1074" s="50" t="s">
        <v>602</v>
      </c>
      <c r="I1074" s="10"/>
      <c r="J1074" s="50" t="s">
        <v>603</v>
      </c>
      <c r="K1074" s="50"/>
      <c r="L1074" s="50"/>
      <c r="M1074" s="50"/>
      <c r="N1074" s="50"/>
      <c r="O1074" s="50"/>
      <c r="P1074" s="50"/>
      <c r="Q1074" s="50"/>
      <c r="R1074" s="50"/>
      <c r="S1074" s="50"/>
      <c r="T1074" s="50"/>
      <c r="U1074" s="50"/>
      <c r="V1074" s="50"/>
      <c r="W1074" s="50"/>
      <c r="X1074" s="50"/>
      <c r="Y1074" s="50"/>
    </row>
    <row r="1075" spans="2:25" x14ac:dyDescent="0.2">
      <c r="B1075" s="50" t="s">
        <v>9</v>
      </c>
      <c r="C1075" s="9" t="s">
        <v>1707</v>
      </c>
      <c r="D1075" s="10" t="s">
        <v>1144</v>
      </c>
      <c r="E1075" s="10"/>
      <c r="F1075" s="9" t="s">
        <v>17</v>
      </c>
      <c r="G1075" s="55" t="s">
        <v>527</v>
      </c>
      <c r="H1075" s="50" t="s">
        <v>602</v>
      </c>
      <c r="I1075" s="10"/>
      <c r="J1075" s="50" t="s">
        <v>603</v>
      </c>
      <c r="K1075" s="50"/>
      <c r="L1075" s="50"/>
      <c r="M1075" s="50"/>
      <c r="N1075" s="50"/>
      <c r="O1075" s="50"/>
      <c r="P1075" s="50"/>
      <c r="Q1075" s="50"/>
      <c r="R1075" s="50"/>
      <c r="S1075" s="50"/>
      <c r="T1075" s="50"/>
      <c r="U1075" s="50"/>
      <c r="V1075" s="50"/>
      <c r="W1075" s="50"/>
      <c r="X1075" s="50"/>
      <c r="Y1075" s="50"/>
    </row>
    <row r="1076" spans="2:25" x14ac:dyDescent="0.2">
      <c r="B1076" s="50" t="s">
        <v>9</v>
      </c>
      <c r="C1076" s="9" t="s">
        <v>1710</v>
      </c>
      <c r="D1076" s="10" t="s">
        <v>1396</v>
      </c>
      <c r="E1076" s="10"/>
      <c r="F1076" s="9" t="s">
        <v>17</v>
      </c>
      <c r="G1076" s="55" t="s">
        <v>527</v>
      </c>
      <c r="H1076" s="50" t="s">
        <v>602</v>
      </c>
      <c r="I1076" s="10"/>
      <c r="J1076" s="50" t="s">
        <v>603</v>
      </c>
      <c r="K1076" s="50"/>
      <c r="L1076" s="50"/>
      <c r="M1076" s="50"/>
      <c r="N1076" s="50"/>
      <c r="O1076" s="50"/>
      <c r="P1076" s="50"/>
      <c r="Q1076" s="50"/>
      <c r="R1076" s="50"/>
      <c r="S1076" s="50"/>
      <c r="T1076" s="50"/>
      <c r="U1076" s="50"/>
      <c r="V1076" s="50"/>
      <c r="W1076" s="50"/>
      <c r="X1076" s="50"/>
      <c r="Y1076" s="50"/>
    </row>
    <row r="1077" spans="2:25" x14ac:dyDescent="0.2">
      <c r="B1077" s="50" t="s">
        <v>9</v>
      </c>
      <c r="C1077" s="9" t="s">
        <v>1713</v>
      </c>
      <c r="D1077" s="10" t="s">
        <v>1187</v>
      </c>
      <c r="E1077" s="10"/>
      <c r="F1077" s="9" t="s">
        <v>17</v>
      </c>
      <c r="G1077" s="55" t="s">
        <v>527</v>
      </c>
      <c r="H1077" s="50" t="s">
        <v>602</v>
      </c>
      <c r="I1077" s="10"/>
      <c r="J1077" s="50" t="s">
        <v>603</v>
      </c>
      <c r="K1077" s="50"/>
      <c r="L1077" s="50"/>
      <c r="M1077" s="50"/>
      <c r="N1077" s="50"/>
      <c r="O1077" s="50"/>
      <c r="P1077" s="50"/>
      <c r="Q1077" s="50"/>
      <c r="R1077" s="50"/>
      <c r="S1077" s="50"/>
      <c r="T1077" s="50"/>
      <c r="U1077" s="50"/>
      <c r="V1077" s="50"/>
      <c r="W1077" s="50"/>
      <c r="X1077" s="50"/>
      <c r="Y1077" s="50"/>
    </row>
    <row r="1078" spans="2:25" x14ac:dyDescent="0.2">
      <c r="B1078" s="50" t="s">
        <v>9</v>
      </c>
      <c r="C1078" s="9" t="s">
        <v>1715</v>
      </c>
      <c r="D1078" s="10" t="s">
        <v>1187</v>
      </c>
      <c r="E1078" s="10"/>
      <c r="F1078" s="9" t="s">
        <v>17</v>
      </c>
      <c r="G1078" s="55" t="s">
        <v>527</v>
      </c>
      <c r="H1078" s="50" t="s">
        <v>602</v>
      </c>
      <c r="I1078" s="10"/>
      <c r="J1078" s="50" t="s">
        <v>603</v>
      </c>
      <c r="K1078" s="50"/>
      <c r="L1078" s="50"/>
      <c r="M1078" s="50"/>
      <c r="N1078" s="50"/>
      <c r="O1078" s="50"/>
      <c r="P1078" s="50"/>
      <c r="Q1078" s="50"/>
      <c r="R1078" s="50"/>
      <c r="S1078" s="50"/>
      <c r="T1078" s="50"/>
      <c r="U1078" s="50"/>
      <c r="V1078" s="50"/>
      <c r="W1078" s="50"/>
      <c r="X1078" s="50"/>
      <c r="Y1078" s="50"/>
    </row>
    <row r="1079" spans="2:25" x14ac:dyDescent="0.2">
      <c r="B1079" s="50" t="s">
        <v>9</v>
      </c>
      <c r="C1079" s="9" t="s">
        <v>1718</v>
      </c>
      <c r="D1079" s="10" t="s">
        <v>1582</v>
      </c>
      <c r="E1079" s="10"/>
      <c r="F1079" s="9" t="s">
        <v>17</v>
      </c>
      <c r="G1079" s="55" t="s">
        <v>527</v>
      </c>
      <c r="H1079" s="50" t="s">
        <v>602</v>
      </c>
      <c r="I1079" s="10"/>
      <c r="J1079" s="50" t="s">
        <v>603</v>
      </c>
      <c r="K1079" s="50"/>
      <c r="L1079" s="50"/>
      <c r="M1079" s="50"/>
      <c r="N1079" s="50"/>
      <c r="O1079" s="50"/>
      <c r="P1079" s="50"/>
      <c r="Q1079" s="50"/>
      <c r="R1079" s="50"/>
      <c r="S1079" s="50"/>
      <c r="T1079" s="50"/>
      <c r="U1079" s="50"/>
      <c r="V1079" s="50"/>
      <c r="W1079" s="50"/>
      <c r="X1079" s="50"/>
      <c r="Y1079" s="50"/>
    </row>
    <row r="1080" spans="2:25" x14ac:dyDescent="0.2">
      <c r="B1080" s="50" t="s">
        <v>9</v>
      </c>
      <c r="C1080" s="9" t="s">
        <v>1719</v>
      </c>
      <c r="D1080" s="10" t="s">
        <v>1582</v>
      </c>
      <c r="E1080" s="10"/>
      <c r="F1080" s="9" t="s">
        <v>17</v>
      </c>
      <c r="G1080" s="55" t="s">
        <v>527</v>
      </c>
      <c r="H1080" s="50" t="s">
        <v>602</v>
      </c>
      <c r="I1080" s="10"/>
      <c r="J1080" s="50" t="s">
        <v>603</v>
      </c>
      <c r="K1080" s="50" t="s">
        <v>7174</v>
      </c>
      <c r="L1080" s="50">
        <v>12</v>
      </c>
      <c r="M1080" s="50">
        <v>1.2</v>
      </c>
      <c r="N1080" s="50">
        <v>0.13473606496862311</v>
      </c>
      <c r="O1080" s="150">
        <v>94024.213342499992</v>
      </c>
      <c r="P1080" s="150">
        <v>11357.34</v>
      </c>
      <c r="Q1080" s="150">
        <v>82666.873342499995</v>
      </c>
      <c r="R1080" s="150">
        <v>8242.4004395340253</v>
      </c>
      <c r="S1080" s="150">
        <v>74424.472902965965</v>
      </c>
      <c r="T1080" s="50" t="s">
        <v>7175</v>
      </c>
      <c r="U1080" s="50">
        <v>7.1497339854103507E-4</v>
      </c>
      <c r="V1080" s="50">
        <v>0.9</v>
      </c>
      <c r="W1080" s="50">
        <v>1.0203396438307917</v>
      </c>
      <c r="X1080" s="50"/>
      <c r="Y1080" s="50"/>
    </row>
    <row r="1081" spans="2:25" x14ac:dyDescent="0.2">
      <c r="B1081" s="50" t="s">
        <v>9</v>
      </c>
      <c r="C1081" s="9" t="s">
        <v>1720</v>
      </c>
      <c r="D1081" s="10" t="s">
        <v>1361</v>
      </c>
      <c r="E1081" s="10"/>
      <c r="F1081" s="9" t="s">
        <v>17</v>
      </c>
      <c r="G1081" s="55" t="s">
        <v>527</v>
      </c>
      <c r="H1081" s="50" t="s">
        <v>602</v>
      </c>
      <c r="I1081" s="10"/>
      <c r="J1081" s="50" t="s">
        <v>603</v>
      </c>
      <c r="K1081" s="50"/>
      <c r="L1081" s="50"/>
      <c r="M1081" s="50"/>
      <c r="N1081" s="50"/>
      <c r="O1081" s="50"/>
      <c r="P1081" s="50"/>
      <c r="Q1081" s="50"/>
      <c r="R1081" s="50"/>
      <c r="S1081" s="50"/>
      <c r="T1081" s="50"/>
      <c r="U1081" s="50"/>
      <c r="V1081" s="50"/>
      <c r="W1081" s="50"/>
      <c r="X1081" s="50"/>
      <c r="Y1081" s="50"/>
    </row>
    <row r="1082" spans="2:25" x14ac:dyDescent="0.2">
      <c r="B1082" s="50" t="s">
        <v>9</v>
      </c>
      <c r="C1082" s="9" t="s">
        <v>1722</v>
      </c>
      <c r="D1082" s="10" t="s">
        <v>1238</v>
      </c>
      <c r="E1082" s="10"/>
      <c r="F1082" s="9" t="s">
        <v>17</v>
      </c>
      <c r="G1082" s="55" t="s">
        <v>527</v>
      </c>
      <c r="H1082" s="50" t="s">
        <v>602</v>
      </c>
      <c r="I1082" s="10"/>
      <c r="J1082" s="50" t="s">
        <v>603</v>
      </c>
      <c r="K1082" s="50"/>
      <c r="L1082" s="50"/>
      <c r="M1082" s="50"/>
      <c r="N1082" s="50"/>
      <c r="O1082" s="50"/>
      <c r="P1082" s="50"/>
      <c r="Q1082" s="50"/>
      <c r="R1082" s="50"/>
      <c r="S1082" s="50"/>
      <c r="T1082" s="50"/>
      <c r="U1082" s="50"/>
      <c r="V1082" s="50"/>
      <c r="W1082" s="50"/>
      <c r="X1082" s="50"/>
      <c r="Y1082" s="50"/>
    </row>
    <row r="1083" spans="2:25" x14ac:dyDescent="0.2">
      <c r="B1083" s="50" t="s">
        <v>9</v>
      </c>
      <c r="C1083" s="9" t="s">
        <v>1729</v>
      </c>
      <c r="D1083" s="10" t="s">
        <v>1244</v>
      </c>
      <c r="E1083" s="10"/>
      <c r="F1083" s="9" t="s">
        <v>17</v>
      </c>
      <c r="G1083" s="55" t="s">
        <v>527</v>
      </c>
      <c r="H1083" s="50" t="s">
        <v>602</v>
      </c>
      <c r="I1083" s="10"/>
      <c r="J1083" s="50" t="s">
        <v>603</v>
      </c>
      <c r="K1083" s="50"/>
      <c r="L1083" s="50"/>
      <c r="M1083" s="50"/>
      <c r="N1083" s="50"/>
      <c r="O1083" s="50"/>
      <c r="P1083" s="50"/>
      <c r="Q1083" s="50"/>
      <c r="R1083" s="50"/>
      <c r="S1083" s="50"/>
      <c r="T1083" s="50"/>
      <c r="U1083" s="50"/>
      <c r="V1083" s="50"/>
      <c r="W1083" s="50"/>
      <c r="X1083" s="50"/>
      <c r="Y1083" s="50"/>
    </row>
    <row r="1084" spans="2:25" x14ac:dyDescent="0.2">
      <c r="B1084" s="51" t="s">
        <v>1093</v>
      </c>
      <c r="C1084" s="9" t="s">
        <v>1899</v>
      </c>
      <c r="D1084" s="10"/>
      <c r="E1084" s="152"/>
      <c r="F1084" s="52" t="e">
        <v>#N/A</v>
      </c>
      <c r="G1084" s="55" t="s">
        <v>527</v>
      </c>
      <c r="H1084" s="50" t="e">
        <v>#N/A</v>
      </c>
      <c r="I1084" s="50" t="e">
        <v>#N/A</v>
      </c>
      <c r="J1084" s="50" t="e">
        <v>#N/A</v>
      </c>
      <c r="K1084" s="50"/>
      <c r="L1084" s="50"/>
      <c r="M1084" s="50"/>
      <c r="N1084" s="50"/>
      <c r="O1084" s="50"/>
      <c r="P1084" s="50"/>
      <c r="Q1084" s="50"/>
      <c r="R1084" s="50"/>
      <c r="S1084" s="50"/>
      <c r="T1084" s="50"/>
      <c r="U1084" s="50"/>
      <c r="V1084" s="50"/>
      <c r="W1084" s="50"/>
      <c r="X1084" s="50"/>
      <c r="Y1084" s="50"/>
    </row>
    <row r="1085" spans="2:25" x14ac:dyDescent="0.2">
      <c r="B1085" s="51" t="s">
        <v>1093</v>
      </c>
      <c r="C1085" s="9" t="s">
        <v>1932</v>
      </c>
      <c r="D1085" s="10"/>
      <c r="E1085" s="152"/>
      <c r="F1085" s="52" t="e">
        <v>#N/A</v>
      </c>
      <c r="G1085" s="55" t="s">
        <v>527</v>
      </c>
      <c r="H1085" s="50" t="e">
        <v>#N/A</v>
      </c>
      <c r="I1085" s="50" t="e">
        <v>#N/A</v>
      </c>
      <c r="J1085" s="50" t="e">
        <v>#N/A</v>
      </c>
      <c r="K1085" s="50"/>
      <c r="L1085" s="50"/>
      <c r="M1085" s="50"/>
      <c r="N1085" s="50"/>
      <c r="O1085" s="50"/>
      <c r="P1085" s="50"/>
      <c r="Q1085" s="50"/>
      <c r="R1085" s="50"/>
      <c r="S1085" s="50"/>
      <c r="T1085" s="50"/>
      <c r="U1085" s="50"/>
      <c r="V1085" s="50"/>
      <c r="W1085" s="50"/>
      <c r="X1085" s="50"/>
      <c r="Y1085" s="50"/>
    </row>
    <row r="1086" spans="2:25" x14ac:dyDescent="0.2">
      <c r="B1086" s="51" t="s">
        <v>1093</v>
      </c>
      <c r="C1086" s="9" t="s">
        <v>1906</v>
      </c>
      <c r="D1086" s="10" t="s">
        <v>1714</v>
      </c>
      <c r="E1086" s="152"/>
      <c r="F1086" s="52" t="e">
        <v>#N/A</v>
      </c>
      <c r="G1086" s="55" t="s">
        <v>527</v>
      </c>
      <c r="H1086" s="50" t="e">
        <v>#N/A</v>
      </c>
      <c r="I1086" s="50" t="e">
        <v>#N/A</v>
      </c>
      <c r="J1086" s="50" t="e">
        <v>#N/A</v>
      </c>
      <c r="K1086" s="50"/>
      <c r="L1086" s="50"/>
      <c r="M1086" s="50"/>
      <c r="N1086" s="50"/>
      <c r="O1086" s="50"/>
      <c r="P1086" s="50"/>
      <c r="Q1086" s="50"/>
      <c r="R1086" s="50"/>
      <c r="S1086" s="50"/>
      <c r="T1086" s="50"/>
      <c r="U1086" s="50"/>
      <c r="V1086" s="50"/>
      <c r="W1086" s="50"/>
      <c r="X1086" s="50"/>
      <c r="Y1086" s="50"/>
    </row>
    <row r="1087" spans="2:25" x14ac:dyDescent="0.2">
      <c r="B1087" s="51" t="s">
        <v>1093</v>
      </c>
      <c r="C1087" s="9" t="s">
        <v>1935</v>
      </c>
      <c r="D1087" s="10"/>
      <c r="E1087" s="152"/>
      <c r="F1087" s="52" t="e">
        <v>#N/A</v>
      </c>
      <c r="G1087" s="55" t="s">
        <v>527</v>
      </c>
      <c r="H1087" s="50" t="e">
        <v>#N/A</v>
      </c>
      <c r="I1087" s="50" t="e">
        <v>#N/A</v>
      </c>
      <c r="J1087" s="50" t="e">
        <v>#N/A</v>
      </c>
      <c r="K1087" s="50"/>
      <c r="L1087" s="50"/>
      <c r="M1087" s="50"/>
      <c r="N1087" s="50"/>
      <c r="O1087" s="50"/>
      <c r="P1087" s="50"/>
      <c r="Q1087" s="50"/>
      <c r="R1087" s="50"/>
      <c r="S1087" s="50"/>
      <c r="T1087" s="50"/>
      <c r="U1087" s="50"/>
      <c r="V1087" s="50"/>
      <c r="W1087" s="50"/>
      <c r="X1087" s="50"/>
      <c r="Y1087" s="50"/>
    </row>
    <row r="1088" spans="2:25" x14ac:dyDescent="0.2">
      <c r="B1088" s="51" t="s">
        <v>1093</v>
      </c>
      <c r="C1088" s="9" t="s">
        <v>1833</v>
      </c>
      <c r="D1088" s="10" t="s">
        <v>1350</v>
      </c>
      <c r="E1088" s="152"/>
      <c r="F1088" s="52" t="e">
        <v>#N/A</v>
      </c>
      <c r="G1088" s="55" t="s">
        <v>527</v>
      </c>
      <c r="H1088" s="50" t="e">
        <v>#N/A</v>
      </c>
      <c r="I1088" s="50" t="e">
        <v>#N/A</v>
      </c>
      <c r="J1088" s="50" t="e">
        <v>#N/A</v>
      </c>
      <c r="K1088" s="50"/>
      <c r="L1088" s="50"/>
      <c r="M1088" s="50"/>
      <c r="N1088" s="50"/>
      <c r="O1088" s="50"/>
      <c r="P1088" s="50"/>
      <c r="Q1088" s="50"/>
      <c r="R1088" s="50"/>
      <c r="S1088" s="50"/>
      <c r="T1088" s="50"/>
      <c r="U1088" s="50"/>
      <c r="V1088" s="50"/>
      <c r="W1088" s="50"/>
      <c r="X1088" s="50"/>
      <c r="Y1088" s="50"/>
    </row>
    <row r="1089" spans="2:25" x14ac:dyDescent="0.2">
      <c r="B1089" s="51" t="s">
        <v>1093</v>
      </c>
      <c r="C1089" s="9" t="s">
        <v>1892</v>
      </c>
      <c r="D1089" s="10" t="s">
        <v>1492</v>
      </c>
      <c r="E1089" s="152"/>
      <c r="F1089" s="52" t="e">
        <v>#N/A</v>
      </c>
      <c r="G1089" s="55" t="s">
        <v>527</v>
      </c>
      <c r="H1089" s="50" t="e">
        <v>#N/A</v>
      </c>
      <c r="I1089" s="50" t="e">
        <v>#N/A</v>
      </c>
      <c r="J1089" s="50" t="e">
        <v>#N/A</v>
      </c>
      <c r="K1089" s="50"/>
      <c r="L1089" s="50"/>
      <c r="M1089" s="50"/>
      <c r="N1089" s="50"/>
      <c r="O1089" s="50"/>
      <c r="P1089" s="50"/>
      <c r="Q1089" s="50"/>
      <c r="R1089" s="50"/>
      <c r="S1089" s="50"/>
      <c r="T1089" s="50"/>
      <c r="U1089" s="50"/>
      <c r="V1089" s="50"/>
      <c r="W1089" s="50"/>
      <c r="X1089" s="50"/>
      <c r="Y1089" s="50"/>
    </row>
    <row r="1090" spans="2:25" x14ac:dyDescent="0.2">
      <c r="B1090" s="51" t="s">
        <v>1093</v>
      </c>
      <c r="C1090" s="9" t="s">
        <v>1942</v>
      </c>
      <c r="D1090" s="10" t="s">
        <v>1414</v>
      </c>
      <c r="E1090" s="152"/>
      <c r="F1090" s="52" t="e">
        <v>#N/A</v>
      </c>
      <c r="G1090" s="55" t="s">
        <v>527</v>
      </c>
      <c r="H1090" s="50" t="e">
        <v>#N/A</v>
      </c>
      <c r="I1090" s="50" t="e">
        <v>#N/A</v>
      </c>
      <c r="J1090" s="50" t="e">
        <v>#N/A</v>
      </c>
      <c r="K1090" s="50"/>
      <c r="L1090" s="50"/>
      <c r="M1090" s="50"/>
      <c r="N1090" s="50"/>
      <c r="O1090" s="50"/>
      <c r="P1090" s="50"/>
      <c r="Q1090" s="50"/>
      <c r="R1090" s="50"/>
      <c r="S1090" s="50"/>
      <c r="T1090" s="50"/>
      <c r="U1090" s="50"/>
      <c r="V1090" s="50"/>
      <c r="W1090" s="50"/>
      <c r="X1090" s="50"/>
      <c r="Y1090" s="50"/>
    </row>
    <row r="1091" spans="2:25" x14ac:dyDescent="0.2">
      <c r="B1091" s="51" t="s">
        <v>1093</v>
      </c>
      <c r="C1091" s="9" t="s">
        <v>1942</v>
      </c>
      <c r="D1091" s="10" t="s">
        <v>1470</v>
      </c>
      <c r="E1091" s="152"/>
      <c r="F1091" s="52" t="e">
        <v>#N/A</v>
      </c>
      <c r="G1091" s="55" t="s">
        <v>527</v>
      </c>
      <c r="H1091" s="50" t="e">
        <v>#N/A</v>
      </c>
      <c r="I1091" s="50" t="e">
        <v>#N/A</v>
      </c>
      <c r="J1091" s="50" t="e">
        <v>#N/A</v>
      </c>
      <c r="K1091" s="50"/>
      <c r="L1091" s="50"/>
      <c r="M1091" s="50"/>
      <c r="N1091" s="50"/>
      <c r="O1091" s="50"/>
      <c r="P1091" s="50"/>
      <c r="Q1091" s="50"/>
      <c r="R1091" s="50"/>
      <c r="S1091" s="50"/>
      <c r="T1091" s="50"/>
      <c r="U1091" s="50"/>
      <c r="V1091" s="50"/>
      <c r="W1091" s="50"/>
      <c r="X1091" s="50"/>
      <c r="Y1091" s="50"/>
    </row>
    <row r="1092" spans="2:25" x14ac:dyDescent="0.2">
      <c r="B1092" s="51" t="s">
        <v>1093</v>
      </c>
      <c r="C1092" s="9" t="s">
        <v>1873</v>
      </c>
      <c r="D1092" s="10" t="s">
        <v>1721</v>
      </c>
      <c r="E1092" s="152"/>
      <c r="F1092" s="52" t="e">
        <v>#N/A</v>
      </c>
      <c r="G1092" s="55" t="s">
        <v>527</v>
      </c>
      <c r="H1092" s="50" t="e">
        <v>#N/A</v>
      </c>
      <c r="I1092" s="50" t="e">
        <v>#N/A</v>
      </c>
      <c r="J1092" s="50" t="e">
        <v>#N/A</v>
      </c>
      <c r="K1092" s="50"/>
      <c r="L1092" s="50"/>
      <c r="M1092" s="50"/>
      <c r="N1092" s="50"/>
      <c r="O1092" s="50"/>
      <c r="P1092" s="50"/>
      <c r="Q1092" s="50"/>
      <c r="R1092" s="50"/>
      <c r="S1092" s="50"/>
      <c r="T1092" s="50"/>
      <c r="U1092" s="50"/>
      <c r="V1092" s="50"/>
      <c r="W1092" s="50"/>
      <c r="X1092" s="50"/>
      <c r="Y1092" s="50"/>
    </row>
    <row r="1093" spans="2:25" x14ac:dyDescent="0.2">
      <c r="B1093" s="51" t="s">
        <v>1093</v>
      </c>
      <c r="C1093" s="9" t="s">
        <v>1871</v>
      </c>
      <c r="D1093" s="10" t="s">
        <v>1321</v>
      </c>
      <c r="E1093" s="152"/>
      <c r="F1093" s="52" t="e">
        <v>#N/A</v>
      </c>
      <c r="G1093" s="55" t="s">
        <v>527</v>
      </c>
      <c r="H1093" s="50" t="e">
        <v>#N/A</v>
      </c>
      <c r="I1093" s="50" t="e">
        <v>#N/A</v>
      </c>
      <c r="J1093" s="50" t="e">
        <v>#N/A</v>
      </c>
      <c r="K1093" s="50"/>
      <c r="L1093" s="50"/>
      <c r="M1093" s="50"/>
      <c r="N1093" s="50"/>
      <c r="O1093" s="50"/>
      <c r="P1093" s="50"/>
      <c r="Q1093" s="50"/>
      <c r="R1093" s="50"/>
      <c r="S1093" s="50"/>
      <c r="T1093" s="50"/>
      <c r="U1093" s="50"/>
      <c r="V1093" s="50"/>
      <c r="W1093" s="50"/>
      <c r="X1093" s="50"/>
      <c r="Y1093" s="50"/>
    </row>
    <row r="1094" spans="2:25" x14ac:dyDescent="0.2">
      <c r="B1094" s="51" t="s">
        <v>1093</v>
      </c>
      <c r="C1094" s="9" t="s">
        <v>1871</v>
      </c>
      <c r="D1094" s="10" t="s">
        <v>1291</v>
      </c>
      <c r="E1094" s="152"/>
      <c r="F1094" s="52" t="e">
        <v>#N/A</v>
      </c>
      <c r="G1094" s="55" t="s">
        <v>527</v>
      </c>
      <c r="H1094" s="50" t="e">
        <v>#N/A</v>
      </c>
      <c r="I1094" s="50" t="e">
        <v>#N/A</v>
      </c>
      <c r="J1094" s="50" t="e">
        <v>#N/A</v>
      </c>
      <c r="K1094" s="50"/>
      <c r="L1094" s="50"/>
      <c r="M1094" s="50"/>
      <c r="N1094" s="50"/>
      <c r="O1094" s="50"/>
      <c r="P1094" s="50"/>
      <c r="Q1094" s="50"/>
      <c r="R1094" s="50"/>
      <c r="S1094" s="50"/>
      <c r="T1094" s="50"/>
      <c r="U1094" s="50"/>
      <c r="V1094" s="50"/>
      <c r="W1094" s="50"/>
      <c r="X1094" s="50"/>
      <c r="Y1094" s="50"/>
    </row>
    <row r="1095" spans="2:25" x14ac:dyDescent="0.2">
      <c r="B1095" s="51" t="s">
        <v>1093</v>
      </c>
      <c r="C1095" s="9" t="s">
        <v>1904</v>
      </c>
      <c r="D1095" s="10" t="s">
        <v>1605</v>
      </c>
      <c r="E1095" s="152"/>
      <c r="F1095" s="52" t="e">
        <v>#N/A</v>
      </c>
      <c r="G1095" s="55" t="s">
        <v>527</v>
      </c>
      <c r="H1095" s="50" t="e">
        <v>#N/A</v>
      </c>
      <c r="I1095" s="50" t="e">
        <v>#N/A</v>
      </c>
      <c r="J1095" s="50" t="e">
        <v>#N/A</v>
      </c>
      <c r="K1095" s="50"/>
      <c r="L1095" s="50"/>
      <c r="M1095" s="50"/>
      <c r="N1095" s="50"/>
      <c r="O1095" s="50"/>
      <c r="P1095" s="50"/>
      <c r="Q1095" s="50"/>
      <c r="R1095" s="50"/>
      <c r="S1095" s="50"/>
      <c r="T1095" s="50"/>
      <c r="U1095" s="50"/>
      <c r="V1095" s="50"/>
      <c r="W1095" s="50"/>
      <c r="X1095" s="50"/>
      <c r="Y1095" s="50"/>
    </row>
    <row r="1096" spans="2:25" x14ac:dyDescent="0.2">
      <c r="B1096" s="51" t="s">
        <v>1093</v>
      </c>
      <c r="C1096" s="9" t="s">
        <v>1836</v>
      </c>
      <c r="D1096" s="10" t="s">
        <v>1567</v>
      </c>
      <c r="E1096" s="152"/>
      <c r="F1096" s="52" t="e">
        <v>#N/A</v>
      </c>
      <c r="G1096" s="55" t="s">
        <v>527</v>
      </c>
      <c r="H1096" s="50" t="e">
        <v>#N/A</v>
      </c>
      <c r="I1096" s="50" t="e">
        <v>#N/A</v>
      </c>
      <c r="J1096" s="50" t="e">
        <v>#N/A</v>
      </c>
      <c r="K1096" s="50"/>
      <c r="L1096" s="50"/>
      <c r="M1096" s="50"/>
      <c r="N1096" s="50"/>
      <c r="O1096" s="50"/>
      <c r="P1096" s="50"/>
      <c r="Q1096" s="50"/>
      <c r="R1096" s="50"/>
      <c r="S1096" s="50"/>
      <c r="T1096" s="50"/>
      <c r="U1096" s="50"/>
      <c r="V1096" s="50"/>
      <c r="W1096" s="50"/>
      <c r="X1096" s="50"/>
      <c r="Y1096" s="50"/>
    </row>
    <row r="1097" spans="2:25" x14ac:dyDescent="0.2">
      <c r="B1097" s="51" t="s">
        <v>1093</v>
      </c>
      <c r="C1097" s="9" t="s">
        <v>1848</v>
      </c>
      <c r="D1097" s="10" t="s">
        <v>1554</v>
      </c>
      <c r="E1097" s="152"/>
      <c r="F1097" s="52" t="e">
        <v>#N/A</v>
      </c>
      <c r="G1097" s="55" t="s">
        <v>527</v>
      </c>
      <c r="H1097" s="50" t="e">
        <v>#N/A</v>
      </c>
      <c r="I1097" s="50" t="e">
        <v>#N/A</v>
      </c>
      <c r="J1097" s="50" t="e">
        <v>#N/A</v>
      </c>
      <c r="K1097" s="50"/>
      <c r="L1097" s="50"/>
      <c r="M1097" s="50"/>
      <c r="N1097" s="50"/>
      <c r="O1097" s="50"/>
      <c r="P1097" s="50"/>
      <c r="Q1097" s="50"/>
      <c r="R1097" s="50"/>
      <c r="S1097" s="50"/>
      <c r="T1097" s="50"/>
      <c r="U1097" s="50"/>
      <c r="V1097" s="50"/>
      <c r="W1097" s="50"/>
      <c r="X1097" s="50"/>
      <c r="Y1097" s="50"/>
    </row>
    <row r="1098" spans="2:25" x14ac:dyDescent="0.2">
      <c r="B1098" s="51" t="s">
        <v>1093</v>
      </c>
      <c r="C1098" s="9" t="s">
        <v>1851</v>
      </c>
      <c r="D1098" s="10" t="s">
        <v>1347</v>
      </c>
      <c r="E1098" s="152"/>
      <c r="F1098" s="52" t="e">
        <v>#N/A</v>
      </c>
      <c r="G1098" s="55" t="s">
        <v>527</v>
      </c>
      <c r="H1098" s="50" t="e">
        <v>#N/A</v>
      </c>
      <c r="I1098" s="50" t="e">
        <v>#N/A</v>
      </c>
      <c r="J1098" s="50" t="e">
        <v>#N/A</v>
      </c>
      <c r="K1098" s="50"/>
      <c r="L1098" s="50"/>
      <c r="M1098" s="50"/>
      <c r="N1098" s="50"/>
      <c r="O1098" s="50"/>
      <c r="P1098" s="50"/>
      <c r="Q1098" s="50"/>
      <c r="R1098" s="50"/>
      <c r="S1098" s="50"/>
      <c r="T1098" s="50"/>
      <c r="U1098" s="50"/>
      <c r="V1098" s="50"/>
      <c r="W1098" s="50"/>
      <c r="X1098" s="50"/>
      <c r="Y1098" s="50"/>
    </row>
    <row r="1099" spans="2:25" x14ac:dyDescent="0.2">
      <c r="B1099" s="51" t="s">
        <v>1093</v>
      </c>
      <c r="C1099" s="9" t="s">
        <v>1851</v>
      </c>
      <c r="D1099" s="10" t="s">
        <v>1647</v>
      </c>
      <c r="E1099" s="152"/>
      <c r="F1099" s="52" t="e">
        <v>#N/A</v>
      </c>
      <c r="G1099" s="55" t="s">
        <v>527</v>
      </c>
      <c r="H1099" s="50" t="e">
        <v>#N/A</v>
      </c>
      <c r="I1099" s="50" t="e">
        <v>#N/A</v>
      </c>
      <c r="J1099" s="50" t="e">
        <v>#N/A</v>
      </c>
      <c r="K1099" s="50"/>
      <c r="L1099" s="50"/>
      <c r="M1099" s="50"/>
      <c r="N1099" s="50"/>
      <c r="O1099" s="50"/>
      <c r="P1099" s="50"/>
      <c r="Q1099" s="50"/>
      <c r="R1099" s="50"/>
      <c r="S1099" s="50"/>
      <c r="T1099" s="50"/>
      <c r="U1099" s="50"/>
      <c r="V1099" s="50"/>
      <c r="W1099" s="50"/>
      <c r="X1099" s="50"/>
      <c r="Y1099" s="50"/>
    </row>
    <row r="1100" spans="2:25" x14ac:dyDescent="0.2">
      <c r="B1100" s="51" t="s">
        <v>1093</v>
      </c>
      <c r="C1100" s="9" t="s">
        <v>1934</v>
      </c>
      <c r="D1100" s="10" t="s">
        <v>1716</v>
      </c>
      <c r="E1100" s="152"/>
      <c r="F1100" s="52" t="e">
        <v>#N/A</v>
      </c>
      <c r="G1100" s="55" t="s">
        <v>527</v>
      </c>
      <c r="H1100" s="50" t="e">
        <v>#N/A</v>
      </c>
      <c r="I1100" s="50" t="e">
        <v>#N/A</v>
      </c>
      <c r="J1100" s="50" t="e">
        <v>#N/A</v>
      </c>
      <c r="K1100" s="50"/>
      <c r="L1100" s="50"/>
      <c r="M1100" s="50"/>
      <c r="N1100" s="50"/>
      <c r="O1100" s="50"/>
      <c r="P1100" s="50"/>
      <c r="Q1100" s="50"/>
      <c r="R1100" s="50"/>
      <c r="S1100" s="50"/>
      <c r="T1100" s="50"/>
      <c r="U1100" s="50"/>
      <c r="V1100" s="50"/>
      <c r="W1100" s="50"/>
      <c r="X1100" s="50"/>
      <c r="Y1100" s="50"/>
    </row>
    <row r="1101" spans="2:25" x14ac:dyDescent="0.2">
      <c r="B1101" s="51" t="s">
        <v>1093</v>
      </c>
      <c r="C1101" s="9" t="s">
        <v>1934</v>
      </c>
      <c r="D1101" s="10" t="s">
        <v>1657</v>
      </c>
      <c r="E1101" s="152"/>
      <c r="F1101" s="52" t="e">
        <v>#N/A</v>
      </c>
      <c r="G1101" s="55" t="s">
        <v>527</v>
      </c>
      <c r="H1101" s="50" t="e">
        <v>#N/A</v>
      </c>
      <c r="I1101" s="50" t="e">
        <v>#N/A</v>
      </c>
      <c r="J1101" s="50" t="e">
        <v>#N/A</v>
      </c>
      <c r="K1101" s="50"/>
      <c r="L1101" s="50"/>
      <c r="M1101" s="50"/>
      <c r="N1101" s="50"/>
      <c r="O1101" s="50"/>
      <c r="P1101" s="50"/>
      <c r="Q1101" s="50"/>
      <c r="R1101" s="50"/>
      <c r="S1101" s="50"/>
      <c r="T1101" s="50"/>
      <c r="U1101" s="50"/>
      <c r="V1101" s="50"/>
      <c r="W1101" s="50"/>
      <c r="X1101" s="50"/>
      <c r="Y1101" s="50"/>
    </row>
    <row r="1102" spans="2:25" x14ac:dyDescent="0.2">
      <c r="B1102" s="51" t="s">
        <v>1093</v>
      </c>
      <c r="C1102" s="9" t="s">
        <v>1919</v>
      </c>
      <c r="D1102" s="10" t="s">
        <v>1682</v>
      </c>
      <c r="E1102" s="152"/>
      <c r="F1102" s="52" t="e">
        <v>#N/A</v>
      </c>
      <c r="G1102" s="55" t="s">
        <v>527</v>
      </c>
      <c r="H1102" s="50" t="e">
        <v>#N/A</v>
      </c>
      <c r="I1102" s="50" t="e">
        <v>#N/A</v>
      </c>
      <c r="J1102" s="50" t="e">
        <v>#N/A</v>
      </c>
      <c r="K1102" s="50"/>
      <c r="L1102" s="50"/>
      <c r="M1102" s="50"/>
      <c r="N1102" s="50"/>
      <c r="O1102" s="50"/>
      <c r="P1102" s="50"/>
      <c r="Q1102" s="50"/>
      <c r="R1102" s="50"/>
      <c r="S1102" s="50"/>
      <c r="T1102" s="50"/>
      <c r="U1102" s="50"/>
      <c r="V1102" s="50"/>
      <c r="W1102" s="50"/>
      <c r="X1102" s="50"/>
      <c r="Y1102" s="50"/>
    </row>
    <row r="1103" spans="2:25" x14ac:dyDescent="0.2">
      <c r="B1103" s="51" t="s">
        <v>1093</v>
      </c>
      <c r="C1103" s="9" t="s">
        <v>1919</v>
      </c>
      <c r="D1103" s="10" t="s">
        <v>1394</v>
      </c>
      <c r="E1103" s="152"/>
      <c r="F1103" s="52" t="e">
        <v>#N/A</v>
      </c>
      <c r="G1103" s="55" t="s">
        <v>527</v>
      </c>
      <c r="H1103" s="50" t="e">
        <v>#N/A</v>
      </c>
      <c r="I1103" s="50" t="e">
        <v>#N/A</v>
      </c>
      <c r="J1103" s="50" t="e">
        <v>#N/A</v>
      </c>
      <c r="K1103" s="50"/>
      <c r="L1103" s="50"/>
      <c r="M1103" s="50"/>
      <c r="N1103" s="50"/>
      <c r="O1103" s="50"/>
      <c r="P1103" s="50"/>
      <c r="Q1103" s="50"/>
      <c r="R1103" s="50"/>
      <c r="S1103" s="50"/>
      <c r="T1103" s="50"/>
      <c r="U1103" s="50"/>
      <c r="V1103" s="50"/>
      <c r="W1103" s="50"/>
      <c r="X1103" s="50"/>
      <c r="Y1103" s="50"/>
    </row>
    <row r="1104" spans="2:25" x14ac:dyDescent="0.2">
      <c r="B1104" s="51" t="s">
        <v>1093</v>
      </c>
      <c r="C1104" s="9" t="s">
        <v>1910</v>
      </c>
      <c r="D1104" s="10" t="s">
        <v>1369</v>
      </c>
      <c r="E1104" s="152"/>
      <c r="F1104" s="52" t="e">
        <v>#N/A</v>
      </c>
      <c r="G1104" s="55" t="s">
        <v>527</v>
      </c>
      <c r="H1104" s="50" t="e">
        <v>#N/A</v>
      </c>
      <c r="I1104" s="50" t="e">
        <v>#N/A</v>
      </c>
      <c r="J1104" s="50" t="e">
        <v>#N/A</v>
      </c>
      <c r="K1104" s="50"/>
      <c r="L1104" s="50"/>
      <c r="M1104" s="50"/>
      <c r="N1104" s="50"/>
      <c r="O1104" s="50"/>
      <c r="P1104" s="50"/>
      <c r="Q1104" s="50"/>
      <c r="R1104" s="50"/>
      <c r="S1104" s="50"/>
      <c r="T1104" s="50"/>
      <c r="U1104" s="50"/>
      <c r="V1104" s="50"/>
      <c r="W1104" s="50"/>
      <c r="X1104" s="50"/>
      <c r="Y1104" s="50"/>
    </row>
    <row r="1105" spans="2:25" x14ac:dyDescent="0.2">
      <c r="B1105" s="51" t="s">
        <v>1093</v>
      </c>
      <c r="C1105" s="9" t="s">
        <v>1910</v>
      </c>
      <c r="D1105" s="10" t="s">
        <v>1375</v>
      </c>
      <c r="E1105" s="152"/>
      <c r="F1105" s="52" t="e">
        <v>#N/A</v>
      </c>
      <c r="G1105" s="55" t="s">
        <v>527</v>
      </c>
      <c r="H1105" s="50" t="e">
        <v>#N/A</v>
      </c>
      <c r="I1105" s="50" t="e">
        <v>#N/A</v>
      </c>
      <c r="J1105" s="50" t="e">
        <v>#N/A</v>
      </c>
      <c r="K1105" s="50"/>
      <c r="L1105" s="50"/>
      <c r="M1105" s="50"/>
      <c r="N1105" s="50"/>
      <c r="O1105" s="50"/>
      <c r="P1105" s="50"/>
      <c r="Q1105" s="50"/>
      <c r="R1105" s="50"/>
      <c r="S1105" s="50"/>
      <c r="T1105" s="50"/>
      <c r="U1105" s="50"/>
      <c r="V1105" s="50"/>
      <c r="W1105" s="50"/>
      <c r="X1105" s="50"/>
      <c r="Y1105" s="50"/>
    </row>
    <row r="1106" spans="2:25" x14ac:dyDescent="0.2">
      <c r="B1106" s="51" t="s">
        <v>1093</v>
      </c>
      <c r="C1106" s="9" t="s">
        <v>1950</v>
      </c>
      <c r="D1106" s="10"/>
      <c r="E1106" s="152"/>
      <c r="F1106" s="52" t="e">
        <v>#N/A</v>
      </c>
      <c r="G1106" s="55" t="s">
        <v>527</v>
      </c>
      <c r="H1106" s="50" t="e">
        <v>#N/A</v>
      </c>
      <c r="I1106" s="50" t="e">
        <v>#N/A</v>
      </c>
      <c r="J1106" s="50" t="e">
        <v>#N/A</v>
      </c>
      <c r="K1106" s="50"/>
      <c r="L1106" s="50"/>
      <c r="M1106" s="50"/>
      <c r="N1106" s="50"/>
      <c r="O1106" s="50"/>
      <c r="P1106" s="50"/>
      <c r="Q1106" s="50"/>
      <c r="R1106" s="50"/>
      <c r="S1106" s="50"/>
      <c r="T1106" s="50"/>
      <c r="U1106" s="50"/>
      <c r="V1106" s="50"/>
      <c r="W1106" s="50"/>
      <c r="X1106" s="50"/>
      <c r="Y1106" s="50"/>
    </row>
    <row r="1107" spans="2:25" x14ac:dyDescent="0.2">
      <c r="B1107" s="51" t="s">
        <v>1093</v>
      </c>
      <c r="C1107" s="9" t="s">
        <v>1928</v>
      </c>
      <c r="D1107" s="10" t="s">
        <v>1654</v>
      </c>
      <c r="E1107" s="152"/>
      <c r="F1107" s="52" t="e">
        <v>#N/A</v>
      </c>
      <c r="G1107" s="55" t="s">
        <v>527</v>
      </c>
      <c r="H1107" s="50" t="e">
        <v>#N/A</v>
      </c>
      <c r="I1107" s="50" t="e">
        <v>#N/A</v>
      </c>
      <c r="J1107" s="50" t="e">
        <v>#N/A</v>
      </c>
      <c r="K1107" s="50"/>
      <c r="L1107" s="50"/>
      <c r="M1107" s="50"/>
      <c r="N1107" s="50"/>
      <c r="O1107" s="50"/>
      <c r="P1107" s="50"/>
      <c r="Q1107" s="50"/>
      <c r="R1107" s="50"/>
      <c r="S1107" s="50"/>
      <c r="T1107" s="50"/>
      <c r="U1107" s="50"/>
      <c r="V1107" s="50"/>
      <c r="W1107" s="50"/>
      <c r="X1107" s="50"/>
      <c r="Y1107" s="50"/>
    </row>
    <row r="1108" spans="2:25" x14ac:dyDescent="0.2">
      <c r="B1108" s="51" t="s">
        <v>1093</v>
      </c>
      <c r="C1108" s="9" t="s">
        <v>1922</v>
      </c>
      <c r="D1108" s="10" t="s">
        <v>1654</v>
      </c>
      <c r="E1108" s="152"/>
      <c r="F1108" s="52" t="e">
        <v>#N/A</v>
      </c>
      <c r="G1108" s="55" t="s">
        <v>527</v>
      </c>
      <c r="H1108" s="50" t="e">
        <v>#N/A</v>
      </c>
      <c r="I1108" s="50" t="e">
        <v>#N/A</v>
      </c>
      <c r="J1108" s="50" t="e">
        <v>#N/A</v>
      </c>
      <c r="K1108" s="50"/>
      <c r="L1108" s="50"/>
      <c r="M1108" s="50"/>
      <c r="N1108" s="50"/>
      <c r="O1108" s="50"/>
      <c r="P1108" s="50"/>
      <c r="Q1108" s="50"/>
      <c r="R1108" s="50"/>
      <c r="S1108" s="50"/>
      <c r="T1108" s="50"/>
      <c r="U1108" s="50"/>
      <c r="V1108" s="50"/>
      <c r="W1108" s="50"/>
      <c r="X1108" s="50"/>
      <c r="Y1108" s="50"/>
    </row>
    <row r="1109" spans="2:25" x14ac:dyDescent="0.2">
      <c r="B1109" s="51" t="s">
        <v>1093</v>
      </c>
      <c r="C1109" s="9" t="s">
        <v>1852</v>
      </c>
      <c r="D1109" s="10" t="s">
        <v>1704</v>
      </c>
      <c r="E1109" s="152"/>
      <c r="F1109" s="52" t="e">
        <v>#N/A</v>
      </c>
      <c r="G1109" s="55" t="s">
        <v>527</v>
      </c>
      <c r="H1109" s="50" t="e">
        <v>#N/A</v>
      </c>
      <c r="I1109" s="50" t="e">
        <v>#N/A</v>
      </c>
      <c r="J1109" s="50" t="e">
        <v>#N/A</v>
      </c>
      <c r="K1109" s="50"/>
      <c r="L1109" s="50"/>
      <c r="M1109" s="50"/>
      <c r="N1109" s="50"/>
      <c r="O1109" s="50"/>
      <c r="P1109" s="50"/>
      <c r="Q1109" s="50"/>
      <c r="R1109" s="50"/>
      <c r="S1109" s="50"/>
      <c r="T1109" s="50"/>
      <c r="U1109" s="50"/>
      <c r="V1109" s="50"/>
      <c r="W1109" s="50"/>
      <c r="X1109" s="50"/>
      <c r="Y1109" s="50"/>
    </row>
    <row r="1110" spans="2:25" x14ac:dyDescent="0.2">
      <c r="B1110" s="51" t="s">
        <v>1093</v>
      </c>
      <c r="C1110" s="9" t="s">
        <v>1852</v>
      </c>
      <c r="D1110" s="10" t="s">
        <v>1150</v>
      </c>
      <c r="E1110" s="152"/>
      <c r="F1110" s="52" t="e">
        <v>#N/A</v>
      </c>
      <c r="G1110" s="55" t="s">
        <v>527</v>
      </c>
      <c r="H1110" s="50" t="e">
        <v>#N/A</v>
      </c>
      <c r="I1110" s="50" t="e">
        <v>#N/A</v>
      </c>
      <c r="J1110" s="50" t="e">
        <v>#N/A</v>
      </c>
      <c r="K1110" s="50"/>
      <c r="L1110" s="50"/>
      <c r="M1110" s="50"/>
      <c r="N1110" s="50"/>
      <c r="O1110" s="50"/>
      <c r="P1110" s="50"/>
      <c r="Q1110" s="50"/>
      <c r="R1110" s="50"/>
      <c r="S1110" s="50"/>
      <c r="T1110" s="50"/>
      <c r="U1110" s="50"/>
      <c r="V1110" s="50"/>
      <c r="W1110" s="50"/>
      <c r="X1110" s="50"/>
      <c r="Y1110" s="50"/>
    </row>
    <row r="1111" spans="2:25" x14ac:dyDescent="0.2">
      <c r="B1111" s="51" t="s">
        <v>1093</v>
      </c>
      <c r="C1111" s="9" t="s">
        <v>1860</v>
      </c>
      <c r="D1111" s="10" t="s">
        <v>1140</v>
      </c>
      <c r="E1111" s="152"/>
      <c r="F1111" s="52" t="e">
        <v>#N/A</v>
      </c>
      <c r="G1111" s="55" t="s">
        <v>527</v>
      </c>
      <c r="H1111" s="50" t="e">
        <v>#N/A</v>
      </c>
      <c r="I1111" s="50" t="e">
        <v>#N/A</v>
      </c>
      <c r="J1111" s="50" t="e">
        <v>#N/A</v>
      </c>
      <c r="K1111" s="50"/>
      <c r="L1111" s="50"/>
      <c r="M1111" s="50"/>
      <c r="N1111" s="50"/>
      <c r="O1111" s="50"/>
      <c r="P1111" s="50"/>
      <c r="Q1111" s="50"/>
      <c r="R1111" s="50"/>
      <c r="S1111" s="50"/>
      <c r="T1111" s="50"/>
      <c r="U1111" s="50"/>
      <c r="V1111" s="50"/>
      <c r="W1111" s="50"/>
      <c r="X1111" s="50"/>
      <c r="Y1111" s="50"/>
    </row>
    <row r="1112" spans="2:25" x14ac:dyDescent="0.2">
      <c r="B1112" s="51" t="s">
        <v>1093</v>
      </c>
      <c r="C1112" s="9" t="s">
        <v>1890</v>
      </c>
      <c r="D1112" s="10" t="s">
        <v>1620</v>
      </c>
      <c r="E1112" s="152"/>
      <c r="F1112" s="52" t="e">
        <v>#N/A</v>
      </c>
      <c r="G1112" s="55" t="s">
        <v>527</v>
      </c>
      <c r="H1112" s="50" t="e">
        <v>#N/A</v>
      </c>
      <c r="I1112" s="50" t="e">
        <v>#N/A</v>
      </c>
      <c r="J1112" s="50" t="e">
        <v>#N/A</v>
      </c>
      <c r="K1112" s="50"/>
      <c r="L1112" s="50"/>
      <c r="M1112" s="50"/>
      <c r="N1112" s="50"/>
      <c r="O1112" s="50"/>
      <c r="P1112" s="50"/>
      <c r="Q1112" s="50"/>
      <c r="R1112" s="50"/>
      <c r="S1112" s="50"/>
      <c r="T1112" s="50"/>
      <c r="U1112" s="50"/>
      <c r="V1112" s="50"/>
      <c r="W1112" s="50"/>
      <c r="X1112" s="50"/>
      <c r="Y1112" s="50"/>
    </row>
    <row r="1113" spans="2:25" x14ac:dyDescent="0.2">
      <c r="B1113" s="51" t="s">
        <v>1093</v>
      </c>
      <c r="C1113" s="9" t="s">
        <v>1829</v>
      </c>
      <c r="D1113" s="10" t="s">
        <v>1240</v>
      </c>
      <c r="E1113" s="152"/>
      <c r="F1113" s="52" t="s">
        <v>528</v>
      </c>
      <c r="G1113" s="55" t="s">
        <v>527</v>
      </c>
      <c r="H1113" s="50" t="e">
        <v>#N/A</v>
      </c>
      <c r="I1113" s="50" t="e">
        <v>#N/A</v>
      </c>
      <c r="J1113" s="50" t="e">
        <v>#N/A</v>
      </c>
      <c r="K1113" s="50"/>
      <c r="L1113" s="50"/>
      <c r="M1113" s="50"/>
      <c r="N1113" s="50"/>
      <c r="O1113" s="50"/>
      <c r="P1113" s="50"/>
      <c r="Q1113" s="50"/>
      <c r="R1113" s="50"/>
      <c r="S1113" s="50"/>
      <c r="T1113" s="50"/>
      <c r="U1113" s="50"/>
      <c r="V1113" s="50"/>
      <c r="W1113" s="50"/>
      <c r="X1113" s="50"/>
      <c r="Y1113" s="50"/>
    </row>
    <row r="1114" spans="2:25" x14ac:dyDescent="0.2">
      <c r="B1114" s="51" t="s">
        <v>1093</v>
      </c>
      <c r="C1114" s="9" t="s">
        <v>1829</v>
      </c>
      <c r="D1114" s="10" t="s">
        <v>1341</v>
      </c>
      <c r="E1114" s="152"/>
      <c r="F1114" s="52" t="s">
        <v>528</v>
      </c>
      <c r="G1114" s="55" t="s">
        <v>527</v>
      </c>
      <c r="H1114" s="50" t="e">
        <v>#N/A</v>
      </c>
      <c r="I1114" s="50" t="e">
        <v>#N/A</v>
      </c>
      <c r="J1114" s="50" t="e">
        <v>#N/A</v>
      </c>
      <c r="K1114" s="50"/>
      <c r="L1114" s="50"/>
      <c r="M1114" s="50"/>
      <c r="N1114" s="50"/>
      <c r="O1114" s="50"/>
      <c r="P1114" s="50"/>
      <c r="Q1114" s="50"/>
      <c r="R1114" s="50"/>
      <c r="S1114" s="50"/>
      <c r="T1114" s="50"/>
      <c r="U1114" s="50"/>
      <c r="V1114" s="50"/>
      <c r="W1114" s="50"/>
      <c r="X1114" s="50"/>
      <c r="Y1114" s="50"/>
    </row>
    <row r="1115" spans="2:25" x14ac:dyDescent="0.2">
      <c r="B1115" s="51" t="s">
        <v>1093</v>
      </c>
      <c r="C1115" s="9" t="s">
        <v>1946</v>
      </c>
      <c r="D1115" s="10" t="s">
        <v>1364</v>
      </c>
      <c r="E1115" s="152"/>
      <c r="F1115" s="52" t="s">
        <v>528</v>
      </c>
      <c r="G1115" s="55" t="s">
        <v>527</v>
      </c>
      <c r="H1115" s="50" t="e">
        <v>#N/A</v>
      </c>
      <c r="I1115" s="50" t="e">
        <v>#N/A</v>
      </c>
      <c r="J1115" s="50" t="e">
        <v>#N/A</v>
      </c>
      <c r="K1115" s="50"/>
      <c r="L1115" s="50"/>
      <c r="M1115" s="50"/>
      <c r="N1115" s="50"/>
      <c r="O1115" s="50"/>
      <c r="P1115" s="50"/>
      <c r="Q1115" s="50"/>
      <c r="R1115" s="50"/>
      <c r="S1115" s="50"/>
      <c r="T1115" s="50"/>
      <c r="U1115" s="50"/>
      <c r="V1115" s="50"/>
      <c r="W1115" s="50"/>
      <c r="X1115" s="50"/>
      <c r="Y1115" s="50"/>
    </row>
    <row r="1116" spans="2:25" x14ac:dyDescent="0.2">
      <c r="B1116" s="51" t="s">
        <v>1093</v>
      </c>
      <c r="C1116" s="9" t="s">
        <v>1915</v>
      </c>
      <c r="D1116" s="10" t="s">
        <v>1236</v>
      </c>
      <c r="E1116" s="152"/>
      <c r="F1116" s="52" t="s">
        <v>528</v>
      </c>
      <c r="G1116" s="55" t="s">
        <v>527</v>
      </c>
      <c r="H1116" s="50" t="e">
        <v>#N/A</v>
      </c>
      <c r="I1116" s="50" t="e">
        <v>#N/A</v>
      </c>
      <c r="J1116" s="50" t="e">
        <v>#N/A</v>
      </c>
      <c r="K1116" s="50"/>
      <c r="L1116" s="50"/>
      <c r="M1116" s="50"/>
      <c r="N1116" s="50"/>
      <c r="O1116" s="50"/>
      <c r="P1116" s="50"/>
      <c r="Q1116" s="50"/>
      <c r="R1116" s="50"/>
      <c r="S1116" s="50"/>
      <c r="T1116" s="50"/>
      <c r="U1116" s="50"/>
      <c r="V1116" s="50"/>
      <c r="W1116" s="50"/>
      <c r="X1116" s="50"/>
      <c r="Y1116" s="50"/>
    </row>
    <row r="1117" spans="2:25" x14ac:dyDescent="0.2">
      <c r="B1117" s="51" t="s">
        <v>1093</v>
      </c>
      <c r="C1117" s="9" t="s">
        <v>1840</v>
      </c>
      <c r="D1117" s="10" t="s">
        <v>1541</v>
      </c>
      <c r="E1117" s="152"/>
      <c r="F1117" s="52" t="s">
        <v>528</v>
      </c>
      <c r="G1117" s="55" t="s">
        <v>527</v>
      </c>
      <c r="H1117" s="50" t="e">
        <v>#N/A</v>
      </c>
      <c r="I1117" s="50" t="e">
        <v>#N/A</v>
      </c>
      <c r="J1117" s="50" t="e">
        <v>#N/A</v>
      </c>
      <c r="K1117" s="50"/>
      <c r="L1117" s="50"/>
      <c r="M1117" s="50"/>
      <c r="N1117" s="50"/>
      <c r="O1117" s="50"/>
      <c r="P1117" s="50"/>
      <c r="Q1117" s="50"/>
      <c r="R1117" s="50"/>
      <c r="S1117" s="50"/>
      <c r="T1117" s="50"/>
      <c r="U1117" s="50"/>
      <c r="V1117" s="50"/>
      <c r="W1117" s="50"/>
      <c r="X1117" s="50"/>
      <c r="Y1117" s="50"/>
    </row>
    <row r="1118" spans="2:25" x14ac:dyDescent="0.2">
      <c r="B1118" s="51" t="s">
        <v>1093</v>
      </c>
      <c r="C1118" s="9" t="s">
        <v>1901</v>
      </c>
      <c r="D1118" s="10" t="s">
        <v>1283</v>
      </c>
      <c r="E1118" s="152"/>
      <c r="F1118" s="52" t="s">
        <v>528</v>
      </c>
      <c r="G1118" s="55" t="s">
        <v>527</v>
      </c>
      <c r="H1118" s="50" t="e">
        <v>#N/A</v>
      </c>
      <c r="I1118" s="50" t="e">
        <v>#N/A</v>
      </c>
      <c r="J1118" s="50" t="e">
        <v>#N/A</v>
      </c>
      <c r="K1118" s="50"/>
      <c r="L1118" s="50"/>
      <c r="M1118" s="50"/>
      <c r="N1118" s="50"/>
      <c r="O1118" s="50"/>
      <c r="P1118" s="50"/>
      <c r="Q1118" s="50"/>
      <c r="R1118" s="50"/>
      <c r="S1118" s="50"/>
      <c r="T1118" s="50"/>
      <c r="U1118" s="50"/>
      <c r="V1118" s="50"/>
      <c r="W1118" s="50"/>
      <c r="X1118" s="50"/>
      <c r="Y1118" s="50"/>
    </row>
    <row r="1119" spans="2:25" x14ac:dyDescent="0.2">
      <c r="B1119" s="51" t="s">
        <v>1093</v>
      </c>
      <c r="C1119" s="9" t="s">
        <v>1831</v>
      </c>
      <c r="D1119" s="10" t="s">
        <v>1252</v>
      </c>
      <c r="E1119" s="152"/>
      <c r="F1119" s="52" t="s">
        <v>528</v>
      </c>
      <c r="G1119" s="55" t="s">
        <v>527</v>
      </c>
      <c r="H1119" s="50" t="e">
        <v>#N/A</v>
      </c>
      <c r="I1119" s="50" t="e">
        <v>#N/A</v>
      </c>
      <c r="J1119" s="50" t="e">
        <v>#N/A</v>
      </c>
      <c r="K1119" s="50"/>
      <c r="L1119" s="50"/>
      <c r="M1119" s="50"/>
      <c r="N1119" s="50"/>
      <c r="O1119" s="50"/>
      <c r="P1119" s="50"/>
      <c r="Q1119" s="50"/>
      <c r="R1119" s="50"/>
      <c r="S1119" s="50"/>
      <c r="T1119" s="50"/>
      <c r="U1119" s="50"/>
      <c r="V1119" s="50"/>
      <c r="W1119" s="50"/>
      <c r="X1119" s="50"/>
      <c r="Y1119" s="50"/>
    </row>
    <row r="1120" spans="2:25" x14ac:dyDescent="0.2">
      <c r="B1120" s="51" t="s">
        <v>1093</v>
      </c>
      <c r="C1120" s="9" t="s">
        <v>1877</v>
      </c>
      <c r="D1120" s="10" t="s">
        <v>1519</v>
      </c>
      <c r="E1120" s="152"/>
      <c r="F1120" s="52" t="s">
        <v>528</v>
      </c>
      <c r="G1120" s="55" t="s">
        <v>527</v>
      </c>
      <c r="H1120" s="50" t="e">
        <v>#N/A</v>
      </c>
      <c r="I1120" s="50" t="e">
        <v>#N/A</v>
      </c>
      <c r="J1120" s="50" t="e">
        <v>#N/A</v>
      </c>
      <c r="K1120" s="50"/>
      <c r="L1120" s="50"/>
      <c r="M1120" s="50"/>
      <c r="N1120" s="50"/>
      <c r="O1120" s="50"/>
      <c r="P1120" s="50"/>
      <c r="Q1120" s="50"/>
      <c r="R1120" s="50"/>
      <c r="S1120" s="50"/>
      <c r="T1120" s="50"/>
      <c r="U1120" s="50"/>
      <c r="V1120" s="50"/>
      <c r="W1120" s="50"/>
      <c r="X1120" s="50"/>
      <c r="Y1120" s="50"/>
    </row>
    <row r="1121" spans="2:25" x14ac:dyDescent="0.2">
      <c r="B1121" s="51" t="s">
        <v>1093</v>
      </c>
      <c r="C1121" s="9" t="s">
        <v>1877</v>
      </c>
      <c r="D1121" s="10" t="s">
        <v>1315</v>
      </c>
      <c r="E1121" s="152"/>
      <c r="F1121" s="52" t="s">
        <v>528</v>
      </c>
      <c r="G1121" s="55" t="s">
        <v>527</v>
      </c>
      <c r="H1121" s="50" t="e">
        <v>#N/A</v>
      </c>
      <c r="I1121" s="50" t="e">
        <v>#N/A</v>
      </c>
      <c r="J1121" s="50" t="e">
        <v>#N/A</v>
      </c>
      <c r="K1121" s="50"/>
      <c r="L1121" s="50"/>
      <c r="M1121" s="50"/>
      <c r="N1121" s="50"/>
      <c r="O1121" s="50"/>
      <c r="P1121" s="50"/>
      <c r="Q1121" s="50"/>
      <c r="R1121" s="50"/>
      <c r="S1121" s="50"/>
      <c r="T1121" s="50"/>
      <c r="U1121" s="50"/>
      <c r="V1121" s="50"/>
      <c r="W1121" s="50"/>
      <c r="X1121" s="50"/>
      <c r="Y1121" s="50"/>
    </row>
    <row r="1122" spans="2:25" x14ac:dyDescent="0.2">
      <c r="B1122" s="51" t="s">
        <v>1093</v>
      </c>
      <c r="C1122" s="9" t="s">
        <v>1877</v>
      </c>
      <c r="D1122" s="10" t="s">
        <v>1532</v>
      </c>
      <c r="E1122" s="152"/>
      <c r="F1122" s="52" t="s">
        <v>528</v>
      </c>
      <c r="G1122" s="55" t="s">
        <v>527</v>
      </c>
      <c r="H1122" s="50" t="e">
        <v>#N/A</v>
      </c>
      <c r="I1122" s="50" t="e">
        <v>#N/A</v>
      </c>
      <c r="J1122" s="50" t="e">
        <v>#N/A</v>
      </c>
      <c r="K1122" s="50"/>
      <c r="L1122" s="50"/>
      <c r="M1122" s="50"/>
      <c r="N1122" s="50"/>
      <c r="O1122" s="50"/>
      <c r="P1122" s="50"/>
      <c r="Q1122" s="50"/>
      <c r="R1122" s="50"/>
      <c r="S1122" s="50"/>
      <c r="T1122" s="50"/>
      <c r="U1122" s="50"/>
      <c r="V1122" s="50"/>
      <c r="W1122" s="50"/>
      <c r="X1122" s="50"/>
      <c r="Y1122" s="50"/>
    </row>
    <row r="1123" spans="2:25" x14ac:dyDescent="0.2">
      <c r="B1123" s="51" t="s">
        <v>1093</v>
      </c>
      <c r="C1123" s="9" t="s">
        <v>1939</v>
      </c>
      <c r="D1123" s="10"/>
      <c r="E1123" s="152"/>
      <c r="F1123" s="52" t="s">
        <v>528</v>
      </c>
      <c r="G1123" s="55" t="s">
        <v>527</v>
      </c>
      <c r="H1123" s="50" t="e">
        <v>#N/A</v>
      </c>
      <c r="I1123" s="50" t="e">
        <v>#N/A</v>
      </c>
      <c r="J1123" s="50" t="e">
        <v>#N/A</v>
      </c>
      <c r="K1123" s="50"/>
      <c r="L1123" s="50"/>
      <c r="M1123" s="50"/>
      <c r="N1123" s="50"/>
      <c r="O1123" s="50"/>
      <c r="P1123" s="50"/>
      <c r="Q1123" s="50"/>
      <c r="R1123" s="50"/>
      <c r="S1123" s="50"/>
      <c r="T1123" s="50"/>
      <c r="U1123" s="50"/>
      <c r="V1123" s="50"/>
      <c r="W1123" s="50"/>
      <c r="X1123" s="50"/>
      <c r="Y1123" s="50"/>
    </row>
    <row r="1124" spans="2:25" x14ac:dyDescent="0.2">
      <c r="B1124" s="51" t="s">
        <v>1093</v>
      </c>
      <c r="C1124" s="9" t="s">
        <v>1897</v>
      </c>
      <c r="D1124" s="10" t="s">
        <v>1280</v>
      </c>
      <c r="E1124" s="152"/>
      <c r="F1124" s="52" t="s">
        <v>528</v>
      </c>
      <c r="G1124" s="55" t="s">
        <v>527</v>
      </c>
      <c r="H1124" s="50" t="e">
        <v>#N/A</v>
      </c>
      <c r="I1124" s="50" t="e">
        <v>#N/A</v>
      </c>
      <c r="J1124" s="50" t="e">
        <v>#N/A</v>
      </c>
      <c r="K1124" s="50"/>
      <c r="L1124" s="50"/>
      <c r="M1124" s="50"/>
      <c r="N1124" s="50"/>
      <c r="O1124" s="50"/>
      <c r="P1124" s="50"/>
      <c r="Q1124" s="50"/>
      <c r="R1124" s="50"/>
      <c r="S1124" s="50"/>
      <c r="T1124" s="50"/>
      <c r="U1124" s="50"/>
      <c r="V1124" s="50"/>
      <c r="W1124" s="50"/>
      <c r="X1124" s="50"/>
      <c r="Y1124" s="50"/>
    </row>
    <row r="1125" spans="2:25" x14ac:dyDescent="0.2">
      <c r="B1125" s="51" t="s">
        <v>1093</v>
      </c>
      <c r="C1125" s="9" t="s">
        <v>1845</v>
      </c>
      <c r="D1125" s="10"/>
      <c r="E1125" s="152"/>
      <c r="F1125" s="52" t="e">
        <v>#N/A</v>
      </c>
      <c r="G1125" s="55" t="s">
        <v>527</v>
      </c>
      <c r="H1125" s="50" t="e">
        <v>#N/A</v>
      </c>
      <c r="I1125" s="50" t="e">
        <v>#N/A</v>
      </c>
      <c r="J1125" s="50" t="e">
        <v>#N/A</v>
      </c>
      <c r="K1125" s="50"/>
      <c r="L1125" s="50"/>
      <c r="M1125" s="50"/>
      <c r="N1125" s="50"/>
      <c r="O1125" s="50"/>
      <c r="P1125" s="50"/>
      <c r="Q1125" s="50"/>
      <c r="R1125" s="50"/>
      <c r="S1125" s="50"/>
      <c r="T1125" s="50"/>
      <c r="U1125" s="50"/>
      <c r="V1125" s="50"/>
      <c r="W1125" s="50"/>
      <c r="X1125" s="50"/>
      <c r="Y1125" s="50"/>
    </row>
    <row r="1126" spans="2:25" x14ac:dyDescent="0.2">
      <c r="B1126" s="51" t="s">
        <v>1093</v>
      </c>
      <c r="C1126" s="9" t="s">
        <v>1923</v>
      </c>
      <c r="D1126" s="10" t="s">
        <v>1360</v>
      </c>
      <c r="E1126" s="152"/>
      <c r="F1126" s="52" t="e">
        <v>#N/A</v>
      </c>
      <c r="G1126" s="55" t="s">
        <v>527</v>
      </c>
      <c r="H1126" s="50" t="e">
        <v>#N/A</v>
      </c>
      <c r="I1126" s="50" t="e">
        <v>#N/A</v>
      </c>
      <c r="J1126" s="50" t="e">
        <v>#N/A</v>
      </c>
      <c r="K1126" s="50"/>
      <c r="L1126" s="50"/>
      <c r="M1126" s="50"/>
      <c r="N1126" s="50"/>
      <c r="O1126" s="50"/>
      <c r="P1126" s="50"/>
      <c r="Q1126" s="50"/>
      <c r="R1126" s="50"/>
      <c r="S1126" s="50"/>
      <c r="T1126" s="50"/>
      <c r="U1126" s="50"/>
      <c r="V1126" s="50"/>
      <c r="W1126" s="50"/>
      <c r="X1126" s="50"/>
      <c r="Y1126" s="50"/>
    </row>
    <row r="1127" spans="2:25" x14ac:dyDescent="0.2">
      <c r="B1127" s="51" t="s">
        <v>1093</v>
      </c>
      <c r="C1127" s="9" t="s">
        <v>1879</v>
      </c>
      <c r="D1127" s="10" t="s">
        <v>1635</v>
      </c>
      <c r="E1127" s="152"/>
      <c r="F1127" s="52" t="e">
        <v>#N/A</v>
      </c>
      <c r="G1127" s="55" t="s">
        <v>527</v>
      </c>
      <c r="H1127" s="50" t="e">
        <v>#N/A</v>
      </c>
      <c r="I1127" s="50" t="e">
        <v>#N/A</v>
      </c>
      <c r="J1127" s="50" t="e">
        <v>#N/A</v>
      </c>
      <c r="K1127" s="50"/>
      <c r="L1127" s="50"/>
      <c r="M1127" s="50"/>
      <c r="N1127" s="50"/>
      <c r="O1127" s="50"/>
      <c r="P1127" s="50"/>
      <c r="Q1127" s="50"/>
      <c r="R1127" s="50"/>
      <c r="S1127" s="50"/>
      <c r="T1127" s="50"/>
      <c r="U1127" s="50"/>
      <c r="V1127" s="50"/>
      <c r="W1127" s="50"/>
      <c r="X1127" s="50"/>
      <c r="Y1127" s="50"/>
    </row>
    <row r="1128" spans="2:25" x14ac:dyDescent="0.2">
      <c r="B1128" s="51" t="s">
        <v>1093</v>
      </c>
      <c r="C1128" s="9" t="s">
        <v>1947</v>
      </c>
      <c r="D1128" s="10" t="s">
        <v>1127</v>
      </c>
      <c r="E1128" s="152"/>
      <c r="F1128" s="52" t="e">
        <v>#N/A</v>
      </c>
      <c r="G1128" s="55" t="s">
        <v>527</v>
      </c>
      <c r="H1128" s="50" t="e">
        <v>#N/A</v>
      </c>
      <c r="I1128" s="50" t="e">
        <v>#N/A</v>
      </c>
      <c r="J1128" s="50" t="e">
        <v>#N/A</v>
      </c>
      <c r="K1128" s="50"/>
      <c r="L1128" s="50"/>
      <c r="M1128" s="50"/>
      <c r="N1128" s="50"/>
      <c r="O1128" s="50"/>
      <c r="P1128" s="50"/>
      <c r="Q1128" s="50"/>
      <c r="R1128" s="50"/>
      <c r="S1128" s="50"/>
      <c r="T1128" s="50"/>
      <c r="U1128" s="50"/>
      <c r="V1128" s="50"/>
      <c r="W1128" s="50"/>
      <c r="X1128" s="50"/>
      <c r="Y1128" s="50"/>
    </row>
    <row r="1129" spans="2:25" x14ac:dyDescent="0.2">
      <c r="B1129" s="51" t="s">
        <v>1093</v>
      </c>
      <c r="C1129" s="9" t="s">
        <v>1947</v>
      </c>
      <c r="D1129" s="10" t="s">
        <v>1388</v>
      </c>
      <c r="E1129" s="152"/>
      <c r="F1129" s="52" t="e">
        <v>#N/A</v>
      </c>
      <c r="G1129" s="55" t="s">
        <v>527</v>
      </c>
      <c r="H1129" s="50" t="e">
        <v>#N/A</v>
      </c>
      <c r="I1129" s="50" t="e">
        <v>#N/A</v>
      </c>
      <c r="J1129" s="50" t="e">
        <v>#N/A</v>
      </c>
      <c r="K1129" s="50"/>
      <c r="L1129" s="50"/>
      <c r="M1129" s="50"/>
      <c r="N1129" s="50"/>
      <c r="O1129" s="50"/>
      <c r="P1129" s="50"/>
      <c r="Q1129" s="50"/>
      <c r="R1129" s="50"/>
      <c r="S1129" s="50"/>
      <c r="T1129" s="50"/>
      <c r="U1129" s="50"/>
      <c r="V1129" s="50"/>
      <c r="W1129" s="50"/>
      <c r="X1129" s="50"/>
      <c r="Y1129" s="50"/>
    </row>
    <row r="1130" spans="2:25" x14ac:dyDescent="0.2">
      <c r="B1130" s="51" t="s">
        <v>1093</v>
      </c>
      <c r="C1130" s="9" t="s">
        <v>1947</v>
      </c>
      <c r="D1130" s="10" t="s">
        <v>1717</v>
      </c>
      <c r="E1130" s="152"/>
      <c r="F1130" s="52" t="e">
        <v>#N/A</v>
      </c>
      <c r="G1130" s="55" t="s">
        <v>527</v>
      </c>
      <c r="H1130" s="50" t="e">
        <v>#N/A</v>
      </c>
      <c r="I1130" s="50" t="e">
        <v>#N/A</v>
      </c>
      <c r="J1130" s="50" t="e">
        <v>#N/A</v>
      </c>
      <c r="K1130" s="50"/>
      <c r="L1130" s="50"/>
      <c r="M1130" s="50"/>
      <c r="N1130" s="50"/>
      <c r="O1130" s="50"/>
      <c r="P1130" s="50"/>
      <c r="Q1130" s="50"/>
      <c r="R1130" s="50"/>
      <c r="S1130" s="50"/>
      <c r="T1130" s="50"/>
      <c r="U1130" s="50"/>
      <c r="V1130" s="50"/>
      <c r="W1130" s="50"/>
      <c r="X1130" s="50"/>
      <c r="Y1130" s="50"/>
    </row>
    <row r="1131" spans="2:25" x14ac:dyDescent="0.2">
      <c r="B1131" s="51" t="s">
        <v>1093</v>
      </c>
      <c r="C1131" s="9" t="s">
        <v>1864</v>
      </c>
      <c r="D1131" s="10" t="s">
        <v>1391</v>
      </c>
      <c r="E1131" s="152"/>
      <c r="F1131" s="52" t="e">
        <v>#N/A</v>
      </c>
      <c r="G1131" s="55" t="s">
        <v>527</v>
      </c>
      <c r="H1131" s="50" t="e">
        <v>#N/A</v>
      </c>
      <c r="I1131" s="50" t="e">
        <v>#N/A</v>
      </c>
      <c r="J1131" s="50" t="e">
        <v>#N/A</v>
      </c>
      <c r="K1131" s="50"/>
      <c r="L1131" s="50"/>
      <c r="M1131" s="50"/>
      <c r="N1131" s="50"/>
      <c r="O1131" s="50"/>
      <c r="P1131" s="50"/>
      <c r="Q1131" s="50"/>
      <c r="R1131" s="50"/>
      <c r="S1131" s="50"/>
      <c r="T1131" s="50"/>
      <c r="U1131" s="50"/>
      <c r="V1131" s="50"/>
      <c r="W1131" s="50"/>
      <c r="X1131" s="50"/>
      <c r="Y1131" s="50"/>
    </row>
    <row r="1132" spans="2:25" x14ac:dyDescent="0.2">
      <c r="B1132" s="51" t="s">
        <v>1093</v>
      </c>
      <c r="C1132" s="9" t="s">
        <v>1864</v>
      </c>
      <c r="D1132" s="10" t="s">
        <v>1353</v>
      </c>
      <c r="E1132" s="152"/>
      <c r="F1132" s="52" t="e">
        <v>#N/A</v>
      </c>
      <c r="G1132" s="55" t="s">
        <v>527</v>
      </c>
      <c r="H1132" s="50" t="e">
        <v>#N/A</v>
      </c>
      <c r="I1132" s="50" t="e">
        <v>#N/A</v>
      </c>
      <c r="J1132" s="50" t="e">
        <v>#N/A</v>
      </c>
      <c r="K1132" s="50"/>
      <c r="L1132" s="50"/>
      <c r="M1132" s="50"/>
      <c r="N1132" s="50"/>
      <c r="O1132" s="50"/>
      <c r="P1132" s="50"/>
      <c r="Q1132" s="50"/>
      <c r="R1132" s="50"/>
      <c r="S1132" s="50"/>
      <c r="T1132" s="50"/>
      <c r="U1132" s="50"/>
      <c r="V1132" s="50"/>
      <c r="W1132" s="50"/>
      <c r="X1132" s="50"/>
      <c r="Y1132" s="50"/>
    </row>
    <row r="1133" spans="2:25" x14ac:dyDescent="0.2">
      <c r="B1133" s="51" t="s">
        <v>1093</v>
      </c>
      <c r="C1133" s="9" t="s">
        <v>1882</v>
      </c>
      <c r="D1133" s="10" t="s">
        <v>1402</v>
      </c>
      <c r="E1133" s="152"/>
      <c r="F1133" s="52" t="e">
        <v>#N/A</v>
      </c>
      <c r="G1133" s="55" t="s">
        <v>527</v>
      </c>
      <c r="H1133" s="50" t="e">
        <v>#N/A</v>
      </c>
      <c r="I1133" s="50" t="e">
        <v>#N/A</v>
      </c>
      <c r="J1133" s="50" t="e">
        <v>#N/A</v>
      </c>
      <c r="K1133" s="50"/>
      <c r="L1133" s="50"/>
      <c r="M1133" s="50"/>
      <c r="N1133" s="50"/>
      <c r="O1133" s="50"/>
      <c r="P1133" s="50"/>
      <c r="Q1133" s="50"/>
      <c r="R1133" s="50"/>
      <c r="S1133" s="50"/>
      <c r="T1133" s="50"/>
      <c r="U1133" s="50"/>
      <c r="V1133" s="50"/>
      <c r="W1133" s="50"/>
      <c r="X1133" s="50"/>
      <c r="Y1133" s="50"/>
    </row>
    <row r="1134" spans="2:25" x14ac:dyDescent="0.2">
      <c r="B1134" s="51" t="s">
        <v>1093</v>
      </c>
      <c r="C1134" s="9" t="s">
        <v>1882</v>
      </c>
      <c r="D1134" s="10" t="s">
        <v>1398</v>
      </c>
      <c r="E1134" s="152"/>
      <c r="F1134" s="52" t="e">
        <v>#N/A</v>
      </c>
      <c r="G1134" s="55" t="s">
        <v>527</v>
      </c>
      <c r="H1134" s="50" t="e">
        <v>#N/A</v>
      </c>
      <c r="I1134" s="50" t="e">
        <v>#N/A</v>
      </c>
      <c r="J1134" s="50" t="e">
        <v>#N/A</v>
      </c>
      <c r="K1134" s="50"/>
      <c r="L1134" s="50"/>
      <c r="M1134" s="50"/>
      <c r="N1134" s="50"/>
      <c r="O1134" s="50"/>
      <c r="P1134" s="50"/>
      <c r="Q1134" s="50"/>
      <c r="R1134" s="50"/>
      <c r="S1134" s="50"/>
      <c r="T1134" s="50"/>
      <c r="U1134" s="50"/>
      <c r="V1134" s="50"/>
      <c r="W1134" s="50"/>
      <c r="X1134" s="50"/>
      <c r="Y1134" s="50"/>
    </row>
    <row r="1135" spans="2:25" x14ac:dyDescent="0.2">
      <c r="B1135" s="51" t="s">
        <v>1093</v>
      </c>
      <c r="C1135" s="9" t="s">
        <v>1125</v>
      </c>
      <c r="D1135" s="10"/>
      <c r="E1135" s="152"/>
      <c r="F1135" s="52" t="e">
        <v>#N/A</v>
      </c>
      <c r="G1135" s="55" t="s">
        <v>527</v>
      </c>
      <c r="H1135" s="50" t="e">
        <v>#N/A</v>
      </c>
      <c r="I1135" s="50" t="e">
        <v>#N/A</v>
      </c>
      <c r="J1135" s="50" t="e">
        <v>#N/A</v>
      </c>
      <c r="K1135" s="50"/>
      <c r="L1135" s="50"/>
      <c r="M1135" s="50"/>
      <c r="N1135" s="50"/>
      <c r="O1135" s="50"/>
      <c r="P1135" s="50"/>
      <c r="Q1135" s="50"/>
      <c r="R1135" s="50"/>
      <c r="S1135" s="50"/>
      <c r="T1135" s="50"/>
      <c r="U1135" s="50"/>
      <c r="V1135" s="50"/>
      <c r="W1135" s="50"/>
      <c r="X1135" s="50"/>
      <c r="Y1135" s="50"/>
    </row>
    <row r="1136" spans="2:25" x14ac:dyDescent="0.2">
      <c r="B1136" s="51" t="s">
        <v>1093</v>
      </c>
      <c r="C1136" s="9" t="s">
        <v>1951</v>
      </c>
      <c r="D1136" s="10"/>
      <c r="E1136" s="152"/>
      <c r="F1136" s="52" t="e">
        <v>#N/A</v>
      </c>
      <c r="G1136" s="55" t="s">
        <v>527</v>
      </c>
      <c r="H1136" s="50" t="e">
        <v>#N/A</v>
      </c>
      <c r="I1136" s="50" t="e">
        <v>#N/A</v>
      </c>
      <c r="J1136" s="50" t="e">
        <v>#N/A</v>
      </c>
      <c r="K1136" s="50"/>
      <c r="L1136" s="50"/>
      <c r="M1136" s="50"/>
      <c r="N1136" s="50"/>
      <c r="O1136" s="50"/>
      <c r="P1136" s="50"/>
      <c r="Q1136" s="50"/>
      <c r="R1136" s="50"/>
      <c r="S1136" s="50"/>
      <c r="T1136" s="50"/>
      <c r="U1136" s="50"/>
      <c r="V1136" s="50"/>
      <c r="W1136" s="50"/>
      <c r="X1136" s="50"/>
      <c r="Y1136" s="50"/>
    </row>
    <row r="1137" spans="2:25" x14ac:dyDescent="0.2">
      <c r="B1137" s="53" t="s">
        <v>1952</v>
      </c>
      <c r="C1137" s="9" t="s">
        <v>1916</v>
      </c>
      <c r="D1137" s="10"/>
      <c r="E1137" s="152"/>
      <c r="F1137" s="52" t="e">
        <v>#N/A</v>
      </c>
      <c r="G1137" s="55" t="s">
        <v>527</v>
      </c>
      <c r="H1137" s="50" t="e">
        <v>#N/A</v>
      </c>
      <c r="I1137" s="50" t="e">
        <v>#N/A</v>
      </c>
      <c r="J1137" s="50" t="e">
        <v>#N/A</v>
      </c>
      <c r="K1137" s="50"/>
      <c r="L1137" s="50"/>
      <c r="M1137" s="50"/>
      <c r="N1137" s="50"/>
      <c r="O1137" s="50"/>
      <c r="P1137" s="50"/>
      <c r="Q1137" s="50"/>
      <c r="R1137" s="50"/>
      <c r="S1137" s="50"/>
      <c r="T1137" s="50"/>
      <c r="U1137" s="50"/>
      <c r="V1137" s="50"/>
      <c r="W1137" s="50"/>
      <c r="X1137" s="50"/>
      <c r="Y1137" s="50"/>
    </row>
    <row r="1138" spans="2:25" x14ac:dyDescent="0.2">
      <c r="B1138" s="53" t="s">
        <v>1952</v>
      </c>
      <c r="C1138" s="9" t="s">
        <v>1912</v>
      </c>
      <c r="D1138" s="10"/>
      <c r="E1138" s="152"/>
      <c r="F1138" s="52" t="e">
        <v>#N/A</v>
      </c>
      <c r="G1138" s="55" t="s">
        <v>527</v>
      </c>
      <c r="H1138" s="50" t="e">
        <v>#N/A</v>
      </c>
      <c r="I1138" s="50" t="e">
        <v>#N/A</v>
      </c>
      <c r="J1138" s="50" t="e">
        <v>#N/A</v>
      </c>
      <c r="K1138" s="50"/>
      <c r="L1138" s="50"/>
      <c r="M1138" s="50"/>
      <c r="N1138" s="50"/>
      <c r="O1138" s="50"/>
      <c r="P1138" s="50"/>
      <c r="Q1138" s="50"/>
      <c r="R1138" s="50"/>
      <c r="S1138" s="50"/>
      <c r="T1138" s="50"/>
      <c r="U1138" s="50"/>
      <c r="V1138" s="50"/>
      <c r="W1138" s="50"/>
      <c r="X1138" s="50"/>
      <c r="Y1138" s="50"/>
    </row>
    <row r="1139" spans="2:25" x14ac:dyDescent="0.2">
      <c r="B1139" s="53" t="s">
        <v>1952</v>
      </c>
      <c r="C1139" s="9" t="s">
        <v>1953</v>
      </c>
      <c r="D1139" s="10"/>
      <c r="E1139" s="152"/>
      <c r="F1139" s="52" t="e">
        <v>#N/A</v>
      </c>
      <c r="G1139" s="55" t="s">
        <v>527</v>
      </c>
      <c r="H1139" s="50" t="e">
        <v>#N/A</v>
      </c>
      <c r="I1139" s="50" t="e">
        <v>#N/A</v>
      </c>
      <c r="J1139" s="50" t="e">
        <v>#N/A</v>
      </c>
      <c r="K1139" s="50"/>
      <c r="L1139" s="50"/>
      <c r="M1139" s="50"/>
      <c r="N1139" s="50"/>
      <c r="O1139" s="50"/>
      <c r="P1139" s="50"/>
      <c r="Q1139" s="50"/>
      <c r="R1139" s="50"/>
      <c r="S1139" s="50"/>
      <c r="T1139" s="50"/>
      <c r="U1139" s="50"/>
      <c r="V1139" s="50"/>
      <c r="W1139" s="50"/>
      <c r="X1139" s="50"/>
      <c r="Y1139" s="50"/>
    </row>
    <row r="1140" spans="2:25" x14ac:dyDescent="0.2">
      <c r="B1140" s="53" t="s">
        <v>1952</v>
      </c>
      <c r="C1140" s="9" t="s">
        <v>1954</v>
      </c>
      <c r="D1140" s="10"/>
      <c r="E1140" s="152"/>
      <c r="F1140" s="52" t="e">
        <v>#N/A</v>
      </c>
      <c r="G1140" s="55" t="s">
        <v>527</v>
      </c>
      <c r="H1140" s="50" t="e">
        <v>#N/A</v>
      </c>
      <c r="I1140" s="50" t="e">
        <v>#N/A</v>
      </c>
      <c r="J1140" s="50" t="e">
        <v>#N/A</v>
      </c>
      <c r="K1140" s="50"/>
      <c r="L1140" s="50"/>
      <c r="M1140" s="50"/>
      <c r="N1140" s="50"/>
      <c r="O1140" s="50"/>
      <c r="P1140" s="50"/>
      <c r="Q1140" s="50"/>
      <c r="R1140" s="50"/>
      <c r="S1140" s="50"/>
      <c r="T1140" s="50"/>
      <c r="U1140" s="50"/>
      <c r="V1140" s="50"/>
      <c r="W1140" s="50"/>
      <c r="X1140" s="50"/>
      <c r="Y1140" s="50"/>
    </row>
    <row r="1141" spans="2:25" x14ac:dyDescent="0.2">
      <c r="B1141" s="53" t="s">
        <v>1952</v>
      </c>
      <c r="C1141" s="9" t="s">
        <v>1943</v>
      </c>
      <c r="D1141" s="10"/>
      <c r="E1141" s="152"/>
      <c r="F1141" s="52" t="e">
        <v>#N/A</v>
      </c>
      <c r="G1141" s="55" t="s">
        <v>527</v>
      </c>
      <c r="H1141" s="50" t="e">
        <v>#N/A</v>
      </c>
      <c r="I1141" s="50" t="e">
        <v>#N/A</v>
      </c>
      <c r="J1141" s="50" t="e">
        <v>#N/A</v>
      </c>
      <c r="K1141" s="50"/>
      <c r="L1141" s="50"/>
      <c r="M1141" s="50"/>
      <c r="N1141" s="50"/>
      <c r="O1141" s="50"/>
      <c r="P1141" s="50"/>
      <c r="Q1141" s="50"/>
      <c r="R1141" s="50"/>
      <c r="S1141" s="50"/>
      <c r="T1141" s="50"/>
      <c r="U1141" s="50"/>
      <c r="V1141" s="50"/>
      <c r="W1141" s="50"/>
      <c r="X1141" s="50"/>
      <c r="Y1141" s="50"/>
    </row>
    <row r="1142" spans="2:25" x14ac:dyDescent="0.2">
      <c r="B1142" s="53" t="s">
        <v>1952</v>
      </c>
      <c r="C1142" s="9" t="s">
        <v>1880</v>
      </c>
      <c r="D1142" s="10"/>
      <c r="E1142" s="152"/>
      <c r="F1142" s="52" t="e">
        <v>#N/A</v>
      </c>
      <c r="G1142" s="55" t="s">
        <v>527</v>
      </c>
      <c r="H1142" s="50" t="e">
        <v>#N/A</v>
      </c>
      <c r="I1142" s="50" t="e">
        <v>#N/A</v>
      </c>
      <c r="J1142" s="50" t="e">
        <v>#N/A</v>
      </c>
      <c r="K1142" s="50"/>
      <c r="L1142" s="50"/>
      <c r="M1142" s="50"/>
      <c r="N1142" s="50"/>
      <c r="O1142" s="50"/>
      <c r="P1142" s="50"/>
      <c r="Q1142" s="50"/>
      <c r="R1142" s="50"/>
      <c r="S1142" s="50"/>
      <c r="T1142" s="50"/>
      <c r="U1142" s="50"/>
      <c r="V1142" s="50"/>
      <c r="W1142" s="50"/>
      <c r="X1142" s="50"/>
      <c r="Y1142" s="50"/>
    </row>
    <row r="1143" spans="2:25" x14ac:dyDescent="0.2">
      <c r="B1143" s="53" t="s">
        <v>1952</v>
      </c>
      <c r="C1143" s="9" t="s">
        <v>1868</v>
      </c>
      <c r="D1143" s="10"/>
      <c r="E1143" s="152"/>
      <c r="F1143" s="52" t="e">
        <v>#N/A</v>
      </c>
      <c r="G1143" s="55" t="s">
        <v>527</v>
      </c>
      <c r="H1143" s="50" t="e">
        <v>#N/A</v>
      </c>
      <c r="I1143" s="50" t="e">
        <v>#N/A</v>
      </c>
      <c r="J1143" s="50" t="e">
        <v>#N/A</v>
      </c>
      <c r="K1143" s="50"/>
      <c r="L1143" s="50"/>
      <c r="M1143" s="50"/>
      <c r="N1143" s="50"/>
      <c r="O1143" s="50"/>
      <c r="P1143" s="50"/>
      <c r="Q1143" s="50"/>
      <c r="R1143" s="50"/>
      <c r="S1143" s="50"/>
      <c r="T1143" s="50"/>
      <c r="U1143" s="50"/>
      <c r="V1143" s="50"/>
      <c r="W1143" s="50"/>
      <c r="X1143" s="50"/>
      <c r="Y1143" s="50"/>
    </row>
    <row r="1144" spans="2:25" x14ac:dyDescent="0.2">
      <c r="B1144" s="53" t="s">
        <v>1952</v>
      </c>
      <c r="C1144" s="9" t="s">
        <v>1828</v>
      </c>
      <c r="D1144" s="10"/>
      <c r="E1144" s="152"/>
      <c r="F1144" s="52" t="e">
        <v>#N/A</v>
      </c>
      <c r="G1144" s="55" t="s">
        <v>527</v>
      </c>
      <c r="H1144" s="50" t="e">
        <v>#N/A</v>
      </c>
      <c r="I1144" s="50" t="e">
        <v>#N/A</v>
      </c>
      <c r="J1144" s="50" t="e">
        <v>#N/A</v>
      </c>
      <c r="K1144" s="50"/>
      <c r="L1144" s="50"/>
      <c r="M1144" s="50"/>
      <c r="N1144" s="50"/>
      <c r="O1144" s="50"/>
      <c r="P1144" s="50"/>
      <c r="Q1144" s="50"/>
      <c r="R1144" s="50"/>
      <c r="S1144" s="50"/>
      <c r="T1144" s="50"/>
      <c r="U1144" s="50"/>
      <c r="V1144" s="50"/>
      <c r="W1144" s="50"/>
      <c r="X1144" s="50"/>
      <c r="Y1144" s="50"/>
    </row>
    <row r="1145" spans="2:25" x14ac:dyDescent="0.2">
      <c r="B1145" s="53" t="s">
        <v>1952</v>
      </c>
      <c r="C1145" s="9" t="s">
        <v>1903</v>
      </c>
      <c r="D1145" s="10"/>
      <c r="E1145" s="152"/>
      <c r="F1145" s="52" t="e">
        <v>#N/A</v>
      </c>
      <c r="G1145" s="55" t="s">
        <v>527</v>
      </c>
      <c r="H1145" s="50" t="e">
        <v>#N/A</v>
      </c>
      <c r="I1145" s="50" t="e">
        <v>#N/A</v>
      </c>
      <c r="J1145" s="50" t="e">
        <v>#N/A</v>
      </c>
      <c r="K1145" s="50"/>
      <c r="L1145" s="50"/>
      <c r="M1145" s="50"/>
      <c r="N1145" s="50"/>
      <c r="O1145" s="50"/>
      <c r="P1145" s="50"/>
      <c r="Q1145" s="50"/>
      <c r="R1145" s="50"/>
      <c r="S1145" s="50"/>
      <c r="T1145" s="50"/>
      <c r="U1145" s="50"/>
      <c r="V1145" s="50"/>
      <c r="W1145" s="50"/>
      <c r="X1145" s="50"/>
      <c r="Y1145" s="50"/>
    </row>
    <row r="1146" spans="2:25" x14ac:dyDescent="0.2">
      <c r="B1146" s="53" t="s">
        <v>1952</v>
      </c>
      <c r="C1146" s="9" t="s">
        <v>1835</v>
      </c>
      <c r="D1146" s="10"/>
      <c r="E1146" s="152"/>
      <c r="F1146" s="52" t="e">
        <v>#N/A</v>
      </c>
      <c r="G1146" s="55" t="s">
        <v>527</v>
      </c>
      <c r="H1146" s="50" t="e">
        <v>#N/A</v>
      </c>
      <c r="I1146" s="50" t="e">
        <v>#N/A</v>
      </c>
      <c r="J1146" s="50" t="e">
        <v>#N/A</v>
      </c>
      <c r="K1146" s="50"/>
      <c r="L1146" s="50"/>
      <c r="M1146" s="50"/>
      <c r="N1146" s="50"/>
      <c r="O1146" s="50"/>
      <c r="P1146" s="50"/>
      <c r="Q1146" s="50"/>
      <c r="R1146" s="50"/>
      <c r="S1146" s="50"/>
      <c r="T1146" s="50"/>
      <c r="U1146" s="50"/>
      <c r="V1146" s="50"/>
      <c r="W1146" s="50"/>
      <c r="X1146" s="50"/>
      <c r="Y1146" s="50"/>
    </row>
    <row r="1147" spans="2:25" x14ac:dyDescent="0.2">
      <c r="B1147" s="53" t="s">
        <v>1952</v>
      </c>
      <c r="C1147" s="9" t="s">
        <v>1856</v>
      </c>
      <c r="D1147" s="10"/>
      <c r="E1147" s="152"/>
      <c r="F1147" s="52" t="e">
        <v>#N/A</v>
      </c>
      <c r="G1147" s="55" t="s">
        <v>527</v>
      </c>
      <c r="H1147" s="50" t="e">
        <v>#N/A</v>
      </c>
      <c r="I1147" s="50" t="e">
        <v>#N/A</v>
      </c>
      <c r="J1147" s="50" t="e">
        <v>#N/A</v>
      </c>
      <c r="K1147" s="50"/>
      <c r="L1147" s="50"/>
      <c r="M1147" s="50"/>
      <c r="N1147" s="50"/>
      <c r="O1147" s="50"/>
      <c r="P1147" s="50"/>
      <c r="Q1147" s="50"/>
      <c r="R1147" s="50"/>
      <c r="S1147" s="50"/>
      <c r="T1147" s="50"/>
      <c r="U1147" s="50"/>
      <c r="V1147" s="50"/>
      <c r="W1147" s="50"/>
      <c r="X1147" s="50"/>
      <c r="Y1147" s="50"/>
    </row>
    <row r="1148" spans="2:25" x14ac:dyDescent="0.2">
      <c r="B1148" s="53" t="s">
        <v>1952</v>
      </c>
      <c r="C1148" s="9" t="s">
        <v>1857</v>
      </c>
      <c r="D1148" s="10"/>
      <c r="E1148" s="152"/>
      <c r="F1148" s="52" t="e">
        <v>#N/A</v>
      </c>
      <c r="G1148" s="55" t="s">
        <v>527</v>
      </c>
      <c r="H1148" s="50" t="e">
        <v>#N/A</v>
      </c>
      <c r="I1148" s="50" t="e">
        <v>#N/A</v>
      </c>
      <c r="J1148" s="50" t="e">
        <v>#N/A</v>
      </c>
      <c r="K1148" s="50"/>
      <c r="L1148" s="50"/>
      <c r="M1148" s="50"/>
      <c r="N1148" s="50"/>
      <c r="O1148" s="50"/>
      <c r="P1148" s="50"/>
      <c r="Q1148" s="50"/>
      <c r="R1148" s="50"/>
      <c r="S1148" s="50"/>
      <c r="T1148" s="50"/>
      <c r="U1148" s="50"/>
      <c r="V1148" s="50"/>
      <c r="W1148" s="50"/>
      <c r="X1148" s="50"/>
      <c r="Y1148" s="50"/>
    </row>
    <row r="1149" spans="2:25" x14ac:dyDescent="0.2">
      <c r="B1149" s="53" t="s">
        <v>1952</v>
      </c>
      <c r="C1149" s="9" t="s">
        <v>1931</v>
      </c>
      <c r="D1149" s="10"/>
      <c r="E1149" s="152"/>
      <c r="F1149" s="52" t="e">
        <v>#N/A</v>
      </c>
      <c r="G1149" s="55" t="s">
        <v>527</v>
      </c>
      <c r="H1149" s="50" t="e">
        <v>#N/A</v>
      </c>
      <c r="I1149" s="50" t="e">
        <v>#N/A</v>
      </c>
      <c r="J1149" s="50" t="e">
        <v>#N/A</v>
      </c>
      <c r="K1149" s="50"/>
      <c r="L1149" s="50"/>
      <c r="M1149" s="50"/>
      <c r="N1149" s="50"/>
      <c r="O1149" s="50"/>
      <c r="P1149" s="50"/>
      <c r="Q1149" s="50"/>
      <c r="R1149" s="50"/>
      <c r="S1149" s="50"/>
      <c r="T1149" s="50"/>
      <c r="U1149" s="50"/>
      <c r="V1149" s="50"/>
      <c r="W1149" s="50"/>
      <c r="X1149" s="50"/>
      <c r="Y1149" s="50"/>
    </row>
    <row r="1150" spans="2:25" x14ac:dyDescent="0.2">
      <c r="B1150" s="53" t="s">
        <v>1952</v>
      </c>
      <c r="C1150" s="9" t="s">
        <v>1918</v>
      </c>
      <c r="D1150" s="10"/>
      <c r="E1150" s="152"/>
      <c r="F1150" s="52" t="e">
        <v>#N/A</v>
      </c>
      <c r="G1150" s="55" t="s">
        <v>527</v>
      </c>
      <c r="H1150" s="50" t="e">
        <v>#N/A</v>
      </c>
      <c r="I1150" s="50" t="e">
        <v>#N/A</v>
      </c>
      <c r="J1150" s="50" t="e">
        <v>#N/A</v>
      </c>
      <c r="K1150" s="50"/>
      <c r="L1150" s="50"/>
      <c r="M1150" s="50"/>
      <c r="N1150" s="50"/>
      <c r="O1150" s="50"/>
      <c r="P1150" s="50"/>
      <c r="Q1150" s="50"/>
      <c r="R1150" s="50"/>
      <c r="S1150" s="50"/>
      <c r="T1150" s="50"/>
      <c r="U1150" s="50"/>
      <c r="V1150" s="50"/>
      <c r="W1150" s="50"/>
      <c r="X1150" s="50"/>
      <c r="Y1150" s="50"/>
    </row>
    <row r="1151" spans="2:25" x14ac:dyDescent="0.2">
      <c r="B1151" s="53" t="s">
        <v>1952</v>
      </c>
      <c r="C1151" s="9" t="s">
        <v>1955</v>
      </c>
      <c r="D1151" s="10"/>
      <c r="E1151" s="152"/>
      <c r="F1151" s="52" t="e">
        <v>#N/A</v>
      </c>
      <c r="G1151" s="55" t="s">
        <v>527</v>
      </c>
      <c r="H1151" s="50" t="e">
        <v>#N/A</v>
      </c>
      <c r="I1151" s="50" t="e">
        <v>#N/A</v>
      </c>
      <c r="J1151" s="50" t="e">
        <v>#N/A</v>
      </c>
      <c r="K1151" s="50"/>
      <c r="L1151" s="50"/>
      <c r="M1151" s="50"/>
      <c r="N1151" s="50"/>
      <c r="O1151" s="50"/>
      <c r="P1151" s="50"/>
      <c r="Q1151" s="50"/>
      <c r="R1151" s="50"/>
      <c r="S1151" s="50"/>
      <c r="T1151" s="50"/>
      <c r="U1151" s="50"/>
      <c r="V1151" s="50"/>
      <c r="W1151" s="50"/>
      <c r="X1151" s="50"/>
      <c r="Y1151" s="50"/>
    </row>
    <row r="1152" spans="2:25" x14ac:dyDescent="0.2">
      <c r="B1152" s="53" t="s">
        <v>1952</v>
      </c>
      <c r="C1152" s="9" t="s">
        <v>1908</v>
      </c>
      <c r="D1152" s="10"/>
      <c r="E1152" s="152"/>
      <c r="F1152" s="52" t="e">
        <v>#N/A</v>
      </c>
      <c r="G1152" s="55" t="s">
        <v>527</v>
      </c>
      <c r="H1152" s="50" t="e">
        <v>#N/A</v>
      </c>
      <c r="I1152" s="50" t="e">
        <v>#N/A</v>
      </c>
      <c r="J1152" s="50" t="e">
        <v>#N/A</v>
      </c>
      <c r="K1152" s="50"/>
      <c r="L1152" s="50"/>
      <c r="M1152" s="50"/>
      <c r="N1152" s="50"/>
      <c r="O1152" s="50"/>
      <c r="P1152" s="50"/>
      <c r="Q1152" s="50"/>
      <c r="R1152" s="50"/>
      <c r="S1152" s="50"/>
      <c r="T1152" s="50"/>
      <c r="U1152" s="50"/>
      <c r="V1152" s="50"/>
      <c r="W1152" s="50"/>
      <c r="X1152" s="50"/>
      <c r="Y1152" s="50"/>
    </row>
    <row r="1153" spans="2:25" x14ac:dyDescent="0.2">
      <c r="B1153" s="53" t="s">
        <v>1952</v>
      </c>
      <c r="C1153" s="9" t="s">
        <v>1909</v>
      </c>
      <c r="D1153" s="10"/>
      <c r="E1153" s="152"/>
      <c r="F1153" s="52" t="e">
        <v>#N/A</v>
      </c>
      <c r="G1153" s="55" t="s">
        <v>527</v>
      </c>
      <c r="H1153" s="50" t="e">
        <v>#N/A</v>
      </c>
      <c r="I1153" s="50" t="e">
        <v>#N/A</v>
      </c>
      <c r="J1153" s="50" t="e">
        <v>#N/A</v>
      </c>
      <c r="K1153" s="50"/>
      <c r="L1153" s="50"/>
      <c r="M1153" s="50"/>
      <c r="N1153" s="50"/>
      <c r="O1153" s="50"/>
      <c r="P1153" s="50"/>
      <c r="Q1153" s="50"/>
      <c r="R1153" s="50"/>
      <c r="S1153" s="50"/>
      <c r="T1153" s="50"/>
      <c r="U1153" s="50"/>
      <c r="V1153" s="50"/>
      <c r="W1153" s="50"/>
      <c r="X1153" s="50"/>
      <c r="Y1153" s="50"/>
    </row>
    <row r="1154" spans="2:25" x14ac:dyDescent="0.2">
      <c r="B1154" s="53" t="s">
        <v>1952</v>
      </c>
      <c r="C1154" s="9" t="s">
        <v>1914</v>
      </c>
      <c r="D1154" s="10"/>
      <c r="E1154" s="152"/>
      <c r="F1154" s="52" t="e">
        <v>#N/A</v>
      </c>
      <c r="G1154" s="55" t="s">
        <v>527</v>
      </c>
      <c r="H1154" s="50" t="e">
        <v>#N/A</v>
      </c>
      <c r="I1154" s="50" t="e">
        <v>#N/A</v>
      </c>
      <c r="J1154" s="50" t="e">
        <v>#N/A</v>
      </c>
      <c r="K1154" s="50"/>
      <c r="L1154" s="50"/>
      <c r="M1154" s="50"/>
      <c r="N1154" s="50"/>
      <c r="O1154" s="50"/>
      <c r="P1154" s="50"/>
      <c r="Q1154" s="50"/>
      <c r="R1154" s="50"/>
      <c r="S1154" s="50"/>
      <c r="T1154" s="50"/>
      <c r="U1154" s="50"/>
      <c r="V1154" s="50"/>
      <c r="W1154" s="50"/>
      <c r="X1154" s="50"/>
      <c r="Y1154" s="50"/>
    </row>
    <row r="1155" spans="2:25" x14ac:dyDescent="0.2">
      <c r="B1155" s="53" t="s">
        <v>1952</v>
      </c>
      <c r="C1155" s="9" t="s">
        <v>1927</v>
      </c>
      <c r="D1155" s="10"/>
      <c r="E1155" s="152"/>
      <c r="F1155" s="52" t="e">
        <v>#N/A</v>
      </c>
      <c r="G1155" s="55" t="s">
        <v>527</v>
      </c>
      <c r="H1155" s="50" t="e">
        <v>#N/A</v>
      </c>
      <c r="I1155" s="50" t="e">
        <v>#N/A</v>
      </c>
      <c r="J1155" s="50" t="e">
        <v>#N/A</v>
      </c>
      <c r="K1155" s="50"/>
      <c r="L1155" s="50"/>
      <c r="M1155" s="50"/>
      <c r="N1155" s="50"/>
      <c r="O1155" s="50"/>
      <c r="P1155" s="50"/>
      <c r="Q1155" s="50"/>
      <c r="R1155" s="50"/>
      <c r="S1155" s="50"/>
      <c r="T1155" s="50"/>
      <c r="U1155" s="50"/>
      <c r="V1155" s="50"/>
      <c r="W1155" s="50"/>
      <c r="X1155" s="50"/>
      <c r="Y1155" s="50"/>
    </row>
    <row r="1156" spans="2:25" x14ac:dyDescent="0.2">
      <c r="B1156" s="53" t="s">
        <v>1952</v>
      </c>
      <c r="C1156" s="9" t="s">
        <v>1858</v>
      </c>
      <c r="D1156" s="10"/>
      <c r="E1156" s="152"/>
      <c r="F1156" s="52" t="e">
        <v>#N/A</v>
      </c>
      <c r="G1156" s="55" t="s">
        <v>527</v>
      </c>
      <c r="H1156" s="50" t="e">
        <v>#N/A</v>
      </c>
      <c r="I1156" s="50" t="e">
        <v>#N/A</v>
      </c>
      <c r="J1156" s="50" t="e">
        <v>#N/A</v>
      </c>
      <c r="K1156" s="50"/>
      <c r="L1156" s="50"/>
      <c r="M1156" s="50"/>
      <c r="N1156" s="50"/>
      <c r="O1156" s="50"/>
      <c r="P1156" s="50"/>
      <c r="Q1156" s="50"/>
      <c r="R1156" s="50"/>
      <c r="S1156" s="50"/>
      <c r="T1156" s="50"/>
      <c r="U1156" s="50"/>
      <c r="V1156" s="50"/>
      <c r="W1156" s="50"/>
      <c r="X1156" s="50"/>
      <c r="Y1156" s="50"/>
    </row>
    <row r="1157" spans="2:25" x14ac:dyDescent="0.2">
      <c r="B1157" s="53" t="s">
        <v>1952</v>
      </c>
      <c r="C1157" s="9" t="s">
        <v>1855</v>
      </c>
      <c r="D1157" s="10"/>
      <c r="E1157" s="152"/>
      <c r="F1157" s="52" t="e">
        <v>#N/A</v>
      </c>
      <c r="G1157" s="55" t="s">
        <v>527</v>
      </c>
      <c r="H1157" s="50" t="e">
        <v>#N/A</v>
      </c>
      <c r="I1157" s="50" t="e">
        <v>#N/A</v>
      </c>
      <c r="J1157" s="50" t="e">
        <v>#N/A</v>
      </c>
      <c r="K1157" s="50"/>
      <c r="L1157" s="50"/>
      <c r="M1157" s="50"/>
      <c r="N1157" s="50"/>
      <c r="O1157" s="50"/>
      <c r="P1157" s="50"/>
      <c r="Q1157" s="50"/>
      <c r="R1157" s="50"/>
      <c r="S1157" s="50"/>
      <c r="T1157" s="50"/>
      <c r="U1157" s="50"/>
      <c r="V1157" s="50"/>
      <c r="W1157" s="50"/>
      <c r="X1157" s="50"/>
      <c r="Y1157" s="50"/>
    </row>
    <row r="1158" spans="2:25" x14ac:dyDescent="0.2">
      <c r="B1158" s="53" t="s">
        <v>1952</v>
      </c>
      <c r="C1158" s="9" t="s">
        <v>1859</v>
      </c>
      <c r="D1158" s="10"/>
      <c r="E1158" s="152"/>
      <c r="F1158" s="52" t="e">
        <v>#N/A</v>
      </c>
      <c r="G1158" s="55" t="s">
        <v>527</v>
      </c>
      <c r="H1158" s="50" t="e">
        <v>#N/A</v>
      </c>
      <c r="I1158" s="50" t="e">
        <v>#N/A</v>
      </c>
      <c r="J1158" s="50" t="e">
        <v>#N/A</v>
      </c>
      <c r="K1158" s="50"/>
      <c r="L1158" s="50"/>
      <c r="M1158" s="50"/>
      <c r="N1158" s="50"/>
      <c r="O1158" s="50"/>
      <c r="P1158" s="50"/>
      <c r="Q1158" s="50"/>
      <c r="R1158" s="50"/>
      <c r="S1158" s="50"/>
      <c r="T1158" s="50"/>
      <c r="U1158" s="50"/>
      <c r="V1158" s="50"/>
      <c r="W1158" s="50"/>
      <c r="X1158" s="50"/>
      <c r="Y1158" s="50"/>
    </row>
    <row r="1159" spans="2:25" x14ac:dyDescent="0.2">
      <c r="B1159" s="53" t="s">
        <v>1952</v>
      </c>
      <c r="C1159" s="9" t="s">
        <v>1842</v>
      </c>
      <c r="D1159" s="10"/>
      <c r="E1159" s="152"/>
      <c r="F1159" s="52" t="e">
        <v>#N/A</v>
      </c>
      <c r="G1159" s="55" t="s">
        <v>527</v>
      </c>
      <c r="H1159" s="50" t="e">
        <v>#N/A</v>
      </c>
      <c r="I1159" s="50" t="e">
        <v>#N/A</v>
      </c>
      <c r="J1159" s="50" t="e">
        <v>#N/A</v>
      </c>
      <c r="K1159" s="50"/>
      <c r="L1159" s="50"/>
      <c r="M1159" s="50"/>
      <c r="N1159" s="50"/>
      <c r="O1159" s="50"/>
      <c r="P1159" s="50"/>
      <c r="Q1159" s="50"/>
      <c r="R1159" s="50"/>
      <c r="S1159" s="50"/>
      <c r="T1159" s="50"/>
      <c r="U1159" s="50"/>
      <c r="V1159" s="50"/>
      <c r="W1159" s="50"/>
      <c r="X1159" s="50"/>
      <c r="Y1159" s="50"/>
    </row>
    <row r="1160" spans="2:25" x14ac:dyDescent="0.2">
      <c r="B1160" s="53" t="s">
        <v>1952</v>
      </c>
      <c r="C1160" s="9" t="s">
        <v>1834</v>
      </c>
      <c r="D1160" s="10"/>
      <c r="E1160" s="152"/>
      <c r="F1160" s="52" t="e">
        <v>#N/A</v>
      </c>
      <c r="G1160" s="55" t="s">
        <v>527</v>
      </c>
      <c r="H1160" s="50" t="e">
        <v>#N/A</v>
      </c>
      <c r="I1160" s="50" t="e">
        <v>#N/A</v>
      </c>
      <c r="J1160" s="50" t="e">
        <v>#N/A</v>
      </c>
      <c r="K1160" s="50"/>
      <c r="L1160" s="50"/>
      <c r="M1160" s="50"/>
      <c r="N1160" s="50"/>
      <c r="O1160" s="50"/>
      <c r="P1160" s="50"/>
      <c r="Q1160" s="50"/>
      <c r="R1160" s="50"/>
      <c r="S1160" s="50"/>
      <c r="T1160" s="50"/>
      <c r="U1160" s="50"/>
      <c r="V1160" s="50"/>
      <c r="W1160" s="50"/>
      <c r="X1160" s="50"/>
      <c r="Y1160" s="50"/>
    </row>
    <row r="1161" spans="2:25" x14ac:dyDescent="0.2">
      <c r="B1161" s="53" t="s">
        <v>1952</v>
      </c>
      <c r="C1161" s="9" t="s">
        <v>1893</v>
      </c>
      <c r="D1161" s="10"/>
      <c r="E1161" s="152"/>
      <c r="F1161" s="52" t="e">
        <v>#N/A</v>
      </c>
      <c r="G1161" s="55" t="s">
        <v>527</v>
      </c>
      <c r="H1161" s="50" t="e">
        <v>#N/A</v>
      </c>
      <c r="I1161" s="50" t="e">
        <v>#N/A</v>
      </c>
      <c r="J1161" s="50" t="e">
        <v>#N/A</v>
      </c>
      <c r="K1161" s="50"/>
      <c r="L1161" s="50"/>
      <c r="M1161" s="50"/>
      <c r="N1161" s="50"/>
      <c r="O1161" s="50"/>
      <c r="P1161" s="50"/>
      <c r="Q1161" s="50"/>
      <c r="R1161" s="50"/>
      <c r="S1161" s="50"/>
      <c r="T1161" s="50"/>
      <c r="U1161" s="50"/>
      <c r="V1161" s="50"/>
      <c r="W1161" s="50"/>
      <c r="X1161" s="50"/>
      <c r="Y1161" s="50"/>
    </row>
    <row r="1162" spans="2:25" x14ac:dyDescent="0.2">
      <c r="B1162" s="53" t="s">
        <v>1952</v>
      </c>
      <c r="C1162" s="9" t="s">
        <v>1944</v>
      </c>
      <c r="D1162" s="10"/>
      <c r="E1162" s="152"/>
      <c r="F1162" s="52" t="e">
        <v>#N/A</v>
      </c>
      <c r="G1162" s="55" t="s">
        <v>527</v>
      </c>
      <c r="H1162" s="50" t="e">
        <v>#N/A</v>
      </c>
      <c r="I1162" s="50" t="e">
        <v>#N/A</v>
      </c>
      <c r="J1162" s="50" t="e">
        <v>#N/A</v>
      </c>
      <c r="K1162" s="50"/>
      <c r="L1162" s="50"/>
      <c r="M1162" s="50"/>
      <c r="N1162" s="50"/>
      <c r="O1162" s="50"/>
      <c r="P1162" s="50"/>
      <c r="Q1162" s="50"/>
      <c r="R1162" s="50"/>
      <c r="S1162" s="50"/>
      <c r="T1162" s="50"/>
      <c r="U1162" s="50"/>
      <c r="V1162" s="50"/>
      <c r="W1162" s="50"/>
      <c r="X1162" s="50"/>
      <c r="Y1162" s="50"/>
    </row>
    <row r="1163" spans="2:25" x14ac:dyDescent="0.2">
      <c r="B1163" s="53" t="s">
        <v>1952</v>
      </c>
      <c r="C1163" s="9" t="s">
        <v>1863</v>
      </c>
      <c r="D1163" s="10"/>
      <c r="E1163" s="152"/>
      <c r="F1163" s="52" t="e">
        <v>#N/A</v>
      </c>
      <c r="G1163" s="55" t="s">
        <v>527</v>
      </c>
      <c r="H1163" s="50" t="e">
        <v>#N/A</v>
      </c>
      <c r="I1163" s="50" t="e">
        <v>#N/A</v>
      </c>
      <c r="J1163" s="50" t="e">
        <v>#N/A</v>
      </c>
      <c r="K1163" s="50"/>
      <c r="L1163" s="50"/>
      <c r="M1163" s="50"/>
      <c r="N1163" s="50"/>
      <c r="O1163" s="50"/>
      <c r="P1163" s="50"/>
      <c r="Q1163" s="50"/>
      <c r="R1163" s="50"/>
      <c r="S1163" s="50"/>
      <c r="T1163" s="50"/>
      <c r="U1163" s="50"/>
      <c r="V1163" s="50"/>
      <c r="W1163" s="50"/>
      <c r="X1163" s="50"/>
      <c r="Y1163" s="50"/>
    </row>
    <row r="1164" spans="2:25" x14ac:dyDescent="0.2">
      <c r="B1164" s="53" t="s">
        <v>1952</v>
      </c>
      <c r="C1164" s="9" t="s">
        <v>1839</v>
      </c>
      <c r="D1164" s="10"/>
      <c r="E1164" s="152"/>
      <c r="F1164" s="52" t="e">
        <v>#N/A</v>
      </c>
      <c r="G1164" s="55" t="s">
        <v>527</v>
      </c>
      <c r="H1164" s="50" t="e">
        <v>#N/A</v>
      </c>
      <c r="I1164" s="50" t="e">
        <v>#N/A</v>
      </c>
      <c r="J1164" s="50" t="e">
        <v>#N/A</v>
      </c>
      <c r="K1164" s="50"/>
      <c r="L1164" s="50"/>
      <c r="M1164" s="50"/>
      <c r="N1164" s="50"/>
      <c r="O1164" s="50"/>
      <c r="P1164" s="50"/>
      <c r="Q1164" s="50"/>
      <c r="R1164" s="50"/>
      <c r="S1164" s="50"/>
      <c r="T1164" s="50"/>
      <c r="U1164" s="50"/>
      <c r="V1164" s="50"/>
      <c r="W1164" s="50"/>
      <c r="X1164" s="50"/>
      <c r="Y1164" s="50"/>
    </row>
    <row r="1165" spans="2:25" x14ac:dyDescent="0.2">
      <c r="B1165" s="53" t="s">
        <v>1952</v>
      </c>
      <c r="C1165" s="9" t="s">
        <v>1900</v>
      </c>
      <c r="D1165" s="10"/>
      <c r="E1165" s="152"/>
      <c r="F1165" s="52" t="e">
        <v>#N/A</v>
      </c>
      <c r="G1165" s="55" t="s">
        <v>527</v>
      </c>
      <c r="H1165" s="50" t="e">
        <v>#N/A</v>
      </c>
      <c r="I1165" s="50" t="e">
        <v>#N/A</v>
      </c>
      <c r="J1165" s="50" t="e">
        <v>#N/A</v>
      </c>
      <c r="K1165" s="50"/>
      <c r="L1165" s="50"/>
      <c r="M1165" s="50"/>
      <c r="N1165" s="50"/>
      <c r="O1165" s="50"/>
      <c r="P1165" s="50"/>
      <c r="Q1165" s="50"/>
      <c r="R1165" s="50"/>
      <c r="S1165" s="50"/>
      <c r="T1165" s="50"/>
      <c r="U1165" s="50"/>
      <c r="V1165" s="50"/>
      <c r="W1165" s="50"/>
      <c r="X1165" s="50"/>
      <c r="Y1165" s="50"/>
    </row>
    <row r="1166" spans="2:25" x14ac:dyDescent="0.2">
      <c r="B1166" s="53" t="s">
        <v>1952</v>
      </c>
      <c r="C1166" s="9" t="s">
        <v>1830</v>
      </c>
      <c r="D1166" s="10"/>
      <c r="E1166" s="152"/>
      <c r="F1166" s="52" t="e">
        <v>#N/A</v>
      </c>
      <c r="G1166" s="55" t="s">
        <v>527</v>
      </c>
      <c r="H1166" s="50" t="e">
        <v>#N/A</v>
      </c>
      <c r="I1166" s="50" t="e">
        <v>#N/A</v>
      </c>
      <c r="J1166" s="50" t="e">
        <v>#N/A</v>
      </c>
      <c r="K1166" s="50"/>
      <c r="L1166" s="50"/>
      <c r="M1166" s="50"/>
      <c r="N1166" s="50"/>
      <c r="O1166" s="50"/>
      <c r="P1166" s="50"/>
      <c r="Q1166" s="50"/>
      <c r="R1166" s="50"/>
      <c r="S1166" s="50"/>
      <c r="T1166" s="50"/>
      <c r="U1166" s="50"/>
      <c r="V1166" s="50"/>
      <c r="W1166" s="50"/>
      <c r="X1166" s="50"/>
      <c r="Y1166" s="50"/>
    </row>
    <row r="1167" spans="2:25" x14ac:dyDescent="0.2">
      <c r="B1167" s="53" t="s">
        <v>1952</v>
      </c>
      <c r="C1167" s="9" t="s">
        <v>1887</v>
      </c>
      <c r="D1167" s="10"/>
      <c r="E1167" s="152"/>
      <c r="F1167" s="52" t="e">
        <v>#N/A</v>
      </c>
      <c r="G1167" s="55" t="s">
        <v>527</v>
      </c>
      <c r="H1167" s="50" t="e">
        <v>#N/A</v>
      </c>
      <c r="I1167" s="50" t="e">
        <v>#N/A</v>
      </c>
      <c r="J1167" s="50" t="e">
        <v>#N/A</v>
      </c>
      <c r="K1167" s="50"/>
      <c r="L1167" s="50"/>
      <c r="M1167" s="50"/>
      <c r="N1167" s="50"/>
      <c r="O1167" s="50"/>
      <c r="P1167" s="50"/>
      <c r="Q1167" s="50"/>
      <c r="R1167" s="50"/>
      <c r="S1167" s="50"/>
      <c r="T1167" s="50"/>
      <c r="U1167" s="50"/>
      <c r="V1167" s="50"/>
      <c r="W1167" s="50"/>
      <c r="X1167" s="50"/>
      <c r="Y1167" s="50"/>
    </row>
    <row r="1168" spans="2:25" x14ac:dyDescent="0.2">
      <c r="B1168" s="53" t="s">
        <v>1952</v>
      </c>
      <c r="C1168" s="9" t="s">
        <v>1876</v>
      </c>
      <c r="D1168" s="10"/>
      <c r="E1168" s="152"/>
      <c r="F1168" s="52" t="e">
        <v>#N/A</v>
      </c>
      <c r="G1168" s="55" t="s">
        <v>527</v>
      </c>
      <c r="H1168" s="50" t="e">
        <v>#N/A</v>
      </c>
      <c r="I1168" s="50" t="e">
        <v>#N/A</v>
      </c>
      <c r="J1168" s="50" t="e">
        <v>#N/A</v>
      </c>
      <c r="K1168" s="50"/>
      <c r="L1168" s="50"/>
      <c r="M1168" s="50"/>
      <c r="N1168" s="50"/>
      <c r="O1168" s="50"/>
      <c r="P1168" s="50"/>
      <c r="Q1168" s="50"/>
      <c r="R1168" s="50"/>
      <c r="S1168" s="50"/>
      <c r="T1168" s="50"/>
      <c r="U1168" s="50"/>
      <c r="V1168" s="50"/>
      <c r="W1168" s="50"/>
      <c r="X1168" s="50"/>
      <c r="Y1168" s="50"/>
    </row>
    <row r="1169" spans="2:25" x14ac:dyDescent="0.2">
      <c r="B1169" s="53" t="s">
        <v>1952</v>
      </c>
      <c r="C1169" s="9" t="s">
        <v>1889</v>
      </c>
      <c r="D1169" s="10"/>
      <c r="E1169" s="152"/>
      <c r="F1169" s="52" t="e">
        <v>#N/A</v>
      </c>
      <c r="G1169" s="55" t="s">
        <v>527</v>
      </c>
      <c r="H1169" s="50" t="e">
        <v>#N/A</v>
      </c>
      <c r="I1169" s="50" t="e">
        <v>#N/A</v>
      </c>
      <c r="J1169" s="50" t="e">
        <v>#N/A</v>
      </c>
      <c r="K1169" s="50"/>
      <c r="L1169" s="50"/>
      <c r="M1169" s="50"/>
      <c r="N1169" s="50"/>
      <c r="O1169" s="50"/>
      <c r="P1169" s="50"/>
      <c r="Q1169" s="50"/>
      <c r="R1169" s="50"/>
      <c r="S1169" s="50"/>
      <c r="T1169" s="50"/>
      <c r="U1169" s="50"/>
      <c r="V1169" s="50"/>
      <c r="W1169" s="50"/>
      <c r="X1169" s="50"/>
      <c r="Y1169" s="50"/>
    </row>
    <row r="1170" spans="2:25" x14ac:dyDescent="0.2">
      <c r="B1170" s="53" t="s">
        <v>1952</v>
      </c>
      <c r="C1170" s="9" t="s">
        <v>1896</v>
      </c>
      <c r="D1170" s="10"/>
      <c r="E1170" s="152"/>
      <c r="F1170" s="52" t="e">
        <v>#N/A</v>
      </c>
      <c r="G1170" s="55" t="s">
        <v>527</v>
      </c>
      <c r="H1170" s="50" t="e">
        <v>#N/A</v>
      </c>
      <c r="I1170" s="50" t="e">
        <v>#N/A</v>
      </c>
      <c r="J1170" s="50" t="e">
        <v>#N/A</v>
      </c>
      <c r="K1170" s="50"/>
      <c r="L1170" s="50"/>
      <c r="M1170" s="50"/>
      <c r="N1170" s="50"/>
      <c r="O1170" s="50"/>
      <c r="P1170" s="50"/>
      <c r="Q1170" s="50"/>
      <c r="R1170" s="50"/>
      <c r="S1170" s="50"/>
      <c r="T1170" s="50"/>
      <c r="U1170" s="50"/>
      <c r="V1170" s="50"/>
      <c r="W1170" s="50"/>
      <c r="X1170" s="50"/>
      <c r="Y1170" s="50"/>
    </row>
    <row r="1171" spans="2:25" x14ac:dyDescent="0.2">
      <c r="B1171" s="53" t="s">
        <v>1952</v>
      </c>
      <c r="C1171" s="9" t="s">
        <v>1819</v>
      </c>
      <c r="D1171" s="10"/>
      <c r="E1171" s="152"/>
      <c r="F1171" s="52" t="e">
        <v>#N/A</v>
      </c>
      <c r="G1171" s="55" t="s">
        <v>527</v>
      </c>
      <c r="H1171" s="50" t="e">
        <v>#N/A</v>
      </c>
      <c r="I1171" s="50" t="e">
        <v>#N/A</v>
      </c>
      <c r="J1171" s="50" t="e">
        <v>#N/A</v>
      </c>
      <c r="K1171" s="50"/>
      <c r="L1171" s="50"/>
      <c r="M1171" s="50"/>
      <c r="N1171" s="50"/>
      <c r="O1171" s="50"/>
      <c r="P1171" s="50"/>
      <c r="Q1171" s="50"/>
      <c r="R1171" s="50"/>
      <c r="S1171" s="50"/>
      <c r="T1171" s="50"/>
      <c r="U1171" s="50"/>
      <c r="V1171" s="50"/>
      <c r="W1171" s="50"/>
      <c r="X1171" s="50"/>
      <c r="Y1171" s="50"/>
    </row>
    <row r="1172" spans="2:25" x14ac:dyDescent="0.2">
      <c r="B1172" s="53" t="s">
        <v>1952</v>
      </c>
      <c r="C1172" s="9" t="s">
        <v>1850</v>
      </c>
      <c r="D1172" s="10"/>
      <c r="E1172" s="152"/>
      <c r="F1172" s="52" t="e">
        <v>#N/A</v>
      </c>
      <c r="G1172" s="55" t="s">
        <v>527</v>
      </c>
      <c r="H1172" s="50" t="e">
        <v>#N/A</v>
      </c>
      <c r="I1172" s="50" t="e">
        <v>#N/A</v>
      </c>
      <c r="J1172" s="50" t="e">
        <v>#N/A</v>
      </c>
      <c r="K1172" s="50"/>
      <c r="L1172" s="50"/>
      <c r="M1172" s="50"/>
      <c r="N1172" s="50"/>
      <c r="O1172" s="50"/>
      <c r="P1172" s="50"/>
      <c r="Q1172" s="50"/>
      <c r="R1172" s="50"/>
      <c r="S1172" s="50"/>
      <c r="T1172" s="50"/>
      <c r="U1172" s="50"/>
      <c r="V1172" s="50"/>
      <c r="W1172" s="50"/>
      <c r="X1172" s="50"/>
      <c r="Y1172" s="50"/>
    </row>
    <row r="1173" spans="2:25" x14ac:dyDescent="0.2">
      <c r="B1173" s="53" t="s">
        <v>1952</v>
      </c>
      <c r="C1173" s="9" t="s">
        <v>1929</v>
      </c>
      <c r="D1173" s="10"/>
      <c r="E1173" s="152"/>
      <c r="F1173" s="52" t="e">
        <v>#N/A</v>
      </c>
      <c r="G1173" s="55" t="s">
        <v>527</v>
      </c>
      <c r="H1173" s="50" t="e">
        <v>#N/A</v>
      </c>
      <c r="I1173" s="50" t="e">
        <v>#N/A</v>
      </c>
      <c r="J1173" s="50" t="e">
        <v>#N/A</v>
      </c>
      <c r="K1173" s="50"/>
      <c r="L1173" s="50"/>
      <c r="M1173" s="50"/>
      <c r="N1173" s="50"/>
      <c r="O1173" s="50"/>
      <c r="P1173" s="50"/>
      <c r="Q1173" s="50"/>
      <c r="R1173" s="50"/>
      <c r="S1173" s="50"/>
      <c r="T1173" s="50"/>
      <c r="U1173" s="50"/>
      <c r="V1173" s="50"/>
      <c r="W1173" s="50"/>
      <c r="X1173" s="50"/>
      <c r="Y1173" s="50"/>
    </row>
    <row r="1174" spans="2:25" x14ac:dyDescent="0.2">
      <c r="B1174" s="53" t="s">
        <v>1952</v>
      </c>
      <c r="C1174" s="9" t="s">
        <v>1930</v>
      </c>
      <c r="D1174" s="10"/>
      <c r="E1174" s="152"/>
      <c r="F1174" s="52" t="e">
        <v>#N/A</v>
      </c>
      <c r="G1174" s="55" t="s">
        <v>527</v>
      </c>
      <c r="H1174" s="50" t="e">
        <v>#N/A</v>
      </c>
      <c r="I1174" s="50" t="e">
        <v>#N/A</v>
      </c>
      <c r="J1174" s="50" t="e">
        <v>#N/A</v>
      </c>
      <c r="K1174" s="50"/>
      <c r="L1174" s="50"/>
      <c r="M1174" s="50"/>
      <c r="N1174" s="50"/>
      <c r="O1174" s="50"/>
      <c r="P1174" s="50"/>
      <c r="Q1174" s="50"/>
      <c r="R1174" s="50"/>
      <c r="S1174" s="50"/>
      <c r="T1174" s="50"/>
      <c r="U1174" s="50"/>
      <c r="V1174" s="50"/>
      <c r="W1174" s="50"/>
      <c r="X1174" s="50"/>
      <c r="Y1174" s="50"/>
    </row>
    <row r="1175" spans="2:25" x14ac:dyDescent="0.2">
      <c r="B1175" s="53" t="s">
        <v>1952</v>
      </c>
      <c r="C1175" s="9" t="s">
        <v>1865</v>
      </c>
      <c r="D1175" s="10"/>
      <c r="E1175" s="152"/>
      <c r="F1175" s="52" t="e">
        <v>#N/A</v>
      </c>
      <c r="G1175" s="55" t="s">
        <v>527</v>
      </c>
      <c r="H1175" s="50" t="e">
        <v>#N/A</v>
      </c>
      <c r="I1175" s="50" t="e">
        <v>#N/A</v>
      </c>
      <c r="J1175" s="50" t="e">
        <v>#N/A</v>
      </c>
      <c r="K1175" s="50"/>
      <c r="L1175" s="50"/>
      <c r="M1175" s="50"/>
      <c r="N1175" s="50"/>
      <c r="O1175" s="50"/>
      <c r="P1175" s="50"/>
      <c r="Q1175" s="50"/>
      <c r="R1175" s="50"/>
      <c r="S1175" s="50"/>
      <c r="T1175" s="50"/>
      <c r="U1175" s="50"/>
      <c r="V1175" s="50"/>
      <c r="W1175" s="50"/>
      <c r="X1175" s="50"/>
      <c r="Y1175" s="50"/>
    </row>
    <row r="1176" spans="2:25" x14ac:dyDescent="0.2">
      <c r="B1176" s="53" t="s">
        <v>1952</v>
      </c>
      <c r="C1176" s="9" t="s">
        <v>1867</v>
      </c>
      <c r="D1176" s="10"/>
      <c r="E1176" s="152"/>
      <c r="F1176" s="52" t="e">
        <v>#N/A</v>
      </c>
      <c r="G1176" s="55" t="s">
        <v>527</v>
      </c>
      <c r="H1176" s="50" t="e">
        <v>#N/A</v>
      </c>
      <c r="I1176" s="50" t="e">
        <v>#N/A</v>
      </c>
      <c r="J1176" s="50" t="e">
        <v>#N/A</v>
      </c>
      <c r="K1176" s="50"/>
      <c r="L1176" s="50"/>
      <c r="M1176" s="50"/>
      <c r="N1176" s="50"/>
      <c r="O1176" s="50"/>
      <c r="P1176" s="50"/>
      <c r="Q1176" s="50"/>
      <c r="R1176" s="50"/>
      <c r="S1176" s="50"/>
      <c r="T1176" s="50"/>
      <c r="U1176" s="50"/>
      <c r="V1176" s="50"/>
      <c r="W1176" s="50"/>
      <c r="X1176" s="50"/>
      <c r="Y1176" s="50"/>
    </row>
    <row r="1177" spans="2:25" x14ac:dyDescent="0.2">
      <c r="B1177" s="53" t="s">
        <v>1952</v>
      </c>
      <c r="C1177" s="9" t="s">
        <v>1885</v>
      </c>
      <c r="D1177" s="10"/>
      <c r="E1177" s="152"/>
      <c r="F1177" s="52" t="e">
        <v>#N/A</v>
      </c>
      <c r="G1177" s="55" t="s">
        <v>527</v>
      </c>
      <c r="H1177" s="50" t="e">
        <v>#N/A</v>
      </c>
      <c r="I1177" s="50" t="e">
        <v>#N/A</v>
      </c>
      <c r="J1177" s="50" t="e">
        <v>#N/A</v>
      </c>
      <c r="K1177" s="50"/>
      <c r="L1177" s="50"/>
      <c r="M1177" s="50"/>
      <c r="N1177" s="50"/>
      <c r="O1177" s="50"/>
      <c r="P1177" s="50"/>
      <c r="Q1177" s="50"/>
      <c r="R1177" s="50"/>
      <c r="S1177" s="50"/>
      <c r="T1177" s="50"/>
      <c r="U1177" s="50"/>
      <c r="V1177" s="50"/>
      <c r="W1177" s="50"/>
      <c r="X1177" s="50"/>
      <c r="Y1177" s="50"/>
    </row>
    <row r="1178" spans="2:25" x14ac:dyDescent="0.2">
      <c r="B1178" s="53" t="s">
        <v>1952</v>
      </c>
      <c r="C1178" s="9" t="s">
        <v>1884</v>
      </c>
      <c r="D1178" s="10"/>
      <c r="E1178" s="152"/>
      <c r="F1178" s="52" t="e">
        <v>#N/A</v>
      </c>
      <c r="G1178" s="55" t="s">
        <v>527</v>
      </c>
      <c r="H1178" s="50" t="e">
        <v>#N/A</v>
      </c>
      <c r="I1178" s="50" t="e">
        <v>#N/A</v>
      </c>
      <c r="J1178" s="50" t="e">
        <v>#N/A</v>
      </c>
      <c r="K1178" s="50"/>
      <c r="L1178" s="50"/>
      <c r="M1178" s="50"/>
      <c r="N1178" s="50"/>
      <c r="O1178" s="50"/>
      <c r="P1178" s="50"/>
      <c r="Q1178" s="50"/>
      <c r="R1178" s="50"/>
      <c r="S1178" s="50"/>
      <c r="T1178" s="50"/>
      <c r="U1178" s="50"/>
      <c r="V1178" s="50"/>
      <c r="W1178" s="50"/>
      <c r="X1178" s="50"/>
      <c r="Y1178" s="50"/>
    </row>
    <row r="1179" spans="2:25" x14ac:dyDescent="0.2">
      <c r="B1179" s="53" t="s">
        <v>1086</v>
      </c>
      <c r="C1179" s="9" t="s">
        <v>1924</v>
      </c>
      <c r="D1179" s="10"/>
      <c r="E1179" s="152"/>
      <c r="F1179" s="52" t="e">
        <v>#N/A</v>
      </c>
      <c r="G1179" s="55" t="s">
        <v>527</v>
      </c>
      <c r="H1179" s="50" t="e">
        <v>#N/A</v>
      </c>
      <c r="I1179" s="50" t="e">
        <v>#N/A</v>
      </c>
      <c r="J1179" s="50" t="e">
        <v>#N/A</v>
      </c>
      <c r="K1179" s="50"/>
      <c r="L1179" s="50"/>
      <c r="M1179" s="50"/>
      <c r="N1179" s="50"/>
      <c r="O1179" s="50"/>
      <c r="P1179" s="50"/>
      <c r="Q1179" s="50"/>
      <c r="R1179" s="50"/>
      <c r="S1179" s="50"/>
      <c r="T1179" s="50"/>
      <c r="U1179" s="50"/>
      <c r="V1179" s="50"/>
      <c r="W1179" s="50"/>
      <c r="X1179" s="50"/>
      <c r="Y1179" s="50"/>
    </row>
    <row r="1180" spans="2:25" x14ac:dyDescent="0.2">
      <c r="B1180" s="53" t="s">
        <v>1086</v>
      </c>
      <c r="C1180" s="9" t="s">
        <v>1945</v>
      </c>
      <c r="D1180" s="10"/>
      <c r="E1180" s="152"/>
      <c r="F1180" s="52" t="e">
        <v>#N/A</v>
      </c>
      <c r="G1180" s="55" t="s">
        <v>527</v>
      </c>
      <c r="H1180" s="50" t="e">
        <v>#N/A</v>
      </c>
      <c r="I1180" s="50" t="e">
        <v>#N/A</v>
      </c>
      <c r="J1180" s="50" t="e">
        <v>#N/A</v>
      </c>
      <c r="K1180" s="50"/>
      <c r="L1180" s="50"/>
      <c r="M1180" s="50"/>
      <c r="N1180" s="50"/>
      <c r="O1180" s="50"/>
      <c r="P1180" s="50"/>
      <c r="Q1180" s="50"/>
      <c r="R1180" s="50"/>
      <c r="S1180" s="50"/>
      <c r="T1180" s="50"/>
      <c r="U1180" s="50"/>
      <c r="V1180" s="50"/>
      <c r="W1180" s="50"/>
      <c r="X1180" s="50"/>
      <c r="Y1180" s="50"/>
    </row>
    <row r="1181" spans="2:25" x14ac:dyDescent="0.2">
      <c r="B1181" s="53" t="s">
        <v>1086</v>
      </c>
      <c r="C1181" s="9" t="s">
        <v>1907</v>
      </c>
      <c r="D1181" s="10"/>
      <c r="E1181" s="152"/>
      <c r="F1181" s="52" t="e">
        <v>#N/A</v>
      </c>
      <c r="G1181" s="55" t="s">
        <v>527</v>
      </c>
      <c r="H1181" s="50" t="e">
        <v>#N/A</v>
      </c>
      <c r="I1181" s="50" t="e">
        <v>#N/A</v>
      </c>
      <c r="J1181" s="50" t="e">
        <v>#N/A</v>
      </c>
      <c r="K1181" s="50"/>
      <c r="L1181" s="50"/>
      <c r="M1181" s="50"/>
      <c r="N1181" s="50"/>
      <c r="O1181" s="50"/>
      <c r="P1181" s="50"/>
      <c r="Q1181" s="50"/>
      <c r="R1181" s="50"/>
      <c r="S1181" s="50"/>
      <c r="T1181" s="50"/>
      <c r="U1181" s="50"/>
      <c r="V1181" s="50"/>
      <c r="W1181" s="50"/>
      <c r="X1181" s="50"/>
      <c r="Y1181" s="50"/>
    </row>
    <row r="1182" spans="2:25" x14ac:dyDescent="0.2">
      <c r="B1182" s="53" t="s">
        <v>1086</v>
      </c>
      <c r="C1182" s="9" t="s">
        <v>1941</v>
      </c>
      <c r="D1182" s="10"/>
      <c r="E1182" s="152"/>
      <c r="F1182" s="52" t="e">
        <v>#N/A</v>
      </c>
      <c r="G1182" s="55" t="s">
        <v>527</v>
      </c>
      <c r="H1182" s="50" t="e">
        <v>#N/A</v>
      </c>
      <c r="I1182" s="50" t="e">
        <v>#N/A</v>
      </c>
      <c r="J1182" s="50" t="e">
        <v>#N/A</v>
      </c>
      <c r="K1182" s="50"/>
      <c r="L1182" s="50"/>
      <c r="M1182" s="50"/>
      <c r="N1182" s="50"/>
      <c r="O1182" s="50"/>
      <c r="P1182" s="50"/>
      <c r="Q1182" s="50"/>
      <c r="R1182" s="50"/>
      <c r="S1182" s="50"/>
      <c r="T1182" s="50"/>
      <c r="U1182" s="50"/>
      <c r="V1182" s="50"/>
      <c r="W1182" s="50"/>
      <c r="X1182" s="50"/>
      <c r="Y1182" s="50"/>
    </row>
    <row r="1183" spans="2:25" x14ac:dyDescent="0.2">
      <c r="B1183" s="53" t="s">
        <v>1086</v>
      </c>
      <c r="C1183" s="9" t="s">
        <v>1895</v>
      </c>
      <c r="D1183" s="10"/>
      <c r="E1183" s="152"/>
      <c r="F1183" s="52" t="e">
        <v>#N/A</v>
      </c>
      <c r="G1183" s="55" t="s">
        <v>527</v>
      </c>
      <c r="H1183" s="50" t="e">
        <v>#N/A</v>
      </c>
      <c r="I1183" s="50" t="e">
        <v>#N/A</v>
      </c>
      <c r="J1183" s="50" t="e">
        <v>#N/A</v>
      </c>
      <c r="K1183" s="50"/>
      <c r="L1183" s="50"/>
      <c r="M1183" s="50"/>
      <c r="N1183" s="50"/>
      <c r="O1183" s="50"/>
      <c r="P1183" s="50"/>
      <c r="Q1183" s="50"/>
      <c r="R1183" s="50"/>
      <c r="S1183" s="50"/>
      <c r="T1183" s="50"/>
      <c r="U1183" s="50"/>
      <c r="V1183" s="50"/>
      <c r="W1183" s="50"/>
      <c r="X1183" s="50"/>
      <c r="Y1183" s="50"/>
    </row>
    <row r="1184" spans="2:25" x14ac:dyDescent="0.2">
      <c r="B1184" s="53" t="s">
        <v>1086</v>
      </c>
      <c r="C1184" s="9" t="s">
        <v>1913</v>
      </c>
      <c r="D1184" s="10"/>
      <c r="E1184" s="152"/>
      <c r="F1184" s="52" t="e">
        <v>#N/A</v>
      </c>
      <c r="G1184" s="55" t="s">
        <v>527</v>
      </c>
      <c r="H1184" s="50" t="e">
        <v>#N/A</v>
      </c>
      <c r="I1184" s="50" t="e">
        <v>#N/A</v>
      </c>
      <c r="J1184" s="50" t="e">
        <v>#N/A</v>
      </c>
      <c r="K1184" s="50"/>
      <c r="L1184" s="50"/>
      <c r="M1184" s="50"/>
      <c r="N1184" s="50"/>
      <c r="O1184" s="50"/>
      <c r="P1184" s="50"/>
      <c r="Q1184" s="50"/>
      <c r="R1184" s="50"/>
      <c r="S1184" s="50"/>
      <c r="T1184" s="50"/>
      <c r="U1184" s="50"/>
      <c r="V1184" s="50"/>
      <c r="W1184" s="50"/>
      <c r="X1184" s="50"/>
      <c r="Y1184" s="50"/>
    </row>
    <row r="1185" spans="2:25" x14ac:dyDescent="0.2">
      <c r="B1185" s="53" t="s">
        <v>1086</v>
      </c>
      <c r="C1185" s="9" t="s">
        <v>1843</v>
      </c>
      <c r="D1185" s="10"/>
      <c r="E1185" s="152"/>
      <c r="F1185" s="52" t="e">
        <v>#N/A</v>
      </c>
      <c r="G1185" s="55" t="s">
        <v>527</v>
      </c>
      <c r="H1185" s="50" t="e">
        <v>#N/A</v>
      </c>
      <c r="I1185" s="50" t="e">
        <v>#N/A</v>
      </c>
      <c r="J1185" s="50" t="e">
        <v>#N/A</v>
      </c>
      <c r="K1185" s="50"/>
      <c r="L1185" s="50"/>
      <c r="M1185" s="50"/>
      <c r="N1185" s="50"/>
      <c r="O1185" s="50"/>
      <c r="P1185" s="50"/>
      <c r="Q1185" s="50"/>
      <c r="R1185" s="50"/>
      <c r="S1185" s="50"/>
      <c r="T1185" s="50"/>
      <c r="U1185" s="50"/>
      <c r="V1185" s="50"/>
      <c r="W1185" s="50"/>
      <c r="X1185" s="50"/>
      <c r="Y1185" s="50"/>
    </row>
    <row r="1186" spans="2:25" x14ac:dyDescent="0.2">
      <c r="B1186" s="53" t="s">
        <v>1086</v>
      </c>
      <c r="C1186" s="9" t="s">
        <v>1853</v>
      </c>
      <c r="D1186" s="10"/>
      <c r="E1186" s="152"/>
      <c r="F1186" s="52" t="e">
        <v>#N/A</v>
      </c>
      <c r="G1186" s="55" t="s">
        <v>527</v>
      </c>
      <c r="H1186" s="50" t="e">
        <v>#N/A</v>
      </c>
      <c r="I1186" s="50" t="e">
        <v>#N/A</v>
      </c>
      <c r="J1186" s="50" t="e">
        <v>#N/A</v>
      </c>
      <c r="K1186" s="50"/>
      <c r="L1186" s="50"/>
      <c r="M1186" s="50"/>
      <c r="N1186" s="50"/>
      <c r="O1186" s="50"/>
      <c r="P1186" s="50"/>
      <c r="Q1186" s="50"/>
      <c r="R1186" s="50"/>
      <c r="S1186" s="50"/>
      <c r="T1186" s="50"/>
      <c r="U1186" s="50"/>
      <c r="V1186" s="50"/>
      <c r="W1186" s="50"/>
      <c r="X1186" s="50"/>
      <c r="Y1186" s="50"/>
    </row>
    <row r="1187" spans="2:25" x14ac:dyDescent="0.2">
      <c r="B1187" s="53" t="s">
        <v>1086</v>
      </c>
      <c r="C1187" s="9" t="s">
        <v>1905</v>
      </c>
      <c r="D1187" s="10"/>
      <c r="E1187" s="152"/>
      <c r="F1187" s="52" t="e">
        <v>#N/A</v>
      </c>
      <c r="G1187" s="55" t="s">
        <v>527</v>
      </c>
      <c r="H1187" s="50" t="e">
        <v>#N/A</v>
      </c>
      <c r="I1187" s="50" t="e">
        <v>#N/A</v>
      </c>
      <c r="J1187" s="50" t="e">
        <v>#N/A</v>
      </c>
      <c r="K1187" s="50"/>
      <c r="L1187" s="50"/>
      <c r="M1187" s="50"/>
      <c r="N1187" s="50"/>
      <c r="O1187" s="50"/>
      <c r="P1187" s="50"/>
      <c r="Q1187" s="50"/>
      <c r="R1187" s="50"/>
      <c r="S1187" s="50"/>
      <c r="T1187" s="50"/>
      <c r="U1187" s="50"/>
      <c r="V1187" s="50"/>
      <c r="W1187" s="50"/>
      <c r="X1187" s="50"/>
      <c r="Y1187" s="50"/>
    </row>
    <row r="1188" spans="2:25" x14ac:dyDescent="0.2">
      <c r="B1188" s="53" t="s">
        <v>1086</v>
      </c>
      <c r="C1188" s="9" t="s">
        <v>1838</v>
      </c>
      <c r="D1188" s="10"/>
      <c r="E1188" s="152"/>
      <c r="F1188" s="52" t="e">
        <v>#N/A</v>
      </c>
      <c r="G1188" s="55" t="s">
        <v>527</v>
      </c>
      <c r="H1188" s="50" t="e">
        <v>#N/A</v>
      </c>
      <c r="I1188" s="50" t="e">
        <v>#N/A</v>
      </c>
      <c r="J1188" s="50" t="e">
        <v>#N/A</v>
      </c>
      <c r="K1188" s="50"/>
      <c r="L1188" s="50"/>
      <c r="M1188" s="50"/>
      <c r="N1188" s="50"/>
      <c r="O1188" s="50"/>
      <c r="P1188" s="50"/>
      <c r="Q1188" s="50"/>
      <c r="R1188" s="50"/>
      <c r="S1188" s="50"/>
      <c r="T1188" s="50"/>
      <c r="U1188" s="50"/>
      <c r="V1188" s="50"/>
      <c r="W1188" s="50"/>
      <c r="X1188" s="50"/>
      <c r="Y1188" s="50"/>
    </row>
    <row r="1189" spans="2:25" x14ac:dyDescent="0.2">
      <c r="B1189" s="53" t="s">
        <v>1086</v>
      </c>
      <c r="C1189" s="9" t="s">
        <v>1854</v>
      </c>
      <c r="D1189" s="10"/>
      <c r="E1189" s="152"/>
      <c r="F1189" s="52" t="e">
        <v>#N/A</v>
      </c>
      <c r="G1189" s="55" t="s">
        <v>527</v>
      </c>
      <c r="H1189" s="50" t="e">
        <v>#N/A</v>
      </c>
      <c r="I1189" s="50" t="e">
        <v>#N/A</v>
      </c>
      <c r="J1189" s="50" t="e">
        <v>#N/A</v>
      </c>
      <c r="K1189" s="50"/>
      <c r="L1189" s="50"/>
      <c r="M1189" s="50"/>
      <c r="N1189" s="50"/>
      <c r="O1189" s="50"/>
      <c r="P1189" s="50"/>
      <c r="Q1189" s="50"/>
      <c r="R1189" s="50"/>
      <c r="S1189" s="50"/>
      <c r="T1189" s="50"/>
      <c r="U1189" s="50"/>
      <c r="V1189" s="50"/>
      <c r="W1189" s="50"/>
      <c r="X1189" s="50"/>
      <c r="Y1189" s="50"/>
    </row>
    <row r="1190" spans="2:25" x14ac:dyDescent="0.2">
      <c r="B1190" s="53" t="s">
        <v>1086</v>
      </c>
      <c r="C1190" s="9" t="s">
        <v>1878</v>
      </c>
      <c r="D1190" s="10"/>
      <c r="E1190" s="152"/>
      <c r="F1190" s="52" t="e">
        <v>#N/A</v>
      </c>
      <c r="G1190" s="55" t="s">
        <v>527</v>
      </c>
      <c r="H1190" s="50" t="e">
        <v>#N/A</v>
      </c>
      <c r="I1190" s="50" t="e">
        <v>#N/A</v>
      </c>
      <c r="J1190" s="50" t="e">
        <v>#N/A</v>
      </c>
      <c r="K1190" s="50"/>
      <c r="L1190" s="50"/>
      <c r="M1190" s="50"/>
      <c r="N1190" s="50"/>
      <c r="O1190" s="50"/>
      <c r="P1190" s="50"/>
      <c r="Q1190" s="50"/>
      <c r="R1190" s="50"/>
      <c r="S1190" s="50"/>
      <c r="T1190" s="50"/>
      <c r="U1190" s="50"/>
      <c r="V1190" s="50"/>
      <c r="W1190" s="50"/>
      <c r="X1190" s="50"/>
      <c r="Y1190" s="50"/>
    </row>
    <row r="1191" spans="2:25" x14ac:dyDescent="0.2">
      <c r="B1191" s="53" t="s">
        <v>1086</v>
      </c>
      <c r="C1191" s="9" t="s">
        <v>1862</v>
      </c>
      <c r="D1191" s="10"/>
      <c r="E1191" s="152"/>
      <c r="F1191" s="52" t="e">
        <v>#N/A</v>
      </c>
      <c r="G1191" s="55" t="s">
        <v>527</v>
      </c>
      <c r="H1191" s="50" t="e">
        <v>#N/A</v>
      </c>
      <c r="I1191" s="50" t="e">
        <v>#N/A</v>
      </c>
      <c r="J1191" s="50" t="e">
        <v>#N/A</v>
      </c>
      <c r="K1191" s="50"/>
      <c r="L1191" s="50"/>
      <c r="M1191" s="50"/>
      <c r="N1191" s="50"/>
      <c r="O1191" s="50"/>
      <c r="P1191" s="50"/>
      <c r="Q1191" s="50"/>
      <c r="R1191" s="50"/>
      <c r="S1191" s="50"/>
      <c r="T1191" s="50"/>
      <c r="U1191" s="50"/>
      <c r="V1191" s="50"/>
      <c r="W1191" s="50"/>
      <c r="X1191" s="50"/>
      <c r="Y1191" s="50"/>
    </row>
    <row r="1192" spans="2:25" x14ac:dyDescent="0.2">
      <c r="B1192" s="53" t="s">
        <v>1086</v>
      </c>
      <c r="C1192" s="9" t="s">
        <v>1844</v>
      </c>
      <c r="D1192" s="10"/>
      <c r="E1192" s="152"/>
      <c r="F1192" s="52" t="e">
        <v>#N/A</v>
      </c>
      <c r="G1192" s="55" t="s">
        <v>527</v>
      </c>
      <c r="H1192" s="50" t="e">
        <v>#N/A</v>
      </c>
      <c r="I1192" s="50" t="e">
        <v>#N/A</v>
      </c>
      <c r="J1192" s="50" t="e">
        <v>#N/A</v>
      </c>
      <c r="K1192" s="50"/>
      <c r="L1192" s="50"/>
      <c r="M1192" s="50"/>
      <c r="N1192" s="50"/>
      <c r="O1192" s="50"/>
      <c r="P1192" s="50"/>
      <c r="Q1192" s="50"/>
      <c r="R1192" s="50"/>
      <c r="S1192" s="50"/>
      <c r="T1192" s="50"/>
      <c r="U1192" s="50"/>
      <c r="V1192" s="50"/>
      <c r="W1192" s="50"/>
      <c r="X1192" s="50"/>
      <c r="Y1192" s="50"/>
    </row>
    <row r="1193" spans="2:25" x14ac:dyDescent="0.2">
      <c r="B1193" s="53" t="s">
        <v>1086</v>
      </c>
      <c r="C1193" s="9" t="s">
        <v>1921</v>
      </c>
      <c r="D1193" s="10"/>
      <c r="E1193" s="152"/>
      <c r="F1193" s="52" t="e">
        <v>#N/A</v>
      </c>
      <c r="G1193" s="55" t="s">
        <v>527</v>
      </c>
      <c r="H1193" s="50" t="e">
        <v>#N/A</v>
      </c>
      <c r="I1193" s="50" t="e">
        <v>#N/A</v>
      </c>
      <c r="J1193" s="50" t="e">
        <v>#N/A</v>
      </c>
      <c r="K1193" s="50"/>
      <c r="L1193" s="50"/>
      <c r="M1193" s="50"/>
      <c r="N1193" s="50"/>
      <c r="O1193" s="50"/>
      <c r="P1193" s="50"/>
      <c r="Q1193" s="50"/>
      <c r="R1193" s="50"/>
      <c r="S1193" s="50"/>
      <c r="T1193" s="50"/>
      <c r="U1193" s="50"/>
      <c r="V1193" s="50"/>
      <c r="W1193" s="50"/>
      <c r="X1193" s="50"/>
      <c r="Y1193" s="50"/>
    </row>
    <row r="1194" spans="2:25" x14ac:dyDescent="0.2">
      <c r="B1194" s="53" t="s">
        <v>1086</v>
      </c>
      <c r="C1194" s="9" t="s">
        <v>1861</v>
      </c>
      <c r="D1194" s="10"/>
      <c r="E1194" s="152"/>
      <c r="F1194" s="52" t="e">
        <v>#N/A</v>
      </c>
      <c r="G1194" s="55" t="s">
        <v>527</v>
      </c>
      <c r="H1194" s="50" t="e">
        <v>#N/A</v>
      </c>
      <c r="I1194" s="50" t="e">
        <v>#N/A</v>
      </c>
      <c r="J1194" s="50" t="e">
        <v>#N/A</v>
      </c>
      <c r="K1194" s="50"/>
      <c r="L1194" s="50"/>
      <c r="M1194" s="50"/>
      <c r="N1194" s="50"/>
      <c r="O1194" s="50"/>
      <c r="P1194" s="50"/>
      <c r="Q1194" s="50"/>
      <c r="R1194" s="50"/>
      <c r="S1194" s="50"/>
      <c r="T1194" s="50"/>
      <c r="U1194" s="50"/>
      <c r="V1194" s="50"/>
      <c r="W1194" s="50"/>
      <c r="X1194" s="50"/>
      <c r="Y1194" s="50"/>
    </row>
    <row r="1195" spans="2:25" x14ac:dyDescent="0.2">
      <c r="B1195" s="53" t="s">
        <v>1086</v>
      </c>
      <c r="C1195" s="9" t="s">
        <v>1872</v>
      </c>
      <c r="D1195" s="10"/>
      <c r="E1195" s="152"/>
      <c r="F1195" s="52" t="e">
        <v>#N/A</v>
      </c>
      <c r="G1195" s="55" t="s">
        <v>527</v>
      </c>
      <c r="H1195" s="50" t="e">
        <v>#N/A</v>
      </c>
      <c r="I1195" s="50" t="e">
        <v>#N/A</v>
      </c>
      <c r="J1195" s="50" t="e">
        <v>#N/A</v>
      </c>
      <c r="K1195" s="50"/>
      <c r="L1195" s="50"/>
      <c r="M1195" s="50"/>
      <c r="N1195" s="50"/>
      <c r="O1195" s="50"/>
      <c r="P1195" s="50"/>
      <c r="Q1195" s="50"/>
      <c r="R1195" s="50"/>
      <c r="S1195" s="50"/>
      <c r="T1195" s="50"/>
      <c r="U1195" s="50"/>
      <c r="V1195" s="50"/>
      <c r="W1195" s="50"/>
      <c r="X1195" s="50"/>
      <c r="Y1195" s="50"/>
    </row>
    <row r="1196" spans="2:25" x14ac:dyDescent="0.2">
      <c r="B1196" s="53" t="s">
        <v>1086</v>
      </c>
      <c r="C1196" s="9" t="s">
        <v>1938</v>
      </c>
      <c r="D1196" s="10"/>
      <c r="E1196" s="152"/>
      <c r="F1196" s="52" t="e">
        <v>#N/A</v>
      </c>
      <c r="G1196" s="55" t="s">
        <v>527</v>
      </c>
      <c r="H1196" s="50" t="e">
        <v>#N/A</v>
      </c>
      <c r="I1196" s="50" t="e">
        <v>#N/A</v>
      </c>
      <c r="J1196" s="50" t="e">
        <v>#N/A</v>
      </c>
      <c r="K1196" s="50"/>
      <c r="L1196" s="50"/>
      <c r="M1196" s="50"/>
      <c r="N1196" s="50"/>
      <c r="O1196" s="50"/>
      <c r="P1196" s="50"/>
      <c r="Q1196" s="50"/>
      <c r="R1196" s="50"/>
      <c r="S1196" s="50"/>
      <c r="T1196" s="50"/>
      <c r="U1196" s="50"/>
      <c r="V1196" s="50"/>
      <c r="W1196" s="50"/>
      <c r="X1196" s="50"/>
      <c r="Y1196" s="50"/>
    </row>
    <row r="1197" spans="2:25" x14ac:dyDescent="0.2">
      <c r="B1197" s="53" t="s">
        <v>1086</v>
      </c>
      <c r="C1197" s="9" t="s">
        <v>1936</v>
      </c>
      <c r="D1197" s="10"/>
      <c r="E1197" s="152"/>
      <c r="F1197" s="52" t="e">
        <v>#N/A</v>
      </c>
      <c r="G1197" s="55" t="s">
        <v>527</v>
      </c>
      <c r="H1197" s="50" t="e">
        <v>#N/A</v>
      </c>
      <c r="I1197" s="50" t="e">
        <v>#N/A</v>
      </c>
      <c r="J1197" s="50" t="e">
        <v>#N/A</v>
      </c>
      <c r="K1197" s="50"/>
      <c r="L1197" s="50"/>
      <c r="M1197" s="50"/>
      <c r="N1197" s="50"/>
      <c r="O1197" s="50"/>
      <c r="P1197" s="50"/>
      <c r="Q1197" s="50"/>
      <c r="R1197" s="50"/>
      <c r="S1197" s="50"/>
      <c r="T1197" s="50"/>
      <c r="U1197" s="50"/>
      <c r="V1197" s="50"/>
      <c r="W1197" s="50"/>
      <c r="X1197" s="50"/>
      <c r="Y1197" s="50"/>
    </row>
    <row r="1198" spans="2:25" x14ac:dyDescent="0.2">
      <c r="B1198" s="53" t="s">
        <v>1086</v>
      </c>
      <c r="C1198" s="9" t="s">
        <v>1841</v>
      </c>
      <c r="D1198" s="10"/>
      <c r="E1198" s="152"/>
      <c r="F1198" s="52" t="e">
        <v>#N/A</v>
      </c>
      <c r="G1198" s="55" t="s">
        <v>527</v>
      </c>
      <c r="H1198" s="50" t="e">
        <v>#N/A</v>
      </c>
      <c r="I1198" s="50" t="e">
        <v>#N/A</v>
      </c>
      <c r="J1198" s="50" t="e">
        <v>#N/A</v>
      </c>
      <c r="K1198" s="50"/>
      <c r="L1198" s="50"/>
      <c r="M1198" s="50"/>
      <c r="N1198" s="50"/>
      <c r="O1198" s="50"/>
      <c r="P1198" s="50"/>
      <c r="Q1198" s="50"/>
      <c r="R1198" s="50"/>
      <c r="S1198" s="50"/>
      <c r="T1198" s="50"/>
      <c r="U1198" s="50"/>
      <c r="V1198" s="50"/>
      <c r="W1198" s="50"/>
      <c r="X1198" s="50"/>
      <c r="Y1198" s="50"/>
    </row>
    <row r="1199" spans="2:25" x14ac:dyDescent="0.2">
      <c r="B1199" s="53" t="s">
        <v>1086</v>
      </c>
      <c r="C1199" s="9" t="s">
        <v>1849</v>
      </c>
      <c r="D1199" s="10"/>
      <c r="E1199" s="152"/>
      <c r="F1199" s="52" t="e">
        <v>#N/A</v>
      </c>
      <c r="G1199" s="55" t="s">
        <v>527</v>
      </c>
      <c r="H1199" s="50" t="e">
        <v>#N/A</v>
      </c>
      <c r="I1199" s="50" t="e">
        <v>#N/A</v>
      </c>
      <c r="J1199" s="50" t="e">
        <v>#N/A</v>
      </c>
      <c r="K1199" s="50"/>
      <c r="L1199" s="50"/>
      <c r="M1199" s="50"/>
      <c r="N1199" s="50"/>
      <c r="O1199" s="50"/>
      <c r="P1199" s="50"/>
      <c r="Q1199" s="50"/>
      <c r="R1199" s="50"/>
      <c r="S1199" s="50"/>
      <c r="T1199" s="50"/>
      <c r="U1199" s="50"/>
      <c r="V1199" s="50"/>
      <c r="W1199" s="50"/>
      <c r="X1199" s="50"/>
      <c r="Y1199" s="50"/>
    </row>
    <row r="1200" spans="2:25" x14ac:dyDescent="0.2">
      <c r="B1200" s="53" t="s">
        <v>1086</v>
      </c>
      <c r="C1200" s="9" t="s">
        <v>1917</v>
      </c>
      <c r="D1200" s="10"/>
      <c r="E1200" s="152"/>
      <c r="F1200" s="52" t="e">
        <v>#N/A</v>
      </c>
      <c r="G1200" s="55" t="s">
        <v>527</v>
      </c>
      <c r="H1200" s="50" t="e">
        <v>#N/A</v>
      </c>
      <c r="I1200" s="50" t="e">
        <v>#N/A</v>
      </c>
      <c r="J1200" s="50" t="e">
        <v>#N/A</v>
      </c>
      <c r="K1200" s="50"/>
      <c r="L1200" s="50"/>
      <c r="M1200" s="50"/>
      <c r="N1200" s="50"/>
      <c r="O1200" s="50"/>
      <c r="P1200" s="50"/>
      <c r="Q1200" s="50"/>
      <c r="R1200" s="50"/>
      <c r="S1200" s="50"/>
      <c r="T1200" s="50"/>
      <c r="U1200" s="50"/>
      <c r="V1200" s="50"/>
      <c r="W1200" s="50"/>
      <c r="X1200" s="50"/>
      <c r="Y1200" s="50"/>
    </row>
    <row r="1201" spans="2:25" x14ac:dyDescent="0.2">
      <c r="B1201" s="53" t="s">
        <v>1086</v>
      </c>
      <c r="C1201" s="9" t="s">
        <v>1933</v>
      </c>
      <c r="D1201" s="10"/>
      <c r="E1201" s="152"/>
      <c r="F1201" s="52" t="e">
        <v>#N/A</v>
      </c>
      <c r="G1201" s="55" t="s">
        <v>527</v>
      </c>
      <c r="H1201" s="50" t="e">
        <v>#N/A</v>
      </c>
      <c r="I1201" s="50" t="e">
        <v>#N/A</v>
      </c>
      <c r="J1201" s="50" t="e">
        <v>#N/A</v>
      </c>
      <c r="K1201" s="50"/>
      <c r="L1201" s="50"/>
      <c r="M1201" s="50"/>
      <c r="N1201" s="50"/>
      <c r="O1201" s="50"/>
      <c r="P1201" s="50"/>
      <c r="Q1201" s="50"/>
      <c r="R1201" s="50"/>
      <c r="S1201" s="50"/>
      <c r="T1201" s="50"/>
      <c r="U1201" s="50"/>
      <c r="V1201" s="50"/>
      <c r="W1201" s="50"/>
      <c r="X1201" s="50"/>
      <c r="Y1201" s="50"/>
    </row>
    <row r="1202" spans="2:25" x14ac:dyDescent="0.2">
      <c r="B1202" s="53" t="s">
        <v>1086</v>
      </c>
      <c r="C1202" s="9" t="s">
        <v>1874</v>
      </c>
      <c r="D1202" s="10"/>
      <c r="E1202" s="152"/>
      <c r="F1202" s="52" t="e">
        <v>#N/A</v>
      </c>
      <c r="G1202" s="55" t="s">
        <v>527</v>
      </c>
      <c r="H1202" s="50" t="e">
        <v>#N/A</v>
      </c>
      <c r="I1202" s="50" t="e">
        <v>#N/A</v>
      </c>
      <c r="J1202" s="50" t="e">
        <v>#N/A</v>
      </c>
      <c r="K1202" s="50"/>
      <c r="L1202" s="50"/>
      <c r="M1202" s="50"/>
      <c r="N1202" s="50"/>
      <c r="O1202" s="50"/>
      <c r="P1202" s="50"/>
      <c r="Q1202" s="50"/>
      <c r="R1202" s="50"/>
      <c r="S1202" s="50"/>
      <c r="T1202" s="50"/>
      <c r="U1202" s="50"/>
      <c r="V1202" s="50"/>
      <c r="W1202" s="50"/>
      <c r="X1202" s="50"/>
      <c r="Y1202" s="50"/>
    </row>
    <row r="1203" spans="2:25" x14ac:dyDescent="0.2">
      <c r="B1203" s="53" t="s">
        <v>1086</v>
      </c>
      <c r="C1203" s="9" t="s">
        <v>1875</v>
      </c>
      <c r="D1203" s="10"/>
      <c r="E1203" s="152"/>
      <c r="F1203" s="52" t="e">
        <v>#N/A</v>
      </c>
      <c r="G1203" s="55" t="s">
        <v>527</v>
      </c>
      <c r="H1203" s="50" t="e">
        <v>#N/A</v>
      </c>
      <c r="I1203" s="50" t="e">
        <v>#N/A</v>
      </c>
      <c r="J1203" s="50" t="e">
        <v>#N/A</v>
      </c>
      <c r="K1203" s="50"/>
      <c r="L1203" s="50"/>
      <c r="M1203" s="50"/>
      <c r="N1203" s="50"/>
      <c r="O1203" s="50"/>
      <c r="P1203" s="50"/>
      <c r="Q1203" s="50"/>
      <c r="R1203" s="50"/>
      <c r="S1203" s="50"/>
      <c r="T1203" s="50"/>
      <c r="U1203" s="50"/>
      <c r="V1203" s="50"/>
      <c r="W1203" s="50"/>
      <c r="X1203" s="50"/>
      <c r="Y1203" s="50"/>
    </row>
    <row r="1204" spans="2:25" x14ac:dyDescent="0.2">
      <c r="B1204" s="53" t="s">
        <v>1086</v>
      </c>
      <c r="C1204" s="9" t="s">
        <v>1832</v>
      </c>
      <c r="D1204" s="10"/>
      <c r="E1204" s="152"/>
      <c r="F1204" s="52" t="e">
        <v>#N/A</v>
      </c>
      <c r="G1204" s="55" t="s">
        <v>527</v>
      </c>
      <c r="H1204" s="50" t="e">
        <v>#N/A</v>
      </c>
      <c r="I1204" s="50" t="e">
        <v>#N/A</v>
      </c>
      <c r="J1204" s="50" t="e">
        <v>#N/A</v>
      </c>
      <c r="K1204" s="50"/>
      <c r="L1204" s="50"/>
      <c r="M1204" s="50"/>
      <c r="N1204" s="50"/>
      <c r="O1204" s="50"/>
      <c r="P1204" s="50"/>
      <c r="Q1204" s="50"/>
      <c r="R1204" s="50"/>
      <c r="S1204" s="50"/>
      <c r="T1204" s="50"/>
      <c r="U1204" s="50"/>
      <c r="V1204" s="50"/>
      <c r="W1204" s="50"/>
      <c r="X1204" s="50"/>
      <c r="Y1204" s="50"/>
    </row>
    <row r="1205" spans="2:25" x14ac:dyDescent="0.2">
      <c r="B1205" s="53" t="s">
        <v>1086</v>
      </c>
      <c r="C1205" s="9" t="s">
        <v>1891</v>
      </c>
      <c r="D1205" s="10"/>
      <c r="E1205" s="152"/>
      <c r="F1205" s="52" t="e">
        <v>#N/A</v>
      </c>
      <c r="G1205" s="55" t="s">
        <v>527</v>
      </c>
      <c r="H1205" s="50" t="e">
        <v>#N/A</v>
      </c>
      <c r="I1205" s="50" t="e">
        <v>#N/A</v>
      </c>
      <c r="J1205" s="50" t="e">
        <v>#N/A</v>
      </c>
      <c r="K1205" s="50"/>
      <c r="L1205" s="50"/>
      <c r="M1205" s="50"/>
      <c r="N1205" s="50"/>
      <c r="O1205" s="50"/>
      <c r="P1205" s="50"/>
      <c r="Q1205" s="50"/>
      <c r="R1205" s="50"/>
      <c r="S1205" s="50"/>
      <c r="T1205" s="50"/>
      <c r="U1205" s="50"/>
      <c r="V1205" s="50"/>
      <c r="W1205" s="50"/>
      <c r="X1205" s="50"/>
      <c r="Y1205" s="50"/>
    </row>
    <row r="1206" spans="2:25" x14ac:dyDescent="0.2">
      <c r="B1206" s="53" t="s">
        <v>1086</v>
      </c>
      <c r="C1206" s="9" t="s">
        <v>1920</v>
      </c>
      <c r="D1206" s="10"/>
      <c r="E1206" s="152"/>
      <c r="F1206" s="52" t="e">
        <v>#N/A</v>
      </c>
      <c r="G1206" s="55" t="s">
        <v>527</v>
      </c>
      <c r="H1206" s="50" t="e">
        <v>#N/A</v>
      </c>
      <c r="I1206" s="50" t="e">
        <v>#N/A</v>
      </c>
      <c r="J1206" s="50" t="e">
        <v>#N/A</v>
      </c>
      <c r="K1206" s="50"/>
      <c r="L1206" s="50"/>
      <c r="M1206" s="50"/>
      <c r="N1206" s="50"/>
      <c r="O1206" s="50"/>
      <c r="P1206" s="50"/>
      <c r="Q1206" s="50"/>
      <c r="R1206" s="50"/>
      <c r="S1206" s="50"/>
      <c r="T1206" s="50"/>
      <c r="U1206" s="50"/>
      <c r="V1206" s="50"/>
      <c r="W1206" s="50"/>
      <c r="X1206" s="50"/>
      <c r="Y1206" s="50"/>
    </row>
    <row r="1207" spans="2:25" x14ac:dyDescent="0.2">
      <c r="B1207" s="53" t="s">
        <v>1086</v>
      </c>
      <c r="C1207" s="9" t="s">
        <v>1926</v>
      </c>
      <c r="D1207" s="10"/>
      <c r="E1207" s="152"/>
      <c r="F1207" s="52" t="e">
        <v>#N/A</v>
      </c>
      <c r="G1207" s="55" t="s">
        <v>527</v>
      </c>
      <c r="H1207" s="50" t="e">
        <v>#N/A</v>
      </c>
      <c r="I1207" s="50" t="e">
        <v>#N/A</v>
      </c>
      <c r="J1207" s="50" t="e">
        <v>#N/A</v>
      </c>
      <c r="K1207" s="50"/>
      <c r="L1207" s="50"/>
      <c r="M1207" s="50"/>
      <c r="N1207" s="50"/>
      <c r="O1207" s="50"/>
      <c r="P1207" s="50"/>
      <c r="Q1207" s="50"/>
      <c r="R1207" s="50"/>
      <c r="S1207" s="50"/>
      <c r="T1207" s="50"/>
      <c r="U1207" s="50"/>
      <c r="V1207" s="50"/>
      <c r="W1207" s="50"/>
      <c r="X1207" s="50"/>
      <c r="Y1207" s="50"/>
    </row>
    <row r="1208" spans="2:25" x14ac:dyDescent="0.2">
      <c r="B1208" s="53" t="s">
        <v>1086</v>
      </c>
      <c r="C1208" s="9" t="s">
        <v>1898</v>
      </c>
      <c r="D1208" s="10"/>
      <c r="E1208" s="152"/>
      <c r="F1208" s="52" t="e">
        <v>#N/A</v>
      </c>
      <c r="G1208" s="55" t="s">
        <v>527</v>
      </c>
      <c r="H1208" s="50" t="e">
        <v>#N/A</v>
      </c>
      <c r="I1208" s="50" t="e">
        <v>#N/A</v>
      </c>
      <c r="J1208" s="50" t="e">
        <v>#N/A</v>
      </c>
      <c r="K1208" s="50"/>
      <c r="L1208" s="50"/>
      <c r="M1208" s="50"/>
      <c r="N1208" s="50"/>
      <c r="O1208" s="50"/>
      <c r="P1208" s="50"/>
      <c r="Q1208" s="50"/>
      <c r="R1208" s="50"/>
      <c r="S1208" s="50"/>
      <c r="T1208" s="50"/>
      <c r="U1208" s="50"/>
      <c r="V1208" s="50"/>
      <c r="W1208" s="50"/>
      <c r="X1208" s="50"/>
      <c r="Y1208" s="50"/>
    </row>
    <row r="1209" spans="2:25" x14ac:dyDescent="0.2">
      <c r="B1209" s="53" t="s">
        <v>1086</v>
      </c>
      <c r="C1209" s="9" t="s">
        <v>1902</v>
      </c>
      <c r="D1209" s="10"/>
      <c r="E1209" s="152"/>
      <c r="F1209" s="52" t="e">
        <v>#N/A</v>
      </c>
      <c r="G1209" s="55" t="s">
        <v>527</v>
      </c>
      <c r="H1209" s="50" t="e">
        <v>#N/A</v>
      </c>
      <c r="I1209" s="50" t="e">
        <v>#N/A</v>
      </c>
      <c r="J1209" s="50" t="e">
        <v>#N/A</v>
      </c>
      <c r="K1209" s="50"/>
      <c r="L1209" s="50"/>
      <c r="M1209" s="50"/>
      <c r="N1209" s="50"/>
      <c r="O1209" s="50"/>
      <c r="P1209" s="50"/>
      <c r="Q1209" s="50"/>
      <c r="R1209" s="50"/>
      <c r="S1209" s="50"/>
      <c r="T1209" s="50"/>
      <c r="U1209" s="50"/>
      <c r="V1209" s="50"/>
      <c r="W1209" s="50"/>
      <c r="X1209" s="50"/>
      <c r="Y1209" s="50"/>
    </row>
    <row r="1210" spans="2:25" x14ac:dyDescent="0.2">
      <c r="B1210" s="53" t="s">
        <v>1086</v>
      </c>
      <c r="C1210" s="9" t="s">
        <v>1937</v>
      </c>
      <c r="D1210" s="10"/>
      <c r="E1210" s="152"/>
      <c r="F1210" s="52" t="e">
        <v>#N/A</v>
      </c>
      <c r="G1210" s="55" t="s">
        <v>527</v>
      </c>
      <c r="H1210" s="50" t="e">
        <v>#N/A</v>
      </c>
      <c r="I1210" s="50" t="e">
        <v>#N/A</v>
      </c>
      <c r="J1210" s="50" t="e">
        <v>#N/A</v>
      </c>
      <c r="K1210" s="50"/>
      <c r="L1210" s="50"/>
      <c r="M1210" s="50"/>
      <c r="N1210" s="50"/>
      <c r="O1210" s="50"/>
      <c r="P1210" s="50"/>
      <c r="Q1210" s="50"/>
      <c r="R1210" s="50"/>
      <c r="S1210" s="50"/>
      <c r="T1210" s="50"/>
      <c r="U1210" s="50"/>
      <c r="V1210" s="50"/>
      <c r="W1210" s="50"/>
      <c r="X1210" s="50"/>
      <c r="Y1210" s="50"/>
    </row>
    <row r="1211" spans="2:25" x14ac:dyDescent="0.2">
      <c r="B1211" s="53" t="s">
        <v>1086</v>
      </c>
      <c r="C1211" s="9" t="s">
        <v>1883</v>
      </c>
      <c r="D1211" s="10"/>
      <c r="E1211" s="152"/>
      <c r="F1211" s="52" t="e">
        <v>#N/A</v>
      </c>
      <c r="G1211" s="55" t="s">
        <v>527</v>
      </c>
      <c r="H1211" s="50" t="e">
        <v>#N/A</v>
      </c>
      <c r="I1211" s="50" t="e">
        <v>#N/A</v>
      </c>
      <c r="J1211" s="50" t="e">
        <v>#N/A</v>
      </c>
      <c r="K1211" s="50"/>
      <c r="L1211" s="50"/>
      <c r="M1211" s="50"/>
      <c r="N1211" s="50"/>
      <c r="O1211" s="50"/>
      <c r="P1211" s="50"/>
      <c r="Q1211" s="50"/>
      <c r="R1211" s="50"/>
      <c r="S1211" s="50"/>
      <c r="T1211" s="50"/>
      <c r="U1211" s="50"/>
      <c r="V1211" s="50"/>
      <c r="W1211" s="50"/>
      <c r="X1211" s="50"/>
      <c r="Y1211" s="50"/>
    </row>
    <row r="1217" s="149" customFormat="1" x14ac:dyDescent="0.2"/>
    <row r="1218" s="149" customFormat="1" x14ac:dyDescent="0.2"/>
  </sheetData>
  <sheetProtection selectLockedCells="1"/>
  <autoFilter ref="B1:J1718"/>
  <dataValidations count="3">
    <dataValidation type="list" allowBlank="1" showInputMessage="1" showErrorMessage="1" sqref="D963:E1030">
      <formula1>"No,Sí"</formula1>
    </dataValidation>
    <dataValidation type="list" allowBlank="1" showInputMessage="1" showErrorMessage="1" sqref="G963:G1211">
      <formula1>"No,Si"</formula1>
    </dataValidation>
    <dataValidation type="list" allowBlank="1" showInputMessage="1" showErrorMessage="1" sqref="I963:I1030">
      <formula1>$O$23:$O$30</formula1>
    </dataValidation>
  </dataValidations>
  <pageMargins left="0.39370078740157477" right="0.78740157480314954" top="0.39370078740157477" bottom="0.39370078740157477" header="0.3" footer="0.3"/>
  <pageSetup scale="20" fitToHeight="0" orientation="landscape" r:id="rId1"/>
  <headerFooter>
    <oddFooter>&amp;RPágina &amp;P de &amp;N</odd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enableFormatConditionsCalculation="0"/>
  <dimension ref="A1:L45"/>
  <sheetViews>
    <sheetView showGridLines="0" topLeftCell="A10" zoomScale="90" zoomScaleNormal="90" zoomScalePageLayoutView="90" workbookViewId="0">
      <selection activeCell="A35" sqref="A35"/>
    </sheetView>
  </sheetViews>
  <sheetFormatPr baseColWidth="10" defaultRowHeight="15.75" customHeight="1" x14ac:dyDescent="0.2"/>
  <cols>
    <col min="1" max="1" customWidth="true" style="2" width="44.33203125" collapsed="true"/>
    <col min="2" max="2" customWidth="true" style="64" width="11.6640625" collapsed="true"/>
    <col min="3" max="3" customWidth="true" style="2" width="16.5" collapsed="true"/>
    <col min="4" max="4" customWidth="true" style="2" width="17.5" collapsed="true"/>
    <col min="5" max="5" customWidth="true" style="5" width="12.6640625" collapsed="true"/>
    <col min="6" max="7" customWidth="true" style="2" width="16.5" collapsed="true"/>
    <col min="8" max="8" customWidth="true" style="2" width="13.1640625" collapsed="true"/>
    <col min="9" max="9" customWidth="true" style="27" width="6.1640625" collapsed="true"/>
    <col min="10" max="10" style="2" width="10.83203125" collapsed="true"/>
    <col min="11" max="11" customWidth="true" style="2" width="17.5" collapsed="true"/>
    <col min="12" max="16384" style="2" width="10.83203125" collapsed="true"/>
  </cols>
  <sheetData>
    <row r="1" spans="1:12" ht="30.75" customHeight="1" x14ac:dyDescent="0.2">
      <c r="A1" s="12" t="s">
        <v>1114</v>
      </c>
      <c r="B1" s="56" t="s">
        <v>1115</v>
      </c>
      <c r="C1" s="12" t="s">
        <v>1113</v>
      </c>
      <c r="D1" s="12" t="s">
        <v>1112</v>
      </c>
      <c r="E1" s="12" t="s">
        <v>1111</v>
      </c>
      <c r="F1" s="12" t="s">
        <v>1740</v>
      </c>
      <c r="G1" s="12" t="s">
        <v>1750</v>
      </c>
      <c r="H1" s="23" t="s">
        <v>1747</v>
      </c>
      <c r="I1" s="25"/>
      <c r="K1" s="147" t="s">
        <v>1741</v>
      </c>
      <c r="L1" s="147"/>
    </row>
    <row r="2" spans="1:12" ht="15.75" customHeight="1" x14ac:dyDescent="0.2">
      <c r="A2" s="14" t="s">
        <v>1110</v>
      </c>
      <c r="B2" s="57"/>
      <c r="C2" s="15"/>
      <c r="D2" s="170">
        <f>L14</f>
        <v>385</v>
      </c>
      <c r="E2" s="171"/>
      <c r="F2" s="21"/>
      <c r="G2" s="22"/>
      <c r="H2" s="22"/>
      <c r="I2" s="26"/>
      <c r="K2" s="144" t="s">
        <v>1736</v>
      </c>
      <c r="L2" s="145">
        <f>COUNTIFS('Puntos de Operacion'!G:G,"Si",'Puntos de Operacion'!F:F,"A",'Puntos de Operacion'!I:I,"BM")</f>
        <v>121</v>
      </c>
    </row>
    <row r="3" spans="1:12" ht="15.75" customHeight="1" x14ac:dyDescent="0.2">
      <c r="A3" s="16" t="s">
        <v>1109</v>
      </c>
      <c r="B3" s="58" t="s">
        <v>1116</v>
      </c>
      <c r="C3" s="17">
        <v>30</v>
      </c>
      <c r="D3" s="17">
        <v>14</v>
      </c>
      <c r="E3" s="17">
        <v>1</v>
      </c>
      <c r="F3" s="17">
        <f>C3*D3</f>
        <v>420</v>
      </c>
      <c r="G3" s="17">
        <f>F3*$D$2</f>
        <v>161700</v>
      </c>
      <c r="H3" s="17">
        <f>D3*$D$2</f>
        <v>5390</v>
      </c>
      <c r="I3" s="13"/>
      <c r="K3" s="144" t="s">
        <v>1737</v>
      </c>
      <c r="L3" s="145">
        <f>COUNTIFS('Puntos de Operacion'!G:G,"Si",'Puntos de Operacion'!F:F,"B",'Puntos de Operacion'!I:I,"BM")</f>
        <v>104</v>
      </c>
    </row>
    <row r="4" spans="1:12" ht="15.75" customHeight="1" x14ac:dyDescent="0.2">
      <c r="A4" s="16" t="s">
        <v>1108</v>
      </c>
      <c r="B4" s="58" t="s">
        <v>1116</v>
      </c>
      <c r="C4" s="17">
        <v>60</v>
      </c>
      <c r="D4" s="17">
        <v>8</v>
      </c>
      <c r="E4" s="17">
        <v>1</v>
      </c>
      <c r="F4" s="17">
        <f t="shared" ref="F4:F22" si="0">C4*D4</f>
        <v>480</v>
      </c>
      <c r="G4" s="17">
        <f t="shared" ref="G4:G21" si="1">F4*$D$2</f>
        <v>184800</v>
      </c>
      <c r="H4" s="17">
        <f t="shared" ref="H4:H22" si="2">D4*$D$2</f>
        <v>3080</v>
      </c>
      <c r="I4" s="13"/>
      <c r="K4" s="144" t="s">
        <v>1738</v>
      </c>
      <c r="L4" s="145">
        <f>COUNTIFS('Puntos de Operacion'!G:G,"Si",'Puntos de Operacion'!F:F,"C",'Puntos de Operacion'!I:I,"BM")+COUNTIFS('Puntos de Operacion'!G:G,"Si",'Puntos de Operacion'!F:F,"D",'Puntos de Operacion'!I:I,"BM")+COUNTIFS('Puntos de Operacion'!G:G,"Si",'Puntos de Operacion'!F:F,"E",'Puntos de Operacion'!I:I,"BM")</f>
        <v>160</v>
      </c>
    </row>
    <row r="5" spans="1:12" ht="15.75" customHeight="1" x14ac:dyDescent="0.2">
      <c r="A5" s="16" t="s">
        <v>1107</v>
      </c>
      <c r="B5" s="58" t="s">
        <v>1116</v>
      </c>
      <c r="C5" s="17">
        <v>30</v>
      </c>
      <c r="D5" s="17">
        <v>0.5</v>
      </c>
      <c r="E5" s="17">
        <v>1</v>
      </c>
      <c r="F5" s="17">
        <f t="shared" si="0"/>
        <v>15</v>
      </c>
      <c r="G5" s="17">
        <f t="shared" si="1"/>
        <v>5775</v>
      </c>
      <c r="H5" s="17">
        <f t="shared" si="2"/>
        <v>192.5</v>
      </c>
      <c r="I5" s="13"/>
      <c r="K5" s="144" t="s">
        <v>1739</v>
      </c>
      <c r="L5" s="145">
        <f>COUNTIFS('Puntos de Operacion'!G:G,"Si",'Puntos de Operacion'!F:F,"X",'Puntos de Operacion'!I:I,"BM")</f>
        <v>0</v>
      </c>
    </row>
    <row r="6" spans="1:12" ht="15.75" customHeight="1" x14ac:dyDescent="0.2">
      <c r="A6" s="16" t="s">
        <v>1106</v>
      </c>
      <c r="B6" s="58" t="s">
        <v>1116</v>
      </c>
      <c r="C6" s="17">
        <v>60</v>
      </c>
      <c r="D6" s="17">
        <v>0.5</v>
      </c>
      <c r="E6" s="17">
        <v>1</v>
      </c>
      <c r="F6" s="17">
        <f t="shared" si="0"/>
        <v>30</v>
      </c>
      <c r="G6" s="17">
        <f t="shared" si="1"/>
        <v>11550</v>
      </c>
      <c r="H6" s="17">
        <f t="shared" si="2"/>
        <v>192.5</v>
      </c>
      <c r="I6" s="13"/>
      <c r="K6" s="146"/>
      <c r="L6" s="146"/>
    </row>
    <row r="7" spans="1:12" ht="15.75" customHeight="1" x14ac:dyDescent="0.2">
      <c r="A7" s="16" t="s">
        <v>1105</v>
      </c>
      <c r="B7" s="58" t="s">
        <v>1116</v>
      </c>
      <c r="C7" s="17">
        <v>15</v>
      </c>
      <c r="D7" s="17">
        <v>1</v>
      </c>
      <c r="E7" s="17">
        <v>1</v>
      </c>
      <c r="F7" s="17">
        <f t="shared" si="0"/>
        <v>15</v>
      </c>
      <c r="G7" s="17">
        <f t="shared" si="1"/>
        <v>5775</v>
      </c>
      <c r="H7" s="17">
        <f t="shared" si="2"/>
        <v>385</v>
      </c>
      <c r="I7" s="13"/>
      <c r="K7" s="147" t="s">
        <v>1742</v>
      </c>
      <c r="L7" s="147"/>
    </row>
    <row r="8" spans="1:12" ht="15.75" customHeight="1" x14ac:dyDescent="0.2">
      <c r="A8" s="16" t="s">
        <v>1104</v>
      </c>
      <c r="B8" s="58" t="s">
        <v>1116</v>
      </c>
      <c r="C8" s="17">
        <v>60</v>
      </c>
      <c r="D8" s="17">
        <v>1</v>
      </c>
      <c r="E8" s="17">
        <v>2</v>
      </c>
      <c r="F8" s="17">
        <f t="shared" si="0"/>
        <v>60</v>
      </c>
      <c r="G8" s="17">
        <f t="shared" si="1"/>
        <v>23100</v>
      </c>
      <c r="H8" s="17">
        <f t="shared" si="2"/>
        <v>385</v>
      </c>
      <c r="I8" s="13"/>
      <c r="K8" s="144" t="s">
        <v>1736</v>
      </c>
      <c r="L8" s="145">
        <f>COUNTIFS('Puntos de Operacion'!G:G,"Si",'Puntos de Operacion'!F:F,"A",'Puntos de Operacion'!I:I,"BES")</f>
        <v>16</v>
      </c>
    </row>
    <row r="9" spans="1:12" ht="15.75" customHeight="1" x14ac:dyDescent="0.2">
      <c r="A9" s="16" t="s">
        <v>1103</v>
      </c>
      <c r="B9" s="58" t="s">
        <v>1116</v>
      </c>
      <c r="C9" s="17">
        <v>45</v>
      </c>
      <c r="D9" s="17">
        <v>1</v>
      </c>
      <c r="E9" s="17">
        <v>2</v>
      </c>
      <c r="F9" s="17">
        <f t="shared" si="0"/>
        <v>45</v>
      </c>
      <c r="G9" s="17">
        <f t="shared" si="1"/>
        <v>17325</v>
      </c>
      <c r="H9" s="17">
        <f t="shared" si="2"/>
        <v>385</v>
      </c>
      <c r="I9" s="13"/>
      <c r="K9" s="144" t="s">
        <v>1737</v>
      </c>
      <c r="L9" s="145">
        <f>COUNTIFS('Puntos de Operacion'!G:G,"Si",'Puntos de Operacion'!F:F,"B",'Puntos de Operacion'!I:I,"BES")</f>
        <v>10</v>
      </c>
    </row>
    <row r="10" spans="1:12" ht="15.75" customHeight="1" x14ac:dyDescent="0.2">
      <c r="A10" s="18" t="s">
        <v>1732</v>
      </c>
      <c r="B10" s="58" t="s">
        <v>1116</v>
      </c>
      <c r="C10" s="17">
        <v>20</v>
      </c>
      <c r="D10" s="17">
        <v>36</v>
      </c>
      <c r="E10" s="17">
        <v>1</v>
      </c>
      <c r="F10" s="17">
        <f t="shared" si="0"/>
        <v>720</v>
      </c>
      <c r="G10" s="17">
        <f>F10*L2</f>
        <v>87120</v>
      </c>
      <c r="H10" s="17">
        <f>D10*L2</f>
        <v>4356</v>
      </c>
      <c r="I10" s="13"/>
      <c r="K10" s="144" t="s">
        <v>1738</v>
      </c>
      <c r="L10" s="145">
        <f>COUNTIFS('Puntos de Operacion'!G:G,"Si",'Puntos de Operacion'!F:F,"C",'Puntos de Operacion'!I:I,"BES")+COUNTIFS('Puntos de Operacion'!G:G,"Si",'Puntos de Operacion'!F:F,"D",'Puntos de Operacion'!I:I,"BES")+COUNTIFS('Puntos de Operacion'!G:G,"Si",'Puntos de Operacion'!F:F,"E",'Puntos de Operacion'!I:I,"BES")</f>
        <v>64</v>
      </c>
    </row>
    <row r="11" spans="1:12" ht="15.75" customHeight="1" x14ac:dyDescent="0.2">
      <c r="A11" s="18" t="s">
        <v>1733</v>
      </c>
      <c r="B11" s="58" t="s">
        <v>1116</v>
      </c>
      <c r="C11" s="17">
        <v>20</v>
      </c>
      <c r="D11" s="17">
        <v>24</v>
      </c>
      <c r="E11" s="17">
        <v>1</v>
      </c>
      <c r="F11" s="17">
        <f t="shared" si="0"/>
        <v>480</v>
      </c>
      <c r="G11" s="17">
        <f>F11*L3</f>
        <v>49920</v>
      </c>
      <c r="H11" s="17">
        <f t="shared" ref="H11:H13" si="3">D11*L3</f>
        <v>2496</v>
      </c>
      <c r="I11" s="13"/>
      <c r="K11" s="144" t="s">
        <v>1739</v>
      </c>
      <c r="L11" s="145">
        <f>COUNTIFS('Puntos de Operacion'!G:G,"Si",'Puntos de Operacion'!F:F,"X",'Puntos de Operacion'!I:I,"BES")</f>
        <v>6</v>
      </c>
    </row>
    <row r="12" spans="1:12" ht="15.75" customHeight="1" x14ac:dyDescent="0.2">
      <c r="A12" s="18" t="s">
        <v>1734</v>
      </c>
      <c r="B12" s="58" t="s">
        <v>1116</v>
      </c>
      <c r="C12" s="17">
        <v>20</v>
      </c>
      <c r="D12" s="17">
        <v>12</v>
      </c>
      <c r="E12" s="17">
        <v>1</v>
      </c>
      <c r="F12" s="17">
        <f t="shared" si="0"/>
        <v>240</v>
      </c>
      <c r="G12" s="17">
        <f>F12*L4</f>
        <v>38400</v>
      </c>
      <c r="H12" s="17">
        <f t="shared" si="3"/>
        <v>1920</v>
      </c>
      <c r="I12" s="13"/>
      <c r="K12" s="146"/>
      <c r="L12" s="146"/>
    </row>
    <row r="13" spans="1:12" ht="15.75" customHeight="1" x14ac:dyDescent="0.2">
      <c r="A13" s="18" t="s">
        <v>1735</v>
      </c>
      <c r="B13" s="58" t="s">
        <v>1116</v>
      </c>
      <c r="C13" s="17">
        <v>20</v>
      </c>
      <c r="D13" s="17">
        <v>6</v>
      </c>
      <c r="E13" s="17">
        <v>1</v>
      </c>
      <c r="F13" s="17">
        <f t="shared" si="0"/>
        <v>120</v>
      </c>
      <c r="G13" s="17">
        <f>F13*L5</f>
        <v>0</v>
      </c>
      <c r="H13" s="17">
        <f t="shared" si="3"/>
        <v>0</v>
      </c>
      <c r="I13" s="13"/>
      <c r="K13" s="147" t="s">
        <v>1751</v>
      </c>
      <c r="L13" s="147"/>
    </row>
    <row r="14" spans="1:12" ht="15.75" customHeight="1" x14ac:dyDescent="0.2">
      <c r="A14" s="18" t="s">
        <v>1102</v>
      </c>
      <c r="B14" s="58" t="s">
        <v>1116</v>
      </c>
      <c r="C14" s="17">
        <v>10</v>
      </c>
      <c r="D14" s="17">
        <v>1</v>
      </c>
      <c r="E14" s="17">
        <v>2</v>
      </c>
      <c r="F14" s="17">
        <f t="shared" si="0"/>
        <v>10</v>
      </c>
      <c r="G14" s="17">
        <f t="shared" si="1"/>
        <v>3850</v>
      </c>
      <c r="H14" s="17">
        <f t="shared" si="2"/>
        <v>385</v>
      </c>
      <c r="I14" s="13"/>
      <c r="K14" s="144" t="s">
        <v>1110</v>
      </c>
      <c r="L14" s="145">
        <f>SUM(L2:L5)</f>
        <v>385</v>
      </c>
    </row>
    <row r="15" spans="1:12" ht="15.75" customHeight="1" x14ac:dyDescent="0.2">
      <c r="A15" s="16" t="s">
        <v>1101</v>
      </c>
      <c r="B15" s="58" t="s">
        <v>1116</v>
      </c>
      <c r="C15" s="17">
        <v>15</v>
      </c>
      <c r="D15" s="17">
        <v>1</v>
      </c>
      <c r="E15" s="17">
        <v>1</v>
      </c>
      <c r="F15" s="17">
        <f t="shared" si="0"/>
        <v>15</v>
      </c>
      <c r="G15" s="17">
        <f t="shared" si="1"/>
        <v>5775</v>
      </c>
      <c r="H15" s="17">
        <f t="shared" si="2"/>
        <v>385</v>
      </c>
      <c r="I15" s="13"/>
      <c r="K15" s="144" t="s">
        <v>1095</v>
      </c>
      <c r="L15" s="145">
        <f>SUM(L8:L11)</f>
        <v>96</v>
      </c>
    </row>
    <row r="16" spans="1:12" ht="15.75" customHeight="1" x14ac:dyDescent="0.2">
      <c r="A16" s="18" t="s">
        <v>7143</v>
      </c>
      <c r="B16" s="58" t="s">
        <v>1116</v>
      </c>
      <c r="C16" s="17">
        <v>60</v>
      </c>
      <c r="D16" s="17">
        <v>12</v>
      </c>
      <c r="E16" s="17">
        <v>2</v>
      </c>
      <c r="F16" s="17">
        <f t="shared" si="0"/>
        <v>720</v>
      </c>
      <c r="G16" s="17">
        <f t="shared" si="1"/>
        <v>277200</v>
      </c>
      <c r="H16" s="17">
        <f t="shared" si="2"/>
        <v>4620</v>
      </c>
      <c r="I16" s="13"/>
      <c r="K16" s="144" t="s">
        <v>1745</v>
      </c>
      <c r="L16" s="145">
        <v>37</v>
      </c>
    </row>
    <row r="17" spans="1:12" ht="15.75" customHeight="1" x14ac:dyDescent="0.2">
      <c r="A17" s="18" t="s">
        <v>1100</v>
      </c>
      <c r="B17" s="58" t="s">
        <v>1116</v>
      </c>
      <c r="C17" s="17">
        <v>45</v>
      </c>
      <c r="D17" s="17">
        <v>12</v>
      </c>
      <c r="E17" s="17">
        <v>2</v>
      </c>
      <c r="F17" s="17">
        <f t="shared" si="0"/>
        <v>540</v>
      </c>
      <c r="G17" s="17">
        <f t="shared" si="1"/>
        <v>207900</v>
      </c>
      <c r="H17" s="17">
        <f t="shared" si="2"/>
        <v>4620</v>
      </c>
      <c r="I17" s="13"/>
      <c r="K17" s="144" t="s">
        <v>1743</v>
      </c>
      <c r="L17" s="145">
        <v>30</v>
      </c>
    </row>
    <row r="18" spans="1:12" ht="15.75" customHeight="1" x14ac:dyDescent="0.2">
      <c r="A18" s="18" t="s">
        <v>1099</v>
      </c>
      <c r="B18" s="58" t="s">
        <v>1116</v>
      </c>
      <c r="C18" s="17">
        <v>10</v>
      </c>
      <c r="D18" s="17">
        <v>12</v>
      </c>
      <c r="E18" s="17">
        <v>1</v>
      </c>
      <c r="F18" s="17">
        <f t="shared" si="0"/>
        <v>120</v>
      </c>
      <c r="G18" s="17">
        <f t="shared" si="1"/>
        <v>46200</v>
      </c>
      <c r="H18" s="17">
        <f t="shared" si="2"/>
        <v>4620</v>
      </c>
      <c r="I18" s="13"/>
      <c r="K18" s="144" t="s">
        <v>1744</v>
      </c>
      <c r="L18" s="145">
        <v>44</v>
      </c>
    </row>
    <row r="19" spans="1:12" ht="15.75" customHeight="1" x14ac:dyDescent="0.2">
      <c r="A19" s="18" t="s">
        <v>1098</v>
      </c>
      <c r="B19" s="58" t="s">
        <v>1116</v>
      </c>
      <c r="C19" s="17">
        <v>10</v>
      </c>
      <c r="D19" s="17">
        <v>12</v>
      </c>
      <c r="E19" s="17">
        <v>1</v>
      </c>
      <c r="F19" s="17">
        <f t="shared" si="0"/>
        <v>120</v>
      </c>
      <c r="G19" s="17">
        <f t="shared" si="1"/>
        <v>46200</v>
      </c>
      <c r="H19" s="17">
        <f t="shared" si="2"/>
        <v>4620</v>
      </c>
      <c r="I19" s="13"/>
      <c r="K19" s="144" t="s">
        <v>1746</v>
      </c>
      <c r="L19" s="145">
        <v>1</v>
      </c>
    </row>
    <row r="20" spans="1:12" ht="15.75" customHeight="1" x14ac:dyDescent="0.2">
      <c r="A20" s="18" t="s">
        <v>7142</v>
      </c>
      <c r="B20" s="58" t="s">
        <v>1116</v>
      </c>
      <c r="C20" s="17">
        <v>30</v>
      </c>
      <c r="D20" s="17">
        <v>2</v>
      </c>
      <c r="E20" s="17">
        <v>1</v>
      </c>
      <c r="F20" s="17">
        <f t="shared" si="0"/>
        <v>60</v>
      </c>
      <c r="G20" s="17">
        <f t="shared" si="1"/>
        <v>23100</v>
      </c>
      <c r="H20" s="17">
        <f t="shared" si="2"/>
        <v>770</v>
      </c>
      <c r="I20" s="13"/>
    </row>
    <row r="21" spans="1:12" ht="15.75" customHeight="1" x14ac:dyDescent="0.2">
      <c r="A21" s="18" t="s">
        <v>1097</v>
      </c>
      <c r="B21" s="58" t="s">
        <v>1116</v>
      </c>
      <c r="C21" s="17">
        <v>15</v>
      </c>
      <c r="D21" s="17">
        <v>1</v>
      </c>
      <c r="E21" s="17">
        <v>2</v>
      </c>
      <c r="F21" s="17">
        <f t="shared" si="0"/>
        <v>15</v>
      </c>
      <c r="G21" s="17">
        <f t="shared" si="1"/>
        <v>5775</v>
      </c>
      <c r="H21" s="17">
        <f t="shared" si="2"/>
        <v>385</v>
      </c>
      <c r="I21" s="13"/>
    </row>
    <row r="22" spans="1:12" ht="15.75" customHeight="1" x14ac:dyDescent="0.2">
      <c r="A22" s="18" t="s">
        <v>1096</v>
      </c>
      <c r="B22" s="58" t="s">
        <v>1116</v>
      </c>
      <c r="C22" s="17">
        <v>20</v>
      </c>
      <c r="D22" s="17">
        <v>12</v>
      </c>
      <c r="E22" s="17">
        <v>1</v>
      </c>
      <c r="F22" s="17">
        <f t="shared" si="0"/>
        <v>240</v>
      </c>
      <c r="G22" s="17">
        <f>F22*$D$2</f>
        <v>92400</v>
      </c>
      <c r="H22" s="17">
        <f t="shared" si="2"/>
        <v>4620</v>
      </c>
      <c r="I22" s="13"/>
      <c r="J22" s="173" t="s">
        <v>1748</v>
      </c>
      <c r="K22" s="173"/>
      <c r="L22" s="6">
        <f>SUMIF($B$3:$B$40,"Sí",$G$3:$G$40)</f>
        <v>1597945</v>
      </c>
    </row>
    <row r="23" spans="1:12" ht="15.75" customHeight="1" x14ac:dyDescent="0.2">
      <c r="A23" s="14" t="s">
        <v>1095</v>
      </c>
      <c r="B23" s="59"/>
      <c r="C23" s="15"/>
      <c r="D23" s="170">
        <f>L15</f>
        <v>96</v>
      </c>
      <c r="E23" s="171"/>
      <c r="F23" s="21"/>
      <c r="G23" s="22"/>
      <c r="H23" s="22"/>
      <c r="I23" s="26"/>
      <c r="J23" s="173" t="s">
        <v>1749</v>
      </c>
      <c r="K23" s="173"/>
      <c r="L23" s="6">
        <f>SUMIF($B$3:$B$40,"Sí",$H$3:$H$40)</f>
        <v>63545</v>
      </c>
    </row>
    <row r="24" spans="1:12" ht="15.75" customHeight="1" x14ac:dyDescent="0.2">
      <c r="A24" s="18" t="s">
        <v>1732</v>
      </c>
      <c r="B24" s="58" t="s">
        <v>1116</v>
      </c>
      <c r="C24" s="17">
        <v>20</v>
      </c>
      <c r="D24" s="17">
        <v>36</v>
      </c>
      <c r="E24" s="17">
        <v>1</v>
      </c>
      <c r="F24" s="17">
        <f>C24*D24</f>
        <v>720</v>
      </c>
      <c r="G24" s="17">
        <f>F24*L8</f>
        <v>11520</v>
      </c>
      <c r="H24" s="20">
        <f>D24*L8</f>
        <v>576</v>
      </c>
      <c r="I24" s="13"/>
    </row>
    <row r="25" spans="1:12" ht="15.75" customHeight="1" x14ac:dyDescent="0.2">
      <c r="A25" s="18" t="s">
        <v>1733</v>
      </c>
      <c r="B25" s="58" t="s">
        <v>1116</v>
      </c>
      <c r="C25" s="17">
        <v>20</v>
      </c>
      <c r="D25" s="17">
        <v>24</v>
      </c>
      <c r="E25" s="17">
        <v>1</v>
      </c>
      <c r="F25" s="17">
        <f t="shared" ref="F25:F28" si="4">C25*D25</f>
        <v>480</v>
      </c>
      <c r="G25" s="17">
        <f>F25*L9</f>
        <v>4800</v>
      </c>
      <c r="H25" s="20">
        <f>D25*L9</f>
        <v>240</v>
      </c>
      <c r="I25" s="13"/>
      <c r="J25" s="174" t="s">
        <v>1752</v>
      </c>
      <c r="K25" s="174"/>
      <c r="L25" s="24">
        <f>L22/L23</f>
        <v>25.14666771579196</v>
      </c>
    </row>
    <row r="26" spans="1:12" ht="15.75" customHeight="1" x14ac:dyDescent="0.2">
      <c r="A26" s="18" t="s">
        <v>1734</v>
      </c>
      <c r="B26" s="58" t="s">
        <v>1116</v>
      </c>
      <c r="C26" s="17">
        <v>20</v>
      </c>
      <c r="D26" s="17">
        <v>12</v>
      </c>
      <c r="E26" s="17">
        <v>1</v>
      </c>
      <c r="F26" s="17">
        <f t="shared" si="4"/>
        <v>240</v>
      </c>
      <c r="G26" s="17">
        <f>F26*L10</f>
        <v>15360</v>
      </c>
      <c r="H26" s="20">
        <f>D26*L10</f>
        <v>768</v>
      </c>
      <c r="I26" s="13"/>
    </row>
    <row r="27" spans="1:12" ht="15.75" customHeight="1" x14ac:dyDescent="0.2">
      <c r="A27" s="18" t="s">
        <v>1735</v>
      </c>
      <c r="B27" s="58" t="s">
        <v>1116</v>
      </c>
      <c r="C27" s="17">
        <v>20</v>
      </c>
      <c r="D27" s="17">
        <v>6</v>
      </c>
      <c r="E27" s="17">
        <v>1</v>
      </c>
      <c r="F27" s="17">
        <f t="shared" si="4"/>
        <v>120</v>
      </c>
      <c r="G27" s="17">
        <f>F27*L11</f>
        <v>720</v>
      </c>
      <c r="H27" s="20">
        <f>D27*L11</f>
        <v>36</v>
      </c>
      <c r="I27" s="13"/>
    </row>
    <row r="28" spans="1:12" ht="15.75" customHeight="1" x14ac:dyDescent="0.2">
      <c r="A28" s="16" t="s">
        <v>1094</v>
      </c>
      <c r="B28" s="58" t="s">
        <v>1116</v>
      </c>
      <c r="C28" s="19">
        <v>15</v>
      </c>
      <c r="D28" s="19">
        <v>1</v>
      </c>
      <c r="E28" s="20">
        <v>1</v>
      </c>
      <c r="F28" s="17">
        <f t="shared" si="4"/>
        <v>15</v>
      </c>
      <c r="G28" s="17">
        <f>F28*$D$23</f>
        <v>1440</v>
      </c>
      <c r="H28" s="20">
        <f>D28*D23</f>
        <v>96</v>
      </c>
      <c r="I28" s="13"/>
    </row>
    <row r="29" spans="1:12" ht="15.75" customHeight="1" x14ac:dyDescent="0.2">
      <c r="A29" s="14" t="s">
        <v>1093</v>
      </c>
      <c r="B29" s="57"/>
      <c r="C29" s="15"/>
      <c r="D29" s="172">
        <f>L16</f>
        <v>37</v>
      </c>
      <c r="E29" s="172"/>
      <c r="F29" s="15"/>
      <c r="G29" s="15"/>
      <c r="H29" s="15"/>
      <c r="I29" s="26"/>
    </row>
    <row r="30" spans="1:12" ht="15.75" customHeight="1" x14ac:dyDescent="0.2">
      <c r="A30" s="16" t="s">
        <v>1092</v>
      </c>
      <c r="B30" s="58" t="s">
        <v>1116</v>
      </c>
      <c r="C30" s="17">
        <v>20</v>
      </c>
      <c r="D30" s="17">
        <f>240</f>
        <v>240</v>
      </c>
      <c r="E30" s="17">
        <v>1</v>
      </c>
      <c r="F30" s="19">
        <f>C30*D30</f>
        <v>4800</v>
      </c>
      <c r="G30" s="19">
        <f>F30*$D$29</f>
        <v>177600</v>
      </c>
      <c r="H30" s="1">
        <f>D30*$D$29</f>
        <v>8880</v>
      </c>
      <c r="I30" s="4"/>
    </row>
    <row r="31" spans="1:12" ht="15.75" customHeight="1" x14ac:dyDescent="0.2">
      <c r="A31" s="16" t="s">
        <v>1087</v>
      </c>
      <c r="B31" s="58" t="s">
        <v>1116</v>
      </c>
      <c r="C31" s="17">
        <v>10</v>
      </c>
      <c r="D31" s="17">
        <f>240</f>
        <v>240</v>
      </c>
      <c r="E31" s="17">
        <v>1</v>
      </c>
      <c r="F31" s="19">
        <f t="shared" ref="F31" si="5">C31*D31</f>
        <v>2400</v>
      </c>
      <c r="G31" s="19">
        <f>F31*$D$29</f>
        <v>88800</v>
      </c>
      <c r="H31" s="1">
        <f>D31*$D$29</f>
        <v>8880</v>
      </c>
      <c r="I31" s="4"/>
    </row>
    <row r="32" spans="1:12" ht="15.75" customHeight="1" x14ac:dyDescent="0.2">
      <c r="A32" s="14" t="s">
        <v>1091</v>
      </c>
      <c r="B32" s="57"/>
      <c r="C32" s="15"/>
      <c r="D32" s="172">
        <v>1</v>
      </c>
      <c r="E32" s="172"/>
      <c r="F32" s="15"/>
      <c r="G32" s="15"/>
      <c r="H32" s="15"/>
      <c r="I32" s="26"/>
    </row>
    <row r="33" spans="1:9" ht="15.75" customHeight="1" x14ac:dyDescent="0.2">
      <c r="A33" s="16" t="s">
        <v>1090</v>
      </c>
      <c r="B33" s="58" t="s">
        <v>1116</v>
      </c>
      <c r="C33" s="17">
        <v>10</v>
      </c>
      <c r="D33" s="17">
        <v>24</v>
      </c>
      <c r="E33" s="17">
        <v>1</v>
      </c>
      <c r="F33" s="19">
        <f>C33*D33</f>
        <v>240</v>
      </c>
      <c r="G33" s="19">
        <f>F33*$D$32</f>
        <v>240</v>
      </c>
      <c r="H33" s="1">
        <f>D33*$D$32</f>
        <v>24</v>
      </c>
      <c r="I33" s="4"/>
    </row>
    <row r="34" spans="1:9" ht="15.75" customHeight="1" x14ac:dyDescent="0.2">
      <c r="A34" s="16" t="s">
        <v>1089</v>
      </c>
      <c r="B34" s="58" t="s">
        <v>1116</v>
      </c>
      <c r="C34" s="17">
        <v>30</v>
      </c>
      <c r="D34" s="17">
        <v>2</v>
      </c>
      <c r="E34" s="17">
        <v>1</v>
      </c>
      <c r="F34" s="19">
        <f t="shared" ref="F34" si="6">C34*D34</f>
        <v>60</v>
      </c>
      <c r="G34" s="19">
        <f>F34*$D$32</f>
        <v>60</v>
      </c>
      <c r="H34" s="1">
        <f>D34*$D$32</f>
        <v>2</v>
      </c>
      <c r="I34" s="4"/>
    </row>
    <row r="35" spans="1:9" ht="15.75" customHeight="1" x14ac:dyDescent="0.2">
      <c r="A35" s="14" t="s">
        <v>1088</v>
      </c>
      <c r="B35" s="60"/>
      <c r="C35" s="15"/>
      <c r="D35" s="172">
        <f>L17</f>
        <v>30</v>
      </c>
      <c r="E35" s="172"/>
      <c r="F35" s="15"/>
      <c r="G35" s="15"/>
      <c r="H35" s="15"/>
      <c r="I35" s="26"/>
    </row>
    <row r="36" spans="1:9" ht="15.75" customHeight="1" x14ac:dyDescent="0.2">
      <c r="A36" s="16" t="s">
        <v>1087</v>
      </c>
      <c r="B36" s="58" t="s">
        <v>1116</v>
      </c>
      <c r="C36" s="17">
        <v>15</v>
      </c>
      <c r="D36" s="17">
        <v>6</v>
      </c>
      <c r="E36" s="17">
        <v>1</v>
      </c>
      <c r="F36" s="19">
        <f t="shared" ref="F36" si="7">C36*D36</f>
        <v>90</v>
      </c>
      <c r="G36" s="17">
        <f>F36*$D$35</f>
        <v>2700</v>
      </c>
      <c r="H36" s="1">
        <f>D36*$D$35</f>
        <v>180</v>
      </c>
      <c r="I36" s="4"/>
    </row>
    <row r="37" spans="1:9" ht="15.75" customHeight="1" x14ac:dyDescent="0.2">
      <c r="A37" s="14" t="s">
        <v>1086</v>
      </c>
      <c r="B37" s="60"/>
      <c r="C37" s="15"/>
      <c r="D37" s="172">
        <f>L18</f>
        <v>44</v>
      </c>
      <c r="E37" s="172"/>
      <c r="F37" s="15"/>
      <c r="G37" s="15"/>
      <c r="H37" s="15"/>
      <c r="I37" s="26"/>
    </row>
    <row r="38" spans="1:9" ht="15.75" customHeight="1" x14ac:dyDescent="0.2">
      <c r="A38" s="16" t="s">
        <v>1085</v>
      </c>
      <c r="B38" s="58" t="s">
        <v>1116</v>
      </c>
      <c r="C38" s="17">
        <v>15</v>
      </c>
      <c r="D38" s="17">
        <v>1</v>
      </c>
      <c r="E38" s="17">
        <v>1</v>
      </c>
      <c r="F38" s="19">
        <f t="shared" ref="F38" si="8">C38*D38</f>
        <v>15</v>
      </c>
      <c r="G38" s="17">
        <f>F38*$D$37</f>
        <v>660</v>
      </c>
      <c r="H38" s="1">
        <f>D38*D37</f>
        <v>44</v>
      </c>
      <c r="I38" s="4"/>
    </row>
    <row r="39" spans="1:9" ht="15.75" customHeight="1" x14ac:dyDescent="0.2">
      <c r="A39" s="14" t="s">
        <v>1084</v>
      </c>
      <c r="B39" s="60"/>
      <c r="C39" s="15"/>
      <c r="D39" s="172">
        <f>L19</f>
        <v>1</v>
      </c>
      <c r="E39" s="172"/>
      <c r="F39" s="15"/>
      <c r="G39" s="15"/>
      <c r="H39" s="15"/>
      <c r="I39" s="26"/>
    </row>
    <row r="40" spans="1:9" ht="15.75" customHeight="1" x14ac:dyDescent="0.2">
      <c r="A40" s="16" t="s">
        <v>1083</v>
      </c>
      <c r="B40" s="58" t="s">
        <v>1116</v>
      </c>
      <c r="C40" s="17">
        <v>15</v>
      </c>
      <c r="D40" s="17">
        <v>12</v>
      </c>
      <c r="E40" s="17">
        <v>1</v>
      </c>
      <c r="F40" s="19">
        <f t="shared" ref="F40" si="9">C40*D40</f>
        <v>180</v>
      </c>
      <c r="G40" s="17">
        <f>F40*$D$39</f>
        <v>180</v>
      </c>
      <c r="H40" s="1">
        <f>D40*D39</f>
        <v>12</v>
      </c>
      <c r="I40" s="4"/>
    </row>
    <row r="41" spans="1:9" ht="15.75" customHeight="1" x14ac:dyDescent="0.2">
      <c r="A41" s="8"/>
      <c r="B41" s="61"/>
      <c r="C41" s="7"/>
      <c r="D41" s="7"/>
      <c r="E41" s="7"/>
    </row>
    <row r="42" spans="1:9" ht="15.75" customHeight="1" x14ac:dyDescent="0.2">
      <c r="A42" s="8"/>
      <c r="B42" s="62"/>
      <c r="C42" s="7"/>
      <c r="D42" s="7"/>
      <c r="E42" s="7"/>
    </row>
    <row r="44" spans="1:9" ht="15.75" customHeight="1" x14ac:dyDescent="0.2">
      <c r="B44" s="63"/>
      <c r="D44" s="6"/>
    </row>
    <row r="45" spans="1:9" ht="15.75" customHeight="1" x14ac:dyDescent="0.2">
      <c r="E45" s="2"/>
    </row>
  </sheetData>
  <sheetProtection selectLockedCells="1"/>
  <mergeCells count="10">
    <mergeCell ref="J22:K22"/>
    <mergeCell ref="J23:K23"/>
    <mergeCell ref="J25:K25"/>
    <mergeCell ref="D23:E23"/>
    <mergeCell ref="D29:E29"/>
    <mergeCell ref="D2:E2"/>
    <mergeCell ref="D39:E39"/>
    <mergeCell ref="D37:E37"/>
    <mergeCell ref="D35:E35"/>
    <mergeCell ref="D32:E32"/>
  </mergeCells>
  <dataValidations count="1">
    <dataValidation type="list" allowBlank="1" showInputMessage="1" showErrorMessage="1" sqref="B40 B3:B22 B30:B31 B33:B34 B36 B38 B24:B28">
      <formula1>"Sí,No"</formula1>
    </dataValidation>
  </dataValidation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enableFormatConditionsCalculation="0"/>
  <dimension ref="A1:B3606"/>
  <sheetViews>
    <sheetView tabSelected="1" topLeftCell="A3581" zoomScale="90" zoomScaleNormal="90" zoomScalePageLayoutView="90" workbookViewId="0">
      <selection activeCell="A3596" sqref="A3596"/>
    </sheetView>
  </sheetViews>
  <sheetFormatPr baseColWidth="10" defaultColWidth="9.1640625" defaultRowHeight="15" x14ac:dyDescent="0.2"/>
  <cols>
    <col min="1" max="1" bestFit="true" customWidth="true" style="65" width="29.5" collapsed="true"/>
    <col min="2" max="2" customWidth="true" style="66" width="96.6640625" collapsed="true"/>
    <col min="3" max="16384" style="65" width="9.1640625" collapsed="true"/>
  </cols>
  <sheetData>
    <row r="1" spans="1:2" s="74" customFormat="1" x14ac:dyDescent="0.2">
      <c r="A1" s="76" t="s">
        <v>9922</v>
      </c>
      <c r="B1" s="76" t="s">
        <v>7132</v>
      </c>
    </row>
    <row r="2" spans="1:2" s="74" customFormat="1" x14ac:dyDescent="0.2">
      <c r="A2" s="69" t="s">
        <v>1772</v>
      </c>
      <c r="B2" s="75" t="s">
        <v>7131</v>
      </c>
    </row>
    <row r="3" spans="1:2" s="74" customFormat="1" x14ac:dyDescent="0.2">
      <c r="A3" s="69" t="s">
        <v>3868</v>
      </c>
      <c r="B3" s="75" t="s">
        <v>7130</v>
      </c>
    </row>
    <row r="4" spans="1:2" s="74" customFormat="1" x14ac:dyDescent="0.2">
      <c r="A4" s="69" t="s">
        <v>3867</v>
      </c>
      <c r="B4" s="75" t="s">
        <v>7129</v>
      </c>
    </row>
    <row r="5" spans="1:2" s="74" customFormat="1" x14ac:dyDescent="0.2">
      <c r="A5" s="69" t="s">
        <v>1809</v>
      </c>
      <c r="B5" s="75" t="s">
        <v>7128</v>
      </c>
    </row>
    <row r="6" spans="1:2" s="74" customFormat="1" x14ac:dyDescent="0.2">
      <c r="A6" s="69" t="s">
        <v>3866</v>
      </c>
      <c r="B6" s="75" t="s">
        <v>7127</v>
      </c>
    </row>
    <row r="7" spans="1:2" s="74" customFormat="1" x14ac:dyDescent="0.2">
      <c r="A7" s="69" t="s">
        <v>1791</v>
      </c>
      <c r="B7" s="75" t="s">
        <v>7126</v>
      </c>
    </row>
    <row r="8" spans="1:2" x14ac:dyDescent="0.2">
      <c r="A8" s="73" t="s">
        <v>1797</v>
      </c>
      <c r="B8" s="69" t="s">
        <v>7125</v>
      </c>
    </row>
    <row r="9" spans="1:2" x14ac:dyDescent="0.2">
      <c r="A9" s="73" t="s">
        <v>1788</v>
      </c>
      <c r="B9" s="69" t="s">
        <v>7124</v>
      </c>
    </row>
    <row r="10" spans="1:2" x14ac:dyDescent="0.2">
      <c r="A10" s="73" t="s">
        <v>1787</v>
      </c>
      <c r="B10" s="69" t="s">
        <v>7123</v>
      </c>
    </row>
    <row r="11" spans="1:2" x14ac:dyDescent="0.2">
      <c r="A11" s="73" t="s">
        <v>1837</v>
      </c>
      <c r="B11" s="69" t="s">
        <v>7122</v>
      </c>
    </row>
    <row r="12" spans="1:2" x14ac:dyDescent="0.2">
      <c r="A12" s="73" t="s">
        <v>1128</v>
      </c>
      <c r="B12" s="69" t="s">
        <v>7121</v>
      </c>
    </row>
    <row r="13" spans="1:2" x14ac:dyDescent="0.2">
      <c r="A13" s="73" t="s">
        <v>1129</v>
      </c>
      <c r="B13" s="69" t="s">
        <v>7120</v>
      </c>
    </row>
    <row r="14" spans="1:2" x14ac:dyDescent="0.2">
      <c r="A14" s="73" t="s">
        <v>1130</v>
      </c>
      <c r="B14" s="69" t="s">
        <v>7119</v>
      </c>
    </row>
    <row r="15" spans="1:2" x14ac:dyDescent="0.2">
      <c r="A15" s="73" t="s">
        <v>1132</v>
      </c>
      <c r="B15" s="69" t="s">
        <v>7118</v>
      </c>
    </row>
    <row r="16" spans="1:2" x14ac:dyDescent="0.2">
      <c r="A16" s="73" t="s">
        <v>3865</v>
      </c>
      <c r="B16" s="69" t="s">
        <v>7117</v>
      </c>
    </row>
    <row r="17" spans="1:2" x14ac:dyDescent="0.2">
      <c r="A17" s="73" t="s">
        <v>530</v>
      </c>
      <c r="B17" s="69" t="s">
        <v>7116</v>
      </c>
    </row>
    <row r="18" spans="1:2" x14ac:dyDescent="0.2">
      <c r="A18" s="73" t="s">
        <v>533</v>
      </c>
      <c r="B18" s="69" t="s">
        <v>7115</v>
      </c>
    </row>
    <row r="19" spans="1:2" x14ac:dyDescent="0.2">
      <c r="A19" s="73" t="s">
        <v>1133</v>
      </c>
      <c r="B19" s="69" t="s">
        <v>7114</v>
      </c>
    </row>
    <row r="20" spans="1:2" x14ac:dyDescent="0.2">
      <c r="A20" s="73" t="s">
        <v>3864</v>
      </c>
      <c r="B20" s="69" t="s">
        <v>7113</v>
      </c>
    </row>
    <row r="21" spans="1:2" x14ac:dyDescent="0.2">
      <c r="A21" s="73" t="s">
        <v>3863</v>
      </c>
      <c r="B21" s="69" t="s">
        <v>7112</v>
      </c>
    </row>
    <row r="22" spans="1:2" x14ac:dyDescent="0.2">
      <c r="A22" s="73" t="s">
        <v>1135</v>
      </c>
      <c r="B22" s="69" t="s">
        <v>7111</v>
      </c>
    </row>
    <row r="23" spans="1:2" x14ac:dyDescent="0.2">
      <c r="A23" s="73" t="s">
        <v>1136</v>
      </c>
      <c r="B23" s="69" t="s">
        <v>7110</v>
      </c>
    </row>
    <row r="24" spans="1:2" x14ac:dyDescent="0.2">
      <c r="A24" s="73" t="s">
        <v>534</v>
      </c>
      <c r="B24" s="69" t="s">
        <v>7109</v>
      </c>
    </row>
    <row r="25" spans="1:2" x14ac:dyDescent="0.2">
      <c r="A25" s="73" t="s">
        <v>13</v>
      </c>
      <c r="B25" s="69" t="s">
        <v>7108</v>
      </c>
    </row>
    <row r="26" spans="1:2" x14ac:dyDescent="0.2">
      <c r="A26" s="73" t="s">
        <v>537</v>
      </c>
      <c r="B26" s="69" t="s">
        <v>7107</v>
      </c>
    </row>
    <row r="27" spans="1:2" x14ac:dyDescent="0.2">
      <c r="A27" s="73" t="s">
        <v>538</v>
      </c>
      <c r="B27" s="69" t="s">
        <v>7106</v>
      </c>
    </row>
    <row r="28" spans="1:2" x14ac:dyDescent="0.2">
      <c r="A28" s="73" t="s">
        <v>18</v>
      </c>
      <c r="B28" s="69" t="s">
        <v>7105</v>
      </c>
    </row>
    <row r="29" spans="1:2" x14ac:dyDescent="0.2">
      <c r="A29" s="73" t="s">
        <v>1137</v>
      </c>
      <c r="B29" s="69" t="s">
        <v>7104</v>
      </c>
    </row>
    <row r="30" spans="1:2" x14ac:dyDescent="0.2">
      <c r="A30" s="73" t="s">
        <v>1139</v>
      </c>
      <c r="B30" s="69" t="s">
        <v>7103</v>
      </c>
    </row>
    <row r="31" spans="1:2" x14ac:dyDescent="0.2">
      <c r="A31" s="73" t="s">
        <v>539</v>
      </c>
      <c r="B31" s="69" t="s">
        <v>7102</v>
      </c>
    </row>
    <row r="32" spans="1:2" x14ac:dyDescent="0.2">
      <c r="A32" s="73" t="s">
        <v>21</v>
      </c>
      <c r="B32" s="69" t="s">
        <v>7101</v>
      </c>
    </row>
    <row r="33" spans="1:2" x14ac:dyDescent="0.2">
      <c r="A33" s="73" t="s">
        <v>22</v>
      </c>
      <c r="B33" s="69" t="s">
        <v>7100</v>
      </c>
    </row>
    <row r="34" spans="1:2" x14ac:dyDescent="0.2">
      <c r="A34" s="73" t="s">
        <v>1142</v>
      </c>
      <c r="B34" s="69" t="s">
        <v>7099</v>
      </c>
    </row>
    <row r="35" spans="1:2" x14ac:dyDescent="0.2">
      <c r="A35" s="73" t="s">
        <v>540</v>
      </c>
      <c r="B35" s="69" t="s">
        <v>7098</v>
      </c>
    </row>
    <row r="36" spans="1:2" x14ac:dyDescent="0.2">
      <c r="A36" s="73" t="s">
        <v>541</v>
      </c>
      <c r="B36" s="69" t="s">
        <v>7097</v>
      </c>
    </row>
    <row r="37" spans="1:2" x14ac:dyDescent="0.2">
      <c r="A37" s="73" t="s">
        <v>1143</v>
      </c>
      <c r="B37" s="69" t="s">
        <v>7096</v>
      </c>
    </row>
    <row r="38" spans="1:2" x14ac:dyDescent="0.2">
      <c r="A38" s="73" t="s">
        <v>1145</v>
      </c>
      <c r="B38" s="69" t="s">
        <v>7095</v>
      </c>
    </row>
    <row r="39" spans="1:2" x14ac:dyDescent="0.2">
      <c r="A39" s="73" t="s">
        <v>542</v>
      </c>
      <c r="B39" s="69" t="s">
        <v>7094</v>
      </c>
    </row>
    <row r="40" spans="1:2" x14ac:dyDescent="0.2">
      <c r="A40" s="73" t="s">
        <v>544</v>
      </c>
      <c r="B40" s="69" t="s">
        <v>7093</v>
      </c>
    </row>
    <row r="41" spans="1:2" x14ac:dyDescent="0.2">
      <c r="A41" s="73" t="s">
        <v>547</v>
      </c>
      <c r="B41" s="69" t="s">
        <v>7092</v>
      </c>
    </row>
    <row r="42" spans="1:2" x14ac:dyDescent="0.2">
      <c r="A42" s="73" t="s">
        <v>548</v>
      </c>
      <c r="B42" s="69" t="s">
        <v>7091</v>
      </c>
    </row>
    <row r="43" spans="1:2" x14ac:dyDescent="0.2">
      <c r="A43" s="73" t="s">
        <v>1147</v>
      </c>
      <c r="B43" s="69" t="s">
        <v>7090</v>
      </c>
    </row>
    <row r="44" spans="1:2" x14ac:dyDescent="0.2">
      <c r="A44" s="73" t="s">
        <v>549</v>
      </c>
      <c r="B44" s="69" t="s">
        <v>7089</v>
      </c>
    </row>
    <row r="45" spans="1:2" x14ac:dyDescent="0.2">
      <c r="A45" s="73" t="s">
        <v>1148</v>
      </c>
      <c r="B45" s="69" t="s">
        <v>7088</v>
      </c>
    </row>
    <row r="46" spans="1:2" x14ac:dyDescent="0.2">
      <c r="A46" s="73" t="s">
        <v>550</v>
      </c>
      <c r="B46" s="69" t="s">
        <v>7087</v>
      </c>
    </row>
    <row r="47" spans="1:2" x14ac:dyDescent="0.2">
      <c r="A47" s="73" t="s">
        <v>551</v>
      </c>
      <c r="B47" s="69" t="s">
        <v>7086</v>
      </c>
    </row>
    <row r="48" spans="1:2" x14ac:dyDescent="0.2">
      <c r="A48" s="73" t="s">
        <v>552</v>
      </c>
      <c r="B48" s="69" t="s">
        <v>7085</v>
      </c>
    </row>
    <row r="49" spans="1:2" x14ac:dyDescent="0.2">
      <c r="A49" s="73" t="s">
        <v>24</v>
      </c>
      <c r="B49" s="69" t="s">
        <v>7084</v>
      </c>
    </row>
    <row r="50" spans="1:2" x14ac:dyDescent="0.2">
      <c r="A50" s="73" t="s">
        <v>553</v>
      </c>
      <c r="B50" s="69" t="s">
        <v>7083</v>
      </c>
    </row>
    <row r="51" spans="1:2" x14ac:dyDescent="0.2">
      <c r="A51" s="73" t="s">
        <v>1151</v>
      </c>
      <c r="B51" s="69" t="s">
        <v>7082</v>
      </c>
    </row>
    <row r="52" spans="1:2" x14ac:dyDescent="0.2">
      <c r="A52" s="73" t="s">
        <v>1152</v>
      </c>
      <c r="B52" s="69" t="s">
        <v>7081</v>
      </c>
    </row>
    <row r="53" spans="1:2" x14ac:dyDescent="0.2">
      <c r="A53" s="73" t="s">
        <v>554</v>
      </c>
      <c r="B53" s="69" t="s">
        <v>7080</v>
      </c>
    </row>
    <row r="54" spans="1:2" x14ac:dyDescent="0.2">
      <c r="A54" s="73" t="s">
        <v>555</v>
      </c>
      <c r="B54" s="69" t="s">
        <v>7079</v>
      </c>
    </row>
    <row r="55" spans="1:2" x14ac:dyDescent="0.2">
      <c r="A55" s="73" t="s">
        <v>25</v>
      </c>
      <c r="B55" s="69" t="s">
        <v>7078</v>
      </c>
    </row>
    <row r="56" spans="1:2" x14ac:dyDescent="0.2">
      <c r="A56" s="73" t="s">
        <v>26</v>
      </c>
      <c r="B56" s="69" t="s">
        <v>7077</v>
      </c>
    </row>
    <row r="57" spans="1:2" x14ac:dyDescent="0.2">
      <c r="A57" s="73" t="s">
        <v>27</v>
      </c>
      <c r="B57" s="69" t="s">
        <v>7076</v>
      </c>
    </row>
    <row r="58" spans="1:2" x14ac:dyDescent="0.2">
      <c r="A58" s="73" t="s">
        <v>1153</v>
      </c>
      <c r="B58" s="69" t="s">
        <v>7075</v>
      </c>
    </row>
    <row r="59" spans="1:2" x14ac:dyDescent="0.2">
      <c r="A59" s="73" t="s">
        <v>1154</v>
      </c>
      <c r="B59" s="69" t="s">
        <v>7074</v>
      </c>
    </row>
    <row r="60" spans="1:2" x14ac:dyDescent="0.2">
      <c r="A60" s="73" t="s">
        <v>1155</v>
      </c>
      <c r="B60" s="69" t="s">
        <v>7073</v>
      </c>
    </row>
    <row r="61" spans="1:2" x14ac:dyDescent="0.2">
      <c r="A61" s="73" t="s">
        <v>556</v>
      </c>
      <c r="B61" s="69" t="s">
        <v>7072</v>
      </c>
    </row>
    <row r="62" spans="1:2" x14ac:dyDescent="0.2">
      <c r="A62" s="73" t="s">
        <v>28</v>
      </c>
      <c r="B62" s="69" t="s">
        <v>7071</v>
      </c>
    </row>
    <row r="63" spans="1:2" x14ac:dyDescent="0.2">
      <c r="A63" s="73" t="s">
        <v>1156</v>
      </c>
      <c r="B63" s="69" t="s">
        <v>7070</v>
      </c>
    </row>
    <row r="64" spans="1:2" x14ac:dyDescent="0.2">
      <c r="A64" s="73" t="s">
        <v>1157</v>
      </c>
      <c r="B64" s="69" t="s">
        <v>7069</v>
      </c>
    </row>
    <row r="65" spans="1:2" x14ac:dyDescent="0.2">
      <c r="A65" s="73" t="s">
        <v>1158</v>
      </c>
      <c r="B65" s="69" t="s">
        <v>7068</v>
      </c>
    </row>
    <row r="66" spans="1:2" x14ac:dyDescent="0.2">
      <c r="A66" s="73" t="s">
        <v>557</v>
      </c>
      <c r="B66" s="69" t="s">
        <v>7067</v>
      </c>
    </row>
    <row r="67" spans="1:2" x14ac:dyDescent="0.2">
      <c r="A67" s="73" t="s">
        <v>1159</v>
      </c>
      <c r="B67" s="69" t="s">
        <v>7066</v>
      </c>
    </row>
    <row r="68" spans="1:2" x14ac:dyDescent="0.2">
      <c r="A68" s="73" t="s">
        <v>1160</v>
      </c>
      <c r="B68" s="69" t="s">
        <v>7065</v>
      </c>
    </row>
    <row r="69" spans="1:2" x14ac:dyDescent="0.2">
      <c r="A69" s="73" t="s">
        <v>29</v>
      </c>
      <c r="B69" s="69" t="s">
        <v>7064</v>
      </c>
    </row>
    <row r="70" spans="1:2" x14ac:dyDescent="0.2">
      <c r="A70" s="73" t="s">
        <v>558</v>
      </c>
      <c r="B70" s="69" t="s">
        <v>7063</v>
      </c>
    </row>
    <row r="71" spans="1:2" x14ac:dyDescent="0.2">
      <c r="A71" s="73" t="s">
        <v>1161</v>
      </c>
      <c r="B71" s="69" t="s">
        <v>7062</v>
      </c>
    </row>
    <row r="72" spans="1:2" x14ac:dyDescent="0.2">
      <c r="A72" s="73" t="s">
        <v>1162</v>
      </c>
      <c r="B72" s="69" t="s">
        <v>7061</v>
      </c>
    </row>
    <row r="73" spans="1:2" x14ac:dyDescent="0.2">
      <c r="A73" s="73" t="s">
        <v>559</v>
      </c>
      <c r="B73" s="69" t="s">
        <v>7060</v>
      </c>
    </row>
    <row r="74" spans="1:2" x14ac:dyDescent="0.2">
      <c r="A74" s="73" t="s">
        <v>1163</v>
      </c>
      <c r="B74" s="69" t="s">
        <v>7059</v>
      </c>
    </row>
    <row r="75" spans="1:2" x14ac:dyDescent="0.2">
      <c r="A75" s="73" t="s">
        <v>1164</v>
      </c>
      <c r="B75" s="69" t="s">
        <v>7058</v>
      </c>
    </row>
    <row r="76" spans="1:2" x14ac:dyDescent="0.2">
      <c r="A76" s="73" t="s">
        <v>560</v>
      </c>
      <c r="B76" s="69" t="s">
        <v>7057</v>
      </c>
    </row>
    <row r="77" spans="1:2" x14ac:dyDescent="0.2">
      <c r="A77" s="73" t="s">
        <v>1165</v>
      </c>
      <c r="B77" s="69" t="s">
        <v>7056</v>
      </c>
    </row>
    <row r="78" spans="1:2" x14ac:dyDescent="0.2">
      <c r="A78" s="73" t="s">
        <v>1167</v>
      </c>
      <c r="B78" s="69" t="s">
        <v>7055</v>
      </c>
    </row>
    <row r="79" spans="1:2" x14ac:dyDescent="0.2">
      <c r="A79" s="73" t="s">
        <v>1169</v>
      </c>
      <c r="B79" s="69" t="s">
        <v>7054</v>
      </c>
    </row>
    <row r="80" spans="1:2" x14ac:dyDescent="0.2">
      <c r="A80" s="73" t="s">
        <v>1170</v>
      </c>
      <c r="B80" s="69" t="s">
        <v>7053</v>
      </c>
    </row>
    <row r="81" spans="1:2" x14ac:dyDescent="0.2">
      <c r="A81" s="73" t="s">
        <v>1171</v>
      </c>
      <c r="B81" s="69" t="s">
        <v>7052</v>
      </c>
    </row>
    <row r="82" spans="1:2" x14ac:dyDescent="0.2">
      <c r="A82" s="73" t="s">
        <v>1172</v>
      </c>
      <c r="B82" s="69" t="s">
        <v>7051</v>
      </c>
    </row>
    <row r="83" spans="1:2" x14ac:dyDescent="0.2">
      <c r="A83" s="73" t="s">
        <v>1173</v>
      </c>
      <c r="B83" s="69" t="s">
        <v>7050</v>
      </c>
    </row>
    <row r="84" spans="1:2" x14ac:dyDescent="0.2">
      <c r="A84" s="73" t="s">
        <v>1174</v>
      </c>
      <c r="B84" s="69" t="s">
        <v>7049</v>
      </c>
    </row>
    <row r="85" spans="1:2" x14ac:dyDescent="0.2">
      <c r="A85" s="73" t="s">
        <v>1175</v>
      </c>
      <c r="B85" s="69" t="s">
        <v>7048</v>
      </c>
    </row>
    <row r="86" spans="1:2" x14ac:dyDescent="0.2">
      <c r="A86" s="73" t="s">
        <v>563</v>
      </c>
      <c r="B86" s="69" t="s">
        <v>7047</v>
      </c>
    </row>
    <row r="87" spans="1:2" x14ac:dyDescent="0.2">
      <c r="A87" s="73" t="s">
        <v>1177</v>
      </c>
      <c r="B87" s="69" t="s">
        <v>7046</v>
      </c>
    </row>
    <row r="88" spans="1:2" x14ac:dyDescent="0.2">
      <c r="A88" s="73" t="s">
        <v>1178</v>
      </c>
      <c r="B88" s="69" t="s">
        <v>7045</v>
      </c>
    </row>
    <row r="89" spans="1:2" x14ac:dyDescent="0.2">
      <c r="A89" s="73" t="s">
        <v>1179</v>
      </c>
      <c r="B89" s="69" t="s">
        <v>7044</v>
      </c>
    </row>
    <row r="90" spans="1:2" x14ac:dyDescent="0.2">
      <c r="A90" s="73" t="s">
        <v>1181</v>
      </c>
      <c r="B90" s="69" t="s">
        <v>7043</v>
      </c>
    </row>
    <row r="91" spans="1:2" x14ac:dyDescent="0.2">
      <c r="A91" s="73" t="s">
        <v>1182</v>
      </c>
      <c r="B91" s="69" t="s">
        <v>7042</v>
      </c>
    </row>
    <row r="92" spans="1:2" x14ac:dyDescent="0.2">
      <c r="A92" s="73" t="s">
        <v>1183</v>
      </c>
      <c r="B92" s="69" t="s">
        <v>7041</v>
      </c>
    </row>
    <row r="93" spans="1:2" x14ac:dyDescent="0.2">
      <c r="A93" s="73" t="s">
        <v>1184</v>
      </c>
      <c r="B93" s="69" t="s">
        <v>7040</v>
      </c>
    </row>
    <row r="94" spans="1:2" x14ac:dyDescent="0.2">
      <c r="A94" s="73" t="s">
        <v>564</v>
      </c>
      <c r="B94" s="69" t="s">
        <v>7039</v>
      </c>
    </row>
    <row r="95" spans="1:2" x14ac:dyDescent="0.2">
      <c r="A95" s="73" t="s">
        <v>1185</v>
      </c>
      <c r="B95" s="69" t="s">
        <v>7038</v>
      </c>
    </row>
    <row r="96" spans="1:2" x14ac:dyDescent="0.2">
      <c r="A96" s="73" t="s">
        <v>1186</v>
      </c>
      <c r="B96" s="69" t="s">
        <v>5669</v>
      </c>
    </row>
    <row r="97" spans="1:2" x14ac:dyDescent="0.2">
      <c r="A97" s="73" t="s">
        <v>565</v>
      </c>
      <c r="B97" s="69" t="s">
        <v>7037</v>
      </c>
    </row>
    <row r="98" spans="1:2" x14ac:dyDescent="0.2">
      <c r="A98" s="73" t="s">
        <v>1188</v>
      </c>
      <c r="B98" s="69" t="s">
        <v>7036</v>
      </c>
    </row>
    <row r="99" spans="1:2" x14ac:dyDescent="0.2">
      <c r="A99" s="73" t="s">
        <v>566</v>
      </c>
      <c r="B99" s="69" t="s">
        <v>7035</v>
      </c>
    </row>
    <row r="100" spans="1:2" x14ac:dyDescent="0.2">
      <c r="A100" s="73" t="s">
        <v>30</v>
      </c>
      <c r="B100" s="69" t="s">
        <v>7034</v>
      </c>
    </row>
    <row r="101" spans="1:2" x14ac:dyDescent="0.2">
      <c r="A101" s="73" t="s">
        <v>1189</v>
      </c>
      <c r="B101" s="69" t="s">
        <v>7033</v>
      </c>
    </row>
    <row r="102" spans="1:2" x14ac:dyDescent="0.2">
      <c r="A102" s="73" t="s">
        <v>567</v>
      </c>
      <c r="B102" s="69" t="s">
        <v>7032</v>
      </c>
    </row>
    <row r="103" spans="1:2" x14ac:dyDescent="0.2">
      <c r="A103" s="73" t="s">
        <v>1192</v>
      </c>
      <c r="B103" s="69" t="s">
        <v>7031</v>
      </c>
    </row>
    <row r="104" spans="1:2" x14ac:dyDescent="0.2">
      <c r="A104" s="73" t="s">
        <v>1193</v>
      </c>
      <c r="B104" s="69" t="s">
        <v>7030</v>
      </c>
    </row>
    <row r="105" spans="1:2" x14ac:dyDescent="0.2">
      <c r="A105" s="73" t="s">
        <v>1194</v>
      </c>
      <c r="B105" s="69" t="s">
        <v>7029</v>
      </c>
    </row>
    <row r="106" spans="1:2" x14ac:dyDescent="0.2">
      <c r="A106" s="73" t="s">
        <v>1195</v>
      </c>
      <c r="B106" s="69" t="s">
        <v>7028</v>
      </c>
    </row>
    <row r="107" spans="1:2" x14ac:dyDescent="0.2">
      <c r="A107" s="73" t="s">
        <v>1196</v>
      </c>
      <c r="B107" s="69" t="s">
        <v>7027</v>
      </c>
    </row>
    <row r="108" spans="1:2" x14ac:dyDescent="0.2">
      <c r="A108" s="73" t="s">
        <v>1198</v>
      </c>
      <c r="B108" s="69" t="s">
        <v>7026</v>
      </c>
    </row>
    <row r="109" spans="1:2" x14ac:dyDescent="0.2">
      <c r="A109" s="73" t="s">
        <v>1199</v>
      </c>
      <c r="B109" s="69" t="s">
        <v>7025</v>
      </c>
    </row>
    <row r="110" spans="1:2" x14ac:dyDescent="0.2">
      <c r="A110" s="73" t="s">
        <v>1200</v>
      </c>
      <c r="B110" s="69" t="s">
        <v>7024</v>
      </c>
    </row>
    <row r="111" spans="1:2" x14ac:dyDescent="0.2">
      <c r="A111" s="73" t="s">
        <v>1201</v>
      </c>
      <c r="B111" s="69" t="s">
        <v>7010</v>
      </c>
    </row>
    <row r="112" spans="1:2" x14ac:dyDescent="0.2">
      <c r="A112" s="73" t="s">
        <v>1202</v>
      </c>
      <c r="B112" s="69" t="s">
        <v>7023</v>
      </c>
    </row>
    <row r="113" spans="1:2" x14ac:dyDescent="0.2">
      <c r="A113" s="73" t="s">
        <v>1203</v>
      </c>
      <c r="B113" s="69" t="s">
        <v>7022</v>
      </c>
    </row>
    <row r="114" spans="1:2" x14ac:dyDescent="0.2">
      <c r="A114" s="73" t="s">
        <v>1204</v>
      </c>
      <c r="B114" s="69" t="s">
        <v>7021</v>
      </c>
    </row>
    <row r="115" spans="1:2" x14ac:dyDescent="0.2">
      <c r="A115" s="73" t="s">
        <v>1205</v>
      </c>
      <c r="B115" s="69" t="s">
        <v>7020</v>
      </c>
    </row>
    <row r="116" spans="1:2" x14ac:dyDescent="0.2">
      <c r="A116" s="73" t="s">
        <v>1206</v>
      </c>
      <c r="B116" s="69" t="s">
        <v>7019</v>
      </c>
    </row>
    <row r="117" spans="1:2" x14ac:dyDescent="0.2">
      <c r="A117" s="73" t="s">
        <v>1207</v>
      </c>
      <c r="B117" s="69" t="s">
        <v>7018</v>
      </c>
    </row>
    <row r="118" spans="1:2" x14ac:dyDescent="0.2">
      <c r="A118" s="73" t="s">
        <v>1208</v>
      </c>
      <c r="B118" s="69" t="s">
        <v>7017</v>
      </c>
    </row>
    <row r="119" spans="1:2" x14ac:dyDescent="0.2">
      <c r="A119" s="73" t="s">
        <v>1210</v>
      </c>
      <c r="B119" s="69" t="s">
        <v>6993</v>
      </c>
    </row>
    <row r="120" spans="1:2" x14ac:dyDescent="0.2">
      <c r="A120" s="73" t="s">
        <v>1211</v>
      </c>
      <c r="B120" s="69" t="s">
        <v>7016</v>
      </c>
    </row>
    <row r="121" spans="1:2" x14ac:dyDescent="0.2">
      <c r="A121" s="73" t="s">
        <v>1212</v>
      </c>
      <c r="B121" s="69" t="s">
        <v>7015</v>
      </c>
    </row>
    <row r="122" spans="1:2" x14ac:dyDescent="0.2">
      <c r="A122" s="73" t="s">
        <v>1213</v>
      </c>
      <c r="B122" s="69" t="s">
        <v>7014</v>
      </c>
    </row>
    <row r="123" spans="1:2" x14ac:dyDescent="0.2">
      <c r="A123" s="73" t="s">
        <v>1214</v>
      </c>
      <c r="B123" s="69" t="s">
        <v>7013</v>
      </c>
    </row>
    <row r="124" spans="1:2" x14ac:dyDescent="0.2">
      <c r="A124" s="73" t="s">
        <v>1215</v>
      </c>
      <c r="B124" s="69" t="s">
        <v>7012</v>
      </c>
    </row>
    <row r="125" spans="1:2" x14ac:dyDescent="0.2">
      <c r="A125" s="73" t="s">
        <v>1216</v>
      </c>
      <c r="B125" s="69" t="s">
        <v>7011</v>
      </c>
    </row>
    <row r="126" spans="1:2" x14ac:dyDescent="0.2">
      <c r="A126" s="73" t="s">
        <v>1217</v>
      </c>
      <c r="B126" s="69" t="s">
        <v>7010</v>
      </c>
    </row>
    <row r="127" spans="1:2" x14ac:dyDescent="0.2">
      <c r="A127" s="73" t="s">
        <v>1218</v>
      </c>
      <c r="B127" s="69" t="s">
        <v>7009</v>
      </c>
    </row>
    <row r="128" spans="1:2" x14ac:dyDescent="0.2">
      <c r="A128" s="73" t="s">
        <v>1219</v>
      </c>
      <c r="B128" s="69" t="s">
        <v>7008</v>
      </c>
    </row>
    <row r="129" spans="1:2" x14ac:dyDescent="0.2">
      <c r="A129" s="73" t="s">
        <v>1220</v>
      </c>
      <c r="B129" s="69" t="s">
        <v>7007</v>
      </c>
    </row>
    <row r="130" spans="1:2" x14ac:dyDescent="0.2">
      <c r="A130" s="73" t="s">
        <v>1221</v>
      </c>
      <c r="B130" s="69" t="s">
        <v>7006</v>
      </c>
    </row>
    <row r="131" spans="1:2" x14ac:dyDescent="0.2">
      <c r="A131" s="73" t="s">
        <v>1222</v>
      </c>
      <c r="B131" s="69" t="s">
        <v>7005</v>
      </c>
    </row>
    <row r="132" spans="1:2" x14ac:dyDescent="0.2">
      <c r="A132" s="73" t="s">
        <v>1224</v>
      </c>
      <c r="B132" s="69" t="s">
        <v>7004</v>
      </c>
    </row>
    <row r="133" spans="1:2" x14ac:dyDescent="0.2">
      <c r="A133" s="73" t="s">
        <v>31</v>
      </c>
      <c r="B133" s="69" t="s">
        <v>7003</v>
      </c>
    </row>
    <row r="134" spans="1:2" x14ac:dyDescent="0.2">
      <c r="A134" s="73" t="s">
        <v>34</v>
      </c>
      <c r="B134" s="69" t="s">
        <v>7002</v>
      </c>
    </row>
    <row r="135" spans="1:2" x14ac:dyDescent="0.2">
      <c r="A135" s="73" t="s">
        <v>35</v>
      </c>
      <c r="B135" s="69" t="s">
        <v>7001</v>
      </c>
    </row>
    <row r="136" spans="1:2" x14ac:dyDescent="0.2">
      <c r="A136" s="73" t="s">
        <v>36</v>
      </c>
      <c r="B136" s="69" t="s">
        <v>7000</v>
      </c>
    </row>
    <row r="137" spans="1:2" x14ac:dyDescent="0.2">
      <c r="A137" s="73" t="s">
        <v>1225</v>
      </c>
      <c r="B137" s="69" t="s">
        <v>6999</v>
      </c>
    </row>
    <row r="138" spans="1:2" x14ac:dyDescent="0.2">
      <c r="A138" s="73" t="s">
        <v>3862</v>
      </c>
      <c r="B138" s="69" t="s">
        <v>6998</v>
      </c>
    </row>
    <row r="139" spans="1:2" x14ac:dyDescent="0.2">
      <c r="A139" s="73" t="s">
        <v>37</v>
      </c>
      <c r="B139" s="69" t="s">
        <v>6997</v>
      </c>
    </row>
    <row r="140" spans="1:2" x14ac:dyDescent="0.2">
      <c r="A140" s="73" t="s">
        <v>570</v>
      </c>
      <c r="B140" s="69" t="s">
        <v>6996</v>
      </c>
    </row>
    <row r="141" spans="1:2" x14ac:dyDescent="0.2">
      <c r="A141" s="73" t="s">
        <v>571</v>
      </c>
      <c r="B141" s="69" t="s">
        <v>6995</v>
      </c>
    </row>
    <row r="142" spans="1:2" x14ac:dyDescent="0.2">
      <c r="A142" s="73" t="s">
        <v>38</v>
      </c>
      <c r="B142" s="69" t="s">
        <v>6994</v>
      </c>
    </row>
    <row r="143" spans="1:2" x14ac:dyDescent="0.2">
      <c r="A143" s="73" t="s">
        <v>1226</v>
      </c>
      <c r="B143" s="69" t="s">
        <v>6993</v>
      </c>
    </row>
    <row r="144" spans="1:2" x14ac:dyDescent="0.2">
      <c r="A144" s="73" t="s">
        <v>39</v>
      </c>
      <c r="B144" s="69" t="s">
        <v>6992</v>
      </c>
    </row>
    <row r="145" spans="1:2" x14ac:dyDescent="0.2">
      <c r="A145" s="73" t="s">
        <v>40</v>
      </c>
      <c r="B145" s="69" t="s">
        <v>6991</v>
      </c>
    </row>
    <row r="146" spans="1:2" x14ac:dyDescent="0.2">
      <c r="A146" s="73" t="s">
        <v>572</v>
      </c>
      <c r="B146" s="69" t="s">
        <v>6990</v>
      </c>
    </row>
    <row r="147" spans="1:2" x14ac:dyDescent="0.2">
      <c r="A147" s="73" t="s">
        <v>41</v>
      </c>
      <c r="B147" s="69" t="s">
        <v>6989</v>
      </c>
    </row>
    <row r="148" spans="1:2" x14ac:dyDescent="0.2">
      <c r="A148" s="73" t="s">
        <v>1227</v>
      </c>
      <c r="B148" s="69" t="s">
        <v>6988</v>
      </c>
    </row>
    <row r="149" spans="1:2" x14ac:dyDescent="0.2">
      <c r="A149" s="73" t="s">
        <v>573</v>
      </c>
      <c r="B149" s="69" t="s">
        <v>6987</v>
      </c>
    </row>
    <row r="150" spans="1:2" x14ac:dyDescent="0.2">
      <c r="A150" s="73" t="s">
        <v>42</v>
      </c>
      <c r="B150" s="69" t="s">
        <v>6986</v>
      </c>
    </row>
    <row r="151" spans="1:2" x14ac:dyDescent="0.2">
      <c r="A151" s="73" t="s">
        <v>1229</v>
      </c>
      <c r="B151" s="69" t="s">
        <v>6985</v>
      </c>
    </row>
    <row r="152" spans="1:2" x14ac:dyDescent="0.2">
      <c r="A152" s="73" t="s">
        <v>574</v>
      </c>
      <c r="B152" s="69" t="s">
        <v>6984</v>
      </c>
    </row>
    <row r="153" spans="1:2" x14ac:dyDescent="0.2">
      <c r="A153" s="73" t="s">
        <v>43</v>
      </c>
      <c r="B153" s="69" t="s">
        <v>6983</v>
      </c>
    </row>
    <row r="154" spans="1:2" x14ac:dyDescent="0.2">
      <c r="A154" s="73" t="s">
        <v>575</v>
      </c>
      <c r="B154" s="69" t="s">
        <v>6982</v>
      </c>
    </row>
    <row r="155" spans="1:2" x14ac:dyDescent="0.2">
      <c r="A155" s="73" t="s">
        <v>44</v>
      </c>
      <c r="B155" s="69" t="s">
        <v>6981</v>
      </c>
    </row>
    <row r="156" spans="1:2" x14ac:dyDescent="0.2">
      <c r="A156" s="73" t="s">
        <v>45</v>
      </c>
      <c r="B156" s="69" t="s">
        <v>6980</v>
      </c>
    </row>
    <row r="157" spans="1:2" x14ac:dyDescent="0.2">
      <c r="A157" s="73" t="s">
        <v>576</v>
      </c>
      <c r="B157" s="69" t="s">
        <v>6979</v>
      </c>
    </row>
    <row r="158" spans="1:2" x14ac:dyDescent="0.2">
      <c r="A158" s="73" t="s">
        <v>46</v>
      </c>
      <c r="B158" s="69" t="s">
        <v>6978</v>
      </c>
    </row>
    <row r="159" spans="1:2" x14ac:dyDescent="0.2">
      <c r="A159" s="73" t="s">
        <v>577</v>
      </c>
      <c r="B159" s="69" t="s">
        <v>6977</v>
      </c>
    </row>
    <row r="160" spans="1:2" x14ac:dyDescent="0.2">
      <c r="A160" s="73" t="s">
        <v>578</v>
      </c>
      <c r="B160" s="69" t="s">
        <v>6976</v>
      </c>
    </row>
    <row r="161" spans="1:2" x14ac:dyDescent="0.2">
      <c r="A161" s="73" t="s">
        <v>1230</v>
      </c>
      <c r="B161" s="69" t="s">
        <v>6975</v>
      </c>
    </row>
    <row r="162" spans="1:2" x14ac:dyDescent="0.2">
      <c r="A162" s="73" t="s">
        <v>1232</v>
      </c>
      <c r="B162" s="69" t="s">
        <v>6974</v>
      </c>
    </row>
    <row r="163" spans="1:2" x14ac:dyDescent="0.2">
      <c r="A163" s="73" t="s">
        <v>47</v>
      </c>
      <c r="B163" s="69" t="s">
        <v>6973</v>
      </c>
    </row>
    <row r="164" spans="1:2" x14ac:dyDescent="0.2">
      <c r="A164" s="73" t="s">
        <v>579</v>
      </c>
      <c r="B164" s="69" t="s">
        <v>6972</v>
      </c>
    </row>
    <row r="165" spans="1:2" x14ac:dyDescent="0.2">
      <c r="A165" s="73" t="s">
        <v>580</v>
      </c>
      <c r="B165" s="69" t="s">
        <v>6971</v>
      </c>
    </row>
    <row r="166" spans="1:2" x14ac:dyDescent="0.2">
      <c r="A166" s="73" t="s">
        <v>581</v>
      </c>
      <c r="B166" s="69" t="s">
        <v>6970</v>
      </c>
    </row>
    <row r="167" spans="1:2" x14ac:dyDescent="0.2">
      <c r="A167" s="73" t="s">
        <v>582</v>
      </c>
      <c r="B167" s="69" t="s">
        <v>6969</v>
      </c>
    </row>
    <row r="168" spans="1:2" x14ac:dyDescent="0.2">
      <c r="A168" s="73" t="s">
        <v>1234</v>
      </c>
      <c r="B168" s="69" t="s">
        <v>6968</v>
      </c>
    </row>
    <row r="169" spans="1:2" x14ac:dyDescent="0.2">
      <c r="A169" s="73" t="s">
        <v>583</v>
      </c>
      <c r="B169" s="69" t="s">
        <v>6967</v>
      </c>
    </row>
    <row r="170" spans="1:2" x14ac:dyDescent="0.2">
      <c r="A170" s="73" t="s">
        <v>48</v>
      </c>
      <c r="B170" s="69" t="s">
        <v>6966</v>
      </c>
    </row>
    <row r="171" spans="1:2" x14ac:dyDescent="0.2">
      <c r="A171" s="73" t="s">
        <v>49</v>
      </c>
      <c r="B171" s="69" t="s">
        <v>6965</v>
      </c>
    </row>
    <row r="172" spans="1:2" x14ac:dyDescent="0.2">
      <c r="A172" s="73" t="s">
        <v>584</v>
      </c>
      <c r="B172" s="69" t="s">
        <v>6964</v>
      </c>
    </row>
    <row r="173" spans="1:2" x14ac:dyDescent="0.2">
      <c r="A173" s="73" t="s">
        <v>50</v>
      </c>
      <c r="B173" s="69" t="s">
        <v>6963</v>
      </c>
    </row>
    <row r="174" spans="1:2" x14ac:dyDescent="0.2">
      <c r="A174" s="73" t="s">
        <v>585</v>
      </c>
      <c r="B174" s="69" t="s">
        <v>6962</v>
      </c>
    </row>
    <row r="175" spans="1:2" x14ac:dyDescent="0.2">
      <c r="A175" s="73" t="s">
        <v>51</v>
      </c>
      <c r="B175" s="69" t="s">
        <v>6961</v>
      </c>
    </row>
    <row r="176" spans="1:2" x14ac:dyDescent="0.2">
      <c r="A176" s="73" t="s">
        <v>1235</v>
      </c>
      <c r="B176" s="69" t="s">
        <v>6960</v>
      </c>
    </row>
    <row r="177" spans="1:2" x14ac:dyDescent="0.2">
      <c r="A177" s="73" t="s">
        <v>586</v>
      </c>
      <c r="B177" s="69" t="s">
        <v>6959</v>
      </c>
    </row>
    <row r="178" spans="1:2" x14ac:dyDescent="0.2">
      <c r="A178" s="73" t="s">
        <v>52</v>
      </c>
      <c r="B178" s="69" t="s">
        <v>6958</v>
      </c>
    </row>
    <row r="179" spans="1:2" x14ac:dyDescent="0.2">
      <c r="A179" s="73" t="s">
        <v>53</v>
      </c>
      <c r="B179" s="69" t="s">
        <v>6957</v>
      </c>
    </row>
    <row r="180" spans="1:2" x14ac:dyDescent="0.2">
      <c r="A180" s="73" t="s">
        <v>587</v>
      </c>
      <c r="B180" s="69" t="s">
        <v>6956</v>
      </c>
    </row>
    <row r="181" spans="1:2" x14ac:dyDescent="0.2">
      <c r="A181" s="73" t="s">
        <v>54</v>
      </c>
      <c r="B181" s="69" t="s">
        <v>6955</v>
      </c>
    </row>
    <row r="182" spans="1:2" x14ac:dyDescent="0.2">
      <c r="A182" s="73" t="s">
        <v>588</v>
      </c>
      <c r="B182" s="69" t="s">
        <v>6954</v>
      </c>
    </row>
    <row r="183" spans="1:2" x14ac:dyDescent="0.2">
      <c r="A183" s="73" t="s">
        <v>1237</v>
      </c>
      <c r="B183" s="69" t="s">
        <v>6953</v>
      </c>
    </row>
    <row r="184" spans="1:2" x14ac:dyDescent="0.2">
      <c r="A184" s="73" t="s">
        <v>55</v>
      </c>
      <c r="B184" s="69" t="s">
        <v>6952</v>
      </c>
    </row>
    <row r="185" spans="1:2" x14ac:dyDescent="0.2">
      <c r="A185" s="73" t="s">
        <v>591</v>
      </c>
      <c r="B185" s="69" t="s">
        <v>6951</v>
      </c>
    </row>
    <row r="186" spans="1:2" x14ac:dyDescent="0.2">
      <c r="A186" s="73" t="s">
        <v>592</v>
      </c>
      <c r="B186" s="69" t="s">
        <v>6950</v>
      </c>
    </row>
    <row r="187" spans="1:2" x14ac:dyDescent="0.2">
      <c r="A187" s="73" t="s">
        <v>593</v>
      </c>
      <c r="B187" s="69" t="s">
        <v>6949</v>
      </c>
    </row>
    <row r="188" spans="1:2" x14ac:dyDescent="0.2">
      <c r="A188" s="73" t="s">
        <v>594</v>
      </c>
      <c r="B188" s="69" t="s">
        <v>6948</v>
      </c>
    </row>
    <row r="189" spans="1:2" x14ac:dyDescent="0.2">
      <c r="A189" s="73" t="s">
        <v>56</v>
      </c>
      <c r="B189" s="69" t="s">
        <v>6947</v>
      </c>
    </row>
    <row r="190" spans="1:2" x14ac:dyDescent="0.2">
      <c r="A190" s="73" t="s">
        <v>1239</v>
      </c>
      <c r="B190" s="69" t="s">
        <v>6946</v>
      </c>
    </row>
    <row r="191" spans="1:2" x14ac:dyDescent="0.2">
      <c r="A191" s="73" t="s">
        <v>57</v>
      </c>
      <c r="B191" s="69" t="s">
        <v>6945</v>
      </c>
    </row>
    <row r="192" spans="1:2" x14ac:dyDescent="0.2">
      <c r="A192" s="73" t="s">
        <v>58</v>
      </c>
      <c r="B192" s="69" t="s">
        <v>6944</v>
      </c>
    </row>
    <row r="193" spans="1:2" x14ac:dyDescent="0.2">
      <c r="A193" s="73" t="s">
        <v>59</v>
      </c>
      <c r="B193" s="69" t="s">
        <v>6943</v>
      </c>
    </row>
    <row r="194" spans="1:2" x14ac:dyDescent="0.2">
      <c r="A194" s="73" t="s">
        <v>60</v>
      </c>
      <c r="B194" s="69" t="s">
        <v>6942</v>
      </c>
    </row>
    <row r="195" spans="1:2" x14ac:dyDescent="0.2">
      <c r="A195" s="73" t="s">
        <v>61</v>
      </c>
      <c r="B195" s="69" t="s">
        <v>6941</v>
      </c>
    </row>
    <row r="196" spans="1:2" x14ac:dyDescent="0.2">
      <c r="A196" s="73" t="s">
        <v>595</v>
      </c>
      <c r="B196" s="69" t="s">
        <v>6940</v>
      </c>
    </row>
    <row r="197" spans="1:2" x14ac:dyDescent="0.2">
      <c r="A197" s="73" t="s">
        <v>1242</v>
      </c>
      <c r="B197" s="69" t="s">
        <v>6939</v>
      </c>
    </row>
    <row r="198" spans="1:2" x14ac:dyDescent="0.2">
      <c r="A198" s="73" t="s">
        <v>62</v>
      </c>
      <c r="B198" s="69" t="s">
        <v>6938</v>
      </c>
    </row>
    <row r="199" spans="1:2" x14ac:dyDescent="0.2">
      <c r="A199" s="73" t="s">
        <v>1243</v>
      </c>
      <c r="B199" s="69" t="s">
        <v>6937</v>
      </c>
    </row>
    <row r="200" spans="1:2" x14ac:dyDescent="0.2">
      <c r="A200" s="73" t="s">
        <v>63</v>
      </c>
      <c r="B200" s="69" t="s">
        <v>6936</v>
      </c>
    </row>
    <row r="201" spans="1:2" x14ac:dyDescent="0.2">
      <c r="A201" s="73" t="s">
        <v>1245</v>
      </c>
      <c r="B201" s="69" t="s">
        <v>6935</v>
      </c>
    </row>
    <row r="202" spans="1:2" x14ac:dyDescent="0.2">
      <c r="A202" s="73" t="s">
        <v>1246</v>
      </c>
      <c r="B202" s="69" t="s">
        <v>6934</v>
      </c>
    </row>
    <row r="203" spans="1:2" x14ac:dyDescent="0.2">
      <c r="A203" s="73" t="s">
        <v>1247</v>
      </c>
      <c r="B203" s="69" t="s">
        <v>6933</v>
      </c>
    </row>
    <row r="204" spans="1:2" x14ac:dyDescent="0.2">
      <c r="A204" s="73" t="s">
        <v>1248</v>
      </c>
      <c r="B204" s="69" t="s">
        <v>6932</v>
      </c>
    </row>
    <row r="205" spans="1:2" x14ac:dyDescent="0.2">
      <c r="A205" s="73" t="s">
        <v>596</v>
      </c>
      <c r="B205" s="69" t="s">
        <v>6931</v>
      </c>
    </row>
    <row r="206" spans="1:2" x14ac:dyDescent="0.2">
      <c r="A206" s="73" t="s">
        <v>64</v>
      </c>
      <c r="B206" s="69" t="s">
        <v>6930</v>
      </c>
    </row>
    <row r="207" spans="1:2" x14ac:dyDescent="0.2">
      <c r="A207" s="73" t="s">
        <v>1249</v>
      </c>
      <c r="B207" s="69" t="s">
        <v>6929</v>
      </c>
    </row>
    <row r="208" spans="1:2" x14ac:dyDescent="0.2">
      <c r="A208" s="73" t="s">
        <v>1250</v>
      </c>
      <c r="B208" s="69" t="s">
        <v>6928</v>
      </c>
    </row>
    <row r="209" spans="1:2" x14ac:dyDescent="0.2">
      <c r="A209" s="73" t="s">
        <v>597</v>
      </c>
      <c r="B209" s="69" t="s">
        <v>6927</v>
      </c>
    </row>
    <row r="210" spans="1:2" x14ac:dyDescent="0.2">
      <c r="A210" s="73" t="s">
        <v>1251</v>
      </c>
      <c r="B210" s="69" t="s">
        <v>6926</v>
      </c>
    </row>
    <row r="211" spans="1:2" x14ac:dyDescent="0.2">
      <c r="A211" s="73" t="s">
        <v>598</v>
      </c>
      <c r="B211" s="69" t="s">
        <v>6925</v>
      </c>
    </row>
    <row r="212" spans="1:2" x14ac:dyDescent="0.2">
      <c r="A212" s="73" t="s">
        <v>65</v>
      </c>
      <c r="B212" s="69" t="s">
        <v>6924</v>
      </c>
    </row>
    <row r="213" spans="1:2" x14ac:dyDescent="0.2">
      <c r="A213" s="73" t="s">
        <v>599</v>
      </c>
      <c r="B213" s="69" t="s">
        <v>6923</v>
      </c>
    </row>
    <row r="214" spans="1:2" x14ac:dyDescent="0.2">
      <c r="A214" s="73" t="s">
        <v>66</v>
      </c>
      <c r="B214" s="69" t="s">
        <v>6922</v>
      </c>
    </row>
    <row r="215" spans="1:2" x14ac:dyDescent="0.2">
      <c r="A215" s="73" t="s">
        <v>600</v>
      </c>
      <c r="B215" s="69" t="s">
        <v>6921</v>
      </c>
    </row>
    <row r="216" spans="1:2" x14ac:dyDescent="0.2">
      <c r="A216" s="73" t="s">
        <v>601</v>
      </c>
      <c r="B216" s="69" t="s">
        <v>6920</v>
      </c>
    </row>
    <row r="217" spans="1:2" x14ac:dyDescent="0.2">
      <c r="A217" s="73" t="s">
        <v>604</v>
      </c>
      <c r="B217" s="69" t="s">
        <v>6919</v>
      </c>
    </row>
    <row r="218" spans="1:2" x14ac:dyDescent="0.2">
      <c r="A218" s="73" t="s">
        <v>67</v>
      </c>
      <c r="B218" s="69" t="s">
        <v>6918</v>
      </c>
    </row>
    <row r="219" spans="1:2" x14ac:dyDescent="0.2">
      <c r="A219" s="73" t="s">
        <v>1253</v>
      </c>
      <c r="B219" s="69" t="s">
        <v>6917</v>
      </c>
    </row>
    <row r="220" spans="1:2" x14ac:dyDescent="0.2">
      <c r="A220" s="73" t="s">
        <v>605</v>
      </c>
      <c r="B220" s="69" t="s">
        <v>6916</v>
      </c>
    </row>
    <row r="221" spans="1:2" x14ac:dyDescent="0.2">
      <c r="A221" s="73" t="s">
        <v>68</v>
      </c>
      <c r="B221" s="69" t="s">
        <v>6915</v>
      </c>
    </row>
    <row r="222" spans="1:2" x14ac:dyDescent="0.2">
      <c r="A222" s="73" t="s">
        <v>69</v>
      </c>
      <c r="B222" s="69" t="s">
        <v>6914</v>
      </c>
    </row>
    <row r="223" spans="1:2" x14ac:dyDescent="0.2">
      <c r="A223" s="73" t="s">
        <v>70</v>
      </c>
      <c r="B223" s="69" t="s">
        <v>6913</v>
      </c>
    </row>
    <row r="224" spans="1:2" x14ac:dyDescent="0.2">
      <c r="A224" s="73" t="s">
        <v>606</v>
      </c>
      <c r="B224" s="69" t="s">
        <v>6912</v>
      </c>
    </row>
    <row r="225" spans="1:2" x14ac:dyDescent="0.2">
      <c r="A225" s="73" t="s">
        <v>607</v>
      </c>
      <c r="B225" s="69" t="s">
        <v>6911</v>
      </c>
    </row>
    <row r="226" spans="1:2" x14ac:dyDescent="0.2">
      <c r="A226" s="73" t="s">
        <v>71</v>
      </c>
      <c r="B226" s="69" t="s">
        <v>6910</v>
      </c>
    </row>
    <row r="227" spans="1:2" x14ac:dyDescent="0.2">
      <c r="A227" s="73" t="s">
        <v>72</v>
      </c>
      <c r="B227" s="69" t="s">
        <v>6909</v>
      </c>
    </row>
    <row r="228" spans="1:2" x14ac:dyDescent="0.2">
      <c r="A228" s="73" t="s">
        <v>608</v>
      </c>
      <c r="B228" s="69" t="s">
        <v>6908</v>
      </c>
    </row>
    <row r="229" spans="1:2" x14ac:dyDescent="0.2">
      <c r="A229" s="73" t="s">
        <v>609</v>
      </c>
      <c r="B229" s="69" t="s">
        <v>6907</v>
      </c>
    </row>
    <row r="230" spans="1:2" x14ac:dyDescent="0.2">
      <c r="A230" s="73" t="s">
        <v>1254</v>
      </c>
      <c r="B230" s="69" t="s">
        <v>6906</v>
      </c>
    </row>
    <row r="231" spans="1:2" x14ac:dyDescent="0.2">
      <c r="A231" s="73" t="s">
        <v>610</v>
      </c>
      <c r="B231" s="69" t="s">
        <v>6905</v>
      </c>
    </row>
    <row r="232" spans="1:2" x14ac:dyDescent="0.2">
      <c r="A232" s="73" t="s">
        <v>611</v>
      </c>
      <c r="B232" s="69" t="s">
        <v>6904</v>
      </c>
    </row>
    <row r="233" spans="1:2" x14ac:dyDescent="0.2">
      <c r="A233" s="73" t="s">
        <v>612</v>
      </c>
      <c r="B233" s="69" t="s">
        <v>6903</v>
      </c>
    </row>
    <row r="234" spans="1:2" x14ac:dyDescent="0.2">
      <c r="A234" s="73" t="s">
        <v>613</v>
      </c>
      <c r="B234" s="69" t="s">
        <v>6902</v>
      </c>
    </row>
    <row r="235" spans="1:2" x14ac:dyDescent="0.2">
      <c r="A235" s="73" t="s">
        <v>73</v>
      </c>
      <c r="B235" s="69" t="s">
        <v>6901</v>
      </c>
    </row>
    <row r="236" spans="1:2" x14ac:dyDescent="0.2">
      <c r="A236" s="73" t="s">
        <v>74</v>
      </c>
      <c r="B236" s="69" t="s">
        <v>6900</v>
      </c>
    </row>
    <row r="237" spans="1:2" x14ac:dyDescent="0.2">
      <c r="A237" s="73" t="s">
        <v>1255</v>
      </c>
      <c r="B237" s="69" t="s">
        <v>6899</v>
      </c>
    </row>
    <row r="238" spans="1:2" x14ac:dyDescent="0.2">
      <c r="A238" s="73" t="s">
        <v>614</v>
      </c>
      <c r="B238" s="69" t="s">
        <v>6898</v>
      </c>
    </row>
    <row r="239" spans="1:2" x14ac:dyDescent="0.2">
      <c r="A239" s="73" t="s">
        <v>75</v>
      </c>
      <c r="B239" s="69" t="s">
        <v>6897</v>
      </c>
    </row>
    <row r="240" spans="1:2" x14ac:dyDescent="0.2">
      <c r="A240" s="73" t="s">
        <v>615</v>
      </c>
      <c r="B240" s="69" t="s">
        <v>6896</v>
      </c>
    </row>
    <row r="241" spans="1:2" x14ac:dyDescent="0.2">
      <c r="A241" s="73" t="s">
        <v>1256</v>
      </c>
      <c r="B241" s="69" t="s">
        <v>6895</v>
      </c>
    </row>
    <row r="242" spans="1:2" x14ac:dyDescent="0.2">
      <c r="A242" s="73" t="s">
        <v>616</v>
      </c>
      <c r="B242" s="69" t="s">
        <v>6894</v>
      </c>
    </row>
    <row r="243" spans="1:2" x14ac:dyDescent="0.2">
      <c r="A243" s="73" t="s">
        <v>617</v>
      </c>
      <c r="B243" s="69" t="s">
        <v>6893</v>
      </c>
    </row>
    <row r="244" spans="1:2" x14ac:dyDescent="0.2">
      <c r="A244" s="73" t="s">
        <v>618</v>
      </c>
      <c r="B244" s="69" t="s">
        <v>6892</v>
      </c>
    </row>
    <row r="245" spans="1:2" x14ac:dyDescent="0.2">
      <c r="A245" s="73" t="s">
        <v>76</v>
      </c>
      <c r="B245" s="69" t="s">
        <v>6891</v>
      </c>
    </row>
    <row r="246" spans="1:2" x14ac:dyDescent="0.2">
      <c r="A246" s="73" t="s">
        <v>77</v>
      </c>
      <c r="B246" s="69" t="s">
        <v>6890</v>
      </c>
    </row>
    <row r="247" spans="1:2" x14ac:dyDescent="0.2">
      <c r="A247" s="73" t="s">
        <v>619</v>
      </c>
      <c r="B247" s="69" t="s">
        <v>6889</v>
      </c>
    </row>
    <row r="248" spans="1:2" x14ac:dyDescent="0.2">
      <c r="A248" s="73" t="s">
        <v>78</v>
      </c>
      <c r="B248" s="69" t="s">
        <v>6888</v>
      </c>
    </row>
    <row r="249" spans="1:2" x14ac:dyDescent="0.2">
      <c r="A249" s="73" t="s">
        <v>620</v>
      </c>
      <c r="B249" s="69" t="s">
        <v>6887</v>
      </c>
    </row>
    <row r="250" spans="1:2" x14ac:dyDescent="0.2">
      <c r="A250" s="73" t="s">
        <v>623</v>
      </c>
      <c r="B250" s="69" t="s">
        <v>6886</v>
      </c>
    </row>
    <row r="251" spans="1:2" x14ac:dyDescent="0.2">
      <c r="A251" s="73" t="s">
        <v>1257</v>
      </c>
      <c r="B251" s="69" t="s">
        <v>6885</v>
      </c>
    </row>
    <row r="252" spans="1:2" x14ac:dyDescent="0.2">
      <c r="A252" s="73" t="s">
        <v>1258</v>
      </c>
      <c r="B252" s="69" t="s">
        <v>6884</v>
      </c>
    </row>
    <row r="253" spans="1:2" x14ac:dyDescent="0.2">
      <c r="A253" s="73" t="s">
        <v>624</v>
      </c>
      <c r="B253" s="69" t="s">
        <v>6883</v>
      </c>
    </row>
    <row r="254" spans="1:2" x14ac:dyDescent="0.2">
      <c r="A254" s="73" t="s">
        <v>79</v>
      </c>
      <c r="B254" s="69" t="s">
        <v>6882</v>
      </c>
    </row>
    <row r="255" spans="1:2" x14ac:dyDescent="0.2">
      <c r="A255" s="73" t="s">
        <v>625</v>
      </c>
      <c r="B255" s="69" t="s">
        <v>6881</v>
      </c>
    </row>
    <row r="256" spans="1:2" x14ac:dyDescent="0.2">
      <c r="A256" s="73" t="s">
        <v>1259</v>
      </c>
      <c r="B256" s="69" t="s">
        <v>6880</v>
      </c>
    </row>
    <row r="257" spans="1:2" x14ac:dyDescent="0.2">
      <c r="A257" s="73" t="s">
        <v>626</v>
      </c>
      <c r="B257" s="69" t="s">
        <v>6879</v>
      </c>
    </row>
    <row r="258" spans="1:2" x14ac:dyDescent="0.2">
      <c r="A258" s="73" t="s">
        <v>1260</v>
      </c>
      <c r="B258" s="69" t="s">
        <v>6878</v>
      </c>
    </row>
    <row r="259" spans="1:2" x14ac:dyDescent="0.2">
      <c r="A259" s="73" t="s">
        <v>627</v>
      </c>
      <c r="B259" s="69" t="s">
        <v>6877</v>
      </c>
    </row>
    <row r="260" spans="1:2" x14ac:dyDescent="0.2">
      <c r="A260" s="73" t="s">
        <v>628</v>
      </c>
      <c r="B260" s="69" t="s">
        <v>6876</v>
      </c>
    </row>
    <row r="261" spans="1:2" x14ac:dyDescent="0.2">
      <c r="A261" s="73" t="s">
        <v>629</v>
      </c>
      <c r="B261" s="69" t="s">
        <v>6875</v>
      </c>
    </row>
    <row r="262" spans="1:2" x14ac:dyDescent="0.2">
      <c r="A262" s="73" t="s">
        <v>1261</v>
      </c>
      <c r="B262" s="69" t="s">
        <v>6874</v>
      </c>
    </row>
    <row r="263" spans="1:2" x14ac:dyDescent="0.2">
      <c r="A263" s="73" t="s">
        <v>80</v>
      </c>
      <c r="B263" s="69" t="s">
        <v>6873</v>
      </c>
    </row>
    <row r="264" spans="1:2" x14ac:dyDescent="0.2">
      <c r="A264" s="73" t="s">
        <v>1262</v>
      </c>
      <c r="B264" s="69" t="s">
        <v>6872</v>
      </c>
    </row>
    <row r="265" spans="1:2" x14ac:dyDescent="0.2">
      <c r="A265" s="73" t="s">
        <v>81</v>
      </c>
      <c r="B265" s="69" t="s">
        <v>6871</v>
      </c>
    </row>
    <row r="266" spans="1:2" x14ac:dyDescent="0.2">
      <c r="A266" s="73" t="s">
        <v>82</v>
      </c>
      <c r="B266" s="69" t="s">
        <v>6870</v>
      </c>
    </row>
    <row r="267" spans="1:2" x14ac:dyDescent="0.2">
      <c r="A267" s="73" t="s">
        <v>1264</v>
      </c>
      <c r="B267" s="69" t="s">
        <v>6869</v>
      </c>
    </row>
    <row r="268" spans="1:2" x14ac:dyDescent="0.2">
      <c r="A268" s="73" t="s">
        <v>630</v>
      </c>
      <c r="B268" s="69" t="s">
        <v>6868</v>
      </c>
    </row>
    <row r="269" spans="1:2" x14ac:dyDescent="0.2">
      <c r="A269" s="73" t="s">
        <v>1265</v>
      </c>
      <c r="B269" s="69" t="s">
        <v>6867</v>
      </c>
    </row>
    <row r="270" spans="1:2" x14ac:dyDescent="0.2">
      <c r="A270" s="73" t="s">
        <v>83</v>
      </c>
      <c r="B270" s="69" t="s">
        <v>6866</v>
      </c>
    </row>
    <row r="271" spans="1:2" x14ac:dyDescent="0.2">
      <c r="A271" s="73" t="s">
        <v>1266</v>
      </c>
      <c r="B271" s="69" t="s">
        <v>6865</v>
      </c>
    </row>
    <row r="272" spans="1:2" x14ac:dyDescent="0.2">
      <c r="A272" s="73" t="s">
        <v>1267</v>
      </c>
      <c r="B272" s="69" t="s">
        <v>6864</v>
      </c>
    </row>
    <row r="273" spans="1:2" x14ac:dyDescent="0.2">
      <c r="A273" s="73" t="s">
        <v>1268</v>
      </c>
      <c r="B273" s="69" t="s">
        <v>6863</v>
      </c>
    </row>
    <row r="274" spans="1:2" x14ac:dyDescent="0.2">
      <c r="A274" s="73" t="s">
        <v>1269</v>
      </c>
      <c r="B274" s="69" t="s">
        <v>6862</v>
      </c>
    </row>
    <row r="275" spans="1:2" x14ac:dyDescent="0.2">
      <c r="A275" s="73" t="s">
        <v>631</v>
      </c>
      <c r="B275" s="69" t="s">
        <v>6861</v>
      </c>
    </row>
    <row r="276" spans="1:2" x14ac:dyDescent="0.2">
      <c r="A276" s="73" t="s">
        <v>632</v>
      </c>
      <c r="B276" s="69" t="s">
        <v>6860</v>
      </c>
    </row>
    <row r="277" spans="1:2" x14ac:dyDescent="0.2">
      <c r="A277" s="73" t="s">
        <v>633</v>
      </c>
      <c r="B277" s="69" t="s">
        <v>6859</v>
      </c>
    </row>
    <row r="278" spans="1:2" x14ac:dyDescent="0.2">
      <c r="A278" s="73" t="s">
        <v>634</v>
      </c>
      <c r="B278" s="69" t="s">
        <v>6858</v>
      </c>
    </row>
    <row r="279" spans="1:2" x14ac:dyDescent="0.2">
      <c r="A279" s="73" t="s">
        <v>84</v>
      </c>
      <c r="B279" s="69" t="s">
        <v>6857</v>
      </c>
    </row>
    <row r="280" spans="1:2" x14ac:dyDescent="0.2">
      <c r="A280" s="73" t="s">
        <v>1271</v>
      </c>
      <c r="B280" s="69" t="s">
        <v>6856</v>
      </c>
    </row>
    <row r="281" spans="1:2" x14ac:dyDescent="0.2">
      <c r="A281" s="73" t="s">
        <v>635</v>
      </c>
      <c r="B281" s="69" t="s">
        <v>6855</v>
      </c>
    </row>
    <row r="282" spans="1:2" x14ac:dyDescent="0.2">
      <c r="A282" s="73" t="s">
        <v>636</v>
      </c>
      <c r="B282" s="69" t="s">
        <v>6854</v>
      </c>
    </row>
    <row r="283" spans="1:2" x14ac:dyDescent="0.2">
      <c r="A283" s="73" t="s">
        <v>637</v>
      </c>
      <c r="B283" s="69" t="s">
        <v>6853</v>
      </c>
    </row>
    <row r="284" spans="1:2" x14ac:dyDescent="0.2">
      <c r="A284" s="73" t="s">
        <v>85</v>
      </c>
      <c r="B284" s="69" t="s">
        <v>6852</v>
      </c>
    </row>
    <row r="285" spans="1:2" x14ac:dyDescent="0.2">
      <c r="A285" s="73" t="s">
        <v>86</v>
      </c>
      <c r="B285" s="69" t="s">
        <v>6851</v>
      </c>
    </row>
    <row r="286" spans="1:2" x14ac:dyDescent="0.2">
      <c r="A286" s="73" t="s">
        <v>638</v>
      </c>
      <c r="B286" s="69" t="s">
        <v>6850</v>
      </c>
    </row>
    <row r="287" spans="1:2" x14ac:dyDescent="0.2">
      <c r="A287" s="73" t="s">
        <v>87</v>
      </c>
      <c r="B287" s="69" t="s">
        <v>6849</v>
      </c>
    </row>
    <row r="288" spans="1:2" x14ac:dyDescent="0.2">
      <c r="A288" s="73" t="s">
        <v>639</v>
      </c>
      <c r="B288" s="69" t="s">
        <v>6848</v>
      </c>
    </row>
    <row r="289" spans="1:2" x14ac:dyDescent="0.2">
      <c r="A289" s="73" t="s">
        <v>88</v>
      </c>
      <c r="B289" s="69" t="s">
        <v>6847</v>
      </c>
    </row>
    <row r="290" spans="1:2" x14ac:dyDescent="0.2">
      <c r="A290" s="73" t="s">
        <v>1272</v>
      </c>
      <c r="B290" s="69" t="s">
        <v>6846</v>
      </c>
    </row>
    <row r="291" spans="1:2" x14ac:dyDescent="0.2">
      <c r="A291" s="73" t="s">
        <v>1273</v>
      </c>
      <c r="B291" s="69" t="s">
        <v>6845</v>
      </c>
    </row>
    <row r="292" spans="1:2" x14ac:dyDescent="0.2">
      <c r="A292" s="73" t="s">
        <v>1274</v>
      </c>
      <c r="B292" s="69" t="s">
        <v>5901</v>
      </c>
    </row>
    <row r="293" spans="1:2" x14ac:dyDescent="0.2">
      <c r="A293" s="73" t="s">
        <v>1276</v>
      </c>
      <c r="B293" s="69" t="s">
        <v>6844</v>
      </c>
    </row>
    <row r="294" spans="1:2" x14ac:dyDescent="0.2">
      <c r="A294" s="73" t="s">
        <v>640</v>
      </c>
      <c r="B294" s="69" t="s">
        <v>6843</v>
      </c>
    </row>
    <row r="295" spans="1:2" x14ac:dyDescent="0.2">
      <c r="A295" s="73" t="s">
        <v>641</v>
      </c>
      <c r="B295" s="69" t="s">
        <v>6842</v>
      </c>
    </row>
    <row r="296" spans="1:2" x14ac:dyDescent="0.2">
      <c r="A296" s="73" t="s">
        <v>89</v>
      </c>
      <c r="B296" s="69" t="s">
        <v>6841</v>
      </c>
    </row>
    <row r="297" spans="1:2" x14ac:dyDescent="0.2">
      <c r="A297" s="73" t="s">
        <v>642</v>
      </c>
      <c r="B297" s="69" t="s">
        <v>6840</v>
      </c>
    </row>
    <row r="298" spans="1:2" x14ac:dyDescent="0.2">
      <c r="A298" s="73" t="s">
        <v>90</v>
      </c>
      <c r="B298" s="69" t="s">
        <v>6839</v>
      </c>
    </row>
    <row r="299" spans="1:2" x14ac:dyDescent="0.2">
      <c r="A299" s="73" t="s">
        <v>1277</v>
      </c>
      <c r="B299" s="69" t="s">
        <v>6838</v>
      </c>
    </row>
    <row r="300" spans="1:2" x14ac:dyDescent="0.2">
      <c r="A300" s="73" t="s">
        <v>91</v>
      </c>
      <c r="B300" s="69" t="s">
        <v>6837</v>
      </c>
    </row>
    <row r="301" spans="1:2" x14ac:dyDescent="0.2">
      <c r="A301" s="73" t="s">
        <v>643</v>
      </c>
      <c r="B301" s="69" t="s">
        <v>6836</v>
      </c>
    </row>
    <row r="302" spans="1:2" x14ac:dyDescent="0.2">
      <c r="A302" s="73" t="s">
        <v>644</v>
      </c>
      <c r="B302" s="69" t="s">
        <v>6835</v>
      </c>
    </row>
    <row r="303" spans="1:2" x14ac:dyDescent="0.2">
      <c r="A303" s="73" t="s">
        <v>645</v>
      </c>
      <c r="B303" s="69" t="s">
        <v>6834</v>
      </c>
    </row>
    <row r="304" spans="1:2" x14ac:dyDescent="0.2">
      <c r="A304" s="73" t="s">
        <v>646</v>
      </c>
      <c r="B304" s="69" t="s">
        <v>6833</v>
      </c>
    </row>
    <row r="305" spans="1:2" x14ac:dyDescent="0.2">
      <c r="A305" s="73" t="s">
        <v>92</v>
      </c>
      <c r="B305" s="69" t="s">
        <v>6832</v>
      </c>
    </row>
    <row r="306" spans="1:2" x14ac:dyDescent="0.2">
      <c r="A306" s="73" t="s">
        <v>93</v>
      </c>
      <c r="B306" s="69" t="s">
        <v>6831</v>
      </c>
    </row>
    <row r="307" spans="1:2" x14ac:dyDescent="0.2">
      <c r="A307" s="73" t="s">
        <v>647</v>
      </c>
      <c r="B307" s="69" t="s">
        <v>6830</v>
      </c>
    </row>
    <row r="308" spans="1:2" x14ac:dyDescent="0.2">
      <c r="A308" s="73" t="s">
        <v>1278</v>
      </c>
      <c r="B308" s="69" t="s">
        <v>6829</v>
      </c>
    </row>
    <row r="309" spans="1:2" x14ac:dyDescent="0.2">
      <c r="A309" s="73" t="s">
        <v>648</v>
      </c>
      <c r="B309" s="69" t="s">
        <v>6828</v>
      </c>
    </row>
    <row r="310" spans="1:2" x14ac:dyDescent="0.2">
      <c r="A310" s="73" t="s">
        <v>94</v>
      </c>
      <c r="B310" s="69" t="s">
        <v>6827</v>
      </c>
    </row>
    <row r="311" spans="1:2" x14ac:dyDescent="0.2">
      <c r="A311" s="73" t="s">
        <v>649</v>
      </c>
      <c r="B311" s="69" t="s">
        <v>6826</v>
      </c>
    </row>
    <row r="312" spans="1:2" x14ac:dyDescent="0.2">
      <c r="A312" s="73" t="s">
        <v>1279</v>
      </c>
      <c r="B312" s="69" t="s">
        <v>6825</v>
      </c>
    </row>
    <row r="313" spans="1:2" x14ac:dyDescent="0.2">
      <c r="A313" s="73" t="s">
        <v>650</v>
      </c>
      <c r="B313" s="69" t="s">
        <v>6824</v>
      </c>
    </row>
    <row r="314" spans="1:2" x14ac:dyDescent="0.2">
      <c r="A314" s="73" t="s">
        <v>651</v>
      </c>
      <c r="B314" s="69" t="s">
        <v>6823</v>
      </c>
    </row>
    <row r="315" spans="1:2" x14ac:dyDescent="0.2">
      <c r="A315" s="73" t="s">
        <v>95</v>
      </c>
      <c r="B315" s="69" t="s">
        <v>6822</v>
      </c>
    </row>
    <row r="316" spans="1:2" x14ac:dyDescent="0.2">
      <c r="A316" s="73" t="s">
        <v>96</v>
      </c>
      <c r="B316" s="69" t="s">
        <v>6821</v>
      </c>
    </row>
    <row r="317" spans="1:2" x14ac:dyDescent="0.2">
      <c r="A317" s="73" t="s">
        <v>652</v>
      </c>
      <c r="B317" s="69" t="s">
        <v>6820</v>
      </c>
    </row>
    <row r="318" spans="1:2" x14ac:dyDescent="0.2">
      <c r="A318" s="73" t="s">
        <v>653</v>
      </c>
      <c r="B318" s="69" t="s">
        <v>6819</v>
      </c>
    </row>
    <row r="319" spans="1:2" x14ac:dyDescent="0.2">
      <c r="A319" s="73" t="s">
        <v>654</v>
      </c>
      <c r="B319" s="69" t="s">
        <v>6818</v>
      </c>
    </row>
    <row r="320" spans="1:2" x14ac:dyDescent="0.2">
      <c r="A320" s="73" t="s">
        <v>655</v>
      </c>
      <c r="B320" s="69" t="s">
        <v>6817</v>
      </c>
    </row>
    <row r="321" spans="1:2" x14ac:dyDescent="0.2">
      <c r="A321" s="73" t="s">
        <v>1281</v>
      </c>
      <c r="B321" s="69" t="s">
        <v>6816</v>
      </c>
    </row>
    <row r="322" spans="1:2" x14ac:dyDescent="0.2">
      <c r="A322" s="73" t="s">
        <v>97</v>
      </c>
      <c r="B322" s="69" t="s">
        <v>6815</v>
      </c>
    </row>
    <row r="323" spans="1:2" x14ac:dyDescent="0.2">
      <c r="A323" s="73" t="s">
        <v>1282</v>
      </c>
      <c r="B323" s="69" t="s">
        <v>6814</v>
      </c>
    </row>
    <row r="324" spans="1:2" x14ac:dyDescent="0.2">
      <c r="A324" s="73" t="s">
        <v>98</v>
      </c>
      <c r="B324" s="69" t="s">
        <v>6813</v>
      </c>
    </row>
    <row r="325" spans="1:2" x14ac:dyDescent="0.2">
      <c r="A325" s="73" t="s">
        <v>99</v>
      </c>
      <c r="B325" s="69" t="s">
        <v>6812</v>
      </c>
    </row>
    <row r="326" spans="1:2" x14ac:dyDescent="0.2">
      <c r="A326" s="73" t="s">
        <v>1284</v>
      </c>
      <c r="B326" s="69" t="s">
        <v>6811</v>
      </c>
    </row>
    <row r="327" spans="1:2" x14ac:dyDescent="0.2">
      <c r="A327" s="73" t="s">
        <v>656</v>
      </c>
      <c r="B327" s="69" t="s">
        <v>6810</v>
      </c>
    </row>
    <row r="328" spans="1:2" x14ac:dyDescent="0.2">
      <c r="A328" s="73" t="s">
        <v>100</v>
      </c>
      <c r="B328" s="69" t="s">
        <v>6809</v>
      </c>
    </row>
    <row r="329" spans="1:2" x14ac:dyDescent="0.2">
      <c r="A329" s="73" t="s">
        <v>101</v>
      </c>
      <c r="B329" s="69" t="s">
        <v>6808</v>
      </c>
    </row>
    <row r="330" spans="1:2" x14ac:dyDescent="0.2">
      <c r="A330" s="73" t="s">
        <v>657</v>
      </c>
      <c r="B330" s="69" t="s">
        <v>6807</v>
      </c>
    </row>
    <row r="331" spans="1:2" x14ac:dyDescent="0.2">
      <c r="A331" s="73" t="s">
        <v>1285</v>
      </c>
      <c r="B331" s="69" t="s">
        <v>6806</v>
      </c>
    </row>
    <row r="332" spans="1:2" x14ac:dyDescent="0.2">
      <c r="A332" s="73" t="s">
        <v>658</v>
      </c>
      <c r="B332" s="69" t="s">
        <v>6805</v>
      </c>
    </row>
    <row r="333" spans="1:2" x14ac:dyDescent="0.2">
      <c r="A333" s="73" t="s">
        <v>1286</v>
      </c>
      <c r="B333" s="69" t="s">
        <v>6804</v>
      </c>
    </row>
    <row r="334" spans="1:2" x14ac:dyDescent="0.2">
      <c r="A334" s="73" t="s">
        <v>1287</v>
      </c>
      <c r="B334" s="69" t="s">
        <v>6803</v>
      </c>
    </row>
    <row r="335" spans="1:2" x14ac:dyDescent="0.2">
      <c r="A335" s="73" t="s">
        <v>102</v>
      </c>
      <c r="B335" s="69" t="s">
        <v>6802</v>
      </c>
    </row>
    <row r="336" spans="1:2" x14ac:dyDescent="0.2">
      <c r="A336" s="73" t="s">
        <v>1288</v>
      </c>
      <c r="B336" s="69" t="s">
        <v>6801</v>
      </c>
    </row>
    <row r="337" spans="1:2" x14ac:dyDescent="0.2">
      <c r="A337" s="73" t="s">
        <v>103</v>
      </c>
      <c r="B337" s="69" t="s">
        <v>6800</v>
      </c>
    </row>
    <row r="338" spans="1:2" x14ac:dyDescent="0.2">
      <c r="A338" s="73" t="s">
        <v>1289</v>
      </c>
      <c r="B338" s="69" t="s">
        <v>6799</v>
      </c>
    </row>
    <row r="339" spans="1:2" x14ac:dyDescent="0.2">
      <c r="A339" s="73" t="s">
        <v>104</v>
      </c>
      <c r="B339" s="69" t="s">
        <v>6798</v>
      </c>
    </row>
    <row r="340" spans="1:2" x14ac:dyDescent="0.2">
      <c r="A340" s="73" t="s">
        <v>105</v>
      </c>
      <c r="B340" s="69" t="s">
        <v>6797</v>
      </c>
    </row>
    <row r="341" spans="1:2" x14ac:dyDescent="0.2">
      <c r="A341" s="73" t="s">
        <v>106</v>
      </c>
      <c r="B341" s="69" t="s">
        <v>6796</v>
      </c>
    </row>
    <row r="342" spans="1:2" x14ac:dyDescent="0.2">
      <c r="A342" s="73" t="s">
        <v>659</v>
      </c>
      <c r="B342" s="69" t="s">
        <v>6795</v>
      </c>
    </row>
    <row r="343" spans="1:2" x14ac:dyDescent="0.2">
      <c r="A343" s="73" t="s">
        <v>660</v>
      </c>
      <c r="B343" s="69" t="s">
        <v>6794</v>
      </c>
    </row>
    <row r="344" spans="1:2" x14ac:dyDescent="0.2">
      <c r="A344" s="73" t="s">
        <v>1292</v>
      </c>
      <c r="B344" s="69" t="s">
        <v>6793</v>
      </c>
    </row>
    <row r="345" spans="1:2" x14ac:dyDescent="0.2">
      <c r="A345" s="73" t="s">
        <v>1293</v>
      </c>
      <c r="B345" s="69" t="s">
        <v>6792</v>
      </c>
    </row>
    <row r="346" spans="1:2" x14ac:dyDescent="0.2">
      <c r="A346" s="73" t="s">
        <v>107</v>
      </c>
      <c r="B346" s="69" t="s">
        <v>6791</v>
      </c>
    </row>
    <row r="347" spans="1:2" x14ac:dyDescent="0.2">
      <c r="A347" s="73" t="s">
        <v>1294</v>
      </c>
      <c r="B347" s="69" t="s">
        <v>6790</v>
      </c>
    </row>
    <row r="348" spans="1:2" x14ac:dyDescent="0.2">
      <c r="A348" s="73" t="s">
        <v>661</v>
      </c>
      <c r="B348" s="69" t="s">
        <v>6789</v>
      </c>
    </row>
    <row r="349" spans="1:2" x14ac:dyDescent="0.2">
      <c r="A349" s="73" t="s">
        <v>662</v>
      </c>
      <c r="B349" s="69" t="s">
        <v>6788</v>
      </c>
    </row>
    <row r="350" spans="1:2" x14ac:dyDescent="0.2">
      <c r="A350" s="73" t="s">
        <v>663</v>
      </c>
      <c r="B350" s="69" t="s">
        <v>6787</v>
      </c>
    </row>
    <row r="351" spans="1:2" x14ac:dyDescent="0.2">
      <c r="A351" s="73" t="s">
        <v>108</v>
      </c>
      <c r="B351" s="69" t="s">
        <v>6786</v>
      </c>
    </row>
    <row r="352" spans="1:2" x14ac:dyDescent="0.2">
      <c r="A352" s="73" t="s">
        <v>664</v>
      </c>
      <c r="B352" s="69" t="s">
        <v>6785</v>
      </c>
    </row>
    <row r="353" spans="1:2" x14ac:dyDescent="0.2">
      <c r="A353" s="73" t="s">
        <v>109</v>
      </c>
      <c r="B353" s="69" t="s">
        <v>6784</v>
      </c>
    </row>
    <row r="354" spans="1:2" x14ac:dyDescent="0.2">
      <c r="A354" s="73" t="s">
        <v>110</v>
      </c>
      <c r="B354" s="69" t="s">
        <v>6783</v>
      </c>
    </row>
    <row r="355" spans="1:2" x14ac:dyDescent="0.2">
      <c r="A355" s="73" t="s">
        <v>111</v>
      </c>
      <c r="B355" s="69" t="s">
        <v>6782</v>
      </c>
    </row>
    <row r="356" spans="1:2" x14ac:dyDescent="0.2">
      <c r="A356" s="73" t="s">
        <v>1295</v>
      </c>
      <c r="B356" s="69" t="s">
        <v>6781</v>
      </c>
    </row>
    <row r="357" spans="1:2" x14ac:dyDescent="0.2">
      <c r="A357" s="73" t="s">
        <v>665</v>
      </c>
      <c r="B357" s="69" t="s">
        <v>6780</v>
      </c>
    </row>
    <row r="358" spans="1:2" x14ac:dyDescent="0.2">
      <c r="A358" s="73" t="s">
        <v>666</v>
      </c>
      <c r="B358" s="69" t="s">
        <v>6779</v>
      </c>
    </row>
    <row r="359" spans="1:2" x14ac:dyDescent="0.2">
      <c r="A359" s="73" t="s">
        <v>667</v>
      </c>
      <c r="B359" s="69" t="s">
        <v>6778</v>
      </c>
    </row>
    <row r="360" spans="1:2" x14ac:dyDescent="0.2">
      <c r="A360" s="73" t="s">
        <v>668</v>
      </c>
      <c r="B360" s="69" t="s">
        <v>6777</v>
      </c>
    </row>
    <row r="361" spans="1:2" x14ac:dyDescent="0.2">
      <c r="A361" s="73" t="s">
        <v>669</v>
      </c>
      <c r="B361" s="69" t="s">
        <v>6776</v>
      </c>
    </row>
    <row r="362" spans="1:2" x14ac:dyDescent="0.2">
      <c r="A362" s="73" t="s">
        <v>112</v>
      </c>
      <c r="B362" s="69" t="s">
        <v>6775</v>
      </c>
    </row>
    <row r="363" spans="1:2" x14ac:dyDescent="0.2">
      <c r="A363" s="73" t="s">
        <v>113</v>
      </c>
      <c r="B363" s="69" t="s">
        <v>6774</v>
      </c>
    </row>
    <row r="364" spans="1:2" x14ac:dyDescent="0.2">
      <c r="A364" s="73" t="s">
        <v>1296</v>
      </c>
      <c r="B364" s="69" t="s">
        <v>6773</v>
      </c>
    </row>
    <row r="365" spans="1:2" x14ac:dyDescent="0.2">
      <c r="A365" s="73" t="s">
        <v>1298</v>
      </c>
      <c r="B365" s="69" t="s">
        <v>6772</v>
      </c>
    </row>
    <row r="366" spans="1:2" x14ac:dyDescent="0.2">
      <c r="A366" s="73" t="s">
        <v>1299</v>
      </c>
      <c r="B366" s="69" t="s">
        <v>6771</v>
      </c>
    </row>
    <row r="367" spans="1:2" x14ac:dyDescent="0.2">
      <c r="A367" s="73" t="s">
        <v>1300</v>
      </c>
      <c r="B367" s="69" t="s">
        <v>6770</v>
      </c>
    </row>
    <row r="368" spans="1:2" x14ac:dyDescent="0.2">
      <c r="A368" s="73" t="s">
        <v>670</v>
      </c>
      <c r="B368" s="69" t="s">
        <v>6769</v>
      </c>
    </row>
    <row r="369" spans="1:2" x14ac:dyDescent="0.2">
      <c r="A369" s="73" t="s">
        <v>114</v>
      </c>
      <c r="B369" s="69" t="s">
        <v>6768</v>
      </c>
    </row>
    <row r="370" spans="1:2" x14ac:dyDescent="0.2">
      <c r="A370" s="73" t="s">
        <v>671</v>
      </c>
      <c r="B370" s="69" t="s">
        <v>6767</v>
      </c>
    </row>
    <row r="371" spans="1:2" x14ac:dyDescent="0.2">
      <c r="A371" s="73" t="s">
        <v>115</v>
      </c>
      <c r="B371" s="69" t="s">
        <v>6766</v>
      </c>
    </row>
    <row r="372" spans="1:2" x14ac:dyDescent="0.2">
      <c r="A372" s="73" t="s">
        <v>672</v>
      </c>
      <c r="B372" s="69" t="s">
        <v>6765</v>
      </c>
    </row>
    <row r="373" spans="1:2" x14ac:dyDescent="0.2">
      <c r="A373" s="73" t="s">
        <v>673</v>
      </c>
      <c r="B373" s="69" t="s">
        <v>6764</v>
      </c>
    </row>
    <row r="374" spans="1:2" x14ac:dyDescent="0.2">
      <c r="A374" s="73" t="s">
        <v>116</v>
      </c>
      <c r="B374" s="69" t="s">
        <v>6763</v>
      </c>
    </row>
    <row r="375" spans="1:2" x14ac:dyDescent="0.2">
      <c r="A375" s="73" t="s">
        <v>674</v>
      </c>
      <c r="B375" s="69" t="s">
        <v>6762</v>
      </c>
    </row>
    <row r="376" spans="1:2" x14ac:dyDescent="0.2">
      <c r="A376" s="73" t="s">
        <v>117</v>
      </c>
      <c r="B376" s="69" t="s">
        <v>6761</v>
      </c>
    </row>
    <row r="377" spans="1:2" x14ac:dyDescent="0.2">
      <c r="A377" s="73" t="s">
        <v>675</v>
      </c>
      <c r="B377" s="69" t="s">
        <v>6760</v>
      </c>
    </row>
    <row r="378" spans="1:2" x14ac:dyDescent="0.2">
      <c r="A378" s="73" t="s">
        <v>1301</v>
      </c>
      <c r="B378" s="69" t="s">
        <v>6759</v>
      </c>
    </row>
    <row r="379" spans="1:2" x14ac:dyDescent="0.2">
      <c r="A379" s="73" t="s">
        <v>676</v>
      </c>
      <c r="B379" s="69" t="s">
        <v>6758</v>
      </c>
    </row>
    <row r="380" spans="1:2" x14ac:dyDescent="0.2">
      <c r="A380" s="73" t="s">
        <v>118</v>
      </c>
      <c r="B380" s="69" t="s">
        <v>6757</v>
      </c>
    </row>
    <row r="381" spans="1:2" x14ac:dyDescent="0.2">
      <c r="A381" s="73" t="s">
        <v>677</v>
      </c>
      <c r="B381" s="69" t="s">
        <v>6756</v>
      </c>
    </row>
    <row r="382" spans="1:2" x14ac:dyDescent="0.2">
      <c r="A382" s="73" t="s">
        <v>119</v>
      </c>
      <c r="B382" s="69" t="s">
        <v>6755</v>
      </c>
    </row>
    <row r="383" spans="1:2" x14ac:dyDescent="0.2">
      <c r="A383" s="73" t="s">
        <v>678</v>
      </c>
      <c r="B383" s="69" t="s">
        <v>6754</v>
      </c>
    </row>
    <row r="384" spans="1:2" x14ac:dyDescent="0.2">
      <c r="A384" s="73" t="s">
        <v>1302</v>
      </c>
      <c r="B384" s="69" t="s">
        <v>6753</v>
      </c>
    </row>
    <row r="385" spans="1:2" x14ac:dyDescent="0.2">
      <c r="A385" s="73" t="s">
        <v>120</v>
      </c>
      <c r="B385" s="69" t="s">
        <v>6752</v>
      </c>
    </row>
    <row r="386" spans="1:2" x14ac:dyDescent="0.2">
      <c r="A386" s="73" t="s">
        <v>679</v>
      </c>
      <c r="B386" s="69" t="s">
        <v>6751</v>
      </c>
    </row>
    <row r="387" spans="1:2" x14ac:dyDescent="0.2">
      <c r="A387" s="73" t="s">
        <v>121</v>
      </c>
      <c r="B387" s="69" t="s">
        <v>6750</v>
      </c>
    </row>
    <row r="388" spans="1:2" x14ac:dyDescent="0.2">
      <c r="A388" s="73" t="s">
        <v>122</v>
      </c>
      <c r="B388" s="69" t="s">
        <v>6749</v>
      </c>
    </row>
    <row r="389" spans="1:2" x14ac:dyDescent="0.2">
      <c r="A389" s="73" t="s">
        <v>680</v>
      </c>
      <c r="B389" s="69" t="s">
        <v>6748</v>
      </c>
    </row>
    <row r="390" spans="1:2" x14ac:dyDescent="0.2">
      <c r="A390" s="73" t="s">
        <v>1303</v>
      </c>
      <c r="B390" s="69" t="s">
        <v>6747</v>
      </c>
    </row>
    <row r="391" spans="1:2" x14ac:dyDescent="0.2">
      <c r="A391" s="73" t="s">
        <v>681</v>
      </c>
      <c r="B391" s="69" t="s">
        <v>6746</v>
      </c>
    </row>
    <row r="392" spans="1:2" x14ac:dyDescent="0.2">
      <c r="A392" s="73" t="s">
        <v>682</v>
      </c>
      <c r="B392" s="69" t="s">
        <v>6745</v>
      </c>
    </row>
    <row r="393" spans="1:2" x14ac:dyDescent="0.2">
      <c r="A393" s="73" t="s">
        <v>683</v>
      </c>
      <c r="B393" s="69" t="s">
        <v>6744</v>
      </c>
    </row>
    <row r="394" spans="1:2" x14ac:dyDescent="0.2">
      <c r="A394" s="73" t="s">
        <v>684</v>
      </c>
      <c r="B394" s="69" t="s">
        <v>6743</v>
      </c>
    </row>
    <row r="395" spans="1:2" x14ac:dyDescent="0.2">
      <c r="A395" s="73" t="s">
        <v>685</v>
      </c>
      <c r="B395" s="69" t="s">
        <v>6742</v>
      </c>
    </row>
    <row r="396" spans="1:2" x14ac:dyDescent="0.2">
      <c r="A396" s="73" t="s">
        <v>686</v>
      </c>
      <c r="B396" s="69" t="s">
        <v>6741</v>
      </c>
    </row>
    <row r="397" spans="1:2" x14ac:dyDescent="0.2">
      <c r="A397" s="73" t="s">
        <v>123</v>
      </c>
      <c r="B397" s="69" t="s">
        <v>6740</v>
      </c>
    </row>
    <row r="398" spans="1:2" x14ac:dyDescent="0.2">
      <c r="A398" s="73" t="s">
        <v>687</v>
      </c>
      <c r="B398" s="69" t="s">
        <v>6739</v>
      </c>
    </row>
    <row r="399" spans="1:2" x14ac:dyDescent="0.2">
      <c r="A399" s="73" t="s">
        <v>688</v>
      </c>
      <c r="B399" s="69" t="s">
        <v>6738</v>
      </c>
    </row>
    <row r="400" spans="1:2" x14ac:dyDescent="0.2">
      <c r="A400" s="73" t="s">
        <v>1304</v>
      </c>
      <c r="B400" s="69" t="s">
        <v>6737</v>
      </c>
    </row>
    <row r="401" spans="1:2" x14ac:dyDescent="0.2">
      <c r="A401" s="73" t="s">
        <v>689</v>
      </c>
      <c r="B401" s="69" t="s">
        <v>6736</v>
      </c>
    </row>
    <row r="402" spans="1:2" x14ac:dyDescent="0.2">
      <c r="A402" s="73" t="s">
        <v>3861</v>
      </c>
      <c r="B402" s="69" t="s">
        <v>6735</v>
      </c>
    </row>
    <row r="403" spans="1:2" x14ac:dyDescent="0.2">
      <c r="A403" s="73" t="s">
        <v>690</v>
      </c>
      <c r="B403" s="69" t="s">
        <v>6734</v>
      </c>
    </row>
    <row r="404" spans="1:2" x14ac:dyDescent="0.2">
      <c r="A404" s="73" t="s">
        <v>691</v>
      </c>
      <c r="B404" s="69" t="s">
        <v>6733</v>
      </c>
    </row>
    <row r="405" spans="1:2" x14ac:dyDescent="0.2">
      <c r="A405" s="73" t="s">
        <v>692</v>
      </c>
      <c r="B405" s="69" t="s">
        <v>6732</v>
      </c>
    </row>
    <row r="406" spans="1:2" x14ac:dyDescent="0.2">
      <c r="A406" s="73" t="s">
        <v>693</v>
      </c>
      <c r="B406" s="69" t="s">
        <v>6731</v>
      </c>
    </row>
    <row r="407" spans="1:2" x14ac:dyDescent="0.2">
      <c r="A407" s="73" t="s">
        <v>124</v>
      </c>
      <c r="B407" s="69" t="s">
        <v>6730</v>
      </c>
    </row>
    <row r="408" spans="1:2" x14ac:dyDescent="0.2">
      <c r="A408" s="73" t="s">
        <v>694</v>
      </c>
      <c r="B408" s="69" t="s">
        <v>6729</v>
      </c>
    </row>
    <row r="409" spans="1:2" x14ac:dyDescent="0.2">
      <c r="A409" s="73" t="s">
        <v>125</v>
      </c>
      <c r="B409" s="69" t="s">
        <v>6728</v>
      </c>
    </row>
    <row r="410" spans="1:2" x14ac:dyDescent="0.2">
      <c r="A410" s="73" t="s">
        <v>695</v>
      </c>
      <c r="B410" s="69" t="s">
        <v>6727</v>
      </c>
    </row>
    <row r="411" spans="1:2" x14ac:dyDescent="0.2">
      <c r="A411" s="73" t="s">
        <v>1305</v>
      </c>
      <c r="B411" s="69" t="s">
        <v>6726</v>
      </c>
    </row>
    <row r="412" spans="1:2" x14ac:dyDescent="0.2">
      <c r="A412" s="73" t="s">
        <v>696</v>
      </c>
      <c r="B412" s="69" t="s">
        <v>6725</v>
      </c>
    </row>
    <row r="413" spans="1:2" x14ac:dyDescent="0.2">
      <c r="A413" s="73" t="s">
        <v>699</v>
      </c>
      <c r="B413" s="69" t="s">
        <v>6724</v>
      </c>
    </row>
    <row r="414" spans="1:2" x14ac:dyDescent="0.2">
      <c r="A414" s="73" t="s">
        <v>126</v>
      </c>
      <c r="B414" s="69" t="s">
        <v>6723</v>
      </c>
    </row>
    <row r="415" spans="1:2" x14ac:dyDescent="0.2">
      <c r="A415" s="73" t="s">
        <v>127</v>
      </c>
      <c r="B415" s="69" t="s">
        <v>6722</v>
      </c>
    </row>
    <row r="416" spans="1:2" x14ac:dyDescent="0.2">
      <c r="A416" s="73" t="s">
        <v>128</v>
      </c>
      <c r="B416" s="69" t="s">
        <v>6721</v>
      </c>
    </row>
    <row r="417" spans="1:2" x14ac:dyDescent="0.2">
      <c r="A417" s="73" t="s">
        <v>700</v>
      </c>
      <c r="B417" s="69" t="s">
        <v>6720</v>
      </c>
    </row>
    <row r="418" spans="1:2" x14ac:dyDescent="0.2">
      <c r="A418" s="73" t="s">
        <v>701</v>
      </c>
      <c r="B418" s="69" t="s">
        <v>6719</v>
      </c>
    </row>
    <row r="419" spans="1:2" x14ac:dyDescent="0.2">
      <c r="A419" s="73" t="s">
        <v>702</v>
      </c>
      <c r="B419" s="69" t="s">
        <v>6718</v>
      </c>
    </row>
    <row r="420" spans="1:2" x14ac:dyDescent="0.2">
      <c r="A420" s="73" t="s">
        <v>703</v>
      </c>
      <c r="B420" s="69" t="s">
        <v>6717</v>
      </c>
    </row>
    <row r="421" spans="1:2" x14ac:dyDescent="0.2">
      <c r="A421" s="73" t="s">
        <v>704</v>
      </c>
      <c r="B421" s="69" t="s">
        <v>6716</v>
      </c>
    </row>
    <row r="422" spans="1:2" x14ac:dyDescent="0.2">
      <c r="A422" s="73" t="s">
        <v>1306</v>
      </c>
      <c r="B422" s="69" t="s">
        <v>6715</v>
      </c>
    </row>
    <row r="423" spans="1:2" x14ac:dyDescent="0.2">
      <c r="A423" s="73" t="s">
        <v>705</v>
      </c>
      <c r="B423" s="69" t="s">
        <v>6714</v>
      </c>
    </row>
    <row r="424" spans="1:2" x14ac:dyDescent="0.2">
      <c r="A424" s="73" t="s">
        <v>706</v>
      </c>
      <c r="B424" s="69" t="s">
        <v>6713</v>
      </c>
    </row>
    <row r="425" spans="1:2" x14ac:dyDescent="0.2">
      <c r="A425" s="73" t="s">
        <v>129</v>
      </c>
      <c r="B425" s="69" t="s">
        <v>6712</v>
      </c>
    </row>
    <row r="426" spans="1:2" x14ac:dyDescent="0.2">
      <c r="A426" s="73" t="s">
        <v>707</v>
      </c>
      <c r="B426" s="69" t="s">
        <v>6711</v>
      </c>
    </row>
    <row r="427" spans="1:2" x14ac:dyDescent="0.2">
      <c r="A427" s="73" t="s">
        <v>130</v>
      </c>
      <c r="B427" s="69" t="s">
        <v>6710</v>
      </c>
    </row>
    <row r="428" spans="1:2" x14ac:dyDescent="0.2">
      <c r="A428" s="73" t="s">
        <v>708</v>
      </c>
      <c r="B428" s="69" t="s">
        <v>6709</v>
      </c>
    </row>
    <row r="429" spans="1:2" x14ac:dyDescent="0.2">
      <c r="A429" s="73" t="s">
        <v>131</v>
      </c>
      <c r="B429" s="69" t="s">
        <v>6708</v>
      </c>
    </row>
    <row r="430" spans="1:2" x14ac:dyDescent="0.2">
      <c r="A430" s="73" t="s">
        <v>132</v>
      </c>
      <c r="B430" s="69" t="s">
        <v>6707</v>
      </c>
    </row>
    <row r="431" spans="1:2" x14ac:dyDescent="0.2">
      <c r="A431" s="73" t="s">
        <v>133</v>
      </c>
      <c r="B431" s="69" t="s">
        <v>6706</v>
      </c>
    </row>
    <row r="432" spans="1:2" x14ac:dyDescent="0.2">
      <c r="A432" s="73" t="s">
        <v>134</v>
      </c>
      <c r="B432" s="69" t="s">
        <v>6705</v>
      </c>
    </row>
    <row r="433" spans="1:2" x14ac:dyDescent="0.2">
      <c r="A433" s="73" t="s">
        <v>1307</v>
      </c>
      <c r="B433" s="69" t="s">
        <v>6704</v>
      </c>
    </row>
    <row r="434" spans="1:2" x14ac:dyDescent="0.2">
      <c r="A434" s="73" t="s">
        <v>135</v>
      </c>
      <c r="B434" s="69" t="s">
        <v>6703</v>
      </c>
    </row>
    <row r="435" spans="1:2" x14ac:dyDescent="0.2">
      <c r="A435" s="73" t="s">
        <v>136</v>
      </c>
      <c r="B435" s="69" t="s">
        <v>6702</v>
      </c>
    </row>
    <row r="436" spans="1:2" x14ac:dyDescent="0.2">
      <c r="A436" s="73" t="s">
        <v>709</v>
      </c>
      <c r="B436" s="69" t="s">
        <v>6701</v>
      </c>
    </row>
    <row r="437" spans="1:2" x14ac:dyDescent="0.2">
      <c r="A437" s="73" t="s">
        <v>1308</v>
      </c>
      <c r="B437" s="69" t="s">
        <v>6700</v>
      </c>
    </row>
    <row r="438" spans="1:2" x14ac:dyDescent="0.2">
      <c r="A438" s="73" t="s">
        <v>710</v>
      </c>
      <c r="B438" s="69" t="s">
        <v>6699</v>
      </c>
    </row>
    <row r="439" spans="1:2" x14ac:dyDescent="0.2">
      <c r="A439" s="73" t="s">
        <v>137</v>
      </c>
      <c r="B439" s="69" t="s">
        <v>6698</v>
      </c>
    </row>
    <row r="440" spans="1:2" x14ac:dyDescent="0.2">
      <c r="A440" s="73" t="s">
        <v>138</v>
      </c>
      <c r="B440" s="69" t="s">
        <v>6697</v>
      </c>
    </row>
    <row r="441" spans="1:2" x14ac:dyDescent="0.2">
      <c r="A441" s="73" t="s">
        <v>139</v>
      </c>
      <c r="B441" s="69" t="s">
        <v>6696</v>
      </c>
    </row>
    <row r="442" spans="1:2" x14ac:dyDescent="0.2">
      <c r="A442" s="73" t="s">
        <v>711</v>
      </c>
      <c r="B442" s="69" t="s">
        <v>6695</v>
      </c>
    </row>
    <row r="443" spans="1:2" x14ac:dyDescent="0.2">
      <c r="A443" s="73" t="s">
        <v>140</v>
      </c>
      <c r="B443" s="69" t="s">
        <v>6694</v>
      </c>
    </row>
    <row r="444" spans="1:2" x14ac:dyDescent="0.2">
      <c r="A444" s="73" t="s">
        <v>712</v>
      </c>
      <c r="B444" s="69" t="s">
        <v>6693</v>
      </c>
    </row>
    <row r="445" spans="1:2" x14ac:dyDescent="0.2">
      <c r="A445" s="73" t="s">
        <v>141</v>
      </c>
      <c r="B445" s="69" t="s">
        <v>6692</v>
      </c>
    </row>
    <row r="446" spans="1:2" x14ac:dyDescent="0.2">
      <c r="A446" s="73" t="s">
        <v>142</v>
      </c>
      <c r="B446" s="69" t="s">
        <v>6691</v>
      </c>
    </row>
    <row r="447" spans="1:2" x14ac:dyDescent="0.2">
      <c r="A447" s="73" t="s">
        <v>713</v>
      </c>
      <c r="B447" s="69" t="s">
        <v>6690</v>
      </c>
    </row>
    <row r="448" spans="1:2" x14ac:dyDescent="0.2">
      <c r="A448" s="73" t="s">
        <v>714</v>
      </c>
      <c r="B448" s="69" t="s">
        <v>6689</v>
      </c>
    </row>
    <row r="449" spans="1:2" x14ac:dyDescent="0.2">
      <c r="A449" s="73" t="s">
        <v>143</v>
      </c>
      <c r="B449" s="69" t="s">
        <v>6688</v>
      </c>
    </row>
    <row r="450" spans="1:2" x14ac:dyDescent="0.2">
      <c r="A450" s="73" t="s">
        <v>715</v>
      </c>
      <c r="B450" s="69" t="s">
        <v>6687</v>
      </c>
    </row>
    <row r="451" spans="1:2" x14ac:dyDescent="0.2">
      <c r="A451" s="73" t="s">
        <v>144</v>
      </c>
      <c r="B451" s="69" t="s">
        <v>6686</v>
      </c>
    </row>
    <row r="452" spans="1:2" x14ac:dyDescent="0.2">
      <c r="A452" s="73" t="s">
        <v>145</v>
      </c>
      <c r="B452" s="69" t="s">
        <v>6685</v>
      </c>
    </row>
    <row r="453" spans="1:2" x14ac:dyDescent="0.2">
      <c r="A453" s="73" t="s">
        <v>146</v>
      </c>
      <c r="B453" s="69" t="s">
        <v>6684</v>
      </c>
    </row>
    <row r="454" spans="1:2" x14ac:dyDescent="0.2">
      <c r="A454" s="73" t="s">
        <v>716</v>
      </c>
      <c r="B454" s="69" t="s">
        <v>6683</v>
      </c>
    </row>
    <row r="455" spans="1:2" x14ac:dyDescent="0.2">
      <c r="A455" s="73" t="s">
        <v>1309</v>
      </c>
      <c r="B455" s="69" t="s">
        <v>6682</v>
      </c>
    </row>
    <row r="456" spans="1:2" x14ac:dyDescent="0.2">
      <c r="A456" s="73" t="s">
        <v>1793</v>
      </c>
      <c r="B456" s="69" t="s">
        <v>6681</v>
      </c>
    </row>
    <row r="457" spans="1:2" x14ac:dyDescent="0.2">
      <c r="A457" s="73" t="s">
        <v>717</v>
      </c>
      <c r="B457" s="69" t="s">
        <v>6680</v>
      </c>
    </row>
    <row r="458" spans="1:2" x14ac:dyDescent="0.2">
      <c r="A458" s="73" t="s">
        <v>147</v>
      </c>
      <c r="B458" s="69" t="s">
        <v>6679</v>
      </c>
    </row>
    <row r="459" spans="1:2" x14ac:dyDescent="0.2">
      <c r="A459" s="73" t="s">
        <v>148</v>
      </c>
      <c r="B459" s="69" t="s">
        <v>6678</v>
      </c>
    </row>
    <row r="460" spans="1:2" x14ac:dyDescent="0.2">
      <c r="A460" s="73" t="s">
        <v>149</v>
      </c>
      <c r="B460" s="69" t="s">
        <v>6677</v>
      </c>
    </row>
    <row r="461" spans="1:2" x14ac:dyDescent="0.2">
      <c r="A461" s="73" t="s">
        <v>150</v>
      </c>
      <c r="B461" s="69" t="s">
        <v>6676</v>
      </c>
    </row>
    <row r="462" spans="1:2" x14ac:dyDescent="0.2">
      <c r="A462" s="73" t="s">
        <v>151</v>
      </c>
      <c r="B462" s="69" t="s">
        <v>6675</v>
      </c>
    </row>
    <row r="463" spans="1:2" x14ac:dyDescent="0.2">
      <c r="A463" s="73" t="s">
        <v>718</v>
      </c>
      <c r="B463" s="69" t="s">
        <v>6674</v>
      </c>
    </row>
    <row r="464" spans="1:2" x14ac:dyDescent="0.2">
      <c r="A464" s="73" t="s">
        <v>719</v>
      </c>
      <c r="B464" s="69" t="s">
        <v>6673</v>
      </c>
    </row>
    <row r="465" spans="1:2" x14ac:dyDescent="0.2">
      <c r="A465" s="73" t="s">
        <v>152</v>
      </c>
      <c r="B465" s="69" t="s">
        <v>6672</v>
      </c>
    </row>
    <row r="466" spans="1:2" x14ac:dyDescent="0.2">
      <c r="A466" s="73" t="s">
        <v>1310</v>
      </c>
      <c r="B466" s="69" t="s">
        <v>6671</v>
      </c>
    </row>
    <row r="467" spans="1:2" x14ac:dyDescent="0.2">
      <c r="A467" s="73" t="s">
        <v>720</v>
      </c>
      <c r="B467" s="69" t="s">
        <v>6670</v>
      </c>
    </row>
    <row r="468" spans="1:2" x14ac:dyDescent="0.2">
      <c r="A468" s="73" t="s">
        <v>1311</v>
      </c>
      <c r="B468" s="69" t="s">
        <v>6669</v>
      </c>
    </row>
    <row r="469" spans="1:2" x14ac:dyDescent="0.2">
      <c r="A469" s="73" t="s">
        <v>721</v>
      </c>
      <c r="B469" s="69" t="s">
        <v>6668</v>
      </c>
    </row>
    <row r="470" spans="1:2" x14ac:dyDescent="0.2">
      <c r="A470" s="73" t="s">
        <v>722</v>
      </c>
      <c r="B470" s="69" t="s">
        <v>6667</v>
      </c>
    </row>
    <row r="471" spans="1:2" x14ac:dyDescent="0.2">
      <c r="A471" s="73" t="s">
        <v>153</v>
      </c>
      <c r="B471" s="69" t="s">
        <v>6666</v>
      </c>
    </row>
    <row r="472" spans="1:2" x14ac:dyDescent="0.2">
      <c r="A472" s="73" t="s">
        <v>154</v>
      </c>
      <c r="B472" s="69" t="s">
        <v>6665</v>
      </c>
    </row>
    <row r="473" spans="1:2" x14ac:dyDescent="0.2">
      <c r="A473" s="73" t="s">
        <v>155</v>
      </c>
      <c r="B473" s="69" t="s">
        <v>6664</v>
      </c>
    </row>
    <row r="474" spans="1:2" x14ac:dyDescent="0.2">
      <c r="A474" s="73" t="s">
        <v>156</v>
      </c>
      <c r="B474" s="69" t="s">
        <v>6663</v>
      </c>
    </row>
    <row r="475" spans="1:2" x14ac:dyDescent="0.2">
      <c r="A475" s="73" t="s">
        <v>157</v>
      </c>
      <c r="B475" s="69" t="s">
        <v>6662</v>
      </c>
    </row>
    <row r="476" spans="1:2" x14ac:dyDescent="0.2">
      <c r="A476" s="73" t="s">
        <v>158</v>
      </c>
      <c r="B476" s="69" t="s">
        <v>6661</v>
      </c>
    </row>
    <row r="477" spans="1:2" x14ac:dyDescent="0.2">
      <c r="A477" s="73" t="s">
        <v>723</v>
      </c>
      <c r="B477" s="69" t="s">
        <v>6660</v>
      </c>
    </row>
    <row r="478" spans="1:2" x14ac:dyDescent="0.2">
      <c r="A478" s="73" t="s">
        <v>159</v>
      </c>
      <c r="B478" s="69" t="s">
        <v>6659</v>
      </c>
    </row>
    <row r="479" spans="1:2" x14ac:dyDescent="0.2">
      <c r="A479" s="73" t="s">
        <v>160</v>
      </c>
      <c r="B479" s="69" t="s">
        <v>6658</v>
      </c>
    </row>
    <row r="480" spans="1:2" x14ac:dyDescent="0.2">
      <c r="A480" s="73" t="s">
        <v>724</v>
      </c>
      <c r="B480" s="69" t="s">
        <v>6657</v>
      </c>
    </row>
    <row r="481" spans="1:2" x14ac:dyDescent="0.2">
      <c r="A481" s="73" t="s">
        <v>725</v>
      </c>
      <c r="B481" s="69" t="s">
        <v>6656</v>
      </c>
    </row>
    <row r="482" spans="1:2" x14ac:dyDescent="0.2">
      <c r="A482" s="73" t="s">
        <v>726</v>
      </c>
      <c r="B482" s="69" t="s">
        <v>6655</v>
      </c>
    </row>
    <row r="483" spans="1:2" x14ac:dyDescent="0.2">
      <c r="A483" s="73" t="s">
        <v>1312</v>
      </c>
      <c r="B483" s="69" t="s">
        <v>6654</v>
      </c>
    </row>
    <row r="484" spans="1:2" x14ac:dyDescent="0.2">
      <c r="A484" s="73" t="s">
        <v>727</v>
      </c>
      <c r="B484" s="69" t="s">
        <v>6653</v>
      </c>
    </row>
    <row r="485" spans="1:2" x14ac:dyDescent="0.2">
      <c r="A485" s="73" t="s">
        <v>728</v>
      </c>
      <c r="B485" s="69" t="s">
        <v>6652</v>
      </c>
    </row>
    <row r="486" spans="1:2" x14ac:dyDescent="0.2">
      <c r="A486" s="73" t="s">
        <v>161</v>
      </c>
      <c r="B486" s="69" t="s">
        <v>6651</v>
      </c>
    </row>
    <row r="487" spans="1:2" x14ac:dyDescent="0.2">
      <c r="A487" s="73" t="s">
        <v>1313</v>
      </c>
      <c r="B487" s="69" t="s">
        <v>6650</v>
      </c>
    </row>
    <row r="488" spans="1:2" x14ac:dyDescent="0.2">
      <c r="A488" s="73" t="s">
        <v>1314</v>
      </c>
      <c r="B488" s="69" t="s">
        <v>6649</v>
      </c>
    </row>
    <row r="489" spans="1:2" x14ac:dyDescent="0.2">
      <c r="A489" s="73" t="s">
        <v>729</v>
      </c>
      <c r="B489" s="69" t="s">
        <v>6648</v>
      </c>
    </row>
    <row r="490" spans="1:2" x14ac:dyDescent="0.2">
      <c r="A490" s="73" t="s">
        <v>162</v>
      </c>
      <c r="B490" s="69" t="s">
        <v>6647</v>
      </c>
    </row>
    <row r="491" spans="1:2" x14ac:dyDescent="0.2">
      <c r="A491" s="73" t="s">
        <v>163</v>
      </c>
      <c r="B491" s="69" t="s">
        <v>6646</v>
      </c>
    </row>
    <row r="492" spans="1:2" x14ac:dyDescent="0.2">
      <c r="A492" s="73" t="s">
        <v>1316</v>
      </c>
      <c r="B492" s="69" t="s">
        <v>6645</v>
      </c>
    </row>
    <row r="493" spans="1:2" x14ac:dyDescent="0.2">
      <c r="A493" s="73" t="s">
        <v>1317</v>
      </c>
      <c r="B493" s="69" t="s">
        <v>6644</v>
      </c>
    </row>
    <row r="494" spans="1:2" x14ac:dyDescent="0.2">
      <c r="A494" s="73" t="s">
        <v>164</v>
      </c>
      <c r="B494" s="69" t="s">
        <v>6643</v>
      </c>
    </row>
    <row r="495" spans="1:2" x14ac:dyDescent="0.2">
      <c r="A495" s="73" t="s">
        <v>1318</v>
      </c>
      <c r="B495" s="69" t="s">
        <v>6642</v>
      </c>
    </row>
    <row r="496" spans="1:2" x14ac:dyDescent="0.2">
      <c r="A496" s="73" t="s">
        <v>730</v>
      </c>
      <c r="B496" s="69" t="s">
        <v>6641</v>
      </c>
    </row>
    <row r="497" spans="1:2" x14ac:dyDescent="0.2">
      <c r="A497" s="73" t="s">
        <v>1319</v>
      </c>
      <c r="B497" s="69" t="s">
        <v>6640</v>
      </c>
    </row>
    <row r="498" spans="1:2" x14ac:dyDescent="0.2">
      <c r="A498" s="73" t="s">
        <v>1320</v>
      </c>
      <c r="B498" s="69" t="s">
        <v>6639</v>
      </c>
    </row>
    <row r="499" spans="1:2" x14ac:dyDescent="0.2">
      <c r="A499" s="73" t="s">
        <v>731</v>
      </c>
      <c r="B499" s="69" t="s">
        <v>6638</v>
      </c>
    </row>
    <row r="500" spans="1:2" x14ac:dyDescent="0.2">
      <c r="A500" s="73" t="s">
        <v>732</v>
      </c>
      <c r="B500" s="69" t="s">
        <v>6637</v>
      </c>
    </row>
    <row r="501" spans="1:2" x14ac:dyDescent="0.2">
      <c r="A501" s="73" t="s">
        <v>733</v>
      </c>
      <c r="B501" s="69" t="s">
        <v>6636</v>
      </c>
    </row>
    <row r="502" spans="1:2" x14ac:dyDescent="0.2">
      <c r="A502" s="73" t="s">
        <v>734</v>
      </c>
      <c r="B502" s="69" t="s">
        <v>6635</v>
      </c>
    </row>
    <row r="503" spans="1:2" x14ac:dyDescent="0.2">
      <c r="A503" s="73" t="s">
        <v>165</v>
      </c>
      <c r="B503" s="69" t="s">
        <v>6634</v>
      </c>
    </row>
    <row r="504" spans="1:2" x14ac:dyDescent="0.2">
      <c r="A504" s="73" t="s">
        <v>166</v>
      </c>
      <c r="B504" s="69" t="s">
        <v>6633</v>
      </c>
    </row>
    <row r="505" spans="1:2" x14ac:dyDescent="0.2">
      <c r="A505" s="73" t="s">
        <v>167</v>
      </c>
      <c r="B505" s="69" t="s">
        <v>6632</v>
      </c>
    </row>
    <row r="506" spans="1:2" x14ac:dyDescent="0.2">
      <c r="A506" s="73" t="s">
        <v>735</v>
      </c>
      <c r="B506" s="69" t="s">
        <v>6631</v>
      </c>
    </row>
    <row r="507" spans="1:2" x14ac:dyDescent="0.2">
      <c r="A507" s="73" t="s">
        <v>736</v>
      </c>
      <c r="B507" s="69" t="s">
        <v>6630</v>
      </c>
    </row>
    <row r="508" spans="1:2" x14ac:dyDescent="0.2">
      <c r="A508" s="73" t="s">
        <v>168</v>
      </c>
      <c r="B508" s="69" t="s">
        <v>6629</v>
      </c>
    </row>
    <row r="509" spans="1:2" x14ac:dyDescent="0.2">
      <c r="A509" s="73" t="s">
        <v>737</v>
      </c>
      <c r="B509" s="69" t="s">
        <v>6628</v>
      </c>
    </row>
    <row r="510" spans="1:2" x14ac:dyDescent="0.2">
      <c r="A510" s="73" t="s">
        <v>738</v>
      </c>
      <c r="B510" s="69" t="s">
        <v>6627</v>
      </c>
    </row>
    <row r="511" spans="1:2" x14ac:dyDescent="0.2">
      <c r="A511" s="73" t="s">
        <v>169</v>
      </c>
      <c r="B511" s="69" t="s">
        <v>6626</v>
      </c>
    </row>
    <row r="512" spans="1:2" x14ac:dyDescent="0.2">
      <c r="A512" s="73" t="s">
        <v>170</v>
      </c>
      <c r="B512" s="69" t="s">
        <v>6625</v>
      </c>
    </row>
    <row r="513" spans="1:2" x14ac:dyDescent="0.2">
      <c r="A513" s="73" t="s">
        <v>739</v>
      </c>
      <c r="B513" s="69" t="s">
        <v>6624</v>
      </c>
    </row>
    <row r="514" spans="1:2" x14ac:dyDescent="0.2">
      <c r="A514" s="73" t="s">
        <v>171</v>
      </c>
      <c r="B514" s="69" t="s">
        <v>6623</v>
      </c>
    </row>
    <row r="515" spans="1:2" x14ac:dyDescent="0.2">
      <c r="A515" s="73" t="s">
        <v>740</v>
      </c>
      <c r="B515" s="69" t="s">
        <v>6622</v>
      </c>
    </row>
    <row r="516" spans="1:2" x14ac:dyDescent="0.2">
      <c r="A516" s="73" t="s">
        <v>741</v>
      </c>
      <c r="B516" s="69" t="s">
        <v>6621</v>
      </c>
    </row>
    <row r="517" spans="1:2" x14ac:dyDescent="0.2">
      <c r="A517" s="73" t="s">
        <v>172</v>
      </c>
      <c r="B517" s="69" t="s">
        <v>6620</v>
      </c>
    </row>
    <row r="518" spans="1:2" x14ac:dyDescent="0.2">
      <c r="A518" s="73" t="s">
        <v>742</v>
      </c>
      <c r="B518" s="69" t="s">
        <v>6619</v>
      </c>
    </row>
    <row r="519" spans="1:2" x14ac:dyDescent="0.2">
      <c r="A519" s="73" t="s">
        <v>743</v>
      </c>
      <c r="B519" s="69" t="s">
        <v>6618</v>
      </c>
    </row>
    <row r="520" spans="1:2" x14ac:dyDescent="0.2">
      <c r="A520" s="73" t="s">
        <v>744</v>
      </c>
      <c r="B520" s="69" t="s">
        <v>6617</v>
      </c>
    </row>
    <row r="521" spans="1:2" x14ac:dyDescent="0.2">
      <c r="A521" s="73" t="s">
        <v>1322</v>
      </c>
      <c r="B521" s="69" t="s">
        <v>6616</v>
      </c>
    </row>
    <row r="522" spans="1:2" x14ac:dyDescent="0.2">
      <c r="A522" s="73" t="s">
        <v>745</v>
      </c>
      <c r="B522" s="69" t="s">
        <v>6615</v>
      </c>
    </row>
    <row r="523" spans="1:2" x14ac:dyDescent="0.2">
      <c r="A523" s="73" t="s">
        <v>746</v>
      </c>
      <c r="B523" s="69" t="s">
        <v>6614</v>
      </c>
    </row>
    <row r="524" spans="1:2" x14ac:dyDescent="0.2">
      <c r="A524" s="73" t="s">
        <v>747</v>
      </c>
      <c r="B524" s="69" t="s">
        <v>6613</v>
      </c>
    </row>
    <row r="525" spans="1:2" x14ac:dyDescent="0.2">
      <c r="A525" s="73" t="s">
        <v>748</v>
      </c>
      <c r="B525" s="69" t="s">
        <v>6612</v>
      </c>
    </row>
    <row r="526" spans="1:2" x14ac:dyDescent="0.2">
      <c r="A526" s="73" t="s">
        <v>1323</v>
      </c>
      <c r="B526" s="69" t="s">
        <v>6611</v>
      </c>
    </row>
    <row r="527" spans="1:2" x14ac:dyDescent="0.2">
      <c r="A527" s="73" t="s">
        <v>173</v>
      </c>
      <c r="B527" s="69" t="s">
        <v>6610</v>
      </c>
    </row>
    <row r="528" spans="1:2" x14ac:dyDescent="0.2">
      <c r="A528" s="73" t="s">
        <v>174</v>
      </c>
      <c r="B528" s="69" t="s">
        <v>6609</v>
      </c>
    </row>
    <row r="529" spans="1:2" x14ac:dyDescent="0.2">
      <c r="A529" s="73" t="s">
        <v>175</v>
      </c>
      <c r="B529" s="69" t="s">
        <v>6608</v>
      </c>
    </row>
    <row r="530" spans="1:2" x14ac:dyDescent="0.2">
      <c r="A530" s="73" t="s">
        <v>176</v>
      </c>
      <c r="B530" s="69" t="s">
        <v>6607</v>
      </c>
    </row>
    <row r="531" spans="1:2" x14ac:dyDescent="0.2">
      <c r="A531" s="73" t="s">
        <v>177</v>
      </c>
      <c r="B531" s="69" t="s">
        <v>6606</v>
      </c>
    </row>
    <row r="532" spans="1:2" x14ac:dyDescent="0.2">
      <c r="A532" s="73" t="s">
        <v>1324</v>
      </c>
      <c r="B532" s="69" t="s">
        <v>6605</v>
      </c>
    </row>
    <row r="533" spans="1:2" x14ac:dyDescent="0.2">
      <c r="A533" s="73" t="s">
        <v>178</v>
      </c>
      <c r="B533" s="69" t="s">
        <v>6604</v>
      </c>
    </row>
    <row r="534" spans="1:2" x14ac:dyDescent="0.2">
      <c r="A534" s="73" t="s">
        <v>179</v>
      </c>
      <c r="B534" s="69" t="s">
        <v>6603</v>
      </c>
    </row>
    <row r="535" spans="1:2" x14ac:dyDescent="0.2">
      <c r="A535" s="73" t="s">
        <v>1325</v>
      </c>
      <c r="B535" s="69" t="s">
        <v>6602</v>
      </c>
    </row>
    <row r="536" spans="1:2" x14ac:dyDescent="0.2">
      <c r="A536" s="73" t="s">
        <v>749</v>
      </c>
      <c r="B536" s="69" t="s">
        <v>6601</v>
      </c>
    </row>
    <row r="537" spans="1:2" x14ac:dyDescent="0.2">
      <c r="A537" s="73" t="s">
        <v>750</v>
      </c>
      <c r="B537" s="69" t="s">
        <v>6600</v>
      </c>
    </row>
    <row r="538" spans="1:2" x14ac:dyDescent="0.2">
      <c r="A538" s="73" t="s">
        <v>180</v>
      </c>
      <c r="B538" s="69" t="s">
        <v>6599</v>
      </c>
    </row>
    <row r="539" spans="1:2" x14ac:dyDescent="0.2">
      <c r="A539" s="73" t="s">
        <v>751</v>
      </c>
      <c r="B539" s="69" t="s">
        <v>6598</v>
      </c>
    </row>
    <row r="540" spans="1:2" x14ac:dyDescent="0.2">
      <c r="A540" s="73" t="s">
        <v>181</v>
      </c>
      <c r="B540" s="69" t="s">
        <v>6597</v>
      </c>
    </row>
    <row r="541" spans="1:2" x14ac:dyDescent="0.2">
      <c r="A541" s="73" t="s">
        <v>752</v>
      </c>
      <c r="B541" s="69" t="s">
        <v>6596</v>
      </c>
    </row>
    <row r="542" spans="1:2" x14ac:dyDescent="0.2">
      <c r="A542" s="73" t="s">
        <v>182</v>
      </c>
      <c r="B542" s="69" t="s">
        <v>6595</v>
      </c>
    </row>
    <row r="543" spans="1:2" x14ac:dyDescent="0.2">
      <c r="A543" s="73" t="s">
        <v>753</v>
      </c>
      <c r="B543" s="69" t="s">
        <v>6594</v>
      </c>
    </row>
    <row r="544" spans="1:2" x14ac:dyDescent="0.2">
      <c r="A544" s="73" t="s">
        <v>183</v>
      </c>
      <c r="B544" s="69" t="s">
        <v>6593</v>
      </c>
    </row>
    <row r="545" spans="1:2" x14ac:dyDescent="0.2">
      <c r="A545" s="73" t="s">
        <v>1326</v>
      </c>
      <c r="B545" s="69" t="s">
        <v>6592</v>
      </c>
    </row>
    <row r="546" spans="1:2" x14ac:dyDescent="0.2">
      <c r="A546" s="73" t="s">
        <v>1821</v>
      </c>
      <c r="B546" s="69" t="s">
        <v>6591</v>
      </c>
    </row>
    <row r="547" spans="1:2" x14ac:dyDescent="0.2">
      <c r="A547" s="73" t="s">
        <v>754</v>
      </c>
      <c r="B547" s="69" t="s">
        <v>6590</v>
      </c>
    </row>
    <row r="548" spans="1:2" x14ac:dyDescent="0.2">
      <c r="A548" s="73" t="s">
        <v>184</v>
      </c>
      <c r="B548" s="69" t="s">
        <v>6589</v>
      </c>
    </row>
    <row r="549" spans="1:2" x14ac:dyDescent="0.2">
      <c r="A549" s="73" t="s">
        <v>755</v>
      </c>
      <c r="B549" s="69" t="s">
        <v>6588</v>
      </c>
    </row>
    <row r="550" spans="1:2" x14ac:dyDescent="0.2">
      <c r="A550" s="73" t="s">
        <v>756</v>
      </c>
      <c r="B550" s="69" t="s">
        <v>6587</v>
      </c>
    </row>
    <row r="551" spans="1:2" x14ac:dyDescent="0.2">
      <c r="A551" s="73" t="s">
        <v>185</v>
      </c>
      <c r="B551" s="69" t="s">
        <v>6586</v>
      </c>
    </row>
    <row r="552" spans="1:2" x14ac:dyDescent="0.2">
      <c r="A552" s="73" t="s">
        <v>186</v>
      </c>
      <c r="B552" s="69" t="s">
        <v>6585</v>
      </c>
    </row>
    <row r="553" spans="1:2" x14ac:dyDescent="0.2">
      <c r="A553" s="73" t="s">
        <v>187</v>
      </c>
      <c r="B553" s="69" t="s">
        <v>6584</v>
      </c>
    </row>
    <row r="554" spans="1:2" x14ac:dyDescent="0.2">
      <c r="A554" s="73" t="s">
        <v>1328</v>
      </c>
      <c r="B554" s="69" t="s">
        <v>6583</v>
      </c>
    </row>
    <row r="555" spans="1:2" x14ac:dyDescent="0.2">
      <c r="A555" s="73" t="s">
        <v>757</v>
      </c>
      <c r="B555" s="69" t="s">
        <v>6582</v>
      </c>
    </row>
    <row r="556" spans="1:2" x14ac:dyDescent="0.2">
      <c r="A556" s="73" t="s">
        <v>758</v>
      </c>
      <c r="B556" s="69" t="s">
        <v>6581</v>
      </c>
    </row>
    <row r="557" spans="1:2" x14ac:dyDescent="0.2">
      <c r="A557" s="73" t="s">
        <v>1329</v>
      </c>
      <c r="B557" s="69" t="s">
        <v>6580</v>
      </c>
    </row>
    <row r="558" spans="1:2" x14ac:dyDescent="0.2">
      <c r="A558" s="73" t="s">
        <v>1330</v>
      </c>
      <c r="B558" s="69" t="s">
        <v>6579</v>
      </c>
    </row>
    <row r="559" spans="1:2" x14ac:dyDescent="0.2">
      <c r="A559" s="73" t="s">
        <v>188</v>
      </c>
      <c r="B559" s="69" t="s">
        <v>6578</v>
      </c>
    </row>
    <row r="560" spans="1:2" x14ac:dyDescent="0.2">
      <c r="A560" s="73" t="s">
        <v>1331</v>
      </c>
      <c r="B560" s="69" t="s">
        <v>6577</v>
      </c>
    </row>
    <row r="561" spans="1:2" x14ac:dyDescent="0.2">
      <c r="A561" s="73" t="s">
        <v>1332</v>
      </c>
      <c r="B561" s="69" t="s">
        <v>6576</v>
      </c>
    </row>
    <row r="562" spans="1:2" x14ac:dyDescent="0.2">
      <c r="A562" s="73" t="s">
        <v>1333</v>
      </c>
      <c r="B562" s="69" t="s">
        <v>6575</v>
      </c>
    </row>
    <row r="563" spans="1:2" x14ac:dyDescent="0.2">
      <c r="A563" s="73" t="s">
        <v>759</v>
      </c>
      <c r="B563" s="69" t="s">
        <v>6574</v>
      </c>
    </row>
    <row r="564" spans="1:2" x14ac:dyDescent="0.2">
      <c r="A564" s="73" t="s">
        <v>1334</v>
      </c>
      <c r="B564" s="69" t="s">
        <v>6573</v>
      </c>
    </row>
    <row r="565" spans="1:2" x14ac:dyDescent="0.2">
      <c r="A565" s="73" t="s">
        <v>1335</v>
      </c>
      <c r="B565" s="69" t="s">
        <v>6572</v>
      </c>
    </row>
    <row r="566" spans="1:2" x14ac:dyDescent="0.2">
      <c r="A566" s="73" t="s">
        <v>1336</v>
      </c>
      <c r="B566" s="69" t="s">
        <v>6571</v>
      </c>
    </row>
    <row r="567" spans="1:2" x14ac:dyDescent="0.2">
      <c r="A567" s="73" t="s">
        <v>1337</v>
      </c>
      <c r="B567" s="69" t="s">
        <v>6570</v>
      </c>
    </row>
    <row r="568" spans="1:2" x14ac:dyDescent="0.2">
      <c r="A568" s="73" t="s">
        <v>1338</v>
      </c>
      <c r="B568" s="69" t="s">
        <v>6569</v>
      </c>
    </row>
    <row r="569" spans="1:2" x14ac:dyDescent="0.2">
      <c r="A569" s="73" t="s">
        <v>1339</v>
      </c>
      <c r="B569" s="69" t="s">
        <v>6568</v>
      </c>
    </row>
    <row r="570" spans="1:2" x14ac:dyDescent="0.2">
      <c r="A570" s="73" t="s">
        <v>1340</v>
      </c>
      <c r="B570" s="69" t="s">
        <v>6567</v>
      </c>
    </row>
    <row r="571" spans="1:2" x14ac:dyDescent="0.2">
      <c r="A571" s="73" t="s">
        <v>760</v>
      </c>
      <c r="B571" s="69" t="s">
        <v>6566</v>
      </c>
    </row>
    <row r="572" spans="1:2" x14ac:dyDescent="0.2">
      <c r="A572" s="73" t="s">
        <v>761</v>
      </c>
      <c r="B572" s="69" t="s">
        <v>6565</v>
      </c>
    </row>
    <row r="573" spans="1:2" x14ac:dyDescent="0.2">
      <c r="A573" s="73" t="s">
        <v>189</v>
      </c>
      <c r="B573" s="69" t="s">
        <v>6564</v>
      </c>
    </row>
    <row r="574" spans="1:2" x14ac:dyDescent="0.2">
      <c r="A574" s="73" t="s">
        <v>190</v>
      </c>
      <c r="B574" s="69" t="s">
        <v>6563</v>
      </c>
    </row>
    <row r="575" spans="1:2" x14ac:dyDescent="0.2">
      <c r="A575" s="73" t="s">
        <v>762</v>
      </c>
      <c r="B575" s="69" t="s">
        <v>6562</v>
      </c>
    </row>
    <row r="576" spans="1:2" x14ac:dyDescent="0.2">
      <c r="A576" s="73" t="s">
        <v>191</v>
      </c>
      <c r="B576" s="69" t="s">
        <v>6561</v>
      </c>
    </row>
    <row r="577" spans="1:2" x14ac:dyDescent="0.2">
      <c r="A577" s="73" t="s">
        <v>192</v>
      </c>
      <c r="B577" s="69" t="s">
        <v>6560</v>
      </c>
    </row>
    <row r="578" spans="1:2" x14ac:dyDescent="0.2">
      <c r="A578" s="73" t="s">
        <v>763</v>
      </c>
      <c r="B578" s="69" t="s">
        <v>6559</v>
      </c>
    </row>
    <row r="579" spans="1:2" x14ac:dyDescent="0.2">
      <c r="A579" s="73" t="s">
        <v>193</v>
      </c>
      <c r="B579" s="69" t="s">
        <v>6558</v>
      </c>
    </row>
    <row r="580" spans="1:2" x14ac:dyDescent="0.2">
      <c r="A580" s="73" t="s">
        <v>764</v>
      </c>
      <c r="B580" s="69" t="s">
        <v>6557</v>
      </c>
    </row>
    <row r="581" spans="1:2" x14ac:dyDescent="0.2">
      <c r="A581" s="73" t="s">
        <v>765</v>
      </c>
      <c r="B581" s="69" t="s">
        <v>6556</v>
      </c>
    </row>
    <row r="582" spans="1:2" x14ac:dyDescent="0.2">
      <c r="A582" s="73" t="s">
        <v>194</v>
      </c>
      <c r="B582" s="69" t="s">
        <v>6555</v>
      </c>
    </row>
    <row r="583" spans="1:2" x14ac:dyDescent="0.2">
      <c r="A583" s="73" t="s">
        <v>766</v>
      </c>
      <c r="B583" s="69" t="s">
        <v>6554</v>
      </c>
    </row>
    <row r="584" spans="1:2" x14ac:dyDescent="0.2">
      <c r="A584" s="73" t="s">
        <v>195</v>
      </c>
      <c r="B584" s="69" t="s">
        <v>6553</v>
      </c>
    </row>
    <row r="585" spans="1:2" x14ac:dyDescent="0.2">
      <c r="A585" s="73" t="s">
        <v>196</v>
      </c>
      <c r="B585" s="69" t="s">
        <v>6552</v>
      </c>
    </row>
    <row r="586" spans="1:2" x14ac:dyDescent="0.2">
      <c r="A586" s="73" t="s">
        <v>197</v>
      </c>
      <c r="B586" s="69" t="s">
        <v>6551</v>
      </c>
    </row>
    <row r="587" spans="1:2" x14ac:dyDescent="0.2">
      <c r="A587" s="73" t="s">
        <v>1342</v>
      </c>
      <c r="B587" s="69" t="s">
        <v>6550</v>
      </c>
    </row>
    <row r="588" spans="1:2" x14ac:dyDescent="0.2">
      <c r="A588" s="73" t="s">
        <v>1343</v>
      </c>
      <c r="B588" s="69" t="s">
        <v>6549</v>
      </c>
    </row>
    <row r="589" spans="1:2" x14ac:dyDescent="0.2">
      <c r="A589" s="73" t="s">
        <v>767</v>
      </c>
      <c r="B589" s="69" t="s">
        <v>6548</v>
      </c>
    </row>
    <row r="590" spans="1:2" x14ac:dyDescent="0.2">
      <c r="A590" s="73" t="s">
        <v>1344</v>
      </c>
      <c r="B590" s="69" t="s">
        <v>6547</v>
      </c>
    </row>
    <row r="591" spans="1:2" x14ac:dyDescent="0.2">
      <c r="A591" s="73" t="s">
        <v>198</v>
      </c>
      <c r="B591" s="69" t="s">
        <v>6546</v>
      </c>
    </row>
    <row r="592" spans="1:2" x14ac:dyDescent="0.2">
      <c r="A592" s="73" t="s">
        <v>768</v>
      </c>
      <c r="B592" s="69" t="s">
        <v>6545</v>
      </c>
    </row>
    <row r="593" spans="1:2" x14ac:dyDescent="0.2">
      <c r="A593" s="73" t="s">
        <v>769</v>
      </c>
      <c r="B593" s="69" t="s">
        <v>6544</v>
      </c>
    </row>
    <row r="594" spans="1:2" x14ac:dyDescent="0.2">
      <c r="A594" s="73" t="s">
        <v>199</v>
      </c>
      <c r="B594" s="69" t="s">
        <v>6543</v>
      </c>
    </row>
    <row r="595" spans="1:2" x14ac:dyDescent="0.2">
      <c r="A595" s="73" t="s">
        <v>200</v>
      </c>
      <c r="B595" s="69" t="s">
        <v>6542</v>
      </c>
    </row>
    <row r="596" spans="1:2" x14ac:dyDescent="0.2">
      <c r="A596" s="73" t="s">
        <v>770</v>
      </c>
      <c r="B596" s="69" t="s">
        <v>6541</v>
      </c>
    </row>
    <row r="597" spans="1:2" x14ac:dyDescent="0.2">
      <c r="A597" s="73" t="s">
        <v>771</v>
      </c>
      <c r="B597" s="69" t="s">
        <v>6540</v>
      </c>
    </row>
    <row r="598" spans="1:2" x14ac:dyDescent="0.2">
      <c r="A598" s="73" t="s">
        <v>201</v>
      </c>
      <c r="B598" s="69" t="s">
        <v>6539</v>
      </c>
    </row>
    <row r="599" spans="1:2" x14ac:dyDescent="0.2">
      <c r="A599" s="73" t="s">
        <v>772</v>
      </c>
      <c r="B599" s="69" t="s">
        <v>6538</v>
      </c>
    </row>
    <row r="600" spans="1:2" x14ac:dyDescent="0.2">
      <c r="A600" s="73" t="s">
        <v>1345</v>
      </c>
      <c r="B600" s="69" t="s">
        <v>6537</v>
      </c>
    </row>
    <row r="601" spans="1:2" x14ac:dyDescent="0.2">
      <c r="A601" s="73" t="s">
        <v>202</v>
      </c>
      <c r="B601" s="69" t="s">
        <v>6536</v>
      </c>
    </row>
    <row r="602" spans="1:2" x14ac:dyDescent="0.2">
      <c r="A602" s="73" t="s">
        <v>203</v>
      </c>
      <c r="B602" s="69" t="s">
        <v>6535</v>
      </c>
    </row>
    <row r="603" spans="1:2" x14ac:dyDescent="0.2">
      <c r="A603" s="73" t="s">
        <v>204</v>
      </c>
      <c r="B603" s="69" t="s">
        <v>6534</v>
      </c>
    </row>
    <row r="604" spans="1:2" x14ac:dyDescent="0.2">
      <c r="A604" s="73" t="s">
        <v>1346</v>
      </c>
      <c r="B604" s="69" t="s">
        <v>6533</v>
      </c>
    </row>
    <row r="605" spans="1:2" x14ac:dyDescent="0.2">
      <c r="A605" s="73" t="s">
        <v>205</v>
      </c>
      <c r="B605" s="69" t="s">
        <v>6532</v>
      </c>
    </row>
    <row r="606" spans="1:2" x14ac:dyDescent="0.2">
      <c r="A606" s="73" t="s">
        <v>206</v>
      </c>
      <c r="B606" s="69" t="s">
        <v>6531</v>
      </c>
    </row>
    <row r="607" spans="1:2" x14ac:dyDescent="0.2">
      <c r="A607" s="73" t="s">
        <v>207</v>
      </c>
      <c r="B607" s="69" t="s">
        <v>6530</v>
      </c>
    </row>
    <row r="608" spans="1:2" x14ac:dyDescent="0.2">
      <c r="A608" s="73" t="s">
        <v>208</v>
      </c>
      <c r="B608" s="69" t="s">
        <v>6529</v>
      </c>
    </row>
    <row r="609" spans="1:2" x14ac:dyDescent="0.2">
      <c r="A609" s="73" t="s">
        <v>209</v>
      </c>
      <c r="B609" s="69" t="s">
        <v>6528</v>
      </c>
    </row>
    <row r="610" spans="1:2" x14ac:dyDescent="0.2">
      <c r="A610" s="73" t="s">
        <v>773</v>
      </c>
      <c r="B610" s="69" t="s">
        <v>6527</v>
      </c>
    </row>
    <row r="611" spans="1:2" x14ac:dyDescent="0.2">
      <c r="A611" s="73" t="s">
        <v>774</v>
      </c>
      <c r="B611" s="69" t="s">
        <v>6526</v>
      </c>
    </row>
    <row r="612" spans="1:2" x14ac:dyDescent="0.2">
      <c r="A612" s="73" t="s">
        <v>210</v>
      </c>
      <c r="B612" s="69" t="s">
        <v>6525</v>
      </c>
    </row>
    <row r="613" spans="1:2" x14ac:dyDescent="0.2">
      <c r="A613" s="73" t="s">
        <v>211</v>
      </c>
      <c r="B613" s="69" t="s">
        <v>6524</v>
      </c>
    </row>
    <row r="614" spans="1:2" x14ac:dyDescent="0.2">
      <c r="A614" s="73" t="s">
        <v>775</v>
      </c>
      <c r="B614" s="69" t="s">
        <v>6523</v>
      </c>
    </row>
    <row r="615" spans="1:2" x14ac:dyDescent="0.2">
      <c r="A615" s="73" t="s">
        <v>776</v>
      </c>
      <c r="B615" s="69" t="s">
        <v>6522</v>
      </c>
    </row>
    <row r="616" spans="1:2" x14ac:dyDescent="0.2">
      <c r="A616" s="73" t="s">
        <v>212</v>
      </c>
      <c r="B616" s="69" t="s">
        <v>6521</v>
      </c>
    </row>
    <row r="617" spans="1:2" x14ac:dyDescent="0.2">
      <c r="A617" s="73" t="s">
        <v>213</v>
      </c>
      <c r="B617" s="69" t="s">
        <v>6520</v>
      </c>
    </row>
    <row r="618" spans="1:2" x14ac:dyDescent="0.2">
      <c r="A618" s="73" t="s">
        <v>214</v>
      </c>
      <c r="B618" s="69" t="s">
        <v>6519</v>
      </c>
    </row>
    <row r="619" spans="1:2" x14ac:dyDescent="0.2">
      <c r="A619" s="73" t="s">
        <v>215</v>
      </c>
      <c r="B619" s="69" t="s">
        <v>6518</v>
      </c>
    </row>
    <row r="620" spans="1:2" x14ac:dyDescent="0.2">
      <c r="A620" s="73" t="s">
        <v>216</v>
      </c>
      <c r="B620" s="69" t="s">
        <v>6517</v>
      </c>
    </row>
    <row r="621" spans="1:2" x14ac:dyDescent="0.2">
      <c r="A621" s="73" t="s">
        <v>1348</v>
      </c>
      <c r="B621" s="69" t="s">
        <v>6516</v>
      </c>
    </row>
    <row r="622" spans="1:2" x14ac:dyDescent="0.2">
      <c r="A622" s="73" t="s">
        <v>1349</v>
      </c>
      <c r="B622" s="69" t="s">
        <v>6515</v>
      </c>
    </row>
    <row r="623" spans="1:2" x14ac:dyDescent="0.2">
      <c r="A623" s="73" t="s">
        <v>217</v>
      </c>
      <c r="B623" s="69" t="s">
        <v>6514</v>
      </c>
    </row>
    <row r="624" spans="1:2" x14ac:dyDescent="0.2">
      <c r="A624" s="73" t="s">
        <v>777</v>
      </c>
      <c r="B624" s="69" t="s">
        <v>6513</v>
      </c>
    </row>
    <row r="625" spans="1:2" x14ac:dyDescent="0.2">
      <c r="A625" s="73" t="s">
        <v>778</v>
      </c>
      <c r="B625" s="69" t="s">
        <v>6512</v>
      </c>
    </row>
    <row r="626" spans="1:2" x14ac:dyDescent="0.2">
      <c r="A626" s="73" t="s">
        <v>779</v>
      </c>
      <c r="B626" s="69" t="s">
        <v>6511</v>
      </c>
    </row>
    <row r="627" spans="1:2" x14ac:dyDescent="0.2">
      <c r="A627" s="73" t="s">
        <v>780</v>
      </c>
      <c r="B627" s="69" t="s">
        <v>6510</v>
      </c>
    </row>
    <row r="628" spans="1:2" x14ac:dyDescent="0.2">
      <c r="A628" s="73" t="s">
        <v>218</v>
      </c>
      <c r="B628" s="69" t="s">
        <v>6509</v>
      </c>
    </row>
    <row r="629" spans="1:2" x14ac:dyDescent="0.2">
      <c r="A629" s="73" t="s">
        <v>219</v>
      </c>
      <c r="B629" s="69" t="s">
        <v>6508</v>
      </c>
    </row>
    <row r="630" spans="1:2" x14ac:dyDescent="0.2">
      <c r="A630" s="73" t="s">
        <v>1351</v>
      </c>
      <c r="B630" s="69" t="s">
        <v>6507</v>
      </c>
    </row>
    <row r="631" spans="1:2" x14ac:dyDescent="0.2">
      <c r="A631" s="73" t="s">
        <v>1815</v>
      </c>
      <c r="B631" s="69" t="s">
        <v>6506</v>
      </c>
    </row>
    <row r="632" spans="1:2" x14ac:dyDescent="0.2">
      <c r="A632" s="73" t="s">
        <v>1352</v>
      </c>
      <c r="B632" s="69" t="s">
        <v>6505</v>
      </c>
    </row>
    <row r="633" spans="1:2" x14ac:dyDescent="0.2">
      <c r="A633" s="73" t="s">
        <v>220</v>
      </c>
      <c r="B633" s="69" t="s">
        <v>6504</v>
      </c>
    </row>
    <row r="634" spans="1:2" x14ac:dyDescent="0.2">
      <c r="A634" s="73" t="s">
        <v>221</v>
      </c>
      <c r="B634" s="69" t="s">
        <v>6503</v>
      </c>
    </row>
    <row r="635" spans="1:2" x14ac:dyDescent="0.2">
      <c r="A635" s="73" t="s">
        <v>222</v>
      </c>
      <c r="B635" s="69" t="s">
        <v>6502</v>
      </c>
    </row>
    <row r="636" spans="1:2" x14ac:dyDescent="0.2">
      <c r="A636" s="73" t="s">
        <v>223</v>
      </c>
      <c r="B636" s="69" t="s">
        <v>6501</v>
      </c>
    </row>
    <row r="637" spans="1:2" x14ac:dyDescent="0.2">
      <c r="A637" s="73" t="s">
        <v>781</v>
      </c>
      <c r="B637" s="69" t="s">
        <v>6500</v>
      </c>
    </row>
    <row r="638" spans="1:2" x14ac:dyDescent="0.2">
      <c r="A638" s="73" t="s">
        <v>224</v>
      </c>
      <c r="B638" s="69" t="s">
        <v>6499</v>
      </c>
    </row>
    <row r="639" spans="1:2" x14ac:dyDescent="0.2">
      <c r="A639" s="73" t="s">
        <v>225</v>
      </c>
      <c r="B639" s="69" t="s">
        <v>6498</v>
      </c>
    </row>
    <row r="640" spans="1:2" x14ac:dyDescent="0.2">
      <c r="A640" s="73" t="s">
        <v>226</v>
      </c>
      <c r="B640" s="69" t="s">
        <v>6497</v>
      </c>
    </row>
    <row r="641" spans="1:2" x14ac:dyDescent="0.2">
      <c r="A641" s="73" t="s">
        <v>782</v>
      </c>
      <c r="B641" s="69" t="s">
        <v>6496</v>
      </c>
    </row>
    <row r="642" spans="1:2" x14ac:dyDescent="0.2">
      <c r="A642" s="73" t="s">
        <v>783</v>
      </c>
      <c r="B642" s="69" t="s">
        <v>6495</v>
      </c>
    </row>
    <row r="643" spans="1:2" x14ac:dyDescent="0.2">
      <c r="A643" s="73" t="s">
        <v>784</v>
      </c>
      <c r="B643" s="69" t="s">
        <v>6494</v>
      </c>
    </row>
    <row r="644" spans="1:2" x14ac:dyDescent="0.2">
      <c r="A644" s="73" t="s">
        <v>227</v>
      </c>
      <c r="B644" s="69" t="s">
        <v>6493</v>
      </c>
    </row>
    <row r="645" spans="1:2" x14ac:dyDescent="0.2">
      <c r="A645" s="73" t="s">
        <v>785</v>
      </c>
      <c r="B645" s="69" t="s">
        <v>6492</v>
      </c>
    </row>
    <row r="646" spans="1:2" x14ac:dyDescent="0.2">
      <c r="A646" s="73" t="s">
        <v>786</v>
      </c>
      <c r="B646" s="69" t="s">
        <v>6491</v>
      </c>
    </row>
    <row r="647" spans="1:2" x14ac:dyDescent="0.2">
      <c r="A647" s="73" t="s">
        <v>787</v>
      </c>
      <c r="B647" s="69" t="s">
        <v>6490</v>
      </c>
    </row>
    <row r="648" spans="1:2" x14ac:dyDescent="0.2">
      <c r="A648" s="73" t="s">
        <v>788</v>
      </c>
      <c r="B648" s="69" t="s">
        <v>6489</v>
      </c>
    </row>
    <row r="649" spans="1:2" x14ac:dyDescent="0.2">
      <c r="A649" s="73" t="s">
        <v>789</v>
      </c>
      <c r="B649" s="69" t="s">
        <v>6488</v>
      </c>
    </row>
    <row r="650" spans="1:2" x14ac:dyDescent="0.2">
      <c r="A650" s="73" t="s">
        <v>228</v>
      </c>
      <c r="B650" s="69" t="s">
        <v>6487</v>
      </c>
    </row>
    <row r="651" spans="1:2" x14ac:dyDescent="0.2">
      <c r="A651" s="73" t="s">
        <v>229</v>
      </c>
      <c r="B651" s="69" t="s">
        <v>6486</v>
      </c>
    </row>
    <row r="652" spans="1:2" x14ac:dyDescent="0.2">
      <c r="A652" s="73" t="s">
        <v>230</v>
      </c>
      <c r="B652" s="69" t="s">
        <v>6485</v>
      </c>
    </row>
    <row r="653" spans="1:2" x14ac:dyDescent="0.2">
      <c r="A653" s="73" t="s">
        <v>790</v>
      </c>
      <c r="B653" s="69" t="s">
        <v>6484</v>
      </c>
    </row>
    <row r="654" spans="1:2" x14ac:dyDescent="0.2">
      <c r="A654" s="73" t="s">
        <v>791</v>
      </c>
      <c r="B654" s="69" t="s">
        <v>6483</v>
      </c>
    </row>
    <row r="655" spans="1:2" x14ac:dyDescent="0.2">
      <c r="A655" s="73" t="s">
        <v>1354</v>
      </c>
      <c r="B655" s="69" t="s">
        <v>6482</v>
      </c>
    </row>
    <row r="656" spans="1:2" x14ac:dyDescent="0.2">
      <c r="A656" s="73" t="s">
        <v>1355</v>
      </c>
      <c r="B656" s="69" t="s">
        <v>6481</v>
      </c>
    </row>
    <row r="657" spans="1:2" x14ac:dyDescent="0.2">
      <c r="A657" s="73" t="s">
        <v>231</v>
      </c>
      <c r="B657" s="69" t="s">
        <v>6480</v>
      </c>
    </row>
    <row r="658" spans="1:2" x14ac:dyDescent="0.2">
      <c r="A658" s="73" t="s">
        <v>792</v>
      </c>
      <c r="B658" s="69" t="s">
        <v>6479</v>
      </c>
    </row>
    <row r="659" spans="1:2" x14ac:dyDescent="0.2">
      <c r="A659" s="73" t="s">
        <v>793</v>
      </c>
      <c r="B659" s="69" t="s">
        <v>6478</v>
      </c>
    </row>
    <row r="660" spans="1:2" x14ac:dyDescent="0.2">
      <c r="A660" s="73" t="s">
        <v>232</v>
      </c>
      <c r="B660" s="69" t="s">
        <v>6477</v>
      </c>
    </row>
    <row r="661" spans="1:2" x14ac:dyDescent="0.2">
      <c r="A661" s="73" t="s">
        <v>233</v>
      </c>
      <c r="B661" s="69" t="s">
        <v>6476</v>
      </c>
    </row>
    <row r="662" spans="1:2" x14ac:dyDescent="0.2">
      <c r="A662" s="73" t="s">
        <v>234</v>
      </c>
      <c r="B662" s="69" t="s">
        <v>6475</v>
      </c>
    </row>
    <row r="663" spans="1:2" x14ac:dyDescent="0.2">
      <c r="A663" s="73" t="s">
        <v>235</v>
      </c>
      <c r="B663" s="69" t="s">
        <v>6474</v>
      </c>
    </row>
    <row r="664" spans="1:2" x14ac:dyDescent="0.2">
      <c r="A664" s="73" t="s">
        <v>1356</v>
      </c>
      <c r="B664" s="69" t="s">
        <v>6473</v>
      </c>
    </row>
    <row r="665" spans="1:2" x14ac:dyDescent="0.2">
      <c r="A665" s="73" t="s">
        <v>794</v>
      </c>
      <c r="B665" s="69" t="s">
        <v>6472</v>
      </c>
    </row>
    <row r="666" spans="1:2" x14ac:dyDescent="0.2">
      <c r="A666" s="73" t="s">
        <v>795</v>
      </c>
      <c r="B666" s="69" t="s">
        <v>6471</v>
      </c>
    </row>
    <row r="667" spans="1:2" x14ac:dyDescent="0.2">
      <c r="A667" s="73" t="s">
        <v>236</v>
      </c>
      <c r="B667" s="69" t="s">
        <v>6470</v>
      </c>
    </row>
    <row r="668" spans="1:2" x14ac:dyDescent="0.2">
      <c r="A668" s="73" t="s">
        <v>796</v>
      </c>
      <c r="B668" s="69" t="s">
        <v>6469</v>
      </c>
    </row>
    <row r="669" spans="1:2" x14ac:dyDescent="0.2">
      <c r="A669" s="73" t="s">
        <v>797</v>
      </c>
      <c r="B669" s="69" t="s">
        <v>6468</v>
      </c>
    </row>
    <row r="670" spans="1:2" x14ac:dyDescent="0.2">
      <c r="A670" s="73" t="s">
        <v>237</v>
      </c>
      <c r="B670" s="69" t="s">
        <v>6467</v>
      </c>
    </row>
    <row r="671" spans="1:2" x14ac:dyDescent="0.2">
      <c r="A671" s="73" t="s">
        <v>238</v>
      </c>
      <c r="B671" s="69" t="s">
        <v>6466</v>
      </c>
    </row>
    <row r="672" spans="1:2" x14ac:dyDescent="0.2">
      <c r="A672" s="73" t="s">
        <v>239</v>
      </c>
      <c r="B672" s="69" t="s">
        <v>6465</v>
      </c>
    </row>
    <row r="673" spans="1:2" x14ac:dyDescent="0.2">
      <c r="A673" s="73" t="s">
        <v>240</v>
      </c>
      <c r="B673" s="69" t="s">
        <v>6464</v>
      </c>
    </row>
    <row r="674" spans="1:2" x14ac:dyDescent="0.2">
      <c r="A674" s="73" t="s">
        <v>241</v>
      </c>
      <c r="B674" s="69" t="s">
        <v>6463</v>
      </c>
    </row>
    <row r="675" spans="1:2" x14ac:dyDescent="0.2">
      <c r="A675" s="73" t="s">
        <v>798</v>
      </c>
      <c r="B675" s="69" t="s">
        <v>6462</v>
      </c>
    </row>
    <row r="676" spans="1:2" x14ac:dyDescent="0.2">
      <c r="A676" s="73" t="s">
        <v>242</v>
      </c>
      <c r="B676" s="69" t="s">
        <v>6461</v>
      </c>
    </row>
    <row r="677" spans="1:2" x14ac:dyDescent="0.2">
      <c r="A677" s="73" t="s">
        <v>799</v>
      </c>
      <c r="B677" s="69" t="s">
        <v>6460</v>
      </c>
    </row>
    <row r="678" spans="1:2" x14ac:dyDescent="0.2">
      <c r="A678" s="73" t="s">
        <v>243</v>
      </c>
      <c r="B678" s="69" t="s">
        <v>6459</v>
      </c>
    </row>
    <row r="679" spans="1:2" x14ac:dyDescent="0.2">
      <c r="A679" s="73" t="s">
        <v>244</v>
      </c>
      <c r="B679" s="69" t="s">
        <v>6458</v>
      </c>
    </row>
    <row r="680" spans="1:2" x14ac:dyDescent="0.2">
      <c r="A680" s="73" t="s">
        <v>802</v>
      </c>
      <c r="B680" s="69" t="s">
        <v>6457</v>
      </c>
    </row>
    <row r="681" spans="1:2" x14ac:dyDescent="0.2">
      <c r="A681" s="73" t="s">
        <v>803</v>
      </c>
      <c r="B681" s="69" t="s">
        <v>6456</v>
      </c>
    </row>
    <row r="682" spans="1:2" x14ac:dyDescent="0.2">
      <c r="A682" s="73" t="s">
        <v>1357</v>
      </c>
      <c r="B682" s="69" t="s">
        <v>6455</v>
      </c>
    </row>
    <row r="683" spans="1:2" x14ac:dyDescent="0.2">
      <c r="A683" s="73" t="s">
        <v>245</v>
      </c>
      <c r="B683" s="69" t="s">
        <v>6454</v>
      </c>
    </row>
    <row r="684" spans="1:2" x14ac:dyDescent="0.2">
      <c r="A684" s="73" t="s">
        <v>246</v>
      </c>
      <c r="B684" s="69" t="s">
        <v>6453</v>
      </c>
    </row>
    <row r="685" spans="1:2" x14ac:dyDescent="0.2">
      <c r="A685" s="73" t="s">
        <v>247</v>
      </c>
      <c r="B685" s="69" t="s">
        <v>6452</v>
      </c>
    </row>
    <row r="686" spans="1:2" x14ac:dyDescent="0.2">
      <c r="A686" s="73" t="s">
        <v>804</v>
      </c>
      <c r="B686" s="69" t="s">
        <v>6451</v>
      </c>
    </row>
    <row r="687" spans="1:2" x14ac:dyDescent="0.2">
      <c r="A687" s="73" t="s">
        <v>805</v>
      </c>
      <c r="B687" s="69" t="s">
        <v>6450</v>
      </c>
    </row>
    <row r="688" spans="1:2" x14ac:dyDescent="0.2">
      <c r="A688" s="73" t="s">
        <v>1358</v>
      </c>
      <c r="B688" s="69" t="s">
        <v>6449</v>
      </c>
    </row>
    <row r="689" spans="1:2" x14ac:dyDescent="0.2">
      <c r="A689" s="73" t="s">
        <v>248</v>
      </c>
      <c r="B689" s="69" t="s">
        <v>6448</v>
      </c>
    </row>
    <row r="690" spans="1:2" x14ac:dyDescent="0.2">
      <c r="A690" s="73" t="s">
        <v>249</v>
      </c>
      <c r="B690" s="69" t="s">
        <v>6447</v>
      </c>
    </row>
    <row r="691" spans="1:2" x14ac:dyDescent="0.2">
      <c r="A691" s="73" t="s">
        <v>806</v>
      </c>
      <c r="B691" s="69" t="s">
        <v>6446</v>
      </c>
    </row>
    <row r="692" spans="1:2" x14ac:dyDescent="0.2">
      <c r="A692" s="73" t="s">
        <v>807</v>
      </c>
      <c r="B692" s="69" t="s">
        <v>6445</v>
      </c>
    </row>
    <row r="693" spans="1:2" x14ac:dyDescent="0.2">
      <c r="A693" s="73" t="s">
        <v>808</v>
      </c>
      <c r="B693" s="69" t="s">
        <v>6444</v>
      </c>
    </row>
    <row r="694" spans="1:2" x14ac:dyDescent="0.2">
      <c r="A694" s="73" t="s">
        <v>250</v>
      </c>
      <c r="B694" s="69" t="s">
        <v>6443</v>
      </c>
    </row>
    <row r="695" spans="1:2" x14ac:dyDescent="0.2">
      <c r="A695" s="73" t="s">
        <v>1359</v>
      </c>
      <c r="B695" s="69" t="s">
        <v>6442</v>
      </c>
    </row>
    <row r="696" spans="1:2" x14ac:dyDescent="0.2">
      <c r="A696" s="73" t="s">
        <v>251</v>
      </c>
      <c r="B696" s="69" t="s">
        <v>6441</v>
      </c>
    </row>
    <row r="697" spans="1:2" x14ac:dyDescent="0.2">
      <c r="A697" s="73" t="s">
        <v>252</v>
      </c>
      <c r="B697" s="69" t="s">
        <v>6440</v>
      </c>
    </row>
    <row r="698" spans="1:2" x14ac:dyDescent="0.2">
      <c r="A698" s="73" t="s">
        <v>809</v>
      </c>
      <c r="B698" s="69" t="s">
        <v>6439</v>
      </c>
    </row>
    <row r="699" spans="1:2" x14ac:dyDescent="0.2">
      <c r="A699" s="73" t="s">
        <v>1362</v>
      </c>
      <c r="B699" s="69" t="s">
        <v>6438</v>
      </c>
    </row>
    <row r="700" spans="1:2" x14ac:dyDescent="0.2">
      <c r="A700" s="73" t="s">
        <v>253</v>
      </c>
      <c r="B700" s="69" t="s">
        <v>6437</v>
      </c>
    </row>
    <row r="701" spans="1:2" x14ac:dyDescent="0.2">
      <c r="A701" s="73" t="s">
        <v>254</v>
      </c>
      <c r="B701" s="69" t="s">
        <v>6436</v>
      </c>
    </row>
    <row r="702" spans="1:2" x14ac:dyDescent="0.2">
      <c r="A702" s="73" t="s">
        <v>255</v>
      </c>
      <c r="B702" s="69" t="s">
        <v>6435</v>
      </c>
    </row>
    <row r="703" spans="1:2" x14ac:dyDescent="0.2">
      <c r="A703" s="73" t="s">
        <v>810</v>
      </c>
      <c r="B703" s="69" t="s">
        <v>6434</v>
      </c>
    </row>
    <row r="704" spans="1:2" x14ac:dyDescent="0.2">
      <c r="A704" s="73" t="s">
        <v>256</v>
      </c>
      <c r="B704" s="69" t="s">
        <v>6433</v>
      </c>
    </row>
    <row r="705" spans="1:2" x14ac:dyDescent="0.2">
      <c r="A705" s="73" t="s">
        <v>257</v>
      </c>
      <c r="B705" s="69" t="s">
        <v>6432</v>
      </c>
    </row>
    <row r="706" spans="1:2" x14ac:dyDescent="0.2">
      <c r="A706" s="73" t="s">
        <v>811</v>
      </c>
      <c r="B706" s="69" t="s">
        <v>6431</v>
      </c>
    </row>
    <row r="707" spans="1:2" x14ac:dyDescent="0.2">
      <c r="A707" s="73" t="s">
        <v>258</v>
      </c>
      <c r="B707" s="69" t="s">
        <v>6430</v>
      </c>
    </row>
    <row r="708" spans="1:2" x14ac:dyDescent="0.2">
      <c r="A708" s="73" t="s">
        <v>259</v>
      </c>
      <c r="B708" s="69" t="s">
        <v>6429</v>
      </c>
    </row>
    <row r="709" spans="1:2" x14ac:dyDescent="0.2">
      <c r="A709" s="73" t="s">
        <v>260</v>
      </c>
      <c r="B709" s="69" t="s">
        <v>6428</v>
      </c>
    </row>
    <row r="710" spans="1:2" x14ac:dyDescent="0.2">
      <c r="A710" s="73" t="s">
        <v>1363</v>
      </c>
      <c r="B710" s="69" t="s">
        <v>6427</v>
      </c>
    </row>
    <row r="711" spans="1:2" x14ac:dyDescent="0.2">
      <c r="A711" s="73" t="s">
        <v>261</v>
      </c>
      <c r="B711" s="69" t="s">
        <v>6426</v>
      </c>
    </row>
    <row r="712" spans="1:2" x14ac:dyDescent="0.2">
      <c r="A712" s="73" t="s">
        <v>812</v>
      </c>
      <c r="B712" s="69" t="s">
        <v>6425</v>
      </c>
    </row>
    <row r="713" spans="1:2" x14ac:dyDescent="0.2">
      <c r="A713" s="73" t="s">
        <v>813</v>
      </c>
      <c r="B713" s="69" t="s">
        <v>6424</v>
      </c>
    </row>
    <row r="714" spans="1:2" x14ac:dyDescent="0.2">
      <c r="A714" s="73" t="s">
        <v>814</v>
      </c>
      <c r="B714" s="69" t="s">
        <v>6423</v>
      </c>
    </row>
    <row r="715" spans="1:2" x14ac:dyDescent="0.2">
      <c r="A715" s="73" t="s">
        <v>1820</v>
      </c>
      <c r="B715" s="69" t="s">
        <v>6422</v>
      </c>
    </row>
    <row r="716" spans="1:2" x14ac:dyDescent="0.2">
      <c r="A716" s="73" t="s">
        <v>815</v>
      </c>
      <c r="B716" s="69" t="s">
        <v>6421</v>
      </c>
    </row>
    <row r="717" spans="1:2" x14ac:dyDescent="0.2">
      <c r="A717" s="73" t="s">
        <v>816</v>
      </c>
      <c r="B717" s="69" t="s">
        <v>6420</v>
      </c>
    </row>
    <row r="718" spans="1:2" x14ac:dyDescent="0.2">
      <c r="A718" s="73" t="s">
        <v>817</v>
      </c>
      <c r="B718" s="69" t="s">
        <v>6419</v>
      </c>
    </row>
    <row r="719" spans="1:2" x14ac:dyDescent="0.2">
      <c r="A719" s="73" t="s">
        <v>818</v>
      </c>
      <c r="B719" s="69" t="s">
        <v>6418</v>
      </c>
    </row>
    <row r="720" spans="1:2" x14ac:dyDescent="0.2">
      <c r="A720" s="73" t="s">
        <v>1365</v>
      </c>
      <c r="B720" s="69" t="s">
        <v>6417</v>
      </c>
    </row>
    <row r="721" spans="1:2" x14ac:dyDescent="0.2">
      <c r="A721" s="73" t="s">
        <v>1366</v>
      </c>
      <c r="B721" s="69" t="s">
        <v>6416</v>
      </c>
    </row>
    <row r="722" spans="1:2" x14ac:dyDescent="0.2">
      <c r="A722" s="73" t="s">
        <v>262</v>
      </c>
      <c r="B722" s="69" t="s">
        <v>6415</v>
      </c>
    </row>
    <row r="723" spans="1:2" x14ac:dyDescent="0.2">
      <c r="A723" s="73" t="s">
        <v>1367</v>
      </c>
      <c r="B723" s="69" t="s">
        <v>6414</v>
      </c>
    </row>
    <row r="724" spans="1:2" x14ac:dyDescent="0.2">
      <c r="A724" s="73" t="s">
        <v>1368</v>
      </c>
      <c r="B724" s="69" t="s">
        <v>6413</v>
      </c>
    </row>
    <row r="725" spans="1:2" x14ac:dyDescent="0.2">
      <c r="A725" s="73" t="s">
        <v>819</v>
      </c>
      <c r="B725" s="69" t="s">
        <v>6412</v>
      </c>
    </row>
    <row r="726" spans="1:2" x14ac:dyDescent="0.2">
      <c r="A726" s="73" t="s">
        <v>263</v>
      </c>
      <c r="B726" s="69" t="s">
        <v>6411</v>
      </c>
    </row>
    <row r="727" spans="1:2" x14ac:dyDescent="0.2">
      <c r="A727" s="73" t="s">
        <v>264</v>
      </c>
      <c r="B727" s="69" t="s">
        <v>6410</v>
      </c>
    </row>
    <row r="728" spans="1:2" x14ac:dyDescent="0.2">
      <c r="A728" s="73" t="s">
        <v>1370</v>
      </c>
      <c r="B728" s="69" t="s">
        <v>6409</v>
      </c>
    </row>
    <row r="729" spans="1:2" x14ac:dyDescent="0.2">
      <c r="A729" s="73" t="s">
        <v>820</v>
      </c>
      <c r="B729" s="69" t="s">
        <v>6408</v>
      </c>
    </row>
    <row r="730" spans="1:2" x14ac:dyDescent="0.2">
      <c r="A730" s="73" t="s">
        <v>821</v>
      </c>
      <c r="B730" s="69" t="s">
        <v>6407</v>
      </c>
    </row>
    <row r="731" spans="1:2" x14ac:dyDescent="0.2">
      <c r="A731" s="73" t="s">
        <v>822</v>
      </c>
      <c r="B731" s="69" t="s">
        <v>6406</v>
      </c>
    </row>
    <row r="732" spans="1:2" x14ac:dyDescent="0.2">
      <c r="A732" s="73" t="s">
        <v>1371</v>
      </c>
      <c r="B732" s="69" t="s">
        <v>6405</v>
      </c>
    </row>
    <row r="733" spans="1:2" x14ac:dyDescent="0.2">
      <c r="A733" s="73" t="s">
        <v>265</v>
      </c>
      <c r="B733" s="69" t="s">
        <v>6404</v>
      </c>
    </row>
    <row r="734" spans="1:2" x14ac:dyDescent="0.2">
      <c r="A734" s="73" t="s">
        <v>266</v>
      </c>
      <c r="B734" s="69" t="s">
        <v>6403</v>
      </c>
    </row>
    <row r="735" spans="1:2" x14ac:dyDescent="0.2">
      <c r="A735" s="73" t="s">
        <v>1372</v>
      </c>
      <c r="B735" s="69" t="s">
        <v>6402</v>
      </c>
    </row>
    <row r="736" spans="1:2" x14ac:dyDescent="0.2">
      <c r="A736" s="73" t="s">
        <v>823</v>
      </c>
      <c r="B736" s="69" t="s">
        <v>6401</v>
      </c>
    </row>
    <row r="737" spans="1:2" x14ac:dyDescent="0.2">
      <c r="A737" s="73" t="s">
        <v>824</v>
      </c>
      <c r="B737" s="69" t="s">
        <v>6400</v>
      </c>
    </row>
    <row r="738" spans="1:2" x14ac:dyDescent="0.2">
      <c r="A738" s="73" t="s">
        <v>825</v>
      </c>
      <c r="B738" s="69" t="s">
        <v>6399</v>
      </c>
    </row>
    <row r="739" spans="1:2" x14ac:dyDescent="0.2">
      <c r="A739" s="73" t="s">
        <v>267</v>
      </c>
      <c r="B739" s="69" t="s">
        <v>6398</v>
      </c>
    </row>
    <row r="740" spans="1:2" x14ac:dyDescent="0.2">
      <c r="A740" s="73" t="s">
        <v>826</v>
      </c>
      <c r="B740" s="69" t="s">
        <v>6397</v>
      </c>
    </row>
    <row r="741" spans="1:2" x14ac:dyDescent="0.2">
      <c r="A741" s="73" t="s">
        <v>827</v>
      </c>
      <c r="B741" s="69" t="s">
        <v>6396</v>
      </c>
    </row>
    <row r="742" spans="1:2" x14ac:dyDescent="0.2">
      <c r="A742" s="73" t="s">
        <v>268</v>
      </c>
      <c r="B742" s="69" t="s">
        <v>6395</v>
      </c>
    </row>
    <row r="743" spans="1:2" x14ac:dyDescent="0.2">
      <c r="A743" s="73" t="s">
        <v>1373</v>
      </c>
      <c r="B743" s="69" t="s">
        <v>6394</v>
      </c>
    </row>
    <row r="744" spans="1:2" x14ac:dyDescent="0.2">
      <c r="A744" s="73" t="s">
        <v>269</v>
      </c>
      <c r="B744" s="69" t="s">
        <v>6393</v>
      </c>
    </row>
    <row r="745" spans="1:2" x14ac:dyDescent="0.2">
      <c r="A745" s="73" t="s">
        <v>1374</v>
      </c>
      <c r="B745" s="69" t="s">
        <v>6392</v>
      </c>
    </row>
    <row r="746" spans="1:2" x14ac:dyDescent="0.2">
      <c r="A746" s="73" t="s">
        <v>828</v>
      </c>
      <c r="B746" s="69" t="s">
        <v>6391</v>
      </c>
    </row>
    <row r="747" spans="1:2" x14ac:dyDescent="0.2">
      <c r="A747" s="73" t="s">
        <v>829</v>
      </c>
      <c r="B747" s="69" t="s">
        <v>6390</v>
      </c>
    </row>
    <row r="748" spans="1:2" x14ac:dyDescent="0.2">
      <c r="A748" s="73" t="s">
        <v>270</v>
      </c>
      <c r="B748" s="69" t="s">
        <v>6389</v>
      </c>
    </row>
    <row r="749" spans="1:2" x14ac:dyDescent="0.2">
      <c r="A749" s="73" t="s">
        <v>271</v>
      </c>
      <c r="B749" s="69" t="s">
        <v>6388</v>
      </c>
    </row>
    <row r="750" spans="1:2" x14ac:dyDescent="0.2">
      <c r="A750" s="73" t="s">
        <v>830</v>
      </c>
      <c r="B750" s="69" t="s">
        <v>6387</v>
      </c>
    </row>
    <row r="751" spans="1:2" x14ac:dyDescent="0.2">
      <c r="A751" s="73" t="s">
        <v>831</v>
      </c>
      <c r="B751" s="69" t="s">
        <v>6386</v>
      </c>
    </row>
    <row r="752" spans="1:2" x14ac:dyDescent="0.2">
      <c r="A752" s="73" t="s">
        <v>272</v>
      </c>
      <c r="B752" s="69" t="s">
        <v>6385</v>
      </c>
    </row>
    <row r="753" spans="1:2" x14ac:dyDescent="0.2">
      <c r="A753" s="73" t="s">
        <v>832</v>
      </c>
      <c r="B753" s="69" t="s">
        <v>6384</v>
      </c>
    </row>
    <row r="754" spans="1:2" x14ac:dyDescent="0.2">
      <c r="A754" s="73" t="s">
        <v>1376</v>
      </c>
      <c r="B754" s="69" t="s">
        <v>6383</v>
      </c>
    </row>
    <row r="755" spans="1:2" x14ac:dyDescent="0.2">
      <c r="A755" s="73" t="s">
        <v>833</v>
      </c>
      <c r="B755" s="69" t="s">
        <v>6382</v>
      </c>
    </row>
    <row r="756" spans="1:2" x14ac:dyDescent="0.2">
      <c r="A756" s="73" t="s">
        <v>273</v>
      </c>
      <c r="B756" s="69" t="s">
        <v>6381</v>
      </c>
    </row>
    <row r="757" spans="1:2" x14ac:dyDescent="0.2">
      <c r="A757" s="73" t="s">
        <v>274</v>
      </c>
      <c r="B757" s="69" t="s">
        <v>6380</v>
      </c>
    </row>
    <row r="758" spans="1:2" x14ac:dyDescent="0.2">
      <c r="A758" s="73" t="s">
        <v>275</v>
      </c>
      <c r="B758" s="69" t="s">
        <v>6379</v>
      </c>
    </row>
    <row r="759" spans="1:2" x14ac:dyDescent="0.2">
      <c r="A759" s="73" t="s">
        <v>834</v>
      </c>
      <c r="B759" s="69" t="s">
        <v>6378</v>
      </c>
    </row>
    <row r="760" spans="1:2" x14ac:dyDescent="0.2">
      <c r="A760" s="73" t="s">
        <v>1795</v>
      </c>
      <c r="B760" s="69" t="s">
        <v>6377</v>
      </c>
    </row>
    <row r="761" spans="1:2" x14ac:dyDescent="0.2">
      <c r="A761" s="73" t="s">
        <v>276</v>
      </c>
      <c r="B761" s="69" t="s">
        <v>6376</v>
      </c>
    </row>
    <row r="762" spans="1:2" x14ac:dyDescent="0.2">
      <c r="A762" s="73" t="s">
        <v>835</v>
      </c>
      <c r="B762" s="69" t="s">
        <v>6375</v>
      </c>
    </row>
    <row r="763" spans="1:2" x14ac:dyDescent="0.2">
      <c r="A763" s="73" t="s">
        <v>277</v>
      </c>
      <c r="B763" s="69" t="s">
        <v>6374</v>
      </c>
    </row>
    <row r="764" spans="1:2" x14ac:dyDescent="0.2">
      <c r="A764" s="73" t="s">
        <v>836</v>
      </c>
      <c r="B764" s="69" t="s">
        <v>6373</v>
      </c>
    </row>
    <row r="765" spans="1:2" x14ac:dyDescent="0.2">
      <c r="A765" s="73" t="s">
        <v>837</v>
      </c>
      <c r="B765" s="69" t="s">
        <v>6372</v>
      </c>
    </row>
    <row r="766" spans="1:2" x14ac:dyDescent="0.2">
      <c r="A766" s="73" t="s">
        <v>838</v>
      </c>
      <c r="B766" s="69" t="s">
        <v>6371</v>
      </c>
    </row>
    <row r="767" spans="1:2" x14ac:dyDescent="0.2">
      <c r="A767" s="73" t="s">
        <v>278</v>
      </c>
      <c r="B767" s="69" t="s">
        <v>6370</v>
      </c>
    </row>
    <row r="768" spans="1:2" x14ac:dyDescent="0.2">
      <c r="A768" s="73" t="s">
        <v>279</v>
      </c>
      <c r="B768" s="69" t="s">
        <v>6369</v>
      </c>
    </row>
    <row r="769" spans="1:2" x14ac:dyDescent="0.2">
      <c r="A769" s="73" t="s">
        <v>839</v>
      </c>
      <c r="B769" s="69" t="s">
        <v>6368</v>
      </c>
    </row>
    <row r="770" spans="1:2" x14ac:dyDescent="0.2">
      <c r="A770" s="73" t="s">
        <v>1377</v>
      </c>
      <c r="B770" s="69" t="s">
        <v>6367</v>
      </c>
    </row>
    <row r="771" spans="1:2" x14ac:dyDescent="0.2">
      <c r="A771" s="73" t="s">
        <v>840</v>
      </c>
      <c r="B771" s="69" t="s">
        <v>6366</v>
      </c>
    </row>
    <row r="772" spans="1:2" x14ac:dyDescent="0.2">
      <c r="A772" s="73" t="s">
        <v>841</v>
      </c>
      <c r="B772" s="69" t="s">
        <v>6365</v>
      </c>
    </row>
    <row r="773" spans="1:2" x14ac:dyDescent="0.2">
      <c r="A773" s="73" t="s">
        <v>280</v>
      </c>
      <c r="B773" s="69" t="s">
        <v>6364</v>
      </c>
    </row>
    <row r="774" spans="1:2" x14ac:dyDescent="0.2">
      <c r="A774" s="73" t="s">
        <v>842</v>
      </c>
      <c r="B774" s="69" t="s">
        <v>6363</v>
      </c>
    </row>
    <row r="775" spans="1:2" x14ac:dyDescent="0.2">
      <c r="A775" s="73" t="s">
        <v>1782</v>
      </c>
      <c r="B775" s="69" t="s">
        <v>6362</v>
      </c>
    </row>
    <row r="776" spans="1:2" x14ac:dyDescent="0.2">
      <c r="A776" s="73" t="s">
        <v>1378</v>
      </c>
      <c r="B776" s="69" t="s">
        <v>6361</v>
      </c>
    </row>
    <row r="777" spans="1:2" x14ac:dyDescent="0.2">
      <c r="A777" s="73" t="s">
        <v>1379</v>
      </c>
      <c r="B777" s="69" t="s">
        <v>6360</v>
      </c>
    </row>
    <row r="778" spans="1:2" x14ac:dyDescent="0.2">
      <c r="A778" s="73" t="s">
        <v>843</v>
      </c>
      <c r="B778" s="69" t="s">
        <v>6359</v>
      </c>
    </row>
    <row r="779" spans="1:2" x14ac:dyDescent="0.2">
      <c r="A779" s="73" t="s">
        <v>844</v>
      </c>
      <c r="B779" s="69" t="s">
        <v>6358</v>
      </c>
    </row>
    <row r="780" spans="1:2" x14ac:dyDescent="0.2">
      <c r="A780" s="73" t="s">
        <v>281</v>
      </c>
      <c r="B780" s="69" t="s">
        <v>6357</v>
      </c>
    </row>
    <row r="781" spans="1:2" x14ac:dyDescent="0.2">
      <c r="A781" s="73" t="s">
        <v>282</v>
      </c>
      <c r="B781" s="69" t="s">
        <v>6356</v>
      </c>
    </row>
    <row r="782" spans="1:2" x14ac:dyDescent="0.2">
      <c r="A782" s="73" t="s">
        <v>283</v>
      </c>
      <c r="B782" s="69" t="s">
        <v>6355</v>
      </c>
    </row>
    <row r="783" spans="1:2" x14ac:dyDescent="0.2">
      <c r="A783" s="73" t="s">
        <v>845</v>
      </c>
      <c r="B783" s="69" t="s">
        <v>6354</v>
      </c>
    </row>
    <row r="784" spans="1:2" x14ac:dyDescent="0.2">
      <c r="A784" s="73" t="s">
        <v>284</v>
      </c>
      <c r="B784" s="69" t="s">
        <v>6353</v>
      </c>
    </row>
    <row r="785" spans="1:2" x14ac:dyDescent="0.2">
      <c r="A785" s="73" t="s">
        <v>846</v>
      </c>
      <c r="B785" s="69" t="s">
        <v>6352</v>
      </c>
    </row>
    <row r="786" spans="1:2" x14ac:dyDescent="0.2">
      <c r="A786" s="73" t="s">
        <v>847</v>
      </c>
      <c r="B786" s="69" t="s">
        <v>6351</v>
      </c>
    </row>
    <row r="787" spans="1:2" x14ac:dyDescent="0.2">
      <c r="A787" s="73" t="s">
        <v>1380</v>
      </c>
      <c r="B787" s="69" t="s">
        <v>6350</v>
      </c>
    </row>
    <row r="788" spans="1:2" x14ac:dyDescent="0.2">
      <c r="A788" s="73" t="s">
        <v>1381</v>
      </c>
      <c r="B788" s="69" t="s">
        <v>6349</v>
      </c>
    </row>
    <row r="789" spans="1:2" x14ac:dyDescent="0.2">
      <c r="A789" s="73" t="s">
        <v>3860</v>
      </c>
      <c r="B789" s="69" t="s">
        <v>6348</v>
      </c>
    </row>
    <row r="790" spans="1:2" x14ac:dyDescent="0.2">
      <c r="A790" s="73" t="s">
        <v>285</v>
      </c>
      <c r="B790" s="69" t="s">
        <v>6347</v>
      </c>
    </row>
    <row r="791" spans="1:2" x14ac:dyDescent="0.2">
      <c r="A791" s="73" t="s">
        <v>1786</v>
      </c>
      <c r="B791" s="69" t="s">
        <v>6346</v>
      </c>
    </row>
    <row r="792" spans="1:2" x14ac:dyDescent="0.2">
      <c r="A792" s="73" t="s">
        <v>1802</v>
      </c>
      <c r="B792" s="69" t="s">
        <v>6345</v>
      </c>
    </row>
    <row r="793" spans="1:2" x14ac:dyDescent="0.2">
      <c r="A793" s="73" t="s">
        <v>286</v>
      </c>
      <c r="B793" s="69" t="s">
        <v>6344</v>
      </c>
    </row>
    <row r="794" spans="1:2" x14ac:dyDescent="0.2">
      <c r="A794" s="73" t="s">
        <v>1792</v>
      </c>
      <c r="B794" s="69" t="s">
        <v>6343</v>
      </c>
    </row>
    <row r="795" spans="1:2" x14ac:dyDescent="0.2">
      <c r="A795" s="73" t="s">
        <v>848</v>
      </c>
      <c r="B795" s="69" t="s">
        <v>6342</v>
      </c>
    </row>
    <row r="796" spans="1:2" x14ac:dyDescent="0.2">
      <c r="A796" s="73" t="s">
        <v>849</v>
      </c>
      <c r="B796" s="69" t="s">
        <v>6341</v>
      </c>
    </row>
    <row r="797" spans="1:2" x14ac:dyDescent="0.2">
      <c r="A797" s="73" t="s">
        <v>1794</v>
      </c>
      <c r="B797" s="69" t="s">
        <v>6340</v>
      </c>
    </row>
    <row r="798" spans="1:2" x14ac:dyDescent="0.2">
      <c r="A798" s="73" t="s">
        <v>1783</v>
      </c>
      <c r="B798" s="69" t="s">
        <v>6339</v>
      </c>
    </row>
    <row r="799" spans="1:2" x14ac:dyDescent="0.2">
      <c r="A799" s="73" t="s">
        <v>1382</v>
      </c>
      <c r="B799" s="69" t="s">
        <v>6338</v>
      </c>
    </row>
    <row r="800" spans="1:2" x14ac:dyDescent="0.2">
      <c r="A800" s="73" t="s">
        <v>1383</v>
      </c>
      <c r="B800" s="69" t="s">
        <v>6337</v>
      </c>
    </row>
    <row r="801" spans="1:2" x14ac:dyDescent="0.2">
      <c r="A801" s="73" t="s">
        <v>287</v>
      </c>
      <c r="B801" s="69" t="s">
        <v>6336</v>
      </c>
    </row>
    <row r="802" spans="1:2" x14ac:dyDescent="0.2">
      <c r="A802" s="73" t="s">
        <v>1801</v>
      </c>
      <c r="B802" s="69" t="s">
        <v>6335</v>
      </c>
    </row>
    <row r="803" spans="1:2" x14ac:dyDescent="0.2">
      <c r="A803" s="73" t="s">
        <v>850</v>
      </c>
      <c r="B803" s="69" t="s">
        <v>6334</v>
      </c>
    </row>
    <row r="804" spans="1:2" x14ac:dyDescent="0.2">
      <c r="A804" s="73" t="s">
        <v>288</v>
      </c>
      <c r="B804" s="69" t="s">
        <v>6333</v>
      </c>
    </row>
    <row r="805" spans="1:2" x14ac:dyDescent="0.2">
      <c r="A805" s="73" t="s">
        <v>1827</v>
      </c>
      <c r="B805" s="69" t="s">
        <v>6332</v>
      </c>
    </row>
    <row r="806" spans="1:2" x14ac:dyDescent="0.2">
      <c r="A806" s="73" t="s">
        <v>851</v>
      </c>
      <c r="B806" s="69" t="s">
        <v>6331</v>
      </c>
    </row>
    <row r="807" spans="1:2" x14ac:dyDescent="0.2">
      <c r="A807" s="73" t="s">
        <v>1384</v>
      </c>
      <c r="B807" s="69" t="s">
        <v>6330</v>
      </c>
    </row>
    <row r="808" spans="1:2" x14ac:dyDescent="0.2">
      <c r="A808" s="73" t="s">
        <v>852</v>
      </c>
      <c r="B808" s="69" t="s">
        <v>6329</v>
      </c>
    </row>
    <row r="809" spans="1:2" x14ac:dyDescent="0.2">
      <c r="A809" s="73" t="s">
        <v>1385</v>
      </c>
      <c r="B809" s="69" t="s">
        <v>6328</v>
      </c>
    </row>
    <row r="810" spans="1:2" x14ac:dyDescent="0.2">
      <c r="A810" s="73" t="s">
        <v>1387</v>
      </c>
      <c r="B810" s="69" t="s">
        <v>6327</v>
      </c>
    </row>
    <row r="811" spans="1:2" x14ac:dyDescent="0.2">
      <c r="A811" s="73" t="s">
        <v>289</v>
      </c>
      <c r="B811" s="69" t="s">
        <v>6326</v>
      </c>
    </row>
    <row r="812" spans="1:2" x14ac:dyDescent="0.2">
      <c r="A812" s="73" t="s">
        <v>853</v>
      </c>
      <c r="B812" s="69" t="s">
        <v>6325</v>
      </c>
    </row>
    <row r="813" spans="1:2" x14ac:dyDescent="0.2">
      <c r="A813" s="73" t="s">
        <v>854</v>
      </c>
      <c r="B813" s="69" t="s">
        <v>6324</v>
      </c>
    </row>
    <row r="814" spans="1:2" x14ac:dyDescent="0.2">
      <c r="A814" s="73" t="s">
        <v>290</v>
      </c>
      <c r="B814" s="69" t="s">
        <v>6323</v>
      </c>
    </row>
    <row r="815" spans="1:2" x14ac:dyDescent="0.2">
      <c r="A815" s="73" t="s">
        <v>291</v>
      </c>
      <c r="B815" s="69" t="s">
        <v>6322</v>
      </c>
    </row>
    <row r="816" spans="1:2" x14ac:dyDescent="0.2">
      <c r="A816" s="73" t="s">
        <v>855</v>
      </c>
      <c r="B816" s="69" t="s">
        <v>6321</v>
      </c>
    </row>
    <row r="817" spans="1:2" x14ac:dyDescent="0.2">
      <c r="A817" s="73" t="s">
        <v>1789</v>
      </c>
      <c r="B817" s="69" t="s">
        <v>6320</v>
      </c>
    </row>
    <row r="818" spans="1:2" x14ac:dyDescent="0.2">
      <c r="A818" s="73" t="s">
        <v>292</v>
      </c>
      <c r="B818" s="69" t="s">
        <v>6319</v>
      </c>
    </row>
    <row r="819" spans="1:2" x14ac:dyDescent="0.2">
      <c r="A819" s="73" t="s">
        <v>293</v>
      </c>
      <c r="B819" s="69" t="s">
        <v>6318</v>
      </c>
    </row>
    <row r="820" spans="1:2" x14ac:dyDescent="0.2">
      <c r="A820" s="73" t="s">
        <v>294</v>
      </c>
      <c r="B820" s="69" t="s">
        <v>6317</v>
      </c>
    </row>
    <row r="821" spans="1:2" x14ac:dyDescent="0.2">
      <c r="A821" s="73" t="s">
        <v>1389</v>
      </c>
      <c r="B821" s="69" t="s">
        <v>6316</v>
      </c>
    </row>
    <row r="822" spans="1:2" x14ac:dyDescent="0.2">
      <c r="A822" s="73" t="s">
        <v>295</v>
      </c>
      <c r="B822" s="69" t="s">
        <v>6315</v>
      </c>
    </row>
    <row r="823" spans="1:2" x14ac:dyDescent="0.2">
      <c r="A823" s="73" t="s">
        <v>1814</v>
      </c>
      <c r="B823" s="69" t="s">
        <v>6314</v>
      </c>
    </row>
    <row r="824" spans="1:2" x14ac:dyDescent="0.2">
      <c r="A824" s="73" t="s">
        <v>296</v>
      </c>
      <c r="B824" s="69" t="s">
        <v>6313</v>
      </c>
    </row>
    <row r="825" spans="1:2" x14ac:dyDescent="0.2">
      <c r="A825" s="73" t="s">
        <v>856</v>
      </c>
      <c r="B825" s="69" t="s">
        <v>6312</v>
      </c>
    </row>
    <row r="826" spans="1:2" x14ac:dyDescent="0.2">
      <c r="A826" s="73" t="s">
        <v>857</v>
      </c>
      <c r="B826" s="69" t="s">
        <v>6311</v>
      </c>
    </row>
    <row r="827" spans="1:2" x14ac:dyDescent="0.2">
      <c r="A827" s="73" t="s">
        <v>297</v>
      </c>
      <c r="B827" s="69" t="s">
        <v>6310</v>
      </c>
    </row>
    <row r="828" spans="1:2" x14ac:dyDescent="0.2">
      <c r="A828" s="73" t="s">
        <v>1803</v>
      </c>
      <c r="B828" s="69" t="s">
        <v>6309</v>
      </c>
    </row>
    <row r="829" spans="1:2" x14ac:dyDescent="0.2">
      <c r="A829" s="73" t="s">
        <v>298</v>
      </c>
      <c r="B829" s="69" t="s">
        <v>6308</v>
      </c>
    </row>
    <row r="830" spans="1:2" x14ac:dyDescent="0.2">
      <c r="A830" s="73" t="s">
        <v>1390</v>
      </c>
      <c r="B830" s="69" t="s">
        <v>6307</v>
      </c>
    </row>
    <row r="831" spans="1:2" x14ac:dyDescent="0.2">
      <c r="A831" s="73" t="s">
        <v>299</v>
      </c>
      <c r="B831" s="69" t="s">
        <v>6306</v>
      </c>
    </row>
    <row r="832" spans="1:2" x14ac:dyDescent="0.2">
      <c r="A832" s="73" t="s">
        <v>858</v>
      </c>
      <c r="B832" s="69" t="s">
        <v>6305</v>
      </c>
    </row>
    <row r="833" spans="1:2" x14ac:dyDescent="0.2">
      <c r="A833" s="73" t="s">
        <v>300</v>
      </c>
      <c r="B833" s="69" t="s">
        <v>6304</v>
      </c>
    </row>
    <row r="834" spans="1:2" x14ac:dyDescent="0.2">
      <c r="A834" s="73" t="s">
        <v>1392</v>
      </c>
      <c r="B834" s="69" t="s">
        <v>6303</v>
      </c>
    </row>
    <row r="835" spans="1:2" x14ac:dyDescent="0.2">
      <c r="A835" s="73" t="s">
        <v>301</v>
      </c>
      <c r="B835" s="69" t="s">
        <v>6302</v>
      </c>
    </row>
    <row r="836" spans="1:2" x14ac:dyDescent="0.2">
      <c r="A836" s="73" t="s">
        <v>302</v>
      </c>
      <c r="B836" s="69" t="s">
        <v>6301</v>
      </c>
    </row>
    <row r="837" spans="1:2" x14ac:dyDescent="0.2">
      <c r="A837" s="73" t="s">
        <v>303</v>
      </c>
      <c r="B837" s="69" t="s">
        <v>6300</v>
      </c>
    </row>
    <row r="838" spans="1:2" x14ac:dyDescent="0.2">
      <c r="A838" s="73" t="s">
        <v>304</v>
      </c>
      <c r="B838" s="69" t="s">
        <v>6299</v>
      </c>
    </row>
    <row r="839" spans="1:2" x14ac:dyDescent="0.2">
      <c r="A839" s="73" t="s">
        <v>305</v>
      </c>
      <c r="B839" s="69" t="s">
        <v>6298</v>
      </c>
    </row>
    <row r="840" spans="1:2" x14ac:dyDescent="0.2">
      <c r="A840" s="73" t="s">
        <v>859</v>
      </c>
      <c r="B840" s="69" t="s">
        <v>6297</v>
      </c>
    </row>
    <row r="841" spans="1:2" x14ac:dyDescent="0.2">
      <c r="A841" s="73" t="s">
        <v>306</v>
      </c>
      <c r="B841" s="69" t="s">
        <v>6296</v>
      </c>
    </row>
    <row r="842" spans="1:2" x14ac:dyDescent="0.2">
      <c r="A842" s="73" t="s">
        <v>307</v>
      </c>
      <c r="B842" s="69" t="s">
        <v>6295</v>
      </c>
    </row>
    <row r="843" spans="1:2" x14ac:dyDescent="0.2">
      <c r="A843" s="73" t="s">
        <v>1393</v>
      </c>
      <c r="B843" s="69" t="s">
        <v>6294</v>
      </c>
    </row>
    <row r="844" spans="1:2" x14ac:dyDescent="0.2">
      <c r="A844" s="73" t="s">
        <v>308</v>
      </c>
      <c r="B844" s="69" t="s">
        <v>6293</v>
      </c>
    </row>
    <row r="845" spans="1:2" x14ac:dyDescent="0.2">
      <c r="A845" s="73" t="s">
        <v>309</v>
      </c>
      <c r="B845" s="69" t="s">
        <v>6292</v>
      </c>
    </row>
    <row r="846" spans="1:2" x14ac:dyDescent="0.2">
      <c r="A846" s="73" t="s">
        <v>310</v>
      </c>
      <c r="B846" s="69" t="s">
        <v>6291</v>
      </c>
    </row>
    <row r="847" spans="1:2" x14ac:dyDescent="0.2">
      <c r="A847" s="73" t="s">
        <v>1790</v>
      </c>
      <c r="B847" s="69" t="s">
        <v>6290</v>
      </c>
    </row>
    <row r="848" spans="1:2" x14ac:dyDescent="0.2">
      <c r="A848" s="73" t="s">
        <v>311</v>
      </c>
      <c r="B848" s="69" t="s">
        <v>6289</v>
      </c>
    </row>
    <row r="849" spans="1:2" x14ac:dyDescent="0.2">
      <c r="A849" s="73" t="s">
        <v>312</v>
      </c>
      <c r="B849" s="69" t="s">
        <v>6288</v>
      </c>
    </row>
    <row r="850" spans="1:2" x14ac:dyDescent="0.2">
      <c r="A850" s="73" t="s">
        <v>313</v>
      </c>
      <c r="B850" s="69" t="s">
        <v>6287</v>
      </c>
    </row>
    <row r="851" spans="1:2" x14ac:dyDescent="0.2">
      <c r="A851" s="73" t="s">
        <v>314</v>
      </c>
      <c r="B851" s="69" t="s">
        <v>6286</v>
      </c>
    </row>
    <row r="852" spans="1:2" x14ac:dyDescent="0.2">
      <c r="A852" s="73" t="s">
        <v>315</v>
      </c>
      <c r="B852" s="69" t="s">
        <v>6285</v>
      </c>
    </row>
    <row r="853" spans="1:2" x14ac:dyDescent="0.2">
      <c r="A853" s="73" t="s">
        <v>316</v>
      </c>
      <c r="B853" s="69" t="s">
        <v>6284</v>
      </c>
    </row>
    <row r="854" spans="1:2" x14ac:dyDescent="0.2">
      <c r="A854" s="73" t="s">
        <v>1395</v>
      </c>
      <c r="B854" s="69" t="s">
        <v>6283</v>
      </c>
    </row>
    <row r="855" spans="1:2" x14ac:dyDescent="0.2">
      <c r="A855" s="73" t="s">
        <v>317</v>
      </c>
      <c r="B855" s="69" t="s">
        <v>6282</v>
      </c>
    </row>
    <row r="856" spans="1:2" x14ac:dyDescent="0.2">
      <c r="A856" s="73" t="s">
        <v>860</v>
      </c>
      <c r="B856" s="69" t="s">
        <v>6281</v>
      </c>
    </row>
    <row r="857" spans="1:2" x14ac:dyDescent="0.2">
      <c r="A857" s="73" t="s">
        <v>318</v>
      </c>
      <c r="B857" s="69" t="s">
        <v>6280</v>
      </c>
    </row>
    <row r="858" spans="1:2" x14ac:dyDescent="0.2">
      <c r="A858" s="73" t="s">
        <v>319</v>
      </c>
      <c r="B858" s="69" t="s">
        <v>6279</v>
      </c>
    </row>
    <row r="859" spans="1:2" x14ac:dyDescent="0.2">
      <c r="A859" s="73" t="s">
        <v>863</v>
      </c>
      <c r="B859" s="69" t="s">
        <v>6278</v>
      </c>
    </row>
    <row r="860" spans="1:2" x14ac:dyDescent="0.2">
      <c r="A860" s="73" t="s">
        <v>320</v>
      </c>
      <c r="B860" s="69" t="s">
        <v>6277</v>
      </c>
    </row>
    <row r="861" spans="1:2" x14ac:dyDescent="0.2">
      <c r="A861" s="73" t="s">
        <v>321</v>
      </c>
      <c r="B861" s="69" t="s">
        <v>6276</v>
      </c>
    </row>
    <row r="862" spans="1:2" x14ac:dyDescent="0.2">
      <c r="A862" s="73" t="s">
        <v>322</v>
      </c>
      <c r="B862" s="69" t="s">
        <v>6275</v>
      </c>
    </row>
    <row r="863" spans="1:2" x14ac:dyDescent="0.2">
      <c r="A863" s="73" t="s">
        <v>323</v>
      </c>
      <c r="B863" s="69" t="s">
        <v>6274</v>
      </c>
    </row>
    <row r="864" spans="1:2" x14ac:dyDescent="0.2">
      <c r="A864" s="73" t="s">
        <v>1397</v>
      </c>
      <c r="B864" s="69" t="s">
        <v>6273</v>
      </c>
    </row>
    <row r="865" spans="1:2" x14ac:dyDescent="0.2">
      <c r="A865" s="73" t="s">
        <v>324</v>
      </c>
      <c r="B865" s="69" t="s">
        <v>6272</v>
      </c>
    </row>
    <row r="866" spans="1:2" x14ac:dyDescent="0.2">
      <c r="A866" s="73" t="s">
        <v>325</v>
      </c>
      <c r="B866" s="69" t="s">
        <v>6271</v>
      </c>
    </row>
    <row r="867" spans="1:2" x14ac:dyDescent="0.2">
      <c r="A867" s="73" t="s">
        <v>326</v>
      </c>
      <c r="B867" s="69" t="s">
        <v>6270</v>
      </c>
    </row>
    <row r="868" spans="1:2" x14ac:dyDescent="0.2">
      <c r="A868" s="73" t="s">
        <v>327</v>
      </c>
      <c r="B868" s="69" t="s">
        <v>6269</v>
      </c>
    </row>
    <row r="869" spans="1:2" x14ac:dyDescent="0.2">
      <c r="A869" s="73" t="s">
        <v>864</v>
      </c>
      <c r="B869" s="69" t="s">
        <v>6268</v>
      </c>
    </row>
    <row r="870" spans="1:2" x14ac:dyDescent="0.2">
      <c r="A870" s="73" t="s">
        <v>328</v>
      </c>
      <c r="B870" s="69" t="s">
        <v>6267</v>
      </c>
    </row>
    <row r="871" spans="1:2" x14ac:dyDescent="0.2">
      <c r="A871" s="73" t="s">
        <v>329</v>
      </c>
      <c r="B871" s="69" t="s">
        <v>6266</v>
      </c>
    </row>
    <row r="872" spans="1:2" x14ac:dyDescent="0.2">
      <c r="A872" s="73" t="s">
        <v>330</v>
      </c>
      <c r="B872" s="69" t="s">
        <v>6265</v>
      </c>
    </row>
    <row r="873" spans="1:2" x14ac:dyDescent="0.2">
      <c r="A873" s="73" t="s">
        <v>331</v>
      </c>
      <c r="B873" s="69" t="s">
        <v>6264</v>
      </c>
    </row>
    <row r="874" spans="1:2" x14ac:dyDescent="0.2">
      <c r="A874" s="73" t="s">
        <v>1399</v>
      </c>
      <c r="B874" s="69" t="s">
        <v>6263</v>
      </c>
    </row>
    <row r="875" spans="1:2" x14ac:dyDescent="0.2">
      <c r="A875" s="73" t="s">
        <v>332</v>
      </c>
      <c r="B875" s="69" t="s">
        <v>6262</v>
      </c>
    </row>
    <row r="876" spans="1:2" x14ac:dyDescent="0.2">
      <c r="A876" s="73" t="s">
        <v>333</v>
      </c>
      <c r="B876" s="69" t="s">
        <v>6261</v>
      </c>
    </row>
    <row r="877" spans="1:2" x14ac:dyDescent="0.2">
      <c r="A877" s="73" t="s">
        <v>1400</v>
      </c>
      <c r="B877" s="69" t="s">
        <v>6260</v>
      </c>
    </row>
    <row r="878" spans="1:2" x14ac:dyDescent="0.2">
      <c r="A878" s="73" t="s">
        <v>865</v>
      </c>
      <c r="B878" s="69" t="s">
        <v>6259</v>
      </c>
    </row>
    <row r="879" spans="1:2" x14ac:dyDescent="0.2">
      <c r="A879" s="73" t="s">
        <v>334</v>
      </c>
      <c r="B879" s="69" t="s">
        <v>6258</v>
      </c>
    </row>
    <row r="880" spans="1:2" x14ac:dyDescent="0.2">
      <c r="A880" s="73" t="s">
        <v>335</v>
      </c>
      <c r="B880" s="69" t="s">
        <v>6257</v>
      </c>
    </row>
    <row r="881" spans="1:2" x14ac:dyDescent="0.2">
      <c r="A881" s="73" t="s">
        <v>336</v>
      </c>
      <c r="B881" s="69" t="s">
        <v>6256</v>
      </c>
    </row>
    <row r="882" spans="1:2" x14ac:dyDescent="0.2">
      <c r="A882" s="73" t="s">
        <v>337</v>
      </c>
      <c r="B882" s="69" t="s">
        <v>6255</v>
      </c>
    </row>
    <row r="883" spans="1:2" x14ac:dyDescent="0.2">
      <c r="A883" s="73" t="s">
        <v>338</v>
      </c>
      <c r="B883" s="69" t="s">
        <v>6254</v>
      </c>
    </row>
    <row r="884" spans="1:2" x14ac:dyDescent="0.2">
      <c r="A884" s="73" t="s">
        <v>339</v>
      </c>
      <c r="B884" s="69" t="s">
        <v>6253</v>
      </c>
    </row>
    <row r="885" spans="1:2" x14ac:dyDescent="0.2">
      <c r="A885" s="73" t="s">
        <v>1401</v>
      </c>
      <c r="B885" s="69" t="s">
        <v>6252</v>
      </c>
    </row>
    <row r="886" spans="1:2" x14ac:dyDescent="0.2">
      <c r="A886" s="73" t="s">
        <v>340</v>
      </c>
      <c r="B886" s="69" t="s">
        <v>6251</v>
      </c>
    </row>
    <row r="887" spans="1:2" x14ac:dyDescent="0.2">
      <c r="A887" s="73" t="s">
        <v>866</v>
      </c>
      <c r="B887" s="69" t="s">
        <v>6250</v>
      </c>
    </row>
    <row r="888" spans="1:2" x14ac:dyDescent="0.2">
      <c r="A888" s="73" t="s">
        <v>341</v>
      </c>
      <c r="B888" s="69" t="s">
        <v>6249</v>
      </c>
    </row>
    <row r="889" spans="1:2" x14ac:dyDescent="0.2">
      <c r="A889" s="73" t="s">
        <v>342</v>
      </c>
      <c r="B889" s="69" t="s">
        <v>6248</v>
      </c>
    </row>
    <row r="890" spans="1:2" x14ac:dyDescent="0.2">
      <c r="A890" s="73" t="s">
        <v>343</v>
      </c>
      <c r="B890" s="69" t="s">
        <v>6247</v>
      </c>
    </row>
    <row r="891" spans="1:2" x14ac:dyDescent="0.2">
      <c r="A891" s="73" t="s">
        <v>344</v>
      </c>
      <c r="B891" s="69" t="s">
        <v>6246</v>
      </c>
    </row>
    <row r="892" spans="1:2" x14ac:dyDescent="0.2">
      <c r="A892" s="73" t="s">
        <v>345</v>
      </c>
      <c r="B892" s="69" t="s">
        <v>6245</v>
      </c>
    </row>
    <row r="893" spans="1:2" x14ac:dyDescent="0.2">
      <c r="A893" s="73" t="s">
        <v>346</v>
      </c>
      <c r="B893" s="69" t="s">
        <v>6244</v>
      </c>
    </row>
    <row r="894" spans="1:2" x14ac:dyDescent="0.2">
      <c r="A894" s="73" t="s">
        <v>347</v>
      </c>
      <c r="B894" s="69" t="s">
        <v>6243</v>
      </c>
    </row>
    <row r="895" spans="1:2" x14ac:dyDescent="0.2">
      <c r="A895" s="73" t="s">
        <v>348</v>
      </c>
      <c r="B895" s="69" t="s">
        <v>6242</v>
      </c>
    </row>
    <row r="896" spans="1:2" x14ac:dyDescent="0.2">
      <c r="A896" s="73" t="s">
        <v>1403</v>
      </c>
      <c r="B896" s="69" t="s">
        <v>6241</v>
      </c>
    </row>
    <row r="897" spans="1:2" x14ac:dyDescent="0.2">
      <c r="A897" s="73" t="s">
        <v>3859</v>
      </c>
      <c r="B897" s="69" t="s">
        <v>6240</v>
      </c>
    </row>
    <row r="898" spans="1:2" x14ac:dyDescent="0.2">
      <c r="A898" s="73" t="s">
        <v>349</v>
      </c>
      <c r="B898" s="69" t="s">
        <v>6239</v>
      </c>
    </row>
    <row r="899" spans="1:2" x14ac:dyDescent="0.2">
      <c r="A899" s="73" t="s">
        <v>350</v>
      </c>
      <c r="B899" s="69" t="s">
        <v>6238</v>
      </c>
    </row>
    <row r="900" spans="1:2" x14ac:dyDescent="0.2">
      <c r="A900" s="73" t="s">
        <v>351</v>
      </c>
      <c r="B900" s="69" t="s">
        <v>6237</v>
      </c>
    </row>
    <row r="901" spans="1:2" x14ac:dyDescent="0.2">
      <c r="A901" s="73" t="s">
        <v>352</v>
      </c>
      <c r="B901" s="69" t="s">
        <v>6236</v>
      </c>
    </row>
    <row r="902" spans="1:2" x14ac:dyDescent="0.2">
      <c r="A902" s="73" t="s">
        <v>353</v>
      </c>
      <c r="B902" s="69" t="s">
        <v>6235</v>
      </c>
    </row>
    <row r="903" spans="1:2" x14ac:dyDescent="0.2">
      <c r="A903" s="73" t="s">
        <v>354</v>
      </c>
      <c r="B903" s="69" t="s">
        <v>6234</v>
      </c>
    </row>
    <row r="904" spans="1:2" x14ac:dyDescent="0.2">
      <c r="A904" s="73" t="s">
        <v>1813</v>
      </c>
      <c r="B904" s="69" t="s">
        <v>6233</v>
      </c>
    </row>
    <row r="905" spans="1:2" x14ac:dyDescent="0.2">
      <c r="A905" s="73" t="s">
        <v>355</v>
      </c>
      <c r="B905" s="69" t="s">
        <v>6232</v>
      </c>
    </row>
    <row r="906" spans="1:2" x14ac:dyDescent="0.2">
      <c r="A906" s="73" t="s">
        <v>867</v>
      </c>
      <c r="B906" s="69" t="s">
        <v>6231</v>
      </c>
    </row>
    <row r="907" spans="1:2" x14ac:dyDescent="0.2">
      <c r="A907" s="73" t="s">
        <v>356</v>
      </c>
      <c r="B907" s="69" t="s">
        <v>6230</v>
      </c>
    </row>
    <row r="908" spans="1:2" x14ac:dyDescent="0.2">
      <c r="A908" s="73" t="s">
        <v>1826</v>
      </c>
      <c r="B908" s="69" t="s">
        <v>6229</v>
      </c>
    </row>
    <row r="909" spans="1:2" x14ac:dyDescent="0.2">
      <c r="A909" s="73" t="s">
        <v>357</v>
      </c>
      <c r="B909" s="69" t="s">
        <v>6228</v>
      </c>
    </row>
    <row r="910" spans="1:2" x14ac:dyDescent="0.2">
      <c r="A910" s="73" t="s">
        <v>358</v>
      </c>
      <c r="B910" s="69" t="s">
        <v>6227</v>
      </c>
    </row>
    <row r="911" spans="1:2" x14ac:dyDescent="0.2">
      <c r="A911" s="73" t="s">
        <v>1404</v>
      </c>
      <c r="B911" s="69" t="s">
        <v>6226</v>
      </c>
    </row>
    <row r="912" spans="1:2" x14ac:dyDescent="0.2">
      <c r="A912" s="73" t="s">
        <v>3858</v>
      </c>
      <c r="B912" s="69" t="s">
        <v>6225</v>
      </c>
    </row>
    <row r="913" spans="1:2" x14ac:dyDescent="0.2">
      <c r="A913" s="73" t="s">
        <v>1804</v>
      </c>
      <c r="B913" s="69" t="s">
        <v>6224</v>
      </c>
    </row>
    <row r="914" spans="1:2" x14ac:dyDescent="0.2">
      <c r="A914" s="73" t="s">
        <v>1824</v>
      </c>
      <c r="B914" s="69" t="s">
        <v>6223</v>
      </c>
    </row>
    <row r="915" spans="1:2" x14ac:dyDescent="0.2">
      <c r="A915" s="73" t="s">
        <v>1825</v>
      </c>
      <c r="B915" s="69" t="s">
        <v>6222</v>
      </c>
    </row>
    <row r="916" spans="1:2" x14ac:dyDescent="0.2">
      <c r="A916" s="73" t="s">
        <v>3857</v>
      </c>
      <c r="B916" s="69" t="s">
        <v>6221</v>
      </c>
    </row>
    <row r="917" spans="1:2" x14ac:dyDescent="0.2">
      <c r="A917" s="73" t="s">
        <v>868</v>
      </c>
      <c r="B917" s="69" t="s">
        <v>6220</v>
      </c>
    </row>
    <row r="918" spans="1:2" x14ac:dyDescent="0.2">
      <c r="A918" s="73" t="s">
        <v>1800</v>
      </c>
      <c r="B918" s="69" t="s">
        <v>6219</v>
      </c>
    </row>
    <row r="919" spans="1:2" x14ac:dyDescent="0.2">
      <c r="A919" s="73" t="s">
        <v>1810</v>
      </c>
      <c r="B919" s="69" t="s">
        <v>6218</v>
      </c>
    </row>
    <row r="920" spans="1:2" x14ac:dyDescent="0.2">
      <c r="A920" s="73" t="s">
        <v>1812</v>
      </c>
      <c r="B920" s="69" t="s">
        <v>6217</v>
      </c>
    </row>
    <row r="921" spans="1:2" x14ac:dyDescent="0.2">
      <c r="A921" s="73" t="s">
        <v>1817</v>
      </c>
      <c r="B921" s="69" t="s">
        <v>6216</v>
      </c>
    </row>
    <row r="922" spans="1:2" x14ac:dyDescent="0.2">
      <c r="A922" s="73" t="s">
        <v>1816</v>
      </c>
      <c r="B922" s="69" t="s">
        <v>6215</v>
      </c>
    </row>
    <row r="923" spans="1:2" x14ac:dyDescent="0.2">
      <c r="A923" s="73" t="s">
        <v>1811</v>
      </c>
      <c r="B923" s="69" t="s">
        <v>6214</v>
      </c>
    </row>
    <row r="924" spans="1:2" x14ac:dyDescent="0.2">
      <c r="A924" s="73" t="s">
        <v>3856</v>
      </c>
      <c r="B924" s="69" t="s">
        <v>6213</v>
      </c>
    </row>
    <row r="925" spans="1:2" x14ac:dyDescent="0.2">
      <c r="A925" s="73" t="s">
        <v>869</v>
      </c>
      <c r="B925" s="69" t="s">
        <v>6212</v>
      </c>
    </row>
    <row r="926" spans="1:2" x14ac:dyDescent="0.2">
      <c r="A926" s="73" t="s">
        <v>1405</v>
      </c>
      <c r="B926" s="69" t="s">
        <v>6211</v>
      </c>
    </row>
    <row r="927" spans="1:2" x14ac:dyDescent="0.2">
      <c r="A927" s="73" t="s">
        <v>1406</v>
      </c>
      <c r="B927" s="69" t="s">
        <v>6210</v>
      </c>
    </row>
    <row r="928" spans="1:2" x14ac:dyDescent="0.2">
      <c r="A928" s="73" t="s">
        <v>1407</v>
      </c>
      <c r="B928" s="69" t="s">
        <v>6209</v>
      </c>
    </row>
    <row r="929" spans="1:2" x14ac:dyDescent="0.2">
      <c r="A929" s="73" t="s">
        <v>1408</v>
      </c>
      <c r="B929" s="69" t="s">
        <v>6208</v>
      </c>
    </row>
    <row r="930" spans="1:2" x14ac:dyDescent="0.2">
      <c r="A930" s="73" t="s">
        <v>1409</v>
      </c>
      <c r="B930" s="69" t="s">
        <v>6207</v>
      </c>
    </row>
    <row r="931" spans="1:2" x14ac:dyDescent="0.2">
      <c r="A931" s="73" t="s">
        <v>1410</v>
      </c>
      <c r="B931" s="69" t="s">
        <v>6206</v>
      </c>
    </row>
    <row r="932" spans="1:2" x14ac:dyDescent="0.2">
      <c r="A932" s="73" t="s">
        <v>1411</v>
      </c>
      <c r="B932" s="69" t="s">
        <v>6205</v>
      </c>
    </row>
    <row r="933" spans="1:2" x14ac:dyDescent="0.2">
      <c r="A933" s="73" t="s">
        <v>1412</v>
      </c>
      <c r="B933" s="69" t="s">
        <v>6204</v>
      </c>
    </row>
    <row r="934" spans="1:2" x14ac:dyDescent="0.2">
      <c r="A934" s="73" t="s">
        <v>870</v>
      </c>
      <c r="B934" s="69" t="s">
        <v>6203</v>
      </c>
    </row>
    <row r="935" spans="1:2" x14ac:dyDescent="0.2">
      <c r="A935" s="73" t="s">
        <v>1413</v>
      </c>
      <c r="B935" s="69" t="s">
        <v>6202</v>
      </c>
    </row>
    <row r="936" spans="1:2" x14ac:dyDescent="0.2">
      <c r="A936" s="73" t="s">
        <v>871</v>
      </c>
      <c r="B936" s="69" t="s">
        <v>6201</v>
      </c>
    </row>
    <row r="937" spans="1:2" x14ac:dyDescent="0.2">
      <c r="A937" s="73" t="s">
        <v>872</v>
      </c>
      <c r="B937" s="69" t="s">
        <v>6200</v>
      </c>
    </row>
    <row r="938" spans="1:2" x14ac:dyDescent="0.2">
      <c r="A938" s="73" t="s">
        <v>1415</v>
      </c>
      <c r="B938" s="69" t="s">
        <v>6199</v>
      </c>
    </row>
    <row r="939" spans="1:2" x14ac:dyDescent="0.2">
      <c r="A939" s="73" t="s">
        <v>359</v>
      </c>
      <c r="B939" s="69" t="s">
        <v>6198</v>
      </c>
    </row>
    <row r="940" spans="1:2" x14ac:dyDescent="0.2">
      <c r="A940" s="73" t="s">
        <v>360</v>
      </c>
      <c r="B940" s="69" t="s">
        <v>6197</v>
      </c>
    </row>
    <row r="941" spans="1:2" x14ac:dyDescent="0.2">
      <c r="A941" s="73" t="s">
        <v>873</v>
      </c>
      <c r="B941" s="69" t="s">
        <v>6196</v>
      </c>
    </row>
    <row r="942" spans="1:2" x14ac:dyDescent="0.2">
      <c r="A942" s="73" t="s">
        <v>1417</v>
      </c>
      <c r="B942" s="69" t="s">
        <v>6195</v>
      </c>
    </row>
    <row r="943" spans="1:2" x14ac:dyDescent="0.2">
      <c r="A943" s="73" t="s">
        <v>1418</v>
      </c>
      <c r="B943" s="69" t="s">
        <v>6194</v>
      </c>
    </row>
    <row r="944" spans="1:2" x14ac:dyDescent="0.2">
      <c r="A944" s="73" t="s">
        <v>1419</v>
      </c>
      <c r="B944" s="69" t="s">
        <v>6193</v>
      </c>
    </row>
    <row r="945" spans="1:2" x14ac:dyDescent="0.2">
      <c r="A945" s="73" t="s">
        <v>874</v>
      </c>
      <c r="B945" s="69" t="s">
        <v>6192</v>
      </c>
    </row>
    <row r="946" spans="1:2" x14ac:dyDescent="0.2">
      <c r="A946" s="73" t="s">
        <v>875</v>
      </c>
      <c r="B946" s="69" t="s">
        <v>6191</v>
      </c>
    </row>
    <row r="947" spans="1:2" x14ac:dyDescent="0.2">
      <c r="A947" s="73" t="s">
        <v>1420</v>
      </c>
      <c r="B947" s="69" t="s">
        <v>6190</v>
      </c>
    </row>
    <row r="948" spans="1:2" x14ac:dyDescent="0.2">
      <c r="A948" s="73" t="s">
        <v>1421</v>
      </c>
      <c r="B948" s="69" t="s">
        <v>6189</v>
      </c>
    </row>
    <row r="949" spans="1:2" x14ac:dyDescent="0.2">
      <c r="A949" s="73" t="s">
        <v>1422</v>
      </c>
      <c r="B949" s="69" t="s">
        <v>6188</v>
      </c>
    </row>
    <row r="950" spans="1:2" x14ac:dyDescent="0.2">
      <c r="A950" s="73" t="s">
        <v>876</v>
      </c>
      <c r="B950" s="69" t="s">
        <v>6187</v>
      </c>
    </row>
    <row r="951" spans="1:2" x14ac:dyDescent="0.2">
      <c r="A951" s="73" t="s">
        <v>877</v>
      </c>
      <c r="B951" s="69" t="s">
        <v>6186</v>
      </c>
    </row>
    <row r="952" spans="1:2" x14ac:dyDescent="0.2">
      <c r="A952" s="73" t="s">
        <v>1423</v>
      </c>
      <c r="B952" s="69" t="s">
        <v>6185</v>
      </c>
    </row>
    <row r="953" spans="1:2" x14ac:dyDescent="0.2">
      <c r="A953" s="73" t="s">
        <v>878</v>
      </c>
      <c r="B953" s="69" t="s">
        <v>6184</v>
      </c>
    </row>
    <row r="954" spans="1:2" x14ac:dyDescent="0.2">
      <c r="A954" s="73" t="s">
        <v>1424</v>
      </c>
      <c r="B954" s="69" t="s">
        <v>6183</v>
      </c>
    </row>
    <row r="955" spans="1:2" x14ac:dyDescent="0.2">
      <c r="A955" s="73" t="s">
        <v>879</v>
      </c>
      <c r="B955" s="69" t="s">
        <v>6182</v>
      </c>
    </row>
    <row r="956" spans="1:2" x14ac:dyDescent="0.2">
      <c r="A956" s="73" t="s">
        <v>1425</v>
      </c>
      <c r="B956" s="69" t="s">
        <v>6181</v>
      </c>
    </row>
    <row r="957" spans="1:2" x14ac:dyDescent="0.2">
      <c r="A957" s="73" t="s">
        <v>1426</v>
      </c>
      <c r="B957" s="69" t="s">
        <v>6180</v>
      </c>
    </row>
    <row r="958" spans="1:2" x14ac:dyDescent="0.2">
      <c r="A958" s="73" t="s">
        <v>1427</v>
      </c>
      <c r="B958" s="69" t="s">
        <v>6179</v>
      </c>
    </row>
    <row r="959" spans="1:2" x14ac:dyDescent="0.2">
      <c r="A959" s="73" t="s">
        <v>1428</v>
      </c>
      <c r="B959" s="69" t="s">
        <v>6178</v>
      </c>
    </row>
    <row r="960" spans="1:2" x14ac:dyDescent="0.2">
      <c r="A960" s="73" t="s">
        <v>1429</v>
      </c>
      <c r="B960" s="69" t="s">
        <v>6177</v>
      </c>
    </row>
    <row r="961" spans="1:2" x14ac:dyDescent="0.2">
      <c r="A961" s="73" t="s">
        <v>880</v>
      </c>
      <c r="B961" s="69" t="s">
        <v>6176</v>
      </c>
    </row>
    <row r="962" spans="1:2" x14ac:dyDescent="0.2">
      <c r="A962" s="73" t="s">
        <v>1430</v>
      </c>
      <c r="B962" s="69" t="s">
        <v>6175</v>
      </c>
    </row>
    <row r="963" spans="1:2" x14ac:dyDescent="0.2">
      <c r="A963" s="73" t="s">
        <v>1431</v>
      </c>
      <c r="B963" s="69" t="s">
        <v>6174</v>
      </c>
    </row>
    <row r="964" spans="1:2" x14ac:dyDescent="0.2">
      <c r="A964" s="73" t="s">
        <v>881</v>
      </c>
      <c r="B964" s="69" t="s">
        <v>6173</v>
      </c>
    </row>
    <row r="965" spans="1:2" x14ac:dyDescent="0.2">
      <c r="A965" s="73" t="s">
        <v>882</v>
      </c>
      <c r="B965" s="69" t="s">
        <v>6172</v>
      </c>
    </row>
    <row r="966" spans="1:2" x14ac:dyDescent="0.2">
      <c r="A966" s="73" t="s">
        <v>1432</v>
      </c>
      <c r="B966" s="69" t="s">
        <v>6171</v>
      </c>
    </row>
    <row r="967" spans="1:2" x14ac:dyDescent="0.2">
      <c r="A967" s="73" t="s">
        <v>883</v>
      </c>
      <c r="B967" s="69" t="s">
        <v>6170</v>
      </c>
    </row>
    <row r="968" spans="1:2" x14ac:dyDescent="0.2">
      <c r="A968" s="73" t="s">
        <v>361</v>
      </c>
      <c r="B968" s="69" t="s">
        <v>6169</v>
      </c>
    </row>
    <row r="969" spans="1:2" x14ac:dyDescent="0.2">
      <c r="A969" s="73" t="s">
        <v>1433</v>
      </c>
      <c r="B969" s="69" t="s">
        <v>6168</v>
      </c>
    </row>
    <row r="970" spans="1:2" x14ac:dyDescent="0.2">
      <c r="A970" s="73" t="s">
        <v>1434</v>
      </c>
      <c r="B970" s="69" t="s">
        <v>6167</v>
      </c>
    </row>
    <row r="971" spans="1:2" x14ac:dyDescent="0.2">
      <c r="A971" s="73" t="s">
        <v>884</v>
      </c>
      <c r="B971" s="69" t="s">
        <v>6166</v>
      </c>
    </row>
    <row r="972" spans="1:2" x14ac:dyDescent="0.2">
      <c r="A972" s="73" t="s">
        <v>1435</v>
      </c>
      <c r="B972" s="69" t="s">
        <v>6165</v>
      </c>
    </row>
    <row r="973" spans="1:2" x14ac:dyDescent="0.2">
      <c r="A973" s="73" t="s">
        <v>1436</v>
      </c>
      <c r="B973" s="69" t="s">
        <v>6164</v>
      </c>
    </row>
    <row r="974" spans="1:2" x14ac:dyDescent="0.2">
      <c r="A974" s="73" t="s">
        <v>1437</v>
      </c>
      <c r="B974" s="69" t="s">
        <v>6163</v>
      </c>
    </row>
    <row r="975" spans="1:2" x14ac:dyDescent="0.2">
      <c r="A975" s="73" t="s">
        <v>1438</v>
      </c>
      <c r="B975" s="69" t="s">
        <v>6162</v>
      </c>
    </row>
    <row r="976" spans="1:2" x14ac:dyDescent="0.2">
      <c r="A976" s="73" t="s">
        <v>1439</v>
      </c>
      <c r="B976" s="69" t="s">
        <v>6161</v>
      </c>
    </row>
    <row r="977" spans="1:2" x14ac:dyDescent="0.2">
      <c r="A977" s="73" t="s">
        <v>1440</v>
      </c>
      <c r="B977" s="69" t="s">
        <v>6160</v>
      </c>
    </row>
    <row r="978" spans="1:2" x14ac:dyDescent="0.2">
      <c r="A978" s="73" t="s">
        <v>1441</v>
      </c>
      <c r="B978" s="69" t="s">
        <v>6159</v>
      </c>
    </row>
    <row r="979" spans="1:2" x14ac:dyDescent="0.2">
      <c r="A979" s="73" t="s">
        <v>885</v>
      </c>
      <c r="B979" s="69" t="s">
        <v>6158</v>
      </c>
    </row>
    <row r="980" spans="1:2" x14ac:dyDescent="0.2">
      <c r="A980" s="73" t="s">
        <v>1442</v>
      </c>
      <c r="B980" s="69" t="s">
        <v>6157</v>
      </c>
    </row>
    <row r="981" spans="1:2" x14ac:dyDescent="0.2">
      <c r="A981" s="73" t="s">
        <v>886</v>
      </c>
      <c r="B981" s="69" t="s">
        <v>6156</v>
      </c>
    </row>
    <row r="982" spans="1:2" x14ac:dyDescent="0.2">
      <c r="A982" s="73" t="s">
        <v>1443</v>
      </c>
      <c r="B982" s="69" t="s">
        <v>6155</v>
      </c>
    </row>
    <row r="983" spans="1:2" x14ac:dyDescent="0.2">
      <c r="A983" s="73" t="s">
        <v>1444</v>
      </c>
      <c r="B983" s="69" t="s">
        <v>6154</v>
      </c>
    </row>
    <row r="984" spans="1:2" x14ac:dyDescent="0.2">
      <c r="A984" s="73" t="s">
        <v>1445</v>
      </c>
      <c r="B984" s="69" t="s">
        <v>6153</v>
      </c>
    </row>
    <row r="985" spans="1:2" x14ac:dyDescent="0.2">
      <c r="A985" s="73" t="s">
        <v>887</v>
      </c>
      <c r="B985" s="69" t="s">
        <v>6152</v>
      </c>
    </row>
    <row r="986" spans="1:2" x14ac:dyDescent="0.2">
      <c r="A986" s="73" t="s">
        <v>1446</v>
      </c>
      <c r="B986" s="69" t="s">
        <v>6151</v>
      </c>
    </row>
    <row r="987" spans="1:2" x14ac:dyDescent="0.2">
      <c r="A987" s="73" t="s">
        <v>1447</v>
      </c>
      <c r="B987" s="69" t="s">
        <v>6150</v>
      </c>
    </row>
    <row r="988" spans="1:2" x14ac:dyDescent="0.2">
      <c r="A988" s="73" t="s">
        <v>362</v>
      </c>
      <c r="B988" s="69" t="s">
        <v>6149</v>
      </c>
    </row>
    <row r="989" spans="1:2" x14ac:dyDescent="0.2">
      <c r="A989" s="73" t="s">
        <v>1448</v>
      </c>
      <c r="B989" s="69" t="s">
        <v>6148</v>
      </c>
    </row>
    <row r="990" spans="1:2" x14ac:dyDescent="0.2">
      <c r="A990" s="73" t="s">
        <v>1449</v>
      </c>
      <c r="B990" s="69" t="s">
        <v>6147</v>
      </c>
    </row>
    <row r="991" spans="1:2" x14ac:dyDescent="0.2">
      <c r="A991" s="73" t="s">
        <v>1450</v>
      </c>
      <c r="B991" s="69" t="s">
        <v>6146</v>
      </c>
    </row>
    <row r="992" spans="1:2" x14ac:dyDescent="0.2">
      <c r="A992" s="73" t="s">
        <v>1451</v>
      </c>
      <c r="B992" s="69" t="s">
        <v>6145</v>
      </c>
    </row>
    <row r="993" spans="1:2" x14ac:dyDescent="0.2">
      <c r="A993" s="73" t="s">
        <v>888</v>
      </c>
      <c r="B993" s="69" t="s">
        <v>6144</v>
      </c>
    </row>
    <row r="994" spans="1:2" x14ac:dyDescent="0.2">
      <c r="A994" s="73" t="s">
        <v>1452</v>
      </c>
      <c r="B994" s="69" t="s">
        <v>6143</v>
      </c>
    </row>
    <row r="995" spans="1:2" x14ac:dyDescent="0.2">
      <c r="A995" s="73" t="s">
        <v>1453</v>
      </c>
      <c r="B995" s="69" t="s">
        <v>6142</v>
      </c>
    </row>
    <row r="996" spans="1:2" x14ac:dyDescent="0.2">
      <c r="A996" s="73" t="s">
        <v>1454</v>
      </c>
      <c r="B996" s="69" t="s">
        <v>6141</v>
      </c>
    </row>
    <row r="997" spans="1:2" x14ac:dyDescent="0.2">
      <c r="A997" s="73" t="s">
        <v>889</v>
      </c>
      <c r="B997" s="69" t="s">
        <v>6140</v>
      </c>
    </row>
    <row r="998" spans="1:2" x14ac:dyDescent="0.2">
      <c r="A998" s="73" t="s">
        <v>363</v>
      </c>
      <c r="B998" s="69" t="s">
        <v>6139</v>
      </c>
    </row>
    <row r="999" spans="1:2" x14ac:dyDescent="0.2">
      <c r="A999" s="73" t="s">
        <v>890</v>
      </c>
      <c r="B999" s="69" t="s">
        <v>6138</v>
      </c>
    </row>
    <row r="1000" spans="1:2" x14ac:dyDescent="0.2">
      <c r="A1000" s="73" t="s">
        <v>1455</v>
      </c>
      <c r="B1000" s="69" t="s">
        <v>6137</v>
      </c>
    </row>
    <row r="1001" spans="1:2" x14ac:dyDescent="0.2">
      <c r="A1001" s="73" t="s">
        <v>1456</v>
      </c>
      <c r="B1001" s="69" t="s">
        <v>6136</v>
      </c>
    </row>
    <row r="1002" spans="1:2" x14ac:dyDescent="0.2">
      <c r="A1002" s="73" t="s">
        <v>1457</v>
      </c>
      <c r="B1002" s="69" t="s">
        <v>6135</v>
      </c>
    </row>
    <row r="1003" spans="1:2" x14ac:dyDescent="0.2">
      <c r="A1003" s="73" t="s">
        <v>1458</v>
      </c>
      <c r="B1003" s="69" t="s">
        <v>6134</v>
      </c>
    </row>
    <row r="1004" spans="1:2" x14ac:dyDescent="0.2">
      <c r="A1004" s="73" t="s">
        <v>1459</v>
      </c>
      <c r="B1004" s="69" t="s">
        <v>6133</v>
      </c>
    </row>
    <row r="1005" spans="1:2" x14ac:dyDescent="0.2">
      <c r="A1005" s="73" t="s">
        <v>891</v>
      </c>
      <c r="B1005" s="69" t="s">
        <v>6132</v>
      </c>
    </row>
    <row r="1006" spans="1:2" x14ac:dyDescent="0.2">
      <c r="A1006" s="73" t="s">
        <v>1460</v>
      </c>
      <c r="B1006" s="69" t="s">
        <v>6131</v>
      </c>
    </row>
    <row r="1007" spans="1:2" x14ac:dyDescent="0.2">
      <c r="A1007" s="73" t="s">
        <v>1461</v>
      </c>
      <c r="B1007" s="69" t="s">
        <v>6130</v>
      </c>
    </row>
    <row r="1008" spans="1:2" x14ac:dyDescent="0.2">
      <c r="A1008" s="73" t="s">
        <v>1462</v>
      </c>
      <c r="B1008" s="69" t="s">
        <v>6129</v>
      </c>
    </row>
    <row r="1009" spans="1:2" x14ac:dyDescent="0.2">
      <c r="A1009" s="73" t="s">
        <v>1463</v>
      </c>
      <c r="B1009" s="69" t="s">
        <v>6128</v>
      </c>
    </row>
    <row r="1010" spans="1:2" x14ac:dyDescent="0.2">
      <c r="A1010" s="73" t="s">
        <v>892</v>
      </c>
      <c r="B1010" s="69" t="s">
        <v>6127</v>
      </c>
    </row>
    <row r="1011" spans="1:2" x14ac:dyDescent="0.2">
      <c r="A1011" s="73" t="s">
        <v>1464</v>
      </c>
      <c r="B1011" s="69" t="s">
        <v>6126</v>
      </c>
    </row>
    <row r="1012" spans="1:2" x14ac:dyDescent="0.2">
      <c r="A1012" s="73" t="s">
        <v>1465</v>
      </c>
      <c r="B1012" s="69" t="s">
        <v>6125</v>
      </c>
    </row>
    <row r="1013" spans="1:2" x14ac:dyDescent="0.2">
      <c r="A1013" s="73" t="s">
        <v>1466</v>
      </c>
      <c r="B1013" s="69" t="s">
        <v>6124</v>
      </c>
    </row>
    <row r="1014" spans="1:2" x14ac:dyDescent="0.2">
      <c r="A1014" s="73" t="s">
        <v>1467</v>
      </c>
      <c r="B1014" s="69" t="s">
        <v>6123</v>
      </c>
    </row>
    <row r="1015" spans="1:2" x14ac:dyDescent="0.2">
      <c r="A1015" s="73" t="s">
        <v>893</v>
      </c>
      <c r="B1015" s="69" t="s">
        <v>6122</v>
      </c>
    </row>
    <row r="1016" spans="1:2" x14ac:dyDescent="0.2">
      <c r="A1016" s="73" t="s">
        <v>894</v>
      </c>
      <c r="B1016" s="69" t="s">
        <v>6121</v>
      </c>
    </row>
    <row r="1017" spans="1:2" x14ac:dyDescent="0.2">
      <c r="A1017" s="73" t="s">
        <v>1468</v>
      </c>
      <c r="B1017" s="69" t="s">
        <v>6120</v>
      </c>
    </row>
    <row r="1018" spans="1:2" x14ac:dyDescent="0.2">
      <c r="A1018" s="73" t="s">
        <v>1469</v>
      </c>
      <c r="B1018" s="69" t="s">
        <v>6119</v>
      </c>
    </row>
    <row r="1019" spans="1:2" x14ac:dyDescent="0.2">
      <c r="A1019" s="73" t="s">
        <v>1471</v>
      </c>
      <c r="B1019" s="69" t="s">
        <v>6118</v>
      </c>
    </row>
    <row r="1020" spans="1:2" x14ac:dyDescent="0.2">
      <c r="A1020" s="73" t="s">
        <v>1472</v>
      </c>
      <c r="B1020" s="69" t="s">
        <v>6117</v>
      </c>
    </row>
    <row r="1021" spans="1:2" x14ac:dyDescent="0.2">
      <c r="A1021" s="73" t="s">
        <v>1473</v>
      </c>
      <c r="B1021" s="69" t="s">
        <v>6116</v>
      </c>
    </row>
    <row r="1022" spans="1:2" x14ac:dyDescent="0.2">
      <c r="A1022" s="73" t="s">
        <v>1474</v>
      </c>
      <c r="B1022" s="69" t="s">
        <v>6115</v>
      </c>
    </row>
    <row r="1023" spans="1:2" x14ac:dyDescent="0.2">
      <c r="A1023" s="73" t="s">
        <v>1475</v>
      </c>
      <c r="B1023" s="69" t="s">
        <v>6114</v>
      </c>
    </row>
    <row r="1024" spans="1:2" x14ac:dyDescent="0.2">
      <c r="A1024" s="73" t="s">
        <v>895</v>
      </c>
      <c r="B1024" s="69" t="s">
        <v>6113</v>
      </c>
    </row>
    <row r="1025" spans="1:2" x14ac:dyDescent="0.2">
      <c r="A1025" s="73" t="s">
        <v>896</v>
      </c>
      <c r="B1025" s="69" t="s">
        <v>6112</v>
      </c>
    </row>
    <row r="1026" spans="1:2" x14ac:dyDescent="0.2">
      <c r="A1026" s="73" t="s">
        <v>1476</v>
      </c>
      <c r="B1026" s="69" t="s">
        <v>6111</v>
      </c>
    </row>
    <row r="1027" spans="1:2" x14ac:dyDescent="0.2">
      <c r="A1027" s="73" t="s">
        <v>897</v>
      </c>
      <c r="B1027" s="69" t="s">
        <v>6110</v>
      </c>
    </row>
    <row r="1028" spans="1:2" x14ac:dyDescent="0.2">
      <c r="A1028" s="73" t="s">
        <v>898</v>
      </c>
      <c r="B1028" s="69" t="s">
        <v>6109</v>
      </c>
    </row>
    <row r="1029" spans="1:2" x14ac:dyDescent="0.2">
      <c r="A1029" s="73" t="s">
        <v>1477</v>
      </c>
      <c r="B1029" s="69" t="s">
        <v>6108</v>
      </c>
    </row>
    <row r="1030" spans="1:2" x14ac:dyDescent="0.2">
      <c r="A1030" s="73" t="s">
        <v>1478</v>
      </c>
      <c r="B1030" s="69" t="s">
        <v>6107</v>
      </c>
    </row>
    <row r="1031" spans="1:2" x14ac:dyDescent="0.2">
      <c r="A1031" s="73" t="s">
        <v>1479</v>
      </c>
      <c r="B1031" s="69" t="s">
        <v>6106</v>
      </c>
    </row>
    <row r="1032" spans="1:2" x14ac:dyDescent="0.2">
      <c r="A1032" s="73" t="s">
        <v>899</v>
      </c>
      <c r="B1032" s="69" t="s">
        <v>6105</v>
      </c>
    </row>
    <row r="1033" spans="1:2" x14ac:dyDescent="0.2">
      <c r="A1033" s="73" t="s">
        <v>900</v>
      </c>
      <c r="B1033" s="69" t="s">
        <v>6104</v>
      </c>
    </row>
    <row r="1034" spans="1:2" x14ac:dyDescent="0.2">
      <c r="A1034" s="73" t="s">
        <v>901</v>
      </c>
      <c r="B1034" s="69" t="s">
        <v>6103</v>
      </c>
    </row>
    <row r="1035" spans="1:2" x14ac:dyDescent="0.2">
      <c r="A1035" s="73" t="s">
        <v>1480</v>
      </c>
      <c r="B1035" s="69" t="s">
        <v>6102</v>
      </c>
    </row>
    <row r="1036" spans="1:2" x14ac:dyDescent="0.2">
      <c r="A1036" s="73" t="s">
        <v>1481</v>
      </c>
      <c r="B1036" s="69" t="s">
        <v>6101</v>
      </c>
    </row>
    <row r="1037" spans="1:2" x14ac:dyDescent="0.2">
      <c r="A1037" s="73" t="s">
        <v>1482</v>
      </c>
      <c r="B1037" s="69" t="s">
        <v>6100</v>
      </c>
    </row>
    <row r="1038" spans="1:2" x14ac:dyDescent="0.2">
      <c r="A1038" s="73" t="s">
        <v>902</v>
      </c>
      <c r="B1038" s="69" t="s">
        <v>6099</v>
      </c>
    </row>
    <row r="1039" spans="1:2" x14ac:dyDescent="0.2">
      <c r="A1039" s="73" t="s">
        <v>903</v>
      </c>
      <c r="B1039" s="69" t="s">
        <v>6098</v>
      </c>
    </row>
    <row r="1040" spans="1:2" x14ac:dyDescent="0.2">
      <c r="A1040" s="73" t="s">
        <v>1483</v>
      </c>
      <c r="B1040" s="69" t="s">
        <v>6097</v>
      </c>
    </row>
    <row r="1041" spans="1:2" x14ac:dyDescent="0.2">
      <c r="A1041" s="73" t="s">
        <v>1484</v>
      </c>
      <c r="B1041" s="69" t="s">
        <v>6096</v>
      </c>
    </row>
    <row r="1042" spans="1:2" x14ac:dyDescent="0.2">
      <c r="A1042" s="73" t="s">
        <v>1485</v>
      </c>
      <c r="B1042" s="69" t="s">
        <v>6095</v>
      </c>
    </row>
    <row r="1043" spans="1:2" x14ac:dyDescent="0.2">
      <c r="A1043" s="73" t="s">
        <v>1486</v>
      </c>
      <c r="B1043" s="69" t="s">
        <v>6094</v>
      </c>
    </row>
    <row r="1044" spans="1:2" x14ac:dyDescent="0.2">
      <c r="A1044" s="73" t="s">
        <v>1487</v>
      </c>
      <c r="B1044" s="69" t="s">
        <v>6093</v>
      </c>
    </row>
    <row r="1045" spans="1:2" x14ac:dyDescent="0.2">
      <c r="A1045" s="73" t="s">
        <v>1488</v>
      </c>
      <c r="B1045" s="69" t="s">
        <v>6092</v>
      </c>
    </row>
    <row r="1046" spans="1:2" x14ac:dyDescent="0.2">
      <c r="A1046" s="73" t="s">
        <v>904</v>
      </c>
      <c r="B1046" s="69" t="s">
        <v>6091</v>
      </c>
    </row>
    <row r="1047" spans="1:2" x14ac:dyDescent="0.2">
      <c r="A1047" s="73" t="s">
        <v>905</v>
      </c>
      <c r="B1047" s="69" t="s">
        <v>6090</v>
      </c>
    </row>
    <row r="1048" spans="1:2" x14ac:dyDescent="0.2">
      <c r="A1048" s="73" t="s">
        <v>1489</v>
      </c>
      <c r="B1048" s="69" t="s">
        <v>6089</v>
      </c>
    </row>
    <row r="1049" spans="1:2" x14ac:dyDescent="0.2">
      <c r="A1049" s="73" t="s">
        <v>1490</v>
      </c>
      <c r="B1049" s="69" t="s">
        <v>6088</v>
      </c>
    </row>
    <row r="1050" spans="1:2" x14ac:dyDescent="0.2">
      <c r="A1050" s="73" t="s">
        <v>1491</v>
      </c>
      <c r="B1050" s="69" t="s">
        <v>6087</v>
      </c>
    </row>
    <row r="1051" spans="1:2" x14ac:dyDescent="0.2">
      <c r="A1051" s="73" t="s">
        <v>906</v>
      </c>
      <c r="B1051" s="69" t="s">
        <v>6086</v>
      </c>
    </row>
    <row r="1052" spans="1:2" x14ac:dyDescent="0.2">
      <c r="A1052" s="73" t="s">
        <v>907</v>
      </c>
      <c r="B1052" s="69" t="s">
        <v>6085</v>
      </c>
    </row>
    <row r="1053" spans="1:2" x14ac:dyDescent="0.2">
      <c r="A1053" s="73" t="s">
        <v>364</v>
      </c>
      <c r="B1053" s="69" t="s">
        <v>6084</v>
      </c>
    </row>
    <row r="1054" spans="1:2" x14ac:dyDescent="0.2">
      <c r="A1054" s="73" t="s">
        <v>1493</v>
      </c>
      <c r="B1054" s="69" t="s">
        <v>6083</v>
      </c>
    </row>
    <row r="1055" spans="1:2" x14ac:dyDescent="0.2">
      <c r="A1055" s="73" t="s">
        <v>908</v>
      </c>
      <c r="B1055" s="69" t="s">
        <v>6082</v>
      </c>
    </row>
    <row r="1056" spans="1:2" x14ac:dyDescent="0.2">
      <c r="A1056" s="73" t="s">
        <v>1494</v>
      </c>
      <c r="B1056" s="69" t="s">
        <v>6081</v>
      </c>
    </row>
    <row r="1057" spans="1:2" x14ac:dyDescent="0.2">
      <c r="A1057" s="73" t="s">
        <v>1495</v>
      </c>
      <c r="B1057" s="69" t="s">
        <v>6080</v>
      </c>
    </row>
    <row r="1058" spans="1:2" x14ac:dyDescent="0.2">
      <c r="A1058" s="73" t="s">
        <v>909</v>
      </c>
      <c r="B1058" s="69" t="s">
        <v>6079</v>
      </c>
    </row>
    <row r="1059" spans="1:2" x14ac:dyDescent="0.2">
      <c r="A1059" s="73" t="s">
        <v>365</v>
      </c>
      <c r="B1059" s="69" t="s">
        <v>6078</v>
      </c>
    </row>
    <row r="1060" spans="1:2" x14ac:dyDescent="0.2">
      <c r="A1060" s="73" t="s">
        <v>1496</v>
      </c>
      <c r="B1060" s="69" t="s">
        <v>6077</v>
      </c>
    </row>
    <row r="1061" spans="1:2" x14ac:dyDescent="0.2">
      <c r="A1061" s="73" t="s">
        <v>1497</v>
      </c>
      <c r="B1061" s="69" t="s">
        <v>6076</v>
      </c>
    </row>
    <row r="1062" spans="1:2" x14ac:dyDescent="0.2">
      <c r="A1062" s="73" t="s">
        <v>910</v>
      </c>
      <c r="B1062" s="69" t="s">
        <v>6075</v>
      </c>
    </row>
    <row r="1063" spans="1:2" x14ac:dyDescent="0.2">
      <c r="A1063" s="73" t="s">
        <v>1498</v>
      </c>
      <c r="B1063" s="69" t="s">
        <v>6074</v>
      </c>
    </row>
    <row r="1064" spans="1:2" x14ac:dyDescent="0.2">
      <c r="A1064" s="73" t="s">
        <v>1499</v>
      </c>
      <c r="B1064" s="69" t="s">
        <v>6073</v>
      </c>
    </row>
    <row r="1065" spans="1:2" x14ac:dyDescent="0.2">
      <c r="A1065" s="73" t="s">
        <v>366</v>
      </c>
      <c r="B1065" s="69" t="s">
        <v>6072</v>
      </c>
    </row>
    <row r="1066" spans="1:2" x14ac:dyDescent="0.2">
      <c r="A1066" s="73" t="s">
        <v>911</v>
      </c>
      <c r="B1066" s="69" t="s">
        <v>6071</v>
      </c>
    </row>
    <row r="1067" spans="1:2" x14ac:dyDescent="0.2">
      <c r="A1067" s="73" t="s">
        <v>1500</v>
      </c>
      <c r="B1067" s="69" t="s">
        <v>6070</v>
      </c>
    </row>
    <row r="1068" spans="1:2" x14ac:dyDescent="0.2">
      <c r="A1068" s="73" t="s">
        <v>912</v>
      </c>
      <c r="B1068" s="69" t="s">
        <v>6069</v>
      </c>
    </row>
    <row r="1069" spans="1:2" x14ac:dyDescent="0.2">
      <c r="A1069" s="73" t="s">
        <v>1501</v>
      </c>
      <c r="B1069" s="69" t="s">
        <v>6068</v>
      </c>
    </row>
    <row r="1070" spans="1:2" x14ac:dyDescent="0.2">
      <c r="A1070" s="73" t="s">
        <v>913</v>
      </c>
      <c r="B1070" s="69" t="s">
        <v>6067</v>
      </c>
    </row>
    <row r="1071" spans="1:2" x14ac:dyDescent="0.2">
      <c r="A1071" s="73" t="s">
        <v>914</v>
      </c>
      <c r="B1071" s="69" t="s">
        <v>6066</v>
      </c>
    </row>
    <row r="1072" spans="1:2" x14ac:dyDescent="0.2">
      <c r="A1072" s="73" t="s">
        <v>1502</v>
      </c>
      <c r="B1072" s="69" t="s">
        <v>6065</v>
      </c>
    </row>
    <row r="1073" spans="1:2" x14ac:dyDescent="0.2">
      <c r="A1073" s="73" t="s">
        <v>1503</v>
      </c>
      <c r="B1073" s="69" t="s">
        <v>6064</v>
      </c>
    </row>
    <row r="1074" spans="1:2" x14ac:dyDescent="0.2">
      <c r="A1074" s="73" t="s">
        <v>1504</v>
      </c>
      <c r="B1074" s="69" t="s">
        <v>6063</v>
      </c>
    </row>
    <row r="1075" spans="1:2" x14ac:dyDescent="0.2">
      <c r="A1075" s="73" t="s">
        <v>915</v>
      </c>
      <c r="B1075" s="69" t="s">
        <v>6062</v>
      </c>
    </row>
    <row r="1076" spans="1:2" x14ac:dyDescent="0.2">
      <c r="A1076" s="73" t="s">
        <v>1505</v>
      </c>
      <c r="B1076" s="69" t="s">
        <v>6061</v>
      </c>
    </row>
    <row r="1077" spans="1:2" x14ac:dyDescent="0.2">
      <c r="A1077" s="73" t="s">
        <v>916</v>
      </c>
      <c r="B1077" s="69" t="s">
        <v>6060</v>
      </c>
    </row>
    <row r="1078" spans="1:2" x14ac:dyDescent="0.2">
      <c r="A1078" s="73" t="s">
        <v>1506</v>
      </c>
      <c r="B1078" s="69" t="s">
        <v>6059</v>
      </c>
    </row>
    <row r="1079" spans="1:2" x14ac:dyDescent="0.2">
      <c r="A1079" s="73" t="s">
        <v>917</v>
      </c>
      <c r="B1079" s="69" t="s">
        <v>6058</v>
      </c>
    </row>
    <row r="1080" spans="1:2" x14ac:dyDescent="0.2">
      <c r="A1080" s="73" t="s">
        <v>918</v>
      </c>
      <c r="B1080" s="69" t="s">
        <v>6057</v>
      </c>
    </row>
    <row r="1081" spans="1:2" x14ac:dyDescent="0.2">
      <c r="A1081" s="73" t="s">
        <v>367</v>
      </c>
      <c r="B1081" s="69" t="s">
        <v>6056</v>
      </c>
    </row>
    <row r="1082" spans="1:2" x14ac:dyDescent="0.2">
      <c r="A1082" s="73" t="s">
        <v>1507</v>
      </c>
      <c r="B1082" s="69" t="s">
        <v>6055</v>
      </c>
    </row>
    <row r="1083" spans="1:2" x14ac:dyDescent="0.2">
      <c r="A1083" s="73" t="s">
        <v>1508</v>
      </c>
      <c r="B1083" s="69" t="s">
        <v>6054</v>
      </c>
    </row>
    <row r="1084" spans="1:2" x14ac:dyDescent="0.2">
      <c r="A1084" s="73" t="s">
        <v>1509</v>
      </c>
      <c r="B1084" s="69" t="s">
        <v>6053</v>
      </c>
    </row>
    <row r="1085" spans="1:2" x14ac:dyDescent="0.2">
      <c r="A1085" s="73" t="s">
        <v>1510</v>
      </c>
      <c r="B1085" s="69" t="s">
        <v>6052</v>
      </c>
    </row>
    <row r="1086" spans="1:2" x14ac:dyDescent="0.2">
      <c r="A1086" s="73" t="s">
        <v>368</v>
      </c>
      <c r="B1086" s="69" t="s">
        <v>6051</v>
      </c>
    </row>
    <row r="1087" spans="1:2" x14ac:dyDescent="0.2">
      <c r="A1087" s="73" t="s">
        <v>1511</v>
      </c>
      <c r="B1087" s="69" t="s">
        <v>6050</v>
      </c>
    </row>
    <row r="1088" spans="1:2" x14ac:dyDescent="0.2">
      <c r="A1088" s="73" t="s">
        <v>1512</v>
      </c>
      <c r="B1088" s="69" t="s">
        <v>6049</v>
      </c>
    </row>
    <row r="1089" spans="1:2" x14ac:dyDescent="0.2">
      <c r="A1089" s="73" t="s">
        <v>1513</v>
      </c>
      <c r="B1089" s="69" t="s">
        <v>6048</v>
      </c>
    </row>
    <row r="1090" spans="1:2" x14ac:dyDescent="0.2">
      <c r="A1090" s="73" t="s">
        <v>369</v>
      </c>
      <c r="B1090" s="69" t="s">
        <v>6047</v>
      </c>
    </row>
    <row r="1091" spans="1:2" x14ac:dyDescent="0.2">
      <c r="A1091" s="73" t="s">
        <v>919</v>
      </c>
      <c r="B1091" s="69" t="s">
        <v>6046</v>
      </c>
    </row>
    <row r="1092" spans="1:2" x14ac:dyDescent="0.2">
      <c r="A1092" s="73" t="s">
        <v>370</v>
      </c>
      <c r="B1092" s="69" t="s">
        <v>6045</v>
      </c>
    </row>
    <row r="1093" spans="1:2" x14ac:dyDescent="0.2">
      <c r="A1093" s="73" t="s">
        <v>920</v>
      </c>
      <c r="B1093" s="69" t="s">
        <v>6044</v>
      </c>
    </row>
    <row r="1094" spans="1:2" x14ac:dyDescent="0.2">
      <c r="A1094" s="73" t="s">
        <v>1514</v>
      </c>
      <c r="B1094" s="69" t="s">
        <v>6043</v>
      </c>
    </row>
    <row r="1095" spans="1:2" x14ac:dyDescent="0.2">
      <c r="A1095" s="73" t="s">
        <v>1515</v>
      </c>
      <c r="B1095" s="69" t="s">
        <v>6042</v>
      </c>
    </row>
    <row r="1096" spans="1:2" x14ac:dyDescent="0.2">
      <c r="A1096" s="73" t="s">
        <v>1516</v>
      </c>
      <c r="B1096" s="69" t="s">
        <v>6041</v>
      </c>
    </row>
    <row r="1097" spans="1:2" x14ac:dyDescent="0.2">
      <c r="A1097" s="73" t="s">
        <v>1517</v>
      </c>
      <c r="B1097" s="69" t="s">
        <v>6040</v>
      </c>
    </row>
    <row r="1098" spans="1:2" x14ac:dyDescent="0.2">
      <c r="A1098" s="73" t="s">
        <v>1518</v>
      </c>
      <c r="B1098" s="69" t="s">
        <v>6039</v>
      </c>
    </row>
    <row r="1099" spans="1:2" x14ac:dyDescent="0.2">
      <c r="A1099" s="73" t="s">
        <v>1520</v>
      </c>
      <c r="B1099" s="69" t="s">
        <v>6038</v>
      </c>
    </row>
    <row r="1100" spans="1:2" x14ac:dyDescent="0.2">
      <c r="A1100" s="73" t="s">
        <v>1521</v>
      </c>
      <c r="B1100" s="69" t="s">
        <v>6037</v>
      </c>
    </row>
    <row r="1101" spans="1:2" x14ac:dyDescent="0.2">
      <c r="A1101" s="73" t="s">
        <v>1522</v>
      </c>
      <c r="B1101" s="69" t="s">
        <v>6036</v>
      </c>
    </row>
    <row r="1102" spans="1:2" x14ac:dyDescent="0.2">
      <c r="A1102" s="73" t="s">
        <v>1523</v>
      </c>
      <c r="B1102" s="69" t="s">
        <v>6035</v>
      </c>
    </row>
    <row r="1103" spans="1:2" x14ac:dyDescent="0.2">
      <c r="A1103" s="73" t="s">
        <v>1524</v>
      </c>
      <c r="B1103" s="69" t="s">
        <v>6034</v>
      </c>
    </row>
    <row r="1104" spans="1:2" x14ac:dyDescent="0.2">
      <c r="A1104" s="73" t="s">
        <v>921</v>
      </c>
      <c r="B1104" s="69" t="s">
        <v>6033</v>
      </c>
    </row>
    <row r="1105" spans="1:2" x14ac:dyDescent="0.2">
      <c r="A1105" s="73" t="s">
        <v>922</v>
      </c>
      <c r="B1105" s="69" t="s">
        <v>6032</v>
      </c>
    </row>
    <row r="1106" spans="1:2" x14ac:dyDescent="0.2">
      <c r="A1106" s="73" t="s">
        <v>1525</v>
      </c>
      <c r="B1106" s="69" t="s">
        <v>6031</v>
      </c>
    </row>
    <row r="1107" spans="1:2" x14ac:dyDescent="0.2">
      <c r="A1107" s="73" t="s">
        <v>923</v>
      </c>
      <c r="B1107" s="69" t="s">
        <v>6030</v>
      </c>
    </row>
    <row r="1108" spans="1:2" x14ac:dyDescent="0.2">
      <c r="A1108" s="73" t="s">
        <v>924</v>
      </c>
      <c r="B1108" s="69" t="s">
        <v>6029</v>
      </c>
    </row>
    <row r="1109" spans="1:2" x14ac:dyDescent="0.2">
      <c r="A1109" s="73" t="s">
        <v>1526</v>
      </c>
      <c r="B1109" s="69" t="s">
        <v>6028</v>
      </c>
    </row>
    <row r="1110" spans="1:2" x14ac:dyDescent="0.2">
      <c r="A1110" s="73" t="s">
        <v>1527</v>
      </c>
      <c r="B1110" s="69" t="s">
        <v>6027</v>
      </c>
    </row>
    <row r="1111" spans="1:2" x14ac:dyDescent="0.2">
      <c r="A1111" s="73" t="s">
        <v>925</v>
      </c>
      <c r="B1111" s="69" t="s">
        <v>6026</v>
      </c>
    </row>
    <row r="1112" spans="1:2" x14ac:dyDescent="0.2">
      <c r="A1112" s="73" t="s">
        <v>1528</v>
      </c>
      <c r="B1112" s="69" t="s">
        <v>6025</v>
      </c>
    </row>
    <row r="1113" spans="1:2" x14ac:dyDescent="0.2">
      <c r="A1113" s="73" t="s">
        <v>1529</v>
      </c>
      <c r="B1113" s="69" t="s">
        <v>6024</v>
      </c>
    </row>
    <row r="1114" spans="1:2" x14ac:dyDescent="0.2">
      <c r="A1114" s="73" t="s">
        <v>1530</v>
      </c>
      <c r="B1114" s="69" t="s">
        <v>6023</v>
      </c>
    </row>
    <row r="1115" spans="1:2" x14ac:dyDescent="0.2">
      <c r="A1115" s="73" t="s">
        <v>1531</v>
      </c>
      <c r="B1115" s="69" t="s">
        <v>6022</v>
      </c>
    </row>
    <row r="1116" spans="1:2" x14ac:dyDescent="0.2">
      <c r="A1116" s="73" t="s">
        <v>1533</v>
      </c>
      <c r="B1116" s="69" t="s">
        <v>6021</v>
      </c>
    </row>
    <row r="1117" spans="1:2" x14ac:dyDescent="0.2">
      <c r="A1117" s="73" t="s">
        <v>1534</v>
      </c>
      <c r="B1117" s="69" t="s">
        <v>6020</v>
      </c>
    </row>
    <row r="1118" spans="1:2" x14ac:dyDescent="0.2">
      <c r="A1118" s="73" t="s">
        <v>1535</v>
      </c>
      <c r="B1118" s="69" t="s">
        <v>6019</v>
      </c>
    </row>
    <row r="1119" spans="1:2" x14ac:dyDescent="0.2">
      <c r="A1119" s="73" t="s">
        <v>1536</v>
      </c>
      <c r="B1119" s="69" t="s">
        <v>6018</v>
      </c>
    </row>
    <row r="1120" spans="1:2" x14ac:dyDescent="0.2">
      <c r="A1120" s="73" t="s">
        <v>1537</v>
      </c>
      <c r="B1120" s="69" t="s">
        <v>6017</v>
      </c>
    </row>
    <row r="1121" spans="1:2" x14ac:dyDescent="0.2">
      <c r="A1121" s="73" t="s">
        <v>926</v>
      </c>
      <c r="B1121" s="69" t="s">
        <v>6016</v>
      </c>
    </row>
    <row r="1122" spans="1:2" x14ac:dyDescent="0.2">
      <c r="A1122" s="73" t="s">
        <v>1538</v>
      </c>
      <c r="B1122" s="69" t="s">
        <v>6015</v>
      </c>
    </row>
    <row r="1123" spans="1:2" x14ac:dyDescent="0.2">
      <c r="A1123" s="73" t="s">
        <v>927</v>
      </c>
      <c r="B1123" s="69" t="s">
        <v>6014</v>
      </c>
    </row>
    <row r="1124" spans="1:2" x14ac:dyDescent="0.2">
      <c r="A1124" s="73" t="s">
        <v>1539</v>
      </c>
      <c r="B1124" s="69" t="s">
        <v>6013</v>
      </c>
    </row>
    <row r="1125" spans="1:2" x14ac:dyDescent="0.2">
      <c r="A1125" s="73" t="s">
        <v>928</v>
      </c>
      <c r="B1125" s="69" t="s">
        <v>6012</v>
      </c>
    </row>
    <row r="1126" spans="1:2" x14ac:dyDescent="0.2">
      <c r="A1126" s="73" t="s">
        <v>1540</v>
      </c>
      <c r="B1126" s="69" t="s">
        <v>6011</v>
      </c>
    </row>
    <row r="1127" spans="1:2" x14ac:dyDescent="0.2">
      <c r="A1127" s="73" t="s">
        <v>929</v>
      </c>
      <c r="B1127" s="69" t="s">
        <v>6010</v>
      </c>
    </row>
    <row r="1128" spans="1:2" x14ac:dyDescent="0.2">
      <c r="A1128" s="73" t="s">
        <v>930</v>
      </c>
      <c r="B1128" s="69" t="s">
        <v>6009</v>
      </c>
    </row>
    <row r="1129" spans="1:2" x14ac:dyDescent="0.2">
      <c r="A1129" s="73" t="s">
        <v>371</v>
      </c>
      <c r="B1129" s="69" t="s">
        <v>6008</v>
      </c>
    </row>
    <row r="1130" spans="1:2" x14ac:dyDescent="0.2">
      <c r="A1130" s="73" t="s">
        <v>931</v>
      </c>
      <c r="B1130" s="69" t="s">
        <v>6007</v>
      </c>
    </row>
    <row r="1131" spans="1:2" x14ac:dyDescent="0.2">
      <c r="A1131" s="73" t="s">
        <v>1542</v>
      </c>
      <c r="B1131" s="69" t="s">
        <v>6006</v>
      </c>
    </row>
    <row r="1132" spans="1:2" x14ac:dyDescent="0.2">
      <c r="A1132" s="73" t="s">
        <v>932</v>
      </c>
      <c r="B1132" s="69" t="s">
        <v>6005</v>
      </c>
    </row>
    <row r="1133" spans="1:2" x14ac:dyDescent="0.2">
      <c r="A1133" s="73" t="s">
        <v>933</v>
      </c>
      <c r="B1133" s="69" t="s">
        <v>6004</v>
      </c>
    </row>
    <row r="1134" spans="1:2" x14ac:dyDescent="0.2">
      <c r="A1134" s="73" t="s">
        <v>1543</v>
      </c>
      <c r="B1134" s="69" t="s">
        <v>6003</v>
      </c>
    </row>
    <row r="1135" spans="1:2" x14ac:dyDescent="0.2">
      <c r="A1135" s="73" t="s">
        <v>934</v>
      </c>
      <c r="B1135" s="69" t="s">
        <v>6002</v>
      </c>
    </row>
    <row r="1136" spans="1:2" x14ac:dyDescent="0.2">
      <c r="A1136" s="73" t="s">
        <v>1544</v>
      </c>
      <c r="B1136" s="69" t="s">
        <v>6001</v>
      </c>
    </row>
    <row r="1137" spans="1:2" x14ac:dyDescent="0.2">
      <c r="A1137" s="73" t="s">
        <v>372</v>
      </c>
      <c r="B1137" s="69" t="s">
        <v>6000</v>
      </c>
    </row>
    <row r="1138" spans="1:2" x14ac:dyDescent="0.2">
      <c r="A1138" s="73" t="s">
        <v>1545</v>
      </c>
      <c r="B1138" s="69" t="s">
        <v>5999</v>
      </c>
    </row>
    <row r="1139" spans="1:2" x14ac:dyDescent="0.2">
      <c r="A1139" s="73" t="s">
        <v>1547</v>
      </c>
      <c r="B1139" s="69" t="s">
        <v>5998</v>
      </c>
    </row>
    <row r="1140" spans="1:2" x14ac:dyDescent="0.2">
      <c r="A1140" s="73" t="s">
        <v>1548</v>
      </c>
      <c r="B1140" s="69" t="s">
        <v>5997</v>
      </c>
    </row>
    <row r="1141" spans="1:2" x14ac:dyDescent="0.2">
      <c r="A1141" s="73" t="s">
        <v>935</v>
      </c>
      <c r="B1141" s="69" t="s">
        <v>5996</v>
      </c>
    </row>
    <row r="1142" spans="1:2" x14ac:dyDescent="0.2">
      <c r="A1142" s="73" t="s">
        <v>936</v>
      </c>
      <c r="B1142" s="69" t="s">
        <v>5995</v>
      </c>
    </row>
    <row r="1143" spans="1:2" x14ac:dyDescent="0.2">
      <c r="A1143" s="73" t="s">
        <v>1549</v>
      </c>
      <c r="B1143" s="69" t="s">
        <v>5994</v>
      </c>
    </row>
    <row r="1144" spans="1:2" x14ac:dyDescent="0.2">
      <c r="A1144" s="73" t="s">
        <v>373</v>
      </c>
      <c r="B1144" s="69" t="s">
        <v>5993</v>
      </c>
    </row>
    <row r="1145" spans="1:2" x14ac:dyDescent="0.2">
      <c r="A1145" s="73" t="s">
        <v>374</v>
      </c>
      <c r="B1145" s="69" t="s">
        <v>5992</v>
      </c>
    </row>
    <row r="1146" spans="1:2" x14ac:dyDescent="0.2">
      <c r="A1146" s="73" t="s">
        <v>1550</v>
      </c>
      <c r="B1146" s="69" t="s">
        <v>5991</v>
      </c>
    </row>
    <row r="1147" spans="1:2" x14ac:dyDescent="0.2">
      <c r="A1147" s="73" t="s">
        <v>375</v>
      </c>
      <c r="B1147" s="69" t="s">
        <v>5990</v>
      </c>
    </row>
    <row r="1148" spans="1:2" x14ac:dyDescent="0.2">
      <c r="A1148" s="73" t="s">
        <v>1551</v>
      </c>
      <c r="B1148" s="69" t="s">
        <v>5989</v>
      </c>
    </row>
    <row r="1149" spans="1:2" x14ac:dyDescent="0.2">
      <c r="A1149" s="73" t="s">
        <v>1552</v>
      </c>
      <c r="B1149" s="69" t="s">
        <v>5988</v>
      </c>
    </row>
    <row r="1150" spans="1:2" x14ac:dyDescent="0.2">
      <c r="A1150" s="73" t="s">
        <v>937</v>
      </c>
      <c r="B1150" s="69" t="s">
        <v>5987</v>
      </c>
    </row>
    <row r="1151" spans="1:2" x14ac:dyDescent="0.2">
      <c r="A1151" s="73" t="s">
        <v>1553</v>
      </c>
      <c r="B1151" s="69" t="s">
        <v>5986</v>
      </c>
    </row>
    <row r="1152" spans="1:2" x14ac:dyDescent="0.2">
      <c r="A1152" s="73" t="s">
        <v>938</v>
      </c>
      <c r="B1152" s="69" t="s">
        <v>5985</v>
      </c>
    </row>
    <row r="1153" spans="1:2" x14ac:dyDescent="0.2">
      <c r="A1153" s="73" t="s">
        <v>939</v>
      </c>
      <c r="B1153" s="69" t="s">
        <v>5984</v>
      </c>
    </row>
    <row r="1154" spans="1:2" x14ac:dyDescent="0.2">
      <c r="A1154" s="73" t="s">
        <v>1555</v>
      </c>
      <c r="B1154" s="69" t="s">
        <v>5983</v>
      </c>
    </row>
    <row r="1155" spans="1:2" x14ac:dyDescent="0.2">
      <c r="A1155" s="73" t="s">
        <v>940</v>
      </c>
      <c r="B1155" s="69" t="s">
        <v>5982</v>
      </c>
    </row>
    <row r="1156" spans="1:2" x14ac:dyDescent="0.2">
      <c r="A1156" s="73" t="s">
        <v>1556</v>
      </c>
      <c r="B1156" s="69" t="s">
        <v>5981</v>
      </c>
    </row>
    <row r="1157" spans="1:2" x14ac:dyDescent="0.2">
      <c r="A1157" s="73" t="s">
        <v>1557</v>
      </c>
      <c r="B1157" s="69" t="s">
        <v>5980</v>
      </c>
    </row>
    <row r="1158" spans="1:2" x14ac:dyDescent="0.2">
      <c r="A1158" s="73" t="s">
        <v>1558</v>
      </c>
      <c r="B1158" s="69" t="s">
        <v>5979</v>
      </c>
    </row>
    <row r="1159" spans="1:2" x14ac:dyDescent="0.2">
      <c r="A1159" s="73" t="s">
        <v>1559</v>
      </c>
      <c r="B1159" s="69" t="s">
        <v>5978</v>
      </c>
    </row>
    <row r="1160" spans="1:2" x14ac:dyDescent="0.2">
      <c r="A1160" s="73" t="s">
        <v>941</v>
      </c>
      <c r="B1160" s="69" t="s">
        <v>5977</v>
      </c>
    </row>
    <row r="1161" spans="1:2" x14ac:dyDescent="0.2">
      <c r="A1161" s="73" t="s">
        <v>376</v>
      </c>
      <c r="B1161" s="69" t="s">
        <v>5976</v>
      </c>
    </row>
    <row r="1162" spans="1:2" x14ac:dyDescent="0.2">
      <c r="A1162" s="73" t="s">
        <v>1560</v>
      </c>
      <c r="B1162" s="69" t="s">
        <v>5975</v>
      </c>
    </row>
    <row r="1163" spans="1:2" x14ac:dyDescent="0.2">
      <c r="A1163" s="73" t="s">
        <v>942</v>
      </c>
      <c r="B1163" s="69" t="s">
        <v>5974</v>
      </c>
    </row>
    <row r="1164" spans="1:2" x14ac:dyDescent="0.2">
      <c r="A1164" s="73" t="s">
        <v>943</v>
      </c>
      <c r="B1164" s="69" t="s">
        <v>5973</v>
      </c>
    </row>
    <row r="1165" spans="1:2" x14ac:dyDescent="0.2">
      <c r="A1165" s="73" t="s">
        <v>1561</v>
      </c>
      <c r="B1165" s="69" t="s">
        <v>5972</v>
      </c>
    </row>
    <row r="1166" spans="1:2" x14ac:dyDescent="0.2">
      <c r="A1166" s="73" t="s">
        <v>1562</v>
      </c>
      <c r="B1166" s="69" t="s">
        <v>5971</v>
      </c>
    </row>
    <row r="1167" spans="1:2" x14ac:dyDescent="0.2">
      <c r="A1167" s="73" t="s">
        <v>1563</v>
      </c>
      <c r="B1167" s="69" t="s">
        <v>5970</v>
      </c>
    </row>
    <row r="1168" spans="1:2" x14ac:dyDescent="0.2">
      <c r="A1168" s="73" t="s">
        <v>1564</v>
      </c>
      <c r="B1168" s="69" t="s">
        <v>5969</v>
      </c>
    </row>
    <row r="1169" spans="1:2" x14ac:dyDescent="0.2">
      <c r="A1169" s="73" t="s">
        <v>944</v>
      </c>
      <c r="B1169" s="69" t="s">
        <v>5968</v>
      </c>
    </row>
    <row r="1170" spans="1:2" x14ac:dyDescent="0.2">
      <c r="A1170" s="73" t="s">
        <v>945</v>
      </c>
      <c r="B1170" s="69" t="s">
        <v>5967</v>
      </c>
    </row>
    <row r="1171" spans="1:2" x14ac:dyDescent="0.2">
      <c r="A1171" s="73" t="s">
        <v>946</v>
      </c>
      <c r="B1171" s="69" t="s">
        <v>5966</v>
      </c>
    </row>
    <row r="1172" spans="1:2" x14ac:dyDescent="0.2">
      <c r="A1172" s="73" t="s">
        <v>1565</v>
      </c>
      <c r="B1172" s="69" t="s">
        <v>5965</v>
      </c>
    </row>
    <row r="1173" spans="1:2" x14ac:dyDescent="0.2">
      <c r="A1173" s="73" t="s">
        <v>1566</v>
      </c>
      <c r="B1173" s="69" t="s">
        <v>5964</v>
      </c>
    </row>
    <row r="1174" spans="1:2" x14ac:dyDescent="0.2">
      <c r="A1174" s="73" t="s">
        <v>1568</v>
      </c>
      <c r="B1174" s="69" t="s">
        <v>5963</v>
      </c>
    </row>
    <row r="1175" spans="1:2" x14ac:dyDescent="0.2">
      <c r="A1175" s="73" t="s">
        <v>947</v>
      </c>
      <c r="B1175" s="69" t="s">
        <v>5962</v>
      </c>
    </row>
    <row r="1176" spans="1:2" x14ac:dyDescent="0.2">
      <c r="A1176" s="73" t="s">
        <v>1569</v>
      </c>
      <c r="B1176" s="69" t="s">
        <v>5961</v>
      </c>
    </row>
    <row r="1177" spans="1:2" x14ac:dyDescent="0.2">
      <c r="A1177" s="73" t="s">
        <v>1570</v>
      </c>
      <c r="B1177" s="69" t="s">
        <v>5960</v>
      </c>
    </row>
    <row r="1178" spans="1:2" x14ac:dyDescent="0.2">
      <c r="A1178" s="73" t="s">
        <v>1571</v>
      </c>
      <c r="B1178" s="69" t="s">
        <v>5959</v>
      </c>
    </row>
    <row r="1179" spans="1:2" x14ac:dyDescent="0.2">
      <c r="A1179" s="73" t="s">
        <v>1572</v>
      </c>
      <c r="B1179" s="69" t="s">
        <v>5958</v>
      </c>
    </row>
    <row r="1180" spans="1:2" x14ac:dyDescent="0.2">
      <c r="A1180" s="73" t="s">
        <v>1573</v>
      </c>
      <c r="B1180" s="69" t="s">
        <v>5957</v>
      </c>
    </row>
    <row r="1181" spans="1:2" x14ac:dyDescent="0.2">
      <c r="A1181" s="73" t="s">
        <v>1574</v>
      </c>
      <c r="B1181" s="69" t="s">
        <v>5956</v>
      </c>
    </row>
    <row r="1182" spans="1:2" x14ac:dyDescent="0.2">
      <c r="A1182" s="73" t="s">
        <v>948</v>
      </c>
      <c r="B1182" s="69" t="s">
        <v>5955</v>
      </c>
    </row>
    <row r="1183" spans="1:2" x14ac:dyDescent="0.2">
      <c r="A1183" s="73" t="s">
        <v>1575</v>
      </c>
      <c r="B1183" s="69" t="s">
        <v>5954</v>
      </c>
    </row>
    <row r="1184" spans="1:2" x14ac:dyDescent="0.2">
      <c r="A1184" s="73" t="s">
        <v>1576</v>
      </c>
      <c r="B1184" s="69" t="s">
        <v>5953</v>
      </c>
    </row>
    <row r="1185" spans="1:2" x14ac:dyDescent="0.2">
      <c r="A1185" s="73" t="s">
        <v>1577</v>
      </c>
      <c r="B1185" s="69" t="s">
        <v>5952</v>
      </c>
    </row>
    <row r="1186" spans="1:2" x14ac:dyDescent="0.2">
      <c r="A1186" s="73" t="s">
        <v>949</v>
      </c>
      <c r="B1186" s="69" t="s">
        <v>5951</v>
      </c>
    </row>
    <row r="1187" spans="1:2" x14ac:dyDescent="0.2">
      <c r="A1187" s="73" t="s">
        <v>1578</v>
      </c>
      <c r="B1187" s="69" t="s">
        <v>5950</v>
      </c>
    </row>
    <row r="1188" spans="1:2" x14ac:dyDescent="0.2">
      <c r="A1188" s="73" t="s">
        <v>950</v>
      </c>
      <c r="B1188" s="69" t="s">
        <v>5949</v>
      </c>
    </row>
    <row r="1189" spans="1:2" x14ac:dyDescent="0.2">
      <c r="A1189" s="73" t="s">
        <v>951</v>
      </c>
      <c r="B1189" s="69" t="s">
        <v>5948</v>
      </c>
    </row>
    <row r="1190" spans="1:2" x14ac:dyDescent="0.2">
      <c r="A1190" s="73" t="s">
        <v>1579</v>
      </c>
      <c r="B1190" s="69" t="s">
        <v>5947</v>
      </c>
    </row>
    <row r="1191" spans="1:2" x14ac:dyDescent="0.2">
      <c r="A1191" s="73" t="s">
        <v>1580</v>
      </c>
      <c r="B1191" s="69" t="s">
        <v>5946</v>
      </c>
    </row>
    <row r="1192" spans="1:2" x14ac:dyDescent="0.2">
      <c r="A1192" s="73" t="s">
        <v>952</v>
      </c>
      <c r="B1192" s="69" t="s">
        <v>5945</v>
      </c>
    </row>
    <row r="1193" spans="1:2" x14ac:dyDescent="0.2">
      <c r="A1193" s="73" t="s">
        <v>953</v>
      </c>
      <c r="B1193" s="69" t="s">
        <v>5944</v>
      </c>
    </row>
    <row r="1194" spans="1:2" x14ac:dyDescent="0.2">
      <c r="A1194" s="73" t="s">
        <v>1581</v>
      </c>
      <c r="B1194" s="69" t="s">
        <v>5943</v>
      </c>
    </row>
    <row r="1195" spans="1:2" x14ac:dyDescent="0.2">
      <c r="A1195" s="73" t="s">
        <v>954</v>
      </c>
      <c r="B1195" s="69" t="s">
        <v>5942</v>
      </c>
    </row>
    <row r="1196" spans="1:2" x14ac:dyDescent="0.2">
      <c r="A1196" s="73" t="s">
        <v>955</v>
      </c>
      <c r="B1196" s="69" t="s">
        <v>5941</v>
      </c>
    </row>
    <row r="1197" spans="1:2" x14ac:dyDescent="0.2">
      <c r="A1197" s="73" t="s">
        <v>956</v>
      </c>
      <c r="B1197" s="69" t="s">
        <v>5940</v>
      </c>
    </row>
    <row r="1198" spans="1:2" x14ac:dyDescent="0.2">
      <c r="A1198" s="73" t="s">
        <v>1583</v>
      </c>
      <c r="B1198" s="69" t="s">
        <v>5939</v>
      </c>
    </row>
    <row r="1199" spans="1:2" x14ac:dyDescent="0.2">
      <c r="A1199" s="73" t="s">
        <v>1584</v>
      </c>
      <c r="B1199" s="69" t="s">
        <v>5938</v>
      </c>
    </row>
    <row r="1200" spans="1:2" x14ac:dyDescent="0.2">
      <c r="A1200" s="73" t="s">
        <v>1585</v>
      </c>
      <c r="B1200" s="69" t="s">
        <v>5937</v>
      </c>
    </row>
    <row r="1201" spans="1:2" x14ac:dyDescent="0.2">
      <c r="A1201" s="73" t="s">
        <v>377</v>
      </c>
      <c r="B1201" s="69" t="s">
        <v>5936</v>
      </c>
    </row>
    <row r="1202" spans="1:2" x14ac:dyDescent="0.2">
      <c r="A1202" s="73" t="s">
        <v>1586</v>
      </c>
      <c r="B1202" s="69" t="s">
        <v>5935</v>
      </c>
    </row>
    <row r="1203" spans="1:2" x14ac:dyDescent="0.2">
      <c r="A1203" s="73" t="s">
        <v>957</v>
      </c>
      <c r="B1203" s="69" t="s">
        <v>5934</v>
      </c>
    </row>
    <row r="1204" spans="1:2" x14ac:dyDescent="0.2">
      <c r="A1204" s="73" t="s">
        <v>1587</v>
      </c>
      <c r="B1204" s="69" t="s">
        <v>5933</v>
      </c>
    </row>
    <row r="1205" spans="1:2" x14ac:dyDescent="0.2">
      <c r="A1205" s="73" t="s">
        <v>958</v>
      </c>
      <c r="B1205" s="69" t="s">
        <v>5932</v>
      </c>
    </row>
    <row r="1206" spans="1:2" x14ac:dyDescent="0.2">
      <c r="A1206" s="73" t="s">
        <v>1588</v>
      </c>
      <c r="B1206" s="69" t="s">
        <v>5931</v>
      </c>
    </row>
    <row r="1207" spans="1:2" x14ac:dyDescent="0.2">
      <c r="A1207" s="73" t="s">
        <v>1589</v>
      </c>
      <c r="B1207" s="69" t="s">
        <v>5930</v>
      </c>
    </row>
    <row r="1208" spans="1:2" x14ac:dyDescent="0.2">
      <c r="A1208" s="73" t="s">
        <v>1590</v>
      </c>
      <c r="B1208" s="69" t="s">
        <v>5929</v>
      </c>
    </row>
    <row r="1209" spans="1:2" x14ac:dyDescent="0.2">
      <c r="A1209" s="73" t="s">
        <v>959</v>
      </c>
      <c r="B1209" s="69" t="s">
        <v>5928</v>
      </c>
    </row>
    <row r="1210" spans="1:2" x14ac:dyDescent="0.2">
      <c r="A1210" s="73" t="s">
        <v>1591</v>
      </c>
      <c r="B1210" s="69" t="s">
        <v>5927</v>
      </c>
    </row>
    <row r="1211" spans="1:2" x14ac:dyDescent="0.2">
      <c r="A1211" s="73" t="s">
        <v>1592</v>
      </c>
      <c r="B1211" s="69" t="s">
        <v>5926</v>
      </c>
    </row>
    <row r="1212" spans="1:2" x14ac:dyDescent="0.2">
      <c r="A1212" s="73" t="s">
        <v>960</v>
      </c>
      <c r="B1212" s="69" t="s">
        <v>5925</v>
      </c>
    </row>
    <row r="1213" spans="1:2" x14ac:dyDescent="0.2">
      <c r="A1213" s="73" t="s">
        <v>961</v>
      </c>
      <c r="B1213" s="69" t="s">
        <v>5924</v>
      </c>
    </row>
    <row r="1214" spans="1:2" x14ac:dyDescent="0.2">
      <c r="A1214" s="73" t="s">
        <v>1593</v>
      </c>
      <c r="B1214" s="69" t="s">
        <v>5923</v>
      </c>
    </row>
    <row r="1215" spans="1:2" x14ac:dyDescent="0.2">
      <c r="A1215" s="73" t="s">
        <v>1594</v>
      </c>
      <c r="B1215" s="69" t="s">
        <v>5922</v>
      </c>
    </row>
    <row r="1216" spans="1:2" x14ac:dyDescent="0.2">
      <c r="A1216" s="73" t="s">
        <v>962</v>
      </c>
      <c r="B1216" s="69" t="s">
        <v>5921</v>
      </c>
    </row>
    <row r="1217" spans="1:2" x14ac:dyDescent="0.2">
      <c r="A1217" s="73" t="s">
        <v>1595</v>
      </c>
      <c r="B1217" s="69" t="s">
        <v>5920</v>
      </c>
    </row>
    <row r="1218" spans="1:2" x14ac:dyDescent="0.2">
      <c r="A1218" s="73" t="s">
        <v>963</v>
      </c>
      <c r="B1218" s="69" t="s">
        <v>5919</v>
      </c>
    </row>
    <row r="1219" spans="1:2" x14ac:dyDescent="0.2">
      <c r="A1219" s="73" t="s">
        <v>1596</v>
      </c>
      <c r="B1219" s="69" t="s">
        <v>5918</v>
      </c>
    </row>
    <row r="1220" spans="1:2" x14ac:dyDescent="0.2">
      <c r="A1220" s="73" t="s">
        <v>1597</v>
      </c>
      <c r="B1220" s="69" t="s">
        <v>5917</v>
      </c>
    </row>
    <row r="1221" spans="1:2" x14ac:dyDescent="0.2">
      <c r="A1221" s="73" t="s">
        <v>964</v>
      </c>
      <c r="B1221" s="69" t="s">
        <v>5916</v>
      </c>
    </row>
    <row r="1222" spans="1:2" x14ac:dyDescent="0.2">
      <c r="A1222" s="73" t="s">
        <v>965</v>
      </c>
      <c r="B1222" s="69" t="s">
        <v>5915</v>
      </c>
    </row>
    <row r="1223" spans="1:2" x14ac:dyDescent="0.2">
      <c r="A1223" s="73" t="s">
        <v>378</v>
      </c>
      <c r="B1223" s="69" t="s">
        <v>5914</v>
      </c>
    </row>
    <row r="1224" spans="1:2" x14ac:dyDescent="0.2">
      <c r="A1224" s="73" t="s">
        <v>1598</v>
      </c>
      <c r="B1224" s="69" t="s">
        <v>5913</v>
      </c>
    </row>
    <row r="1225" spans="1:2" x14ac:dyDescent="0.2">
      <c r="A1225" s="73" t="s">
        <v>379</v>
      </c>
      <c r="B1225" s="69" t="s">
        <v>5912</v>
      </c>
    </row>
    <row r="1226" spans="1:2" x14ac:dyDescent="0.2">
      <c r="A1226" s="73" t="s">
        <v>1599</v>
      </c>
      <c r="B1226" s="69" t="s">
        <v>5911</v>
      </c>
    </row>
    <row r="1227" spans="1:2" x14ac:dyDescent="0.2">
      <c r="A1227" s="73" t="s">
        <v>1600</v>
      </c>
      <c r="B1227" s="69" t="s">
        <v>5910</v>
      </c>
    </row>
    <row r="1228" spans="1:2" x14ac:dyDescent="0.2">
      <c r="A1228" s="73" t="s">
        <v>966</v>
      </c>
      <c r="B1228" s="69" t="s">
        <v>5909</v>
      </c>
    </row>
    <row r="1229" spans="1:2" x14ac:dyDescent="0.2">
      <c r="A1229" s="73" t="s">
        <v>967</v>
      </c>
      <c r="B1229" s="69" t="s">
        <v>5908</v>
      </c>
    </row>
    <row r="1230" spans="1:2" x14ac:dyDescent="0.2">
      <c r="A1230" s="73" t="s">
        <v>380</v>
      </c>
      <c r="B1230" s="69" t="s">
        <v>5907</v>
      </c>
    </row>
    <row r="1231" spans="1:2" x14ac:dyDescent="0.2">
      <c r="A1231" s="73" t="s">
        <v>1601</v>
      </c>
      <c r="B1231" s="69" t="s">
        <v>5906</v>
      </c>
    </row>
    <row r="1232" spans="1:2" x14ac:dyDescent="0.2">
      <c r="A1232" s="73" t="s">
        <v>1602</v>
      </c>
      <c r="B1232" s="69" t="s">
        <v>5905</v>
      </c>
    </row>
    <row r="1233" spans="1:2" x14ac:dyDescent="0.2">
      <c r="A1233" s="73" t="s">
        <v>1603</v>
      </c>
      <c r="B1233" s="69" t="s">
        <v>5904</v>
      </c>
    </row>
    <row r="1234" spans="1:2" x14ac:dyDescent="0.2">
      <c r="A1234" s="73" t="s">
        <v>1604</v>
      </c>
      <c r="B1234" s="69" t="s">
        <v>5903</v>
      </c>
    </row>
    <row r="1235" spans="1:2" x14ac:dyDescent="0.2">
      <c r="A1235" s="73" t="s">
        <v>968</v>
      </c>
      <c r="B1235" s="69" t="s">
        <v>5902</v>
      </c>
    </row>
    <row r="1236" spans="1:2" x14ac:dyDescent="0.2">
      <c r="A1236" s="73" t="s">
        <v>1606</v>
      </c>
      <c r="B1236" s="69" t="s">
        <v>5901</v>
      </c>
    </row>
    <row r="1237" spans="1:2" x14ac:dyDescent="0.2">
      <c r="A1237" s="73" t="s">
        <v>381</v>
      </c>
      <c r="B1237" s="69" t="s">
        <v>5900</v>
      </c>
    </row>
    <row r="1238" spans="1:2" x14ac:dyDescent="0.2">
      <c r="A1238" s="73" t="s">
        <v>969</v>
      </c>
      <c r="B1238" s="69" t="s">
        <v>5899</v>
      </c>
    </row>
    <row r="1239" spans="1:2" x14ac:dyDescent="0.2">
      <c r="A1239" s="73" t="s">
        <v>382</v>
      </c>
      <c r="B1239" s="69" t="s">
        <v>5898</v>
      </c>
    </row>
    <row r="1240" spans="1:2" x14ac:dyDescent="0.2">
      <c r="A1240" s="73" t="s">
        <v>1607</v>
      </c>
      <c r="B1240" s="69" t="s">
        <v>5897</v>
      </c>
    </row>
    <row r="1241" spans="1:2" x14ac:dyDescent="0.2">
      <c r="A1241" s="73" t="s">
        <v>383</v>
      </c>
      <c r="B1241" s="69" t="s">
        <v>5896</v>
      </c>
    </row>
    <row r="1242" spans="1:2" x14ac:dyDescent="0.2">
      <c r="A1242" s="73" t="s">
        <v>970</v>
      </c>
      <c r="B1242" s="69" t="s">
        <v>5895</v>
      </c>
    </row>
    <row r="1243" spans="1:2" x14ac:dyDescent="0.2">
      <c r="A1243" s="73" t="s">
        <v>1608</v>
      </c>
      <c r="B1243" s="69" t="s">
        <v>5894</v>
      </c>
    </row>
    <row r="1244" spans="1:2" x14ac:dyDescent="0.2">
      <c r="A1244" s="73" t="s">
        <v>384</v>
      </c>
      <c r="B1244" s="69" t="s">
        <v>5893</v>
      </c>
    </row>
    <row r="1245" spans="1:2" x14ac:dyDescent="0.2">
      <c r="A1245" s="73" t="s">
        <v>1609</v>
      </c>
      <c r="B1245" s="69" t="s">
        <v>5892</v>
      </c>
    </row>
    <row r="1246" spans="1:2" x14ac:dyDescent="0.2">
      <c r="A1246" s="73" t="s">
        <v>385</v>
      </c>
      <c r="B1246" s="69" t="s">
        <v>5891</v>
      </c>
    </row>
    <row r="1247" spans="1:2" x14ac:dyDescent="0.2">
      <c r="A1247" s="73" t="s">
        <v>1610</v>
      </c>
      <c r="B1247" s="69" t="s">
        <v>5890</v>
      </c>
    </row>
    <row r="1248" spans="1:2" x14ac:dyDescent="0.2">
      <c r="A1248" s="73" t="s">
        <v>1611</v>
      </c>
      <c r="B1248" s="69" t="s">
        <v>5889</v>
      </c>
    </row>
    <row r="1249" spans="1:2" x14ac:dyDescent="0.2">
      <c r="A1249" s="73" t="s">
        <v>971</v>
      </c>
      <c r="B1249" s="69" t="s">
        <v>5888</v>
      </c>
    </row>
    <row r="1250" spans="1:2" x14ac:dyDescent="0.2">
      <c r="A1250" s="73" t="s">
        <v>972</v>
      </c>
      <c r="B1250" s="69" t="s">
        <v>5887</v>
      </c>
    </row>
    <row r="1251" spans="1:2" x14ac:dyDescent="0.2">
      <c r="A1251" s="73" t="s">
        <v>973</v>
      </c>
      <c r="B1251" s="69" t="s">
        <v>5886</v>
      </c>
    </row>
    <row r="1252" spans="1:2" x14ac:dyDescent="0.2">
      <c r="A1252" s="73" t="s">
        <v>1612</v>
      </c>
      <c r="B1252" s="69" t="s">
        <v>5885</v>
      </c>
    </row>
    <row r="1253" spans="1:2" x14ac:dyDescent="0.2">
      <c r="A1253" s="73" t="s">
        <v>1613</v>
      </c>
      <c r="B1253" s="69" t="s">
        <v>5884</v>
      </c>
    </row>
    <row r="1254" spans="1:2" x14ac:dyDescent="0.2">
      <c r="A1254" s="73" t="s">
        <v>1614</v>
      </c>
      <c r="B1254" s="69" t="s">
        <v>5883</v>
      </c>
    </row>
    <row r="1255" spans="1:2" x14ac:dyDescent="0.2">
      <c r="A1255" s="73" t="s">
        <v>1615</v>
      </c>
      <c r="B1255" s="69" t="s">
        <v>5882</v>
      </c>
    </row>
    <row r="1256" spans="1:2" x14ac:dyDescent="0.2">
      <c r="A1256" s="73" t="s">
        <v>974</v>
      </c>
      <c r="B1256" s="69" t="s">
        <v>5881</v>
      </c>
    </row>
    <row r="1257" spans="1:2" x14ac:dyDescent="0.2">
      <c r="A1257" s="73" t="s">
        <v>1616</v>
      </c>
      <c r="B1257" s="69" t="s">
        <v>5880</v>
      </c>
    </row>
    <row r="1258" spans="1:2" x14ac:dyDescent="0.2">
      <c r="A1258" s="73" t="s">
        <v>975</v>
      </c>
      <c r="B1258" s="69" t="s">
        <v>5879</v>
      </c>
    </row>
    <row r="1259" spans="1:2" x14ac:dyDescent="0.2">
      <c r="A1259" s="73" t="s">
        <v>1617</v>
      </c>
      <c r="B1259" s="69" t="s">
        <v>5878</v>
      </c>
    </row>
    <row r="1260" spans="1:2" x14ac:dyDescent="0.2">
      <c r="A1260" s="73" t="s">
        <v>976</v>
      </c>
      <c r="B1260" s="69" t="s">
        <v>5877</v>
      </c>
    </row>
    <row r="1261" spans="1:2" x14ac:dyDescent="0.2">
      <c r="A1261" s="73" t="s">
        <v>386</v>
      </c>
      <c r="B1261" s="69" t="s">
        <v>5876</v>
      </c>
    </row>
    <row r="1262" spans="1:2" x14ac:dyDescent="0.2">
      <c r="A1262" s="73" t="s">
        <v>1618</v>
      </c>
      <c r="B1262" s="69" t="s">
        <v>5875</v>
      </c>
    </row>
    <row r="1263" spans="1:2" x14ac:dyDescent="0.2">
      <c r="A1263" s="73" t="s">
        <v>1619</v>
      </c>
      <c r="B1263" s="69" t="s">
        <v>5874</v>
      </c>
    </row>
    <row r="1264" spans="1:2" x14ac:dyDescent="0.2">
      <c r="A1264" s="73" t="s">
        <v>387</v>
      </c>
      <c r="B1264" s="69" t="s">
        <v>5873</v>
      </c>
    </row>
    <row r="1265" spans="1:2" x14ac:dyDescent="0.2">
      <c r="A1265" s="73" t="s">
        <v>388</v>
      </c>
      <c r="B1265" s="69" t="s">
        <v>5872</v>
      </c>
    </row>
    <row r="1266" spans="1:2" x14ac:dyDescent="0.2">
      <c r="A1266" s="73" t="s">
        <v>977</v>
      </c>
      <c r="B1266" s="69" t="s">
        <v>5871</v>
      </c>
    </row>
    <row r="1267" spans="1:2" x14ac:dyDescent="0.2">
      <c r="A1267" s="73" t="s">
        <v>389</v>
      </c>
      <c r="B1267" s="69" t="s">
        <v>5870</v>
      </c>
    </row>
    <row r="1268" spans="1:2" x14ac:dyDescent="0.2">
      <c r="A1268" s="73" t="s">
        <v>1621</v>
      </c>
      <c r="B1268" s="69" t="s">
        <v>5869</v>
      </c>
    </row>
    <row r="1269" spans="1:2" x14ac:dyDescent="0.2">
      <c r="A1269" s="73" t="s">
        <v>978</v>
      </c>
      <c r="B1269" s="69" t="s">
        <v>5868</v>
      </c>
    </row>
    <row r="1270" spans="1:2" x14ac:dyDescent="0.2">
      <c r="A1270" s="73" t="s">
        <v>1622</v>
      </c>
      <c r="B1270" s="69" t="s">
        <v>5867</v>
      </c>
    </row>
    <row r="1271" spans="1:2" x14ac:dyDescent="0.2">
      <c r="A1271" s="73" t="s">
        <v>979</v>
      </c>
      <c r="B1271" s="69" t="s">
        <v>5866</v>
      </c>
    </row>
    <row r="1272" spans="1:2" x14ac:dyDescent="0.2">
      <c r="A1272" s="73" t="s">
        <v>980</v>
      </c>
      <c r="B1272" s="69" t="s">
        <v>5865</v>
      </c>
    </row>
    <row r="1273" spans="1:2" x14ac:dyDescent="0.2">
      <c r="A1273" s="73" t="s">
        <v>981</v>
      </c>
      <c r="B1273" s="69" t="s">
        <v>5864</v>
      </c>
    </row>
    <row r="1274" spans="1:2" x14ac:dyDescent="0.2">
      <c r="A1274" s="73" t="s">
        <v>1623</v>
      </c>
      <c r="B1274" s="69" t="s">
        <v>5863</v>
      </c>
    </row>
    <row r="1275" spans="1:2" x14ac:dyDescent="0.2">
      <c r="A1275" s="73" t="s">
        <v>1624</v>
      </c>
      <c r="B1275" s="69" t="s">
        <v>5862</v>
      </c>
    </row>
    <row r="1276" spans="1:2" x14ac:dyDescent="0.2">
      <c r="A1276" s="73" t="s">
        <v>1625</v>
      </c>
      <c r="B1276" s="69" t="s">
        <v>5861</v>
      </c>
    </row>
    <row r="1277" spans="1:2" x14ac:dyDescent="0.2">
      <c r="A1277" s="73" t="s">
        <v>982</v>
      </c>
      <c r="B1277" s="69" t="s">
        <v>5860</v>
      </c>
    </row>
    <row r="1278" spans="1:2" x14ac:dyDescent="0.2">
      <c r="A1278" s="73" t="s">
        <v>983</v>
      </c>
      <c r="B1278" s="69" t="s">
        <v>5859</v>
      </c>
    </row>
    <row r="1279" spans="1:2" x14ac:dyDescent="0.2">
      <c r="A1279" s="73" t="s">
        <v>1626</v>
      </c>
      <c r="B1279" s="69" t="s">
        <v>5858</v>
      </c>
    </row>
    <row r="1280" spans="1:2" x14ac:dyDescent="0.2">
      <c r="A1280" s="73" t="s">
        <v>984</v>
      </c>
      <c r="B1280" s="69" t="s">
        <v>5857</v>
      </c>
    </row>
    <row r="1281" spans="1:2" x14ac:dyDescent="0.2">
      <c r="A1281" s="73" t="s">
        <v>1627</v>
      </c>
      <c r="B1281" s="69" t="s">
        <v>5856</v>
      </c>
    </row>
    <row r="1282" spans="1:2" x14ac:dyDescent="0.2">
      <c r="A1282" s="73" t="s">
        <v>1628</v>
      </c>
      <c r="B1282" s="69" t="s">
        <v>5855</v>
      </c>
    </row>
    <row r="1283" spans="1:2" x14ac:dyDescent="0.2">
      <c r="A1283" s="73" t="s">
        <v>985</v>
      </c>
      <c r="B1283" s="69" t="s">
        <v>5854</v>
      </c>
    </row>
    <row r="1284" spans="1:2" x14ac:dyDescent="0.2">
      <c r="A1284" s="73" t="s">
        <v>1629</v>
      </c>
      <c r="B1284" s="69" t="s">
        <v>5853</v>
      </c>
    </row>
    <row r="1285" spans="1:2" x14ac:dyDescent="0.2">
      <c r="A1285" s="73" t="s">
        <v>986</v>
      </c>
      <c r="B1285" s="69" t="s">
        <v>5852</v>
      </c>
    </row>
    <row r="1286" spans="1:2" x14ac:dyDescent="0.2">
      <c r="A1286" s="73" t="s">
        <v>987</v>
      </c>
      <c r="B1286" s="69" t="s">
        <v>5851</v>
      </c>
    </row>
    <row r="1287" spans="1:2" x14ac:dyDescent="0.2">
      <c r="A1287" s="73" t="s">
        <v>988</v>
      </c>
      <c r="B1287" s="69" t="s">
        <v>5850</v>
      </c>
    </row>
    <row r="1288" spans="1:2" x14ac:dyDescent="0.2">
      <c r="A1288" s="73" t="s">
        <v>1630</v>
      </c>
      <c r="B1288" s="69" t="s">
        <v>5849</v>
      </c>
    </row>
    <row r="1289" spans="1:2" x14ac:dyDescent="0.2">
      <c r="A1289" s="73" t="s">
        <v>390</v>
      </c>
      <c r="B1289" s="69" t="s">
        <v>5848</v>
      </c>
    </row>
    <row r="1290" spans="1:2" x14ac:dyDescent="0.2">
      <c r="A1290" s="73" t="s">
        <v>1631</v>
      </c>
      <c r="B1290" s="69" t="s">
        <v>5847</v>
      </c>
    </row>
    <row r="1291" spans="1:2" x14ac:dyDescent="0.2">
      <c r="A1291" s="73" t="s">
        <v>1632</v>
      </c>
      <c r="B1291" s="69" t="s">
        <v>5846</v>
      </c>
    </row>
    <row r="1292" spans="1:2" x14ac:dyDescent="0.2">
      <c r="A1292" s="73" t="s">
        <v>391</v>
      </c>
      <c r="B1292" s="69" t="s">
        <v>5845</v>
      </c>
    </row>
    <row r="1293" spans="1:2" x14ac:dyDescent="0.2">
      <c r="A1293" s="73" t="s">
        <v>392</v>
      </c>
      <c r="B1293" s="69" t="s">
        <v>5844</v>
      </c>
    </row>
    <row r="1294" spans="1:2" x14ac:dyDescent="0.2">
      <c r="A1294" s="73" t="s">
        <v>989</v>
      </c>
      <c r="B1294" s="69" t="s">
        <v>5843</v>
      </c>
    </row>
    <row r="1295" spans="1:2" x14ac:dyDescent="0.2">
      <c r="A1295" s="73" t="s">
        <v>990</v>
      </c>
      <c r="B1295" s="69" t="s">
        <v>5842</v>
      </c>
    </row>
    <row r="1296" spans="1:2" x14ac:dyDescent="0.2">
      <c r="A1296" s="73" t="s">
        <v>1633</v>
      </c>
      <c r="B1296" s="69" t="s">
        <v>5841</v>
      </c>
    </row>
    <row r="1297" spans="1:2" x14ac:dyDescent="0.2">
      <c r="A1297" s="73" t="s">
        <v>991</v>
      </c>
      <c r="B1297" s="69" t="s">
        <v>5840</v>
      </c>
    </row>
    <row r="1298" spans="1:2" x14ac:dyDescent="0.2">
      <c r="A1298" s="73" t="s">
        <v>1634</v>
      </c>
      <c r="B1298" s="69" t="s">
        <v>5839</v>
      </c>
    </row>
    <row r="1299" spans="1:2" x14ac:dyDescent="0.2">
      <c r="A1299" s="73" t="s">
        <v>992</v>
      </c>
      <c r="B1299" s="69" t="s">
        <v>5838</v>
      </c>
    </row>
    <row r="1300" spans="1:2" x14ac:dyDescent="0.2">
      <c r="A1300" s="73" t="s">
        <v>393</v>
      </c>
      <c r="B1300" s="69" t="s">
        <v>5837</v>
      </c>
    </row>
    <row r="1301" spans="1:2" x14ac:dyDescent="0.2">
      <c r="A1301" s="73" t="s">
        <v>394</v>
      </c>
      <c r="B1301" s="69" t="s">
        <v>5836</v>
      </c>
    </row>
    <row r="1302" spans="1:2" x14ac:dyDescent="0.2">
      <c r="A1302" s="73" t="s">
        <v>1636</v>
      </c>
      <c r="B1302" s="69" t="s">
        <v>5835</v>
      </c>
    </row>
    <row r="1303" spans="1:2" x14ac:dyDescent="0.2">
      <c r="A1303" s="73" t="s">
        <v>1637</v>
      </c>
      <c r="B1303" s="69" t="s">
        <v>5834</v>
      </c>
    </row>
    <row r="1304" spans="1:2" x14ac:dyDescent="0.2">
      <c r="A1304" s="73" t="s">
        <v>1638</v>
      </c>
      <c r="B1304" s="69" t="s">
        <v>5833</v>
      </c>
    </row>
    <row r="1305" spans="1:2" x14ac:dyDescent="0.2">
      <c r="A1305" s="73" t="s">
        <v>1639</v>
      </c>
      <c r="B1305" s="69" t="s">
        <v>5832</v>
      </c>
    </row>
    <row r="1306" spans="1:2" x14ac:dyDescent="0.2">
      <c r="A1306" s="73" t="s">
        <v>993</v>
      </c>
      <c r="B1306" s="69" t="s">
        <v>5831</v>
      </c>
    </row>
    <row r="1307" spans="1:2" x14ac:dyDescent="0.2">
      <c r="A1307" s="73" t="s">
        <v>994</v>
      </c>
      <c r="B1307" s="69" t="s">
        <v>5830</v>
      </c>
    </row>
    <row r="1308" spans="1:2" x14ac:dyDescent="0.2">
      <c r="A1308" s="73" t="s">
        <v>995</v>
      </c>
      <c r="B1308" s="69" t="s">
        <v>5829</v>
      </c>
    </row>
    <row r="1309" spans="1:2" x14ac:dyDescent="0.2">
      <c r="A1309" s="73" t="s">
        <v>996</v>
      </c>
      <c r="B1309" s="69" t="s">
        <v>5828</v>
      </c>
    </row>
    <row r="1310" spans="1:2" x14ac:dyDescent="0.2">
      <c r="A1310" s="73" t="s">
        <v>997</v>
      </c>
      <c r="B1310" s="69" t="s">
        <v>5827</v>
      </c>
    </row>
    <row r="1311" spans="1:2" x14ac:dyDescent="0.2">
      <c r="A1311" s="73" t="s">
        <v>1640</v>
      </c>
      <c r="B1311" s="69" t="s">
        <v>5826</v>
      </c>
    </row>
    <row r="1312" spans="1:2" x14ac:dyDescent="0.2">
      <c r="A1312" s="73" t="s">
        <v>1641</v>
      </c>
      <c r="B1312" s="69" t="s">
        <v>5825</v>
      </c>
    </row>
    <row r="1313" spans="1:2" x14ac:dyDescent="0.2">
      <c r="A1313" s="73" t="s">
        <v>1642</v>
      </c>
      <c r="B1313" s="69" t="s">
        <v>5824</v>
      </c>
    </row>
    <row r="1314" spans="1:2" x14ac:dyDescent="0.2">
      <c r="A1314" s="73" t="s">
        <v>1643</v>
      </c>
      <c r="B1314" s="69" t="s">
        <v>5823</v>
      </c>
    </row>
    <row r="1315" spans="1:2" x14ac:dyDescent="0.2">
      <c r="A1315" s="73" t="s">
        <v>1644</v>
      </c>
      <c r="B1315" s="69" t="s">
        <v>5822</v>
      </c>
    </row>
    <row r="1316" spans="1:2" x14ac:dyDescent="0.2">
      <c r="A1316" s="73" t="s">
        <v>1645</v>
      </c>
      <c r="B1316" s="69" t="s">
        <v>5821</v>
      </c>
    </row>
    <row r="1317" spans="1:2" x14ac:dyDescent="0.2">
      <c r="A1317" s="73" t="s">
        <v>998</v>
      </c>
      <c r="B1317" s="69" t="s">
        <v>5820</v>
      </c>
    </row>
    <row r="1318" spans="1:2" x14ac:dyDescent="0.2">
      <c r="A1318" s="73" t="s">
        <v>1646</v>
      </c>
      <c r="B1318" s="69" t="s">
        <v>5819</v>
      </c>
    </row>
    <row r="1319" spans="1:2" x14ac:dyDescent="0.2">
      <c r="A1319" s="73" t="s">
        <v>999</v>
      </c>
      <c r="B1319" s="69" t="s">
        <v>5818</v>
      </c>
    </row>
    <row r="1320" spans="1:2" x14ac:dyDescent="0.2">
      <c r="A1320" s="73" t="s">
        <v>395</v>
      </c>
      <c r="B1320" s="69" t="s">
        <v>5817</v>
      </c>
    </row>
    <row r="1321" spans="1:2" x14ac:dyDescent="0.2">
      <c r="A1321" s="73" t="s">
        <v>1648</v>
      </c>
      <c r="B1321" s="69" t="s">
        <v>5816</v>
      </c>
    </row>
    <row r="1322" spans="1:2" x14ac:dyDescent="0.2">
      <c r="A1322" s="73" t="s">
        <v>396</v>
      </c>
      <c r="B1322" s="69" t="s">
        <v>5815</v>
      </c>
    </row>
    <row r="1323" spans="1:2" x14ac:dyDescent="0.2">
      <c r="A1323" s="73" t="s">
        <v>1000</v>
      </c>
      <c r="B1323" s="69" t="s">
        <v>5814</v>
      </c>
    </row>
    <row r="1324" spans="1:2" x14ac:dyDescent="0.2">
      <c r="A1324" s="73" t="s">
        <v>397</v>
      </c>
      <c r="B1324" s="69" t="s">
        <v>5813</v>
      </c>
    </row>
    <row r="1325" spans="1:2" x14ac:dyDescent="0.2">
      <c r="A1325" s="73" t="s">
        <v>1001</v>
      </c>
      <c r="B1325" s="69" t="s">
        <v>5812</v>
      </c>
    </row>
    <row r="1326" spans="1:2" x14ac:dyDescent="0.2">
      <c r="A1326" s="73" t="s">
        <v>398</v>
      </c>
      <c r="B1326" s="69" t="s">
        <v>5811</v>
      </c>
    </row>
    <row r="1327" spans="1:2" x14ac:dyDescent="0.2">
      <c r="A1327" s="73" t="s">
        <v>399</v>
      </c>
      <c r="B1327" s="69" t="s">
        <v>5810</v>
      </c>
    </row>
    <row r="1328" spans="1:2" x14ac:dyDescent="0.2">
      <c r="A1328" s="73" t="s">
        <v>400</v>
      </c>
      <c r="B1328" s="69" t="s">
        <v>5809</v>
      </c>
    </row>
    <row r="1329" spans="1:2" x14ac:dyDescent="0.2">
      <c r="A1329" s="73" t="s">
        <v>401</v>
      </c>
      <c r="B1329" s="69" t="s">
        <v>5808</v>
      </c>
    </row>
    <row r="1330" spans="1:2" x14ac:dyDescent="0.2">
      <c r="A1330" s="73" t="s">
        <v>1649</v>
      </c>
      <c r="B1330" s="69" t="s">
        <v>5807</v>
      </c>
    </row>
    <row r="1331" spans="1:2" x14ac:dyDescent="0.2">
      <c r="A1331" s="73" t="s">
        <v>1650</v>
      </c>
      <c r="B1331" s="69" t="s">
        <v>5806</v>
      </c>
    </row>
    <row r="1332" spans="1:2" x14ac:dyDescent="0.2">
      <c r="A1332" s="73" t="s">
        <v>1651</v>
      </c>
      <c r="B1332" s="69" t="s">
        <v>5805</v>
      </c>
    </row>
    <row r="1333" spans="1:2" x14ac:dyDescent="0.2">
      <c r="A1333" s="73" t="s">
        <v>1652</v>
      </c>
      <c r="B1333" s="69" t="s">
        <v>5804</v>
      </c>
    </row>
    <row r="1334" spans="1:2" x14ac:dyDescent="0.2">
      <c r="A1334" s="73" t="s">
        <v>1002</v>
      </c>
      <c r="B1334" s="69" t="s">
        <v>5803</v>
      </c>
    </row>
    <row r="1335" spans="1:2" x14ac:dyDescent="0.2">
      <c r="A1335" s="73" t="s">
        <v>1003</v>
      </c>
      <c r="B1335" s="69" t="s">
        <v>5802</v>
      </c>
    </row>
    <row r="1336" spans="1:2" x14ac:dyDescent="0.2">
      <c r="A1336" s="73" t="s">
        <v>1004</v>
      </c>
      <c r="B1336" s="69" t="s">
        <v>5801</v>
      </c>
    </row>
    <row r="1337" spans="1:2" x14ac:dyDescent="0.2">
      <c r="A1337" s="73" t="s">
        <v>402</v>
      </c>
      <c r="B1337" s="69" t="s">
        <v>5800</v>
      </c>
    </row>
    <row r="1338" spans="1:2" x14ac:dyDescent="0.2">
      <c r="A1338" s="73" t="s">
        <v>403</v>
      </c>
      <c r="B1338" s="69" t="s">
        <v>5799</v>
      </c>
    </row>
    <row r="1339" spans="1:2" x14ac:dyDescent="0.2">
      <c r="A1339" s="73" t="s">
        <v>1653</v>
      </c>
      <c r="B1339" s="69" t="s">
        <v>5798</v>
      </c>
    </row>
    <row r="1340" spans="1:2" x14ac:dyDescent="0.2">
      <c r="A1340" s="73" t="s">
        <v>1655</v>
      </c>
      <c r="B1340" s="69" t="s">
        <v>5797</v>
      </c>
    </row>
    <row r="1341" spans="1:2" x14ac:dyDescent="0.2">
      <c r="A1341" s="73" t="s">
        <v>404</v>
      </c>
      <c r="B1341" s="69" t="s">
        <v>5796</v>
      </c>
    </row>
    <row r="1342" spans="1:2" x14ac:dyDescent="0.2">
      <c r="A1342" s="73" t="s">
        <v>1005</v>
      </c>
      <c r="B1342" s="69" t="s">
        <v>5795</v>
      </c>
    </row>
    <row r="1343" spans="1:2" x14ac:dyDescent="0.2">
      <c r="A1343" s="73" t="s">
        <v>1006</v>
      </c>
      <c r="B1343" s="69" t="s">
        <v>5794</v>
      </c>
    </row>
    <row r="1344" spans="1:2" x14ac:dyDescent="0.2">
      <c r="A1344" s="73" t="s">
        <v>1656</v>
      </c>
      <c r="B1344" s="69" t="s">
        <v>5793</v>
      </c>
    </row>
    <row r="1345" spans="1:2" x14ac:dyDescent="0.2">
      <c r="A1345" s="73" t="s">
        <v>405</v>
      </c>
      <c r="B1345" s="69" t="s">
        <v>5792</v>
      </c>
    </row>
    <row r="1346" spans="1:2" x14ac:dyDescent="0.2">
      <c r="A1346" s="73" t="s">
        <v>406</v>
      </c>
      <c r="B1346" s="69" t="s">
        <v>5791</v>
      </c>
    </row>
    <row r="1347" spans="1:2" x14ac:dyDescent="0.2">
      <c r="A1347" s="73" t="s">
        <v>1007</v>
      </c>
      <c r="B1347" s="69" t="s">
        <v>5790</v>
      </c>
    </row>
    <row r="1348" spans="1:2" x14ac:dyDescent="0.2">
      <c r="A1348" s="73" t="s">
        <v>1658</v>
      </c>
      <c r="B1348" s="69" t="s">
        <v>5789</v>
      </c>
    </row>
    <row r="1349" spans="1:2" x14ac:dyDescent="0.2">
      <c r="A1349" s="73" t="s">
        <v>1659</v>
      </c>
      <c r="B1349" s="69" t="s">
        <v>5788</v>
      </c>
    </row>
    <row r="1350" spans="1:2" x14ac:dyDescent="0.2">
      <c r="A1350" s="73" t="s">
        <v>1008</v>
      </c>
      <c r="B1350" s="69" t="s">
        <v>5787</v>
      </c>
    </row>
    <row r="1351" spans="1:2" x14ac:dyDescent="0.2">
      <c r="A1351" s="73" t="s">
        <v>1009</v>
      </c>
      <c r="B1351" s="69" t="s">
        <v>5786</v>
      </c>
    </row>
    <row r="1352" spans="1:2" x14ac:dyDescent="0.2">
      <c r="A1352" s="73" t="s">
        <v>1010</v>
      </c>
      <c r="B1352" s="69" t="s">
        <v>5785</v>
      </c>
    </row>
    <row r="1353" spans="1:2" x14ac:dyDescent="0.2">
      <c r="A1353" s="73" t="s">
        <v>1011</v>
      </c>
      <c r="B1353" s="69" t="s">
        <v>5784</v>
      </c>
    </row>
    <row r="1354" spans="1:2" x14ac:dyDescent="0.2">
      <c r="A1354" s="73" t="s">
        <v>1660</v>
      </c>
      <c r="B1354" s="69" t="s">
        <v>5783</v>
      </c>
    </row>
    <row r="1355" spans="1:2" x14ac:dyDescent="0.2">
      <c r="A1355" s="73" t="s">
        <v>1661</v>
      </c>
      <c r="B1355" s="69" t="s">
        <v>5782</v>
      </c>
    </row>
    <row r="1356" spans="1:2" x14ac:dyDescent="0.2">
      <c r="A1356" s="73" t="s">
        <v>1012</v>
      </c>
      <c r="B1356" s="69" t="s">
        <v>5781</v>
      </c>
    </row>
    <row r="1357" spans="1:2" x14ac:dyDescent="0.2">
      <c r="A1357" s="73" t="s">
        <v>1013</v>
      </c>
      <c r="B1357" s="69" t="s">
        <v>5780</v>
      </c>
    </row>
    <row r="1358" spans="1:2" x14ac:dyDescent="0.2">
      <c r="A1358" s="73" t="s">
        <v>1014</v>
      </c>
      <c r="B1358" s="69" t="s">
        <v>5779</v>
      </c>
    </row>
    <row r="1359" spans="1:2" x14ac:dyDescent="0.2">
      <c r="A1359" s="73" t="s">
        <v>1662</v>
      </c>
      <c r="B1359" s="69" t="s">
        <v>5778</v>
      </c>
    </row>
    <row r="1360" spans="1:2" x14ac:dyDescent="0.2">
      <c r="A1360" s="73" t="s">
        <v>1015</v>
      </c>
      <c r="B1360" s="69" t="s">
        <v>5777</v>
      </c>
    </row>
    <row r="1361" spans="1:2" x14ac:dyDescent="0.2">
      <c r="A1361" s="73" t="s">
        <v>1663</v>
      </c>
      <c r="B1361" s="69" t="s">
        <v>5776</v>
      </c>
    </row>
    <row r="1362" spans="1:2" x14ac:dyDescent="0.2">
      <c r="A1362" s="73" t="s">
        <v>1016</v>
      </c>
      <c r="B1362" s="69" t="s">
        <v>5775</v>
      </c>
    </row>
    <row r="1363" spans="1:2" x14ac:dyDescent="0.2">
      <c r="A1363" s="73" t="s">
        <v>407</v>
      </c>
      <c r="B1363" s="69" t="s">
        <v>5774</v>
      </c>
    </row>
    <row r="1364" spans="1:2" x14ac:dyDescent="0.2">
      <c r="A1364" s="73" t="s">
        <v>408</v>
      </c>
      <c r="B1364" s="69" t="s">
        <v>5773</v>
      </c>
    </row>
    <row r="1365" spans="1:2" x14ac:dyDescent="0.2">
      <c r="A1365" s="73" t="s">
        <v>1664</v>
      </c>
      <c r="B1365" s="69" t="s">
        <v>5772</v>
      </c>
    </row>
    <row r="1366" spans="1:2" x14ac:dyDescent="0.2">
      <c r="A1366" s="73" t="s">
        <v>1017</v>
      </c>
      <c r="B1366" s="69" t="s">
        <v>5771</v>
      </c>
    </row>
    <row r="1367" spans="1:2" x14ac:dyDescent="0.2">
      <c r="A1367" s="73" t="s">
        <v>1665</v>
      </c>
      <c r="B1367" s="69" t="s">
        <v>5770</v>
      </c>
    </row>
    <row r="1368" spans="1:2" x14ac:dyDescent="0.2">
      <c r="A1368" s="73" t="s">
        <v>1666</v>
      </c>
      <c r="B1368" s="69" t="s">
        <v>5769</v>
      </c>
    </row>
    <row r="1369" spans="1:2" x14ac:dyDescent="0.2">
      <c r="A1369" s="73" t="s">
        <v>409</v>
      </c>
      <c r="B1369" s="69" t="s">
        <v>5768</v>
      </c>
    </row>
    <row r="1370" spans="1:2" x14ac:dyDescent="0.2">
      <c r="A1370" s="73" t="s">
        <v>410</v>
      </c>
      <c r="B1370" s="69" t="s">
        <v>5767</v>
      </c>
    </row>
    <row r="1371" spans="1:2" x14ac:dyDescent="0.2">
      <c r="A1371" s="73" t="s">
        <v>1018</v>
      </c>
      <c r="B1371" s="69" t="s">
        <v>5766</v>
      </c>
    </row>
    <row r="1372" spans="1:2" x14ac:dyDescent="0.2">
      <c r="A1372" s="73" t="s">
        <v>1667</v>
      </c>
      <c r="B1372" s="69" t="s">
        <v>5765</v>
      </c>
    </row>
    <row r="1373" spans="1:2" x14ac:dyDescent="0.2">
      <c r="A1373" s="73" t="s">
        <v>411</v>
      </c>
      <c r="B1373" s="69" t="s">
        <v>5764</v>
      </c>
    </row>
    <row r="1374" spans="1:2" x14ac:dyDescent="0.2">
      <c r="A1374" s="73" t="s">
        <v>1019</v>
      </c>
      <c r="B1374" s="69" t="s">
        <v>5763</v>
      </c>
    </row>
    <row r="1375" spans="1:2" x14ac:dyDescent="0.2">
      <c r="A1375" s="73" t="s">
        <v>1668</v>
      </c>
      <c r="B1375" s="69" t="s">
        <v>5762</v>
      </c>
    </row>
    <row r="1376" spans="1:2" x14ac:dyDescent="0.2">
      <c r="A1376" s="73" t="s">
        <v>1669</v>
      </c>
      <c r="B1376" s="69" t="s">
        <v>5761</v>
      </c>
    </row>
    <row r="1377" spans="1:2" x14ac:dyDescent="0.2">
      <c r="A1377" s="73" t="s">
        <v>412</v>
      </c>
      <c r="B1377" s="69" t="s">
        <v>5760</v>
      </c>
    </row>
    <row r="1378" spans="1:2" x14ac:dyDescent="0.2">
      <c r="A1378" s="73" t="s">
        <v>1020</v>
      </c>
      <c r="B1378" s="69" t="s">
        <v>5759</v>
      </c>
    </row>
    <row r="1379" spans="1:2" x14ac:dyDescent="0.2">
      <c r="A1379" s="73" t="s">
        <v>1021</v>
      </c>
      <c r="B1379" s="69" t="s">
        <v>5758</v>
      </c>
    </row>
    <row r="1380" spans="1:2" x14ac:dyDescent="0.2">
      <c r="A1380" s="73" t="s">
        <v>1670</v>
      </c>
      <c r="B1380" s="69" t="s">
        <v>5757</v>
      </c>
    </row>
    <row r="1381" spans="1:2" x14ac:dyDescent="0.2">
      <c r="A1381" s="73" t="s">
        <v>1022</v>
      </c>
      <c r="B1381" s="69" t="s">
        <v>5756</v>
      </c>
    </row>
    <row r="1382" spans="1:2" x14ac:dyDescent="0.2">
      <c r="A1382" s="73" t="s">
        <v>413</v>
      </c>
      <c r="B1382" s="69" t="s">
        <v>5755</v>
      </c>
    </row>
    <row r="1383" spans="1:2" x14ac:dyDescent="0.2">
      <c r="A1383" s="73" t="s">
        <v>1671</v>
      </c>
      <c r="B1383" s="69" t="s">
        <v>5754</v>
      </c>
    </row>
    <row r="1384" spans="1:2" x14ac:dyDescent="0.2">
      <c r="A1384" s="73" t="s">
        <v>1672</v>
      </c>
      <c r="B1384" s="69" t="s">
        <v>5753</v>
      </c>
    </row>
    <row r="1385" spans="1:2" x14ac:dyDescent="0.2">
      <c r="A1385" s="73" t="s">
        <v>1023</v>
      </c>
      <c r="B1385" s="69" t="s">
        <v>5752</v>
      </c>
    </row>
    <row r="1386" spans="1:2" x14ac:dyDescent="0.2">
      <c r="A1386" s="73" t="s">
        <v>1024</v>
      </c>
      <c r="B1386" s="69" t="s">
        <v>5751</v>
      </c>
    </row>
    <row r="1387" spans="1:2" x14ac:dyDescent="0.2">
      <c r="A1387" s="73" t="s">
        <v>1673</v>
      </c>
      <c r="B1387" s="69" t="s">
        <v>5750</v>
      </c>
    </row>
    <row r="1388" spans="1:2" x14ac:dyDescent="0.2">
      <c r="A1388" s="73" t="s">
        <v>1674</v>
      </c>
      <c r="B1388" s="69" t="s">
        <v>5749</v>
      </c>
    </row>
    <row r="1389" spans="1:2" x14ac:dyDescent="0.2">
      <c r="A1389" s="73" t="s">
        <v>1675</v>
      </c>
      <c r="B1389" s="69" t="s">
        <v>5748</v>
      </c>
    </row>
    <row r="1390" spans="1:2" x14ac:dyDescent="0.2">
      <c r="A1390" s="73" t="s">
        <v>414</v>
      </c>
      <c r="B1390" s="69" t="s">
        <v>5747</v>
      </c>
    </row>
    <row r="1391" spans="1:2" x14ac:dyDescent="0.2">
      <c r="A1391" s="73" t="s">
        <v>1676</v>
      </c>
      <c r="B1391" s="69" t="s">
        <v>5746</v>
      </c>
    </row>
    <row r="1392" spans="1:2" x14ac:dyDescent="0.2">
      <c r="A1392" s="73" t="s">
        <v>415</v>
      </c>
      <c r="B1392" s="69" t="s">
        <v>5745</v>
      </c>
    </row>
    <row r="1393" spans="1:2" x14ac:dyDescent="0.2">
      <c r="A1393" s="73" t="s">
        <v>1677</v>
      </c>
      <c r="B1393" s="69" t="s">
        <v>5744</v>
      </c>
    </row>
    <row r="1394" spans="1:2" x14ac:dyDescent="0.2">
      <c r="A1394" s="73" t="s">
        <v>1025</v>
      </c>
      <c r="B1394" s="69" t="s">
        <v>5743</v>
      </c>
    </row>
    <row r="1395" spans="1:2" x14ac:dyDescent="0.2">
      <c r="A1395" s="73" t="s">
        <v>416</v>
      </c>
      <c r="B1395" s="69" t="s">
        <v>5742</v>
      </c>
    </row>
    <row r="1396" spans="1:2" x14ac:dyDescent="0.2">
      <c r="A1396" s="73" t="s">
        <v>1026</v>
      </c>
      <c r="B1396" s="69" t="s">
        <v>5741</v>
      </c>
    </row>
    <row r="1397" spans="1:2" x14ac:dyDescent="0.2">
      <c r="A1397" s="73" t="s">
        <v>417</v>
      </c>
      <c r="B1397" s="69" t="s">
        <v>5740</v>
      </c>
    </row>
    <row r="1398" spans="1:2" x14ac:dyDescent="0.2">
      <c r="A1398" s="73" t="s">
        <v>1678</v>
      </c>
      <c r="B1398" s="69" t="s">
        <v>5739</v>
      </c>
    </row>
    <row r="1399" spans="1:2" x14ac:dyDescent="0.2">
      <c r="A1399" s="73" t="s">
        <v>1679</v>
      </c>
      <c r="B1399" s="69" t="s">
        <v>5738</v>
      </c>
    </row>
    <row r="1400" spans="1:2" x14ac:dyDescent="0.2">
      <c r="A1400" s="73" t="s">
        <v>418</v>
      </c>
      <c r="B1400" s="69" t="s">
        <v>5737</v>
      </c>
    </row>
    <row r="1401" spans="1:2" x14ac:dyDescent="0.2">
      <c r="A1401" s="73" t="s">
        <v>1027</v>
      </c>
      <c r="B1401" s="69" t="s">
        <v>5736</v>
      </c>
    </row>
    <row r="1402" spans="1:2" x14ac:dyDescent="0.2">
      <c r="A1402" s="73" t="s">
        <v>419</v>
      </c>
      <c r="B1402" s="69" t="s">
        <v>5735</v>
      </c>
    </row>
    <row r="1403" spans="1:2" x14ac:dyDescent="0.2">
      <c r="A1403" s="73" t="s">
        <v>1028</v>
      </c>
      <c r="B1403" s="69" t="s">
        <v>5734</v>
      </c>
    </row>
    <row r="1404" spans="1:2" x14ac:dyDescent="0.2">
      <c r="A1404" s="73" t="s">
        <v>1680</v>
      </c>
      <c r="B1404" s="69" t="s">
        <v>5733</v>
      </c>
    </row>
    <row r="1405" spans="1:2" x14ac:dyDescent="0.2">
      <c r="A1405" s="73" t="s">
        <v>1029</v>
      </c>
      <c r="B1405" s="69" t="s">
        <v>5732</v>
      </c>
    </row>
    <row r="1406" spans="1:2" x14ac:dyDescent="0.2">
      <c r="A1406" s="73" t="s">
        <v>1030</v>
      </c>
      <c r="B1406" s="69" t="s">
        <v>5731</v>
      </c>
    </row>
    <row r="1407" spans="1:2" x14ac:dyDescent="0.2">
      <c r="A1407" s="73" t="s">
        <v>420</v>
      </c>
      <c r="B1407" s="69" t="s">
        <v>5730</v>
      </c>
    </row>
    <row r="1408" spans="1:2" x14ac:dyDescent="0.2">
      <c r="A1408" s="73" t="s">
        <v>1681</v>
      </c>
      <c r="B1408" s="69" t="s">
        <v>5729</v>
      </c>
    </row>
    <row r="1409" spans="1:2" x14ac:dyDescent="0.2">
      <c r="A1409" s="73" t="s">
        <v>421</v>
      </c>
      <c r="B1409" s="69" t="s">
        <v>5728</v>
      </c>
    </row>
    <row r="1410" spans="1:2" x14ac:dyDescent="0.2">
      <c r="A1410" s="73" t="s">
        <v>422</v>
      </c>
      <c r="B1410" s="69" t="s">
        <v>5727</v>
      </c>
    </row>
    <row r="1411" spans="1:2" x14ac:dyDescent="0.2">
      <c r="A1411" s="73" t="s">
        <v>423</v>
      </c>
      <c r="B1411" s="69" t="s">
        <v>5726</v>
      </c>
    </row>
    <row r="1412" spans="1:2" x14ac:dyDescent="0.2">
      <c r="A1412" s="73" t="s">
        <v>1683</v>
      </c>
      <c r="B1412" s="69" t="s">
        <v>5725</v>
      </c>
    </row>
    <row r="1413" spans="1:2" x14ac:dyDescent="0.2">
      <c r="A1413" s="73" t="s">
        <v>424</v>
      </c>
      <c r="B1413" s="69" t="s">
        <v>5724</v>
      </c>
    </row>
    <row r="1414" spans="1:2" x14ac:dyDescent="0.2">
      <c r="A1414" s="73" t="s">
        <v>425</v>
      </c>
      <c r="B1414" s="69" t="s">
        <v>5723</v>
      </c>
    </row>
    <row r="1415" spans="1:2" x14ac:dyDescent="0.2">
      <c r="A1415" s="73" t="s">
        <v>1684</v>
      </c>
      <c r="B1415" s="69" t="s">
        <v>5722</v>
      </c>
    </row>
    <row r="1416" spans="1:2" x14ac:dyDescent="0.2">
      <c r="A1416" s="73" t="s">
        <v>426</v>
      </c>
      <c r="B1416" s="69" t="s">
        <v>5721</v>
      </c>
    </row>
    <row r="1417" spans="1:2" x14ac:dyDescent="0.2">
      <c r="A1417" s="73" t="s">
        <v>1031</v>
      </c>
      <c r="B1417" s="69" t="s">
        <v>5720</v>
      </c>
    </row>
    <row r="1418" spans="1:2" x14ac:dyDescent="0.2">
      <c r="A1418" s="73" t="s">
        <v>1685</v>
      </c>
      <c r="B1418" s="69" t="s">
        <v>5719</v>
      </c>
    </row>
    <row r="1419" spans="1:2" x14ac:dyDescent="0.2">
      <c r="A1419" s="73" t="s">
        <v>427</v>
      </c>
      <c r="B1419" s="69" t="s">
        <v>5718</v>
      </c>
    </row>
    <row r="1420" spans="1:2" x14ac:dyDescent="0.2">
      <c r="A1420" s="73" t="s">
        <v>1686</v>
      </c>
      <c r="B1420" s="69" t="s">
        <v>5717</v>
      </c>
    </row>
    <row r="1421" spans="1:2" x14ac:dyDescent="0.2">
      <c r="A1421" s="73" t="s">
        <v>428</v>
      </c>
      <c r="B1421" s="69" t="s">
        <v>5716</v>
      </c>
    </row>
    <row r="1422" spans="1:2" x14ac:dyDescent="0.2">
      <c r="A1422" s="73" t="s">
        <v>1032</v>
      </c>
      <c r="B1422" s="69" t="s">
        <v>5715</v>
      </c>
    </row>
    <row r="1423" spans="1:2" x14ac:dyDescent="0.2">
      <c r="A1423" s="73" t="s">
        <v>1033</v>
      </c>
      <c r="B1423" s="69" t="s">
        <v>5714</v>
      </c>
    </row>
    <row r="1424" spans="1:2" x14ac:dyDescent="0.2">
      <c r="A1424" s="73" t="s">
        <v>429</v>
      </c>
      <c r="B1424" s="69" t="s">
        <v>5713</v>
      </c>
    </row>
    <row r="1425" spans="1:2" x14ac:dyDescent="0.2">
      <c r="A1425" s="73" t="s">
        <v>1034</v>
      </c>
      <c r="B1425" s="69" t="s">
        <v>5712</v>
      </c>
    </row>
    <row r="1426" spans="1:2" x14ac:dyDescent="0.2">
      <c r="A1426" s="73" t="s">
        <v>1035</v>
      </c>
      <c r="B1426" s="69" t="s">
        <v>5711</v>
      </c>
    </row>
    <row r="1427" spans="1:2" x14ac:dyDescent="0.2">
      <c r="A1427" s="73" t="s">
        <v>1036</v>
      </c>
      <c r="B1427" s="69" t="s">
        <v>5710</v>
      </c>
    </row>
    <row r="1428" spans="1:2" x14ac:dyDescent="0.2">
      <c r="A1428" s="73" t="s">
        <v>430</v>
      </c>
      <c r="B1428" s="69" t="s">
        <v>5709</v>
      </c>
    </row>
    <row r="1429" spans="1:2" x14ac:dyDescent="0.2">
      <c r="A1429" s="73" t="s">
        <v>1687</v>
      </c>
      <c r="B1429" s="69" t="s">
        <v>5708</v>
      </c>
    </row>
    <row r="1430" spans="1:2" x14ac:dyDescent="0.2">
      <c r="A1430" s="73" t="s">
        <v>431</v>
      </c>
      <c r="B1430" s="69" t="s">
        <v>5707</v>
      </c>
    </row>
    <row r="1431" spans="1:2" x14ac:dyDescent="0.2">
      <c r="A1431" s="73" t="s">
        <v>1037</v>
      </c>
      <c r="B1431" s="69" t="s">
        <v>5706</v>
      </c>
    </row>
    <row r="1432" spans="1:2" x14ac:dyDescent="0.2">
      <c r="A1432" s="73" t="s">
        <v>1038</v>
      </c>
      <c r="B1432" s="69" t="s">
        <v>5705</v>
      </c>
    </row>
    <row r="1433" spans="1:2" x14ac:dyDescent="0.2">
      <c r="A1433" s="73" t="s">
        <v>432</v>
      </c>
      <c r="B1433" s="69" t="s">
        <v>5704</v>
      </c>
    </row>
    <row r="1434" spans="1:2" x14ac:dyDescent="0.2">
      <c r="A1434" s="73" t="s">
        <v>433</v>
      </c>
      <c r="B1434" s="69" t="s">
        <v>5703</v>
      </c>
    </row>
    <row r="1435" spans="1:2" x14ac:dyDescent="0.2">
      <c r="A1435" s="73" t="s">
        <v>434</v>
      </c>
      <c r="B1435" s="69" t="s">
        <v>5702</v>
      </c>
    </row>
    <row r="1436" spans="1:2" x14ac:dyDescent="0.2">
      <c r="A1436" s="73" t="s">
        <v>435</v>
      </c>
      <c r="B1436" s="69" t="s">
        <v>5701</v>
      </c>
    </row>
    <row r="1437" spans="1:2" x14ac:dyDescent="0.2">
      <c r="A1437" s="73" t="s">
        <v>1688</v>
      </c>
      <c r="B1437" s="69" t="s">
        <v>5700</v>
      </c>
    </row>
    <row r="1438" spans="1:2" x14ac:dyDescent="0.2">
      <c r="A1438" s="73" t="s">
        <v>436</v>
      </c>
      <c r="B1438" s="69" t="s">
        <v>5699</v>
      </c>
    </row>
    <row r="1439" spans="1:2" x14ac:dyDescent="0.2">
      <c r="A1439" s="73" t="s">
        <v>1689</v>
      </c>
      <c r="B1439" s="69" t="s">
        <v>5698</v>
      </c>
    </row>
    <row r="1440" spans="1:2" x14ac:dyDescent="0.2">
      <c r="A1440" s="73" t="s">
        <v>437</v>
      </c>
      <c r="B1440" s="69" t="s">
        <v>5697</v>
      </c>
    </row>
    <row r="1441" spans="1:2" x14ac:dyDescent="0.2">
      <c r="A1441" s="73" t="s">
        <v>1690</v>
      </c>
      <c r="B1441" s="69" t="s">
        <v>5696</v>
      </c>
    </row>
    <row r="1442" spans="1:2" x14ac:dyDescent="0.2">
      <c r="A1442" s="73" t="s">
        <v>1039</v>
      </c>
      <c r="B1442" s="69" t="s">
        <v>5695</v>
      </c>
    </row>
    <row r="1443" spans="1:2" x14ac:dyDescent="0.2">
      <c r="A1443" s="73" t="s">
        <v>1691</v>
      </c>
      <c r="B1443" s="69" t="s">
        <v>5694</v>
      </c>
    </row>
    <row r="1444" spans="1:2" x14ac:dyDescent="0.2">
      <c r="A1444" s="73" t="s">
        <v>438</v>
      </c>
      <c r="B1444" s="69" t="s">
        <v>5693</v>
      </c>
    </row>
    <row r="1445" spans="1:2" x14ac:dyDescent="0.2">
      <c r="A1445" s="73" t="s">
        <v>439</v>
      </c>
      <c r="B1445" s="69" t="s">
        <v>5692</v>
      </c>
    </row>
    <row r="1446" spans="1:2" x14ac:dyDescent="0.2">
      <c r="A1446" s="73" t="s">
        <v>440</v>
      </c>
      <c r="B1446" s="69" t="s">
        <v>5691</v>
      </c>
    </row>
    <row r="1447" spans="1:2" x14ac:dyDescent="0.2">
      <c r="A1447" s="73" t="s">
        <v>441</v>
      </c>
      <c r="B1447" s="69" t="s">
        <v>5690</v>
      </c>
    </row>
    <row r="1448" spans="1:2" x14ac:dyDescent="0.2">
      <c r="A1448" s="73" t="s">
        <v>442</v>
      </c>
      <c r="B1448" s="69" t="s">
        <v>5689</v>
      </c>
    </row>
    <row r="1449" spans="1:2" x14ac:dyDescent="0.2">
      <c r="A1449" s="73" t="s">
        <v>443</v>
      </c>
      <c r="B1449" s="69" t="s">
        <v>5688</v>
      </c>
    </row>
    <row r="1450" spans="1:2" x14ac:dyDescent="0.2">
      <c r="A1450" s="73" t="s">
        <v>1040</v>
      </c>
      <c r="B1450" s="69" t="s">
        <v>5669</v>
      </c>
    </row>
    <row r="1451" spans="1:2" x14ac:dyDescent="0.2">
      <c r="A1451" s="73" t="s">
        <v>1692</v>
      </c>
      <c r="B1451" s="69" t="s">
        <v>5687</v>
      </c>
    </row>
    <row r="1452" spans="1:2" x14ac:dyDescent="0.2">
      <c r="A1452" s="73" t="s">
        <v>444</v>
      </c>
      <c r="B1452" s="69" t="s">
        <v>5686</v>
      </c>
    </row>
    <row r="1453" spans="1:2" x14ac:dyDescent="0.2">
      <c r="A1453" s="73" t="s">
        <v>1693</v>
      </c>
      <c r="B1453" s="69" t="s">
        <v>5685</v>
      </c>
    </row>
    <row r="1454" spans="1:2" x14ac:dyDescent="0.2">
      <c r="A1454" s="73" t="s">
        <v>445</v>
      </c>
      <c r="B1454" s="69" t="s">
        <v>5684</v>
      </c>
    </row>
    <row r="1455" spans="1:2" x14ac:dyDescent="0.2">
      <c r="A1455" s="73" t="s">
        <v>1694</v>
      </c>
      <c r="B1455" s="69" t="s">
        <v>5683</v>
      </c>
    </row>
    <row r="1456" spans="1:2" x14ac:dyDescent="0.2">
      <c r="A1456" s="73" t="s">
        <v>1041</v>
      </c>
      <c r="B1456" s="69" t="s">
        <v>5682</v>
      </c>
    </row>
    <row r="1457" spans="1:2" x14ac:dyDescent="0.2">
      <c r="A1457" s="73" t="s">
        <v>446</v>
      </c>
      <c r="B1457" s="69" t="s">
        <v>5681</v>
      </c>
    </row>
    <row r="1458" spans="1:2" x14ac:dyDescent="0.2">
      <c r="A1458" s="73" t="s">
        <v>1042</v>
      </c>
      <c r="B1458" s="69" t="s">
        <v>5680</v>
      </c>
    </row>
    <row r="1459" spans="1:2" x14ac:dyDescent="0.2">
      <c r="A1459" s="73" t="s">
        <v>1695</v>
      </c>
      <c r="B1459" s="69" t="s">
        <v>5679</v>
      </c>
    </row>
    <row r="1460" spans="1:2" x14ac:dyDescent="0.2">
      <c r="A1460" s="73" t="s">
        <v>447</v>
      </c>
      <c r="B1460" s="69" t="s">
        <v>5678</v>
      </c>
    </row>
    <row r="1461" spans="1:2" x14ac:dyDescent="0.2">
      <c r="A1461" s="73" t="s">
        <v>448</v>
      </c>
      <c r="B1461" s="69" t="s">
        <v>5677</v>
      </c>
    </row>
    <row r="1462" spans="1:2" x14ac:dyDescent="0.2">
      <c r="A1462" s="73" t="s">
        <v>1696</v>
      </c>
      <c r="B1462" s="69" t="s">
        <v>5676</v>
      </c>
    </row>
    <row r="1463" spans="1:2" x14ac:dyDescent="0.2">
      <c r="A1463" s="73" t="s">
        <v>1043</v>
      </c>
      <c r="B1463" s="69" t="s">
        <v>5675</v>
      </c>
    </row>
    <row r="1464" spans="1:2" x14ac:dyDescent="0.2">
      <c r="A1464" s="73" t="s">
        <v>1044</v>
      </c>
      <c r="B1464" s="69" t="s">
        <v>5674</v>
      </c>
    </row>
    <row r="1465" spans="1:2" x14ac:dyDescent="0.2">
      <c r="A1465" s="73" t="s">
        <v>1045</v>
      </c>
      <c r="B1465" s="69" t="s">
        <v>5673</v>
      </c>
    </row>
    <row r="1466" spans="1:2" x14ac:dyDescent="0.2">
      <c r="A1466" s="73" t="s">
        <v>1046</v>
      </c>
      <c r="B1466" s="69" t="s">
        <v>5672</v>
      </c>
    </row>
    <row r="1467" spans="1:2" x14ac:dyDescent="0.2">
      <c r="A1467" s="73" t="s">
        <v>1047</v>
      </c>
      <c r="B1467" s="69" t="s">
        <v>5671</v>
      </c>
    </row>
    <row r="1468" spans="1:2" x14ac:dyDescent="0.2">
      <c r="A1468" s="73" t="s">
        <v>1697</v>
      </c>
      <c r="B1468" s="69" t="s">
        <v>5670</v>
      </c>
    </row>
    <row r="1469" spans="1:2" x14ac:dyDescent="0.2">
      <c r="A1469" s="73" t="s">
        <v>1698</v>
      </c>
      <c r="B1469" s="69" t="s">
        <v>5669</v>
      </c>
    </row>
    <row r="1470" spans="1:2" x14ac:dyDescent="0.2">
      <c r="A1470" s="73" t="s">
        <v>449</v>
      </c>
      <c r="B1470" s="69" t="s">
        <v>5668</v>
      </c>
    </row>
    <row r="1471" spans="1:2" x14ac:dyDescent="0.2">
      <c r="A1471" s="73" t="s">
        <v>1699</v>
      </c>
      <c r="B1471" s="69" t="s">
        <v>5667</v>
      </c>
    </row>
    <row r="1472" spans="1:2" x14ac:dyDescent="0.2">
      <c r="A1472" s="73" t="s">
        <v>1700</v>
      </c>
      <c r="B1472" s="69" t="s">
        <v>5666</v>
      </c>
    </row>
    <row r="1473" spans="1:2" x14ac:dyDescent="0.2">
      <c r="A1473" s="73" t="s">
        <v>1701</v>
      </c>
      <c r="B1473" s="69" t="s">
        <v>5665</v>
      </c>
    </row>
    <row r="1474" spans="1:2" x14ac:dyDescent="0.2">
      <c r="A1474" s="73" t="s">
        <v>450</v>
      </c>
      <c r="B1474" s="69" t="s">
        <v>5664</v>
      </c>
    </row>
    <row r="1475" spans="1:2" x14ac:dyDescent="0.2">
      <c r="A1475" s="73" t="s">
        <v>451</v>
      </c>
      <c r="B1475" s="69" t="s">
        <v>5663</v>
      </c>
    </row>
    <row r="1476" spans="1:2" x14ac:dyDescent="0.2">
      <c r="A1476" s="73" t="s">
        <v>1702</v>
      </c>
      <c r="B1476" s="69" t="s">
        <v>5662</v>
      </c>
    </row>
    <row r="1477" spans="1:2" x14ac:dyDescent="0.2">
      <c r="A1477" s="73" t="s">
        <v>452</v>
      </c>
      <c r="B1477" s="69" t="s">
        <v>5661</v>
      </c>
    </row>
    <row r="1478" spans="1:2" x14ac:dyDescent="0.2">
      <c r="A1478" s="73" t="s">
        <v>1048</v>
      </c>
      <c r="B1478" s="69" t="s">
        <v>5660</v>
      </c>
    </row>
    <row r="1479" spans="1:2" x14ac:dyDescent="0.2">
      <c r="A1479" s="73" t="s">
        <v>1703</v>
      </c>
      <c r="B1479" s="69" t="s">
        <v>5659</v>
      </c>
    </row>
    <row r="1480" spans="1:2" x14ac:dyDescent="0.2">
      <c r="A1480" s="73" t="s">
        <v>1049</v>
      </c>
      <c r="B1480" s="69" t="s">
        <v>5658</v>
      </c>
    </row>
    <row r="1481" spans="1:2" x14ac:dyDescent="0.2">
      <c r="A1481" s="73" t="s">
        <v>1050</v>
      </c>
      <c r="B1481" s="69" t="s">
        <v>5657</v>
      </c>
    </row>
    <row r="1482" spans="1:2" x14ac:dyDescent="0.2">
      <c r="A1482" s="73" t="s">
        <v>453</v>
      </c>
      <c r="B1482" s="69" t="s">
        <v>5656</v>
      </c>
    </row>
    <row r="1483" spans="1:2" x14ac:dyDescent="0.2">
      <c r="A1483" s="73" t="s">
        <v>454</v>
      </c>
      <c r="B1483" s="69" t="s">
        <v>5655</v>
      </c>
    </row>
    <row r="1484" spans="1:2" x14ac:dyDescent="0.2">
      <c r="A1484" s="73" t="s">
        <v>455</v>
      </c>
      <c r="B1484" s="69" t="s">
        <v>5654</v>
      </c>
    </row>
    <row r="1485" spans="1:2" x14ac:dyDescent="0.2">
      <c r="A1485" s="73" t="s">
        <v>1705</v>
      </c>
      <c r="B1485" s="69" t="s">
        <v>5653</v>
      </c>
    </row>
    <row r="1486" spans="1:2" x14ac:dyDescent="0.2">
      <c r="A1486" s="73" t="s">
        <v>1706</v>
      </c>
      <c r="B1486" s="69" t="s">
        <v>5652</v>
      </c>
    </row>
    <row r="1487" spans="1:2" x14ac:dyDescent="0.2">
      <c r="A1487" s="73" t="s">
        <v>1051</v>
      </c>
      <c r="B1487" s="69" t="s">
        <v>5651</v>
      </c>
    </row>
    <row r="1488" spans="1:2" x14ac:dyDescent="0.2">
      <c r="A1488" s="73" t="s">
        <v>1052</v>
      </c>
      <c r="B1488" s="69" t="s">
        <v>5650</v>
      </c>
    </row>
    <row r="1489" spans="1:2" x14ac:dyDescent="0.2">
      <c r="A1489" s="73" t="s">
        <v>1707</v>
      </c>
      <c r="B1489" s="69" t="s">
        <v>5649</v>
      </c>
    </row>
    <row r="1490" spans="1:2" x14ac:dyDescent="0.2">
      <c r="A1490" s="73" t="s">
        <v>1708</v>
      </c>
      <c r="B1490" s="69" t="s">
        <v>5648</v>
      </c>
    </row>
    <row r="1491" spans="1:2" x14ac:dyDescent="0.2">
      <c r="A1491" s="73" t="s">
        <v>1709</v>
      </c>
      <c r="B1491" s="69" t="s">
        <v>5647</v>
      </c>
    </row>
    <row r="1492" spans="1:2" x14ac:dyDescent="0.2">
      <c r="A1492" s="73" t="s">
        <v>456</v>
      </c>
      <c r="B1492" s="69" t="s">
        <v>5646</v>
      </c>
    </row>
    <row r="1493" spans="1:2" x14ac:dyDescent="0.2">
      <c r="A1493" s="73" t="s">
        <v>1053</v>
      </c>
      <c r="B1493" s="69" t="s">
        <v>5645</v>
      </c>
    </row>
    <row r="1494" spans="1:2" x14ac:dyDescent="0.2">
      <c r="A1494" s="73" t="s">
        <v>1710</v>
      </c>
      <c r="B1494" s="69" t="s">
        <v>5644</v>
      </c>
    </row>
    <row r="1495" spans="1:2" x14ac:dyDescent="0.2">
      <c r="A1495" s="73" t="s">
        <v>457</v>
      </c>
      <c r="B1495" s="69" t="s">
        <v>5643</v>
      </c>
    </row>
    <row r="1496" spans="1:2" x14ac:dyDescent="0.2">
      <c r="A1496" s="73" t="s">
        <v>458</v>
      </c>
      <c r="B1496" s="69" t="s">
        <v>5642</v>
      </c>
    </row>
    <row r="1497" spans="1:2" x14ac:dyDescent="0.2">
      <c r="A1497" s="73" t="s">
        <v>459</v>
      </c>
      <c r="B1497" s="69" t="s">
        <v>5641</v>
      </c>
    </row>
    <row r="1498" spans="1:2" x14ac:dyDescent="0.2">
      <c r="A1498" s="73" t="s">
        <v>460</v>
      </c>
      <c r="B1498" s="69" t="s">
        <v>5640</v>
      </c>
    </row>
    <row r="1499" spans="1:2" x14ac:dyDescent="0.2">
      <c r="A1499" s="73" t="s">
        <v>1711</v>
      </c>
      <c r="B1499" s="69" t="s">
        <v>5639</v>
      </c>
    </row>
    <row r="1500" spans="1:2" x14ac:dyDescent="0.2">
      <c r="A1500" s="73" t="s">
        <v>461</v>
      </c>
      <c r="B1500" s="69" t="s">
        <v>5638</v>
      </c>
    </row>
    <row r="1501" spans="1:2" x14ac:dyDescent="0.2">
      <c r="A1501" s="73" t="s">
        <v>462</v>
      </c>
      <c r="B1501" s="69" t="s">
        <v>5637</v>
      </c>
    </row>
    <row r="1502" spans="1:2" x14ac:dyDescent="0.2">
      <c r="A1502" s="73" t="s">
        <v>1712</v>
      </c>
      <c r="B1502" s="69" t="s">
        <v>5636</v>
      </c>
    </row>
    <row r="1503" spans="1:2" x14ac:dyDescent="0.2">
      <c r="A1503" s="73" t="s">
        <v>1713</v>
      </c>
      <c r="B1503" s="69" t="s">
        <v>5635</v>
      </c>
    </row>
    <row r="1504" spans="1:2" x14ac:dyDescent="0.2">
      <c r="A1504" s="73" t="s">
        <v>1054</v>
      </c>
      <c r="B1504" s="69" t="s">
        <v>5634</v>
      </c>
    </row>
    <row r="1505" spans="1:2" x14ac:dyDescent="0.2">
      <c r="A1505" s="73" t="s">
        <v>1055</v>
      </c>
      <c r="B1505" s="69" t="s">
        <v>5633</v>
      </c>
    </row>
    <row r="1506" spans="1:2" x14ac:dyDescent="0.2">
      <c r="A1506" s="73" t="s">
        <v>463</v>
      </c>
      <c r="B1506" s="69" t="s">
        <v>5632</v>
      </c>
    </row>
    <row r="1507" spans="1:2" x14ac:dyDescent="0.2">
      <c r="A1507" s="73" t="s">
        <v>1715</v>
      </c>
      <c r="B1507" s="69" t="s">
        <v>5631</v>
      </c>
    </row>
    <row r="1508" spans="1:2" x14ac:dyDescent="0.2">
      <c r="A1508" s="73" t="s">
        <v>464</v>
      </c>
      <c r="B1508" s="69" t="s">
        <v>5630</v>
      </c>
    </row>
    <row r="1509" spans="1:2" x14ac:dyDescent="0.2">
      <c r="A1509" s="73" t="s">
        <v>465</v>
      </c>
      <c r="B1509" s="69" t="s">
        <v>5629</v>
      </c>
    </row>
    <row r="1510" spans="1:2" x14ac:dyDescent="0.2">
      <c r="A1510" s="73" t="s">
        <v>1056</v>
      </c>
      <c r="B1510" s="69" t="s">
        <v>5628</v>
      </c>
    </row>
    <row r="1511" spans="1:2" x14ac:dyDescent="0.2">
      <c r="A1511" s="73" t="s">
        <v>1057</v>
      </c>
      <c r="B1511" s="69" t="s">
        <v>5627</v>
      </c>
    </row>
    <row r="1512" spans="1:2" x14ac:dyDescent="0.2">
      <c r="A1512" s="73" t="s">
        <v>466</v>
      </c>
      <c r="B1512" s="69" t="s">
        <v>5626</v>
      </c>
    </row>
    <row r="1513" spans="1:2" x14ac:dyDescent="0.2">
      <c r="A1513" s="73" t="s">
        <v>467</v>
      </c>
      <c r="B1513" s="69" t="s">
        <v>5625</v>
      </c>
    </row>
    <row r="1514" spans="1:2" x14ac:dyDescent="0.2">
      <c r="A1514" s="73" t="s">
        <v>468</v>
      </c>
      <c r="B1514" s="69" t="s">
        <v>5624</v>
      </c>
    </row>
    <row r="1515" spans="1:2" x14ac:dyDescent="0.2">
      <c r="A1515" s="73" t="s">
        <v>1058</v>
      </c>
      <c r="B1515" s="69" t="s">
        <v>5623</v>
      </c>
    </row>
    <row r="1516" spans="1:2" x14ac:dyDescent="0.2">
      <c r="A1516" s="73" t="s">
        <v>469</v>
      </c>
      <c r="B1516" s="69" t="s">
        <v>5622</v>
      </c>
    </row>
    <row r="1517" spans="1:2" x14ac:dyDescent="0.2">
      <c r="A1517" s="73" t="s">
        <v>470</v>
      </c>
      <c r="B1517" s="69" t="s">
        <v>5621</v>
      </c>
    </row>
    <row r="1518" spans="1:2" x14ac:dyDescent="0.2">
      <c r="A1518" s="73" t="s">
        <v>1718</v>
      </c>
      <c r="B1518" s="69" t="s">
        <v>5620</v>
      </c>
    </row>
    <row r="1519" spans="1:2" x14ac:dyDescent="0.2">
      <c r="A1519" s="73" t="s">
        <v>1719</v>
      </c>
      <c r="B1519" s="69" t="s">
        <v>5619</v>
      </c>
    </row>
    <row r="1520" spans="1:2" x14ac:dyDescent="0.2">
      <c r="A1520" s="73" t="s">
        <v>1059</v>
      </c>
      <c r="B1520" s="69" t="s">
        <v>5618</v>
      </c>
    </row>
    <row r="1521" spans="1:2" x14ac:dyDescent="0.2">
      <c r="A1521" s="73" t="s">
        <v>471</v>
      </c>
      <c r="B1521" s="69" t="s">
        <v>5617</v>
      </c>
    </row>
    <row r="1522" spans="1:2" x14ac:dyDescent="0.2">
      <c r="A1522" s="73" t="s">
        <v>472</v>
      </c>
      <c r="B1522" s="69" t="s">
        <v>5616</v>
      </c>
    </row>
    <row r="1523" spans="1:2" x14ac:dyDescent="0.2">
      <c r="A1523" s="73" t="s">
        <v>473</v>
      </c>
      <c r="B1523" s="69" t="s">
        <v>5615</v>
      </c>
    </row>
    <row r="1524" spans="1:2" x14ac:dyDescent="0.2">
      <c r="A1524" s="73" t="s">
        <v>1060</v>
      </c>
      <c r="B1524" s="69" t="s">
        <v>5614</v>
      </c>
    </row>
    <row r="1525" spans="1:2" x14ac:dyDescent="0.2">
      <c r="A1525" s="73" t="s">
        <v>474</v>
      </c>
      <c r="B1525" s="69" t="s">
        <v>5613</v>
      </c>
    </row>
    <row r="1526" spans="1:2" x14ac:dyDescent="0.2">
      <c r="A1526" s="73" t="s">
        <v>1061</v>
      </c>
      <c r="B1526" s="69" t="s">
        <v>5612</v>
      </c>
    </row>
    <row r="1527" spans="1:2" x14ac:dyDescent="0.2">
      <c r="A1527" s="73" t="s">
        <v>475</v>
      </c>
      <c r="B1527" s="69" t="s">
        <v>5611</v>
      </c>
    </row>
    <row r="1528" spans="1:2" x14ac:dyDescent="0.2">
      <c r="A1528" s="73" t="s">
        <v>476</v>
      </c>
      <c r="B1528" s="69" t="s">
        <v>5610</v>
      </c>
    </row>
    <row r="1529" spans="1:2" x14ac:dyDescent="0.2">
      <c r="A1529" s="73" t="s">
        <v>477</v>
      </c>
      <c r="B1529" s="69" t="s">
        <v>5609</v>
      </c>
    </row>
    <row r="1530" spans="1:2" x14ac:dyDescent="0.2">
      <c r="A1530" s="73" t="s">
        <v>1062</v>
      </c>
      <c r="B1530" s="69" t="s">
        <v>5608</v>
      </c>
    </row>
    <row r="1531" spans="1:2" x14ac:dyDescent="0.2">
      <c r="A1531" s="73" t="s">
        <v>478</v>
      </c>
      <c r="B1531" s="69" t="s">
        <v>5607</v>
      </c>
    </row>
    <row r="1532" spans="1:2" x14ac:dyDescent="0.2">
      <c r="A1532" s="73" t="s">
        <v>1063</v>
      </c>
      <c r="B1532" s="69" t="s">
        <v>5606</v>
      </c>
    </row>
    <row r="1533" spans="1:2" x14ac:dyDescent="0.2">
      <c r="A1533" s="73" t="s">
        <v>479</v>
      </c>
      <c r="B1533" s="69" t="s">
        <v>5605</v>
      </c>
    </row>
    <row r="1534" spans="1:2" x14ac:dyDescent="0.2">
      <c r="A1534" s="73" t="s">
        <v>1720</v>
      </c>
      <c r="B1534" s="69" t="s">
        <v>5604</v>
      </c>
    </row>
    <row r="1535" spans="1:2" x14ac:dyDescent="0.2">
      <c r="A1535" s="73" t="s">
        <v>480</v>
      </c>
      <c r="B1535" s="69" t="s">
        <v>5603</v>
      </c>
    </row>
    <row r="1536" spans="1:2" x14ac:dyDescent="0.2">
      <c r="A1536" s="73" t="s">
        <v>481</v>
      </c>
      <c r="B1536" s="69" t="s">
        <v>5602</v>
      </c>
    </row>
    <row r="1537" spans="1:2" x14ac:dyDescent="0.2">
      <c r="A1537" s="73" t="s">
        <v>482</v>
      </c>
      <c r="B1537" s="69" t="s">
        <v>5601</v>
      </c>
    </row>
    <row r="1538" spans="1:2" x14ac:dyDescent="0.2">
      <c r="A1538" s="73" t="s">
        <v>1064</v>
      </c>
      <c r="B1538" s="69" t="s">
        <v>5600</v>
      </c>
    </row>
    <row r="1539" spans="1:2" x14ac:dyDescent="0.2">
      <c r="A1539" s="73" t="s">
        <v>483</v>
      </c>
      <c r="B1539" s="69" t="s">
        <v>5599</v>
      </c>
    </row>
    <row r="1540" spans="1:2" x14ac:dyDescent="0.2">
      <c r="A1540" s="73" t="s">
        <v>484</v>
      </c>
      <c r="B1540" s="69" t="s">
        <v>5598</v>
      </c>
    </row>
    <row r="1541" spans="1:2" x14ac:dyDescent="0.2">
      <c r="A1541" s="73" t="s">
        <v>485</v>
      </c>
      <c r="B1541" s="69" t="s">
        <v>5597</v>
      </c>
    </row>
    <row r="1542" spans="1:2" x14ac:dyDescent="0.2">
      <c r="A1542" s="73" t="s">
        <v>1065</v>
      </c>
      <c r="B1542" s="69" t="s">
        <v>5596</v>
      </c>
    </row>
    <row r="1543" spans="1:2" x14ac:dyDescent="0.2">
      <c r="A1543" s="73" t="s">
        <v>1722</v>
      </c>
      <c r="B1543" s="69" t="s">
        <v>5595</v>
      </c>
    </row>
    <row r="1544" spans="1:2" x14ac:dyDescent="0.2">
      <c r="A1544" s="73" t="s">
        <v>486</v>
      </c>
      <c r="B1544" s="69" t="s">
        <v>5594</v>
      </c>
    </row>
    <row r="1545" spans="1:2" x14ac:dyDescent="0.2">
      <c r="A1545" s="73" t="s">
        <v>1066</v>
      </c>
      <c r="B1545" s="69" t="s">
        <v>5593</v>
      </c>
    </row>
    <row r="1546" spans="1:2" x14ac:dyDescent="0.2">
      <c r="A1546" s="73" t="s">
        <v>1723</v>
      </c>
      <c r="B1546" s="69" t="s">
        <v>5592</v>
      </c>
    </row>
    <row r="1547" spans="1:2" x14ac:dyDescent="0.2">
      <c r="A1547" s="73" t="s">
        <v>1724</v>
      </c>
      <c r="B1547" s="69" t="s">
        <v>5591</v>
      </c>
    </row>
    <row r="1548" spans="1:2" x14ac:dyDescent="0.2">
      <c r="A1548" s="73" t="s">
        <v>1725</v>
      </c>
      <c r="B1548" s="69" t="s">
        <v>5590</v>
      </c>
    </row>
    <row r="1549" spans="1:2" x14ac:dyDescent="0.2">
      <c r="A1549" s="73" t="s">
        <v>1067</v>
      </c>
      <c r="B1549" s="69" t="s">
        <v>5589</v>
      </c>
    </row>
    <row r="1550" spans="1:2" x14ac:dyDescent="0.2">
      <c r="A1550" s="73" t="s">
        <v>1068</v>
      </c>
      <c r="B1550" s="69" t="s">
        <v>5588</v>
      </c>
    </row>
    <row r="1551" spans="1:2" x14ac:dyDescent="0.2">
      <c r="A1551" s="73" t="s">
        <v>487</v>
      </c>
      <c r="B1551" s="69" t="s">
        <v>5587</v>
      </c>
    </row>
    <row r="1552" spans="1:2" x14ac:dyDescent="0.2">
      <c r="A1552" s="73" t="s">
        <v>1069</v>
      </c>
      <c r="B1552" s="69" t="s">
        <v>5586</v>
      </c>
    </row>
    <row r="1553" spans="1:2" x14ac:dyDescent="0.2">
      <c r="A1553" s="73" t="s">
        <v>488</v>
      </c>
      <c r="B1553" s="69" t="s">
        <v>5585</v>
      </c>
    </row>
    <row r="1554" spans="1:2" x14ac:dyDescent="0.2">
      <c r="A1554" s="73" t="s">
        <v>489</v>
      </c>
      <c r="B1554" s="69" t="s">
        <v>5584</v>
      </c>
    </row>
    <row r="1555" spans="1:2" x14ac:dyDescent="0.2">
      <c r="A1555" s="73" t="s">
        <v>490</v>
      </c>
      <c r="B1555" s="69" t="s">
        <v>5583</v>
      </c>
    </row>
    <row r="1556" spans="1:2" x14ac:dyDescent="0.2">
      <c r="A1556" s="73" t="s">
        <v>491</v>
      </c>
      <c r="B1556" s="69" t="s">
        <v>5582</v>
      </c>
    </row>
    <row r="1557" spans="1:2" x14ac:dyDescent="0.2">
      <c r="A1557" s="73" t="s">
        <v>492</v>
      </c>
      <c r="B1557" s="69" t="s">
        <v>5581</v>
      </c>
    </row>
    <row r="1558" spans="1:2" x14ac:dyDescent="0.2">
      <c r="A1558" s="73" t="s">
        <v>493</v>
      </c>
      <c r="B1558" s="69" t="s">
        <v>5580</v>
      </c>
    </row>
    <row r="1559" spans="1:2" x14ac:dyDescent="0.2">
      <c r="A1559" s="73" t="s">
        <v>494</v>
      </c>
      <c r="B1559" s="69" t="s">
        <v>5579</v>
      </c>
    </row>
    <row r="1560" spans="1:2" x14ac:dyDescent="0.2">
      <c r="A1560" s="73" t="s">
        <v>1070</v>
      </c>
      <c r="B1560" s="69" t="s">
        <v>5578</v>
      </c>
    </row>
    <row r="1561" spans="1:2" x14ac:dyDescent="0.2">
      <c r="A1561" s="73" t="s">
        <v>1071</v>
      </c>
      <c r="B1561" s="69" t="s">
        <v>5577</v>
      </c>
    </row>
    <row r="1562" spans="1:2" x14ac:dyDescent="0.2">
      <c r="A1562" s="73" t="s">
        <v>495</v>
      </c>
      <c r="B1562" s="69" t="s">
        <v>5576</v>
      </c>
    </row>
    <row r="1563" spans="1:2" x14ac:dyDescent="0.2">
      <c r="A1563" s="73" t="s">
        <v>1726</v>
      </c>
      <c r="B1563" s="69" t="s">
        <v>5575</v>
      </c>
    </row>
    <row r="1564" spans="1:2" x14ac:dyDescent="0.2">
      <c r="A1564" s="73" t="s">
        <v>1072</v>
      </c>
      <c r="B1564" s="69" t="s">
        <v>5574</v>
      </c>
    </row>
    <row r="1565" spans="1:2" x14ac:dyDescent="0.2">
      <c r="A1565" s="73" t="s">
        <v>496</v>
      </c>
      <c r="B1565" s="69" t="s">
        <v>5573</v>
      </c>
    </row>
    <row r="1566" spans="1:2" x14ac:dyDescent="0.2">
      <c r="A1566" s="73" t="s">
        <v>497</v>
      </c>
      <c r="B1566" s="69" t="s">
        <v>5572</v>
      </c>
    </row>
    <row r="1567" spans="1:2" x14ac:dyDescent="0.2">
      <c r="A1567" s="73" t="s">
        <v>1073</v>
      </c>
      <c r="B1567" s="69" t="s">
        <v>5571</v>
      </c>
    </row>
    <row r="1568" spans="1:2" x14ac:dyDescent="0.2">
      <c r="A1568" s="73" t="s">
        <v>1074</v>
      </c>
      <c r="B1568" s="69" t="s">
        <v>5570</v>
      </c>
    </row>
    <row r="1569" spans="1:2" x14ac:dyDescent="0.2">
      <c r="A1569" s="73" t="s">
        <v>1075</v>
      </c>
      <c r="B1569" s="69" t="s">
        <v>5569</v>
      </c>
    </row>
    <row r="1570" spans="1:2" x14ac:dyDescent="0.2">
      <c r="A1570" s="73" t="s">
        <v>498</v>
      </c>
      <c r="B1570" s="69" t="s">
        <v>5568</v>
      </c>
    </row>
    <row r="1571" spans="1:2" x14ac:dyDescent="0.2">
      <c r="A1571" s="73" t="s">
        <v>1076</v>
      </c>
      <c r="B1571" s="69" t="s">
        <v>5567</v>
      </c>
    </row>
    <row r="1572" spans="1:2" x14ac:dyDescent="0.2">
      <c r="A1572" s="73" t="s">
        <v>1727</v>
      </c>
      <c r="B1572" s="69" t="s">
        <v>5566</v>
      </c>
    </row>
    <row r="1573" spans="1:2" x14ac:dyDescent="0.2">
      <c r="A1573" s="73" t="s">
        <v>1077</v>
      </c>
      <c r="B1573" s="69" t="s">
        <v>5565</v>
      </c>
    </row>
    <row r="1574" spans="1:2" x14ac:dyDescent="0.2">
      <c r="A1574" s="73" t="s">
        <v>1728</v>
      </c>
      <c r="B1574" s="69" t="s">
        <v>5564</v>
      </c>
    </row>
    <row r="1575" spans="1:2" x14ac:dyDescent="0.2">
      <c r="A1575" s="73" t="s">
        <v>1078</v>
      </c>
      <c r="B1575" s="69" t="s">
        <v>5563</v>
      </c>
    </row>
    <row r="1576" spans="1:2" x14ac:dyDescent="0.2">
      <c r="A1576" s="73" t="s">
        <v>499</v>
      </c>
      <c r="B1576" s="69" t="s">
        <v>5562</v>
      </c>
    </row>
    <row r="1577" spans="1:2" x14ac:dyDescent="0.2">
      <c r="A1577" s="73" t="s">
        <v>1729</v>
      </c>
      <c r="B1577" s="69" t="s">
        <v>5561</v>
      </c>
    </row>
    <row r="1578" spans="1:2" x14ac:dyDescent="0.2">
      <c r="A1578" s="73" t="s">
        <v>1079</v>
      </c>
      <c r="B1578" s="69" t="s">
        <v>5560</v>
      </c>
    </row>
    <row r="1579" spans="1:2" x14ac:dyDescent="0.2">
      <c r="A1579" s="73" t="s">
        <v>1730</v>
      </c>
      <c r="B1579" s="69" t="s">
        <v>5559</v>
      </c>
    </row>
    <row r="1580" spans="1:2" x14ac:dyDescent="0.2">
      <c r="A1580" s="73" t="s">
        <v>500</v>
      </c>
      <c r="B1580" s="69" t="s">
        <v>5558</v>
      </c>
    </row>
    <row r="1581" spans="1:2" x14ac:dyDescent="0.2">
      <c r="A1581" s="73" t="s">
        <v>1080</v>
      </c>
      <c r="B1581" s="69" t="s">
        <v>5557</v>
      </c>
    </row>
    <row r="1582" spans="1:2" x14ac:dyDescent="0.2">
      <c r="A1582" s="73" t="s">
        <v>501</v>
      </c>
      <c r="B1582" s="69" t="s">
        <v>5556</v>
      </c>
    </row>
    <row r="1583" spans="1:2" x14ac:dyDescent="0.2">
      <c r="A1583" s="73" t="s">
        <v>1081</v>
      </c>
      <c r="B1583" s="69" t="s">
        <v>5555</v>
      </c>
    </row>
    <row r="1584" spans="1:2" x14ac:dyDescent="0.2">
      <c r="A1584" s="73" t="s">
        <v>1082</v>
      </c>
      <c r="B1584" s="69" t="s">
        <v>5554</v>
      </c>
    </row>
    <row r="1585" spans="1:2" x14ac:dyDescent="0.2">
      <c r="A1585" s="73" t="s">
        <v>502</v>
      </c>
      <c r="B1585" s="69" t="s">
        <v>5553</v>
      </c>
    </row>
    <row r="1586" spans="1:2" x14ac:dyDescent="0.2">
      <c r="A1586" s="73" t="s">
        <v>503</v>
      </c>
      <c r="B1586" s="69" t="s">
        <v>5552</v>
      </c>
    </row>
    <row r="1587" spans="1:2" x14ac:dyDescent="0.2">
      <c r="A1587" s="73" t="s">
        <v>1209</v>
      </c>
      <c r="B1587" s="69" t="s">
        <v>5551</v>
      </c>
    </row>
    <row r="1588" spans="1:2" x14ac:dyDescent="0.2">
      <c r="A1588" s="73" t="s">
        <v>1168</v>
      </c>
      <c r="B1588" s="69" t="s">
        <v>5550</v>
      </c>
    </row>
    <row r="1589" spans="1:2" x14ac:dyDescent="0.2">
      <c r="A1589" s="73" t="s">
        <v>1180</v>
      </c>
      <c r="B1589" s="69" t="s">
        <v>5549</v>
      </c>
    </row>
    <row r="1590" spans="1:2" x14ac:dyDescent="0.2">
      <c r="A1590" s="73" t="s">
        <v>3855</v>
      </c>
      <c r="B1590" s="69" t="s">
        <v>5548</v>
      </c>
    </row>
    <row r="1591" spans="1:2" x14ac:dyDescent="0.2">
      <c r="A1591" s="73" t="s">
        <v>1731</v>
      </c>
      <c r="B1591" s="69" t="s">
        <v>5547</v>
      </c>
    </row>
    <row r="1592" spans="1:2" x14ac:dyDescent="0.2">
      <c r="A1592" s="73" t="s">
        <v>3854</v>
      </c>
      <c r="B1592" s="69" t="s">
        <v>5546</v>
      </c>
    </row>
    <row r="1593" spans="1:2" x14ac:dyDescent="0.2">
      <c r="A1593" s="72" t="s">
        <v>1899</v>
      </c>
      <c r="B1593" s="69" t="s">
        <v>5545</v>
      </c>
    </row>
    <row r="1594" spans="1:2" x14ac:dyDescent="0.2">
      <c r="A1594" s="72" t="s">
        <v>1932</v>
      </c>
      <c r="B1594" s="69" t="s">
        <v>5544</v>
      </c>
    </row>
    <row r="1595" spans="1:2" x14ac:dyDescent="0.2">
      <c r="A1595" s="72" t="s">
        <v>1906</v>
      </c>
      <c r="B1595" s="69" t="s">
        <v>5543</v>
      </c>
    </row>
    <row r="1596" spans="1:2" x14ac:dyDescent="0.2">
      <c r="A1596" s="72" t="s">
        <v>1935</v>
      </c>
      <c r="B1596" s="69" t="s">
        <v>5542</v>
      </c>
    </row>
    <row r="1597" spans="1:2" x14ac:dyDescent="0.2">
      <c r="A1597" s="71" t="s">
        <v>1833</v>
      </c>
      <c r="B1597" s="69" t="s">
        <v>5541</v>
      </c>
    </row>
    <row r="1598" spans="1:2" x14ac:dyDescent="0.2">
      <c r="A1598" s="71" t="s">
        <v>1892</v>
      </c>
      <c r="B1598" s="69" t="s">
        <v>5540</v>
      </c>
    </row>
    <row r="1599" spans="1:2" x14ac:dyDescent="0.2">
      <c r="A1599" s="70" t="s">
        <v>1942</v>
      </c>
      <c r="B1599" s="69" t="s">
        <v>5539</v>
      </c>
    </row>
    <row r="1600" spans="1:2" x14ac:dyDescent="0.2">
      <c r="A1600" s="70" t="s">
        <v>1873</v>
      </c>
      <c r="B1600" s="69" t="s">
        <v>5538</v>
      </c>
    </row>
    <row r="1601" spans="1:2" x14ac:dyDescent="0.2">
      <c r="A1601" s="71" t="s">
        <v>1871</v>
      </c>
      <c r="B1601" s="69" t="s">
        <v>5537</v>
      </c>
    </row>
    <row r="1602" spans="1:2" x14ac:dyDescent="0.2">
      <c r="A1602" s="71" t="s">
        <v>1904</v>
      </c>
      <c r="B1602" s="69" t="s">
        <v>5536</v>
      </c>
    </row>
    <row r="1603" spans="1:2" x14ac:dyDescent="0.2">
      <c r="A1603" s="71" t="s">
        <v>1836</v>
      </c>
      <c r="B1603" s="69" t="s">
        <v>5535</v>
      </c>
    </row>
    <row r="1604" spans="1:2" x14ac:dyDescent="0.2">
      <c r="A1604" s="71" t="s">
        <v>1848</v>
      </c>
      <c r="B1604" s="69" t="s">
        <v>5534</v>
      </c>
    </row>
    <row r="1605" spans="1:2" x14ac:dyDescent="0.2">
      <c r="A1605" s="71" t="s">
        <v>1851</v>
      </c>
      <c r="B1605" s="69" t="s">
        <v>5533</v>
      </c>
    </row>
    <row r="1606" spans="1:2" x14ac:dyDescent="0.2">
      <c r="A1606" s="71" t="s">
        <v>1934</v>
      </c>
      <c r="B1606" s="69" t="s">
        <v>5532</v>
      </c>
    </row>
    <row r="1607" spans="1:2" x14ac:dyDescent="0.2">
      <c r="A1607" s="71" t="s">
        <v>1919</v>
      </c>
      <c r="B1607" s="69" t="s">
        <v>5531</v>
      </c>
    </row>
    <row r="1608" spans="1:2" x14ac:dyDescent="0.2">
      <c r="A1608" s="71" t="s">
        <v>1910</v>
      </c>
      <c r="B1608" s="69" t="s">
        <v>5530</v>
      </c>
    </row>
    <row r="1609" spans="1:2" x14ac:dyDescent="0.2">
      <c r="A1609" s="72" t="s">
        <v>1950</v>
      </c>
      <c r="B1609" s="69" t="s">
        <v>5529</v>
      </c>
    </row>
    <row r="1610" spans="1:2" x14ac:dyDescent="0.2">
      <c r="A1610" s="72" t="s">
        <v>1928</v>
      </c>
      <c r="B1610" s="69" t="s">
        <v>5528</v>
      </c>
    </row>
    <row r="1611" spans="1:2" x14ac:dyDescent="0.2">
      <c r="A1611" s="72" t="s">
        <v>1922</v>
      </c>
      <c r="B1611" s="69" t="s">
        <v>5527</v>
      </c>
    </row>
    <row r="1612" spans="1:2" x14ac:dyDescent="0.2">
      <c r="A1612" s="72" t="s">
        <v>1852</v>
      </c>
      <c r="B1612" s="69" t="s">
        <v>5526</v>
      </c>
    </row>
    <row r="1613" spans="1:2" x14ac:dyDescent="0.2">
      <c r="A1613" s="72" t="s">
        <v>1860</v>
      </c>
      <c r="B1613" s="69" t="s">
        <v>5525</v>
      </c>
    </row>
    <row r="1614" spans="1:2" x14ac:dyDescent="0.2">
      <c r="A1614" s="72" t="s">
        <v>1890</v>
      </c>
      <c r="B1614" s="69" t="s">
        <v>5524</v>
      </c>
    </row>
    <row r="1615" spans="1:2" x14ac:dyDescent="0.2">
      <c r="A1615" s="72" t="s">
        <v>1829</v>
      </c>
      <c r="B1615" s="69" t="s">
        <v>5523</v>
      </c>
    </row>
    <row r="1616" spans="1:2" x14ac:dyDescent="0.2">
      <c r="A1616" s="72" t="s">
        <v>1946</v>
      </c>
      <c r="B1616" s="69" t="s">
        <v>5522</v>
      </c>
    </row>
    <row r="1617" spans="1:2" x14ac:dyDescent="0.2">
      <c r="A1617" s="72" t="s">
        <v>1915</v>
      </c>
      <c r="B1617" s="69" t="s">
        <v>5521</v>
      </c>
    </row>
    <row r="1618" spans="1:2" x14ac:dyDescent="0.2">
      <c r="A1618" s="72" t="s">
        <v>1840</v>
      </c>
      <c r="B1618" s="69" t="s">
        <v>5520</v>
      </c>
    </row>
    <row r="1619" spans="1:2" x14ac:dyDescent="0.2">
      <c r="A1619" s="72" t="s">
        <v>1901</v>
      </c>
      <c r="B1619" s="69" t="s">
        <v>5519</v>
      </c>
    </row>
    <row r="1620" spans="1:2" x14ac:dyDescent="0.2">
      <c r="A1620" s="72" t="s">
        <v>1831</v>
      </c>
      <c r="B1620" s="69" t="s">
        <v>5518</v>
      </c>
    </row>
    <row r="1621" spans="1:2" x14ac:dyDescent="0.2">
      <c r="A1621" s="72" t="s">
        <v>1877</v>
      </c>
      <c r="B1621" s="69" t="s">
        <v>5517</v>
      </c>
    </row>
    <row r="1622" spans="1:2" x14ac:dyDescent="0.2">
      <c r="A1622" s="72" t="s">
        <v>1939</v>
      </c>
      <c r="B1622" s="69" t="s">
        <v>5516</v>
      </c>
    </row>
    <row r="1623" spans="1:2" x14ac:dyDescent="0.2">
      <c r="A1623" s="71" t="s">
        <v>1897</v>
      </c>
      <c r="B1623" s="69" t="s">
        <v>5515</v>
      </c>
    </row>
    <row r="1624" spans="1:2" x14ac:dyDescent="0.2">
      <c r="A1624" s="71" t="s">
        <v>1845</v>
      </c>
      <c r="B1624" s="69" t="s">
        <v>5514</v>
      </c>
    </row>
    <row r="1625" spans="1:2" x14ac:dyDescent="0.2">
      <c r="A1625" s="71" t="s">
        <v>1923</v>
      </c>
      <c r="B1625" s="69" t="s">
        <v>5513</v>
      </c>
    </row>
    <row r="1626" spans="1:2" x14ac:dyDescent="0.2">
      <c r="A1626" s="71" t="s">
        <v>1879</v>
      </c>
      <c r="B1626" s="69" t="s">
        <v>5512</v>
      </c>
    </row>
    <row r="1627" spans="1:2" x14ac:dyDescent="0.2">
      <c r="A1627" s="71" t="s">
        <v>1947</v>
      </c>
      <c r="B1627" s="69" t="s">
        <v>5511</v>
      </c>
    </row>
    <row r="1628" spans="1:2" x14ac:dyDescent="0.2">
      <c r="A1628" s="71" t="s">
        <v>1864</v>
      </c>
      <c r="B1628" s="69" t="s">
        <v>5510</v>
      </c>
    </row>
    <row r="1629" spans="1:2" x14ac:dyDescent="0.2">
      <c r="A1629" s="70" t="s">
        <v>1882</v>
      </c>
      <c r="B1629" s="69" t="s">
        <v>5509</v>
      </c>
    </row>
    <row r="1630" spans="1:2" x14ac:dyDescent="0.2">
      <c r="A1630" s="70" t="s">
        <v>1916</v>
      </c>
      <c r="B1630" s="69" t="s">
        <v>5508</v>
      </c>
    </row>
    <row r="1631" spans="1:2" x14ac:dyDescent="0.2">
      <c r="A1631" s="70" t="s">
        <v>1912</v>
      </c>
      <c r="B1631" s="69" t="s">
        <v>5507</v>
      </c>
    </row>
    <row r="1632" spans="1:2" x14ac:dyDescent="0.2">
      <c r="A1632" s="70" t="s">
        <v>1953</v>
      </c>
      <c r="B1632" s="69" t="s">
        <v>5506</v>
      </c>
    </row>
    <row r="1633" spans="1:2" x14ac:dyDescent="0.2">
      <c r="A1633" s="70" t="s">
        <v>1954</v>
      </c>
      <c r="B1633" s="69" t="s">
        <v>5505</v>
      </c>
    </row>
    <row r="1634" spans="1:2" x14ac:dyDescent="0.2">
      <c r="A1634" s="70" t="s">
        <v>1943</v>
      </c>
      <c r="B1634" s="69" t="s">
        <v>5504</v>
      </c>
    </row>
    <row r="1635" spans="1:2" x14ac:dyDescent="0.2">
      <c r="A1635" s="70" t="s">
        <v>1880</v>
      </c>
      <c r="B1635" s="69" t="s">
        <v>5503</v>
      </c>
    </row>
    <row r="1636" spans="1:2" x14ac:dyDescent="0.2">
      <c r="A1636" s="70" t="s">
        <v>1868</v>
      </c>
      <c r="B1636" s="69" t="s">
        <v>5502</v>
      </c>
    </row>
    <row r="1637" spans="1:2" x14ac:dyDescent="0.2">
      <c r="A1637" s="70" t="s">
        <v>1828</v>
      </c>
      <c r="B1637" s="69" t="s">
        <v>5501</v>
      </c>
    </row>
    <row r="1638" spans="1:2" x14ac:dyDescent="0.2">
      <c r="A1638" s="70" t="s">
        <v>1903</v>
      </c>
      <c r="B1638" s="69" t="s">
        <v>5500</v>
      </c>
    </row>
    <row r="1639" spans="1:2" x14ac:dyDescent="0.2">
      <c r="A1639" s="70" t="s">
        <v>1835</v>
      </c>
      <c r="B1639" s="69" t="s">
        <v>5499</v>
      </c>
    </row>
    <row r="1640" spans="1:2" x14ac:dyDescent="0.2">
      <c r="A1640" s="70" t="s">
        <v>1856</v>
      </c>
      <c r="B1640" s="69" t="s">
        <v>5498</v>
      </c>
    </row>
    <row r="1641" spans="1:2" x14ac:dyDescent="0.2">
      <c r="A1641" s="70" t="s">
        <v>1857</v>
      </c>
      <c r="B1641" s="69" t="s">
        <v>5497</v>
      </c>
    </row>
    <row r="1642" spans="1:2" x14ac:dyDescent="0.2">
      <c r="A1642" s="70" t="s">
        <v>1931</v>
      </c>
      <c r="B1642" s="69" t="s">
        <v>5496</v>
      </c>
    </row>
    <row r="1643" spans="1:2" x14ac:dyDescent="0.2">
      <c r="A1643" s="70" t="s">
        <v>1918</v>
      </c>
      <c r="B1643" s="69" t="s">
        <v>5495</v>
      </c>
    </row>
    <row r="1644" spans="1:2" x14ac:dyDescent="0.2">
      <c r="A1644" s="70" t="s">
        <v>1955</v>
      </c>
      <c r="B1644" s="69" t="s">
        <v>5494</v>
      </c>
    </row>
    <row r="1645" spans="1:2" x14ac:dyDescent="0.2">
      <c r="A1645" s="70" t="s">
        <v>1908</v>
      </c>
      <c r="B1645" s="69" t="s">
        <v>5493</v>
      </c>
    </row>
    <row r="1646" spans="1:2" x14ac:dyDescent="0.2">
      <c r="A1646" s="70" t="s">
        <v>1909</v>
      </c>
      <c r="B1646" s="69" t="s">
        <v>5492</v>
      </c>
    </row>
    <row r="1647" spans="1:2" x14ac:dyDescent="0.2">
      <c r="A1647" s="70" t="s">
        <v>1914</v>
      </c>
      <c r="B1647" s="69" t="s">
        <v>5491</v>
      </c>
    </row>
    <row r="1648" spans="1:2" x14ac:dyDescent="0.2">
      <c r="A1648" s="70" t="s">
        <v>1927</v>
      </c>
      <c r="B1648" s="69" t="s">
        <v>5490</v>
      </c>
    </row>
    <row r="1649" spans="1:2" x14ac:dyDescent="0.2">
      <c r="A1649" s="70" t="s">
        <v>1858</v>
      </c>
      <c r="B1649" s="69" t="s">
        <v>5489</v>
      </c>
    </row>
    <row r="1650" spans="1:2" x14ac:dyDescent="0.2">
      <c r="A1650" s="70" t="s">
        <v>1855</v>
      </c>
      <c r="B1650" s="69" t="s">
        <v>5488</v>
      </c>
    </row>
    <row r="1651" spans="1:2" x14ac:dyDescent="0.2">
      <c r="A1651" s="70" t="s">
        <v>1859</v>
      </c>
      <c r="B1651" s="69" t="s">
        <v>5487</v>
      </c>
    </row>
    <row r="1652" spans="1:2" x14ac:dyDescent="0.2">
      <c r="A1652" s="70" t="s">
        <v>1842</v>
      </c>
      <c r="B1652" s="69" t="s">
        <v>5486</v>
      </c>
    </row>
    <row r="1653" spans="1:2" x14ac:dyDescent="0.2">
      <c r="A1653" s="70" t="s">
        <v>1834</v>
      </c>
      <c r="B1653" s="69" t="s">
        <v>5485</v>
      </c>
    </row>
    <row r="1654" spans="1:2" x14ac:dyDescent="0.2">
      <c r="A1654" s="70" t="s">
        <v>1893</v>
      </c>
      <c r="B1654" s="69" t="s">
        <v>5484</v>
      </c>
    </row>
    <row r="1655" spans="1:2" x14ac:dyDescent="0.2">
      <c r="A1655" s="70" t="s">
        <v>1944</v>
      </c>
      <c r="B1655" s="69" t="s">
        <v>5483</v>
      </c>
    </row>
    <row r="1656" spans="1:2" x14ac:dyDescent="0.2">
      <c r="A1656" s="70" t="s">
        <v>1863</v>
      </c>
      <c r="B1656" s="69" t="s">
        <v>5482</v>
      </c>
    </row>
    <row r="1657" spans="1:2" x14ac:dyDescent="0.2">
      <c r="A1657" s="70" t="s">
        <v>1839</v>
      </c>
      <c r="B1657" s="69" t="s">
        <v>5481</v>
      </c>
    </row>
    <row r="1658" spans="1:2" x14ac:dyDescent="0.2">
      <c r="A1658" s="70" t="s">
        <v>1900</v>
      </c>
      <c r="B1658" s="69" t="s">
        <v>5480</v>
      </c>
    </row>
    <row r="1659" spans="1:2" x14ac:dyDescent="0.2">
      <c r="A1659" s="70" t="s">
        <v>1830</v>
      </c>
      <c r="B1659" s="69" t="s">
        <v>5479</v>
      </c>
    </row>
    <row r="1660" spans="1:2" x14ac:dyDescent="0.2">
      <c r="A1660" s="70" t="s">
        <v>1887</v>
      </c>
      <c r="B1660" s="69" t="s">
        <v>5478</v>
      </c>
    </row>
    <row r="1661" spans="1:2" x14ac:dyDescent="0.2">
      <c r="A1661" s="70" t="s">
        <v>1876</v>
      </c>
      <c r="B1661" s="69" t="s">
        <v>5477</v>
      </c>
    </row>
    <row r="1662" spans="1:2" x14ac:dyDescent="0.2">
      <c r="A1662" s="70" t="s">
        <v>1889</v>
      </c>
      <c r="B1662" s="69" t="s">
        <v>5476</v>
      </c>
    </row>
    <row r="1663" spans="1:2" x14ac:dyDescent="0.2">
      <c r="A1663" s="70" t="s">
        <v>1896</v>
      </c>
      <c r="B1663" s="69" t="s">
        <v>5475</v>
      </c>
    </row>
    <row r="1664" spans="1:2" x14ac:dyDescent="0.2">
      <c r="A1664" s="70" t="s">
        <v>1819</v>
      </c>
      <c r="B1664" s="69" t="s">
        <v>5474</v>
      </c>
    </row>
    <row r="1665" spans="1:2" x14ac:dyDescent="0.2">
      <c r="A1665" s="70" t="s">
        <v>1850</v>
      </c>
      <c r="B1665" s="69" t="s">
        <v>5473</v>
      </c>
    </row>
    <row r="1666" spans="1:2" x14ac:dyDescent="0.2">
      <c r="A1666" s="70" t="s">
        <v>1929</v>
      </c>
      <c r="B1666" s="69" t="s">
        <v>5472</v>
      </c>
    </row>
    <row r="1667" spans="1:2" x14ac:dyDescent="0.2">
      <c r="A1667" s="70" t="s">
        <v>1930</v>
      </c>
      <c r="B1667" s="69" t="s">
        <v>5471</v>
      </c>
    </row>
    <row r="1668" spans="1:2" x14ac:dyDescent="0.2">
      <c r="A1668" s="70" t="s">
        <v>1865</v>
      </c>
      <c r="B1668" s="69" t="s">
        <v>5470</v>
      </c>
    </row>
    <row r="1669" spans="1:2" x14ac:dyDescent="0.2">
      <c r="A1669" s="70" t="s">
        <v>1867</v>
      </c>
      <c r="B1669" s="69" t="s">
        <v>5469</v>
      </c>
    </row>
    <row r="1670" spans="1:2" x14ac:dyDescent="0.2">
      <c r="A1670" s="70" t="s">
        <v>1885</v>
      </c>
      <c r="B1670" s="69" t="s">
        <v>5468</v>
      </c>
    </row>
    <row r="1671" spans="1:2" x14ac:dyDescent="0.2">
      <c r="A1671" s="70" t="s">
        <v>1884</v>
      </c>
      <c r="B1671" s="69" t="s">
        <v>5467</v>
      </c>
    </row>
    <row r="1672" spans="1:2" x14ac:dyDescent="0.2">
      <c r="A1672" s="70" t="s">
        <v>1924</v>
      </c>
      <c r="B1672" s="69" t="s">
        <v>5466</v>
      </c>
    </row>
    <row r="1673" spans="1:2" x14ac:dyDescent="0.2">
      <c r="A1673" s="70" t="s">
        <v>1945</v>
      </c>
      <c r="B1673" s="69" t="s">
        <v>5465</v>
      </c>
    </row>
    <row r="1674" spans="1:2" x14ac:dyDescent="0.2">
      <c r="A1674" s="70" t="s">
        <v>1907</v>
      </c>
      <c r="B1674" s="69" t="s">
        <v>5464</v>
      </c>
    </row>
    <row r="1675" spans="1:2" x14ac:dyDescent="0.2">
      <c r="A1675" s="70" t="s">
        <v>1941</v>
      </c>
      <c r="B1675" s="69" t="s">
        <v>5463</v>
      </c>
    </row>
    <row r="1676" spans="1:2" x14ac:dyDescent="0.2">
      <c r="A1676" s="70" t="s">
        <v>1895</v>
      </c>
      <c r="B1676" s="69" t="s">
        <v>5462</v>
      </c>
    </row>
    <row r="1677" spans="1:2" x14ac:dyDescent="0.2">
      <c r="A1677" s="70" t="s">
        <v>1913</v>
      </c>
      <c r="B1677" s="69" t="s">
        <v>5461</v>
      </c>
    </row>
    <row r="1678" spans="1:2" x14ac:dyDescent="0.2">
      <c r="A1678" s="70" t="s">
        <v>1843</v>
      </c>
      <c r="B1678" s="69" t="s">
        <v>5460</v>
      </c>
    </row>
    <row r="1679" spans="1:2" x14ac:dyDescent="0.2">
      <c r="A1679" s="70" t="s">
        <v>1853</v>
      </c>
      <c r="B1679" s="69" t="s">
        <v>5459</v>
      </c>
    </row>
    <row r="1680" spans="1:2" x14ac:dyDescent="0.2">
      <c r="A1680" s="70" t="s">
        <v>1905</v>
      </c>
      <c r="B1680" s="69" t="s">
        <v>5458</v>
      </c>
    </row>
    <row r="1681" spans="1:2" x14ac:dyDescent="0.2">
      <c r="A1681" s="70" t="s">
        <v>1838</v>
      </c>
      <c r="B1681" s="69" t="s">
        <v>5457</v>
      </c>
    </row>
    <row r="1682" spans="1:2" x14ac:dyDescent="0.2">
      <c r="A1682" s="70" t="s">
        <v>1854</v>
      </c>
      <c r="B1682" s="69" t="s">
        <v>5456</v>
      </c>
    </row>
    <row r="1683" spans="1:2" x14ac:dyDescent="0.2">
      <c r="A1683" s="70" t="s">
        <v>1878</v>
      </c>
      <c r="B1683" s="69" t="s">
        <v>5455</v>
      </c>
    </row>
    <row r="1684" spans="1:2" x14ac:dyDescent="0.2">
      <c r="A1684" s="70" t="s">
        <v>1862</v>
      </c>
      <c r="B1684" s="69" t="s">
        <v>5454</v>
      </c>
    </row>
    <row r="1685" spans="1:2" x14ac:dyDescent="0.2">
      <c r="A1685" s="70" t="s">
        <v>1844</v>
      </c>
      <c r="B1685" s="69" t="s">
        <v>5453</v>
      </c>
    </row>
    <row r="1686" spans="1:2" x14ac:dyDescent="0.2">
      <c r="A1686" s="70" t="s">
        <v>1921</v>
      </c>
      <c r="B1686" s="69" t="s">
        <v>5452</v>
      </c>
    </row>
    <row r="1687" spans="1:2" x14ac:dyDescent="0.2">
      <c r="A1687" s="70" t="s">
        <v>1861</v>
      </c>
      <c r="B1687" s="69" t="s">
        <v>5451</v>
      </c>
    </row>
    <row r="1688" spans="1:2" x14ac:dyDescent="0.2">
      <c r="A1688" s="70" t="s">
        <v>1872</v>
      </c>
      <c r="B1688" s="69" t="s">
        <v>5450</v>
      </c>
    </row>
    <row r="1689" spans="1:2" x14ac:dyDescent="0.2">
      <c r="A1689" s="70" t="s">
        <v>1938</v>
      </c>
      <c r="B1689" s="69" t="s">
        <v>5449</v>
      </c>
    </row>
    <row r="1690" spans="1:2" x14ac:dyDescent="0.2">
      <c r="A1690" s="70" t="s">
        <v>1936</v>
      </c>
      <c r="B1690" s="69" t="s">
        <v>5448</v>
      </c>
    </row>
    <row r="1691" spans="1:2" x14ac:dyDescent="0.2">
      <c r="A1691" s="70" t="s">
        <v>1841</v>
      </c>
      <c r="B1691" s="69" t="s">
        <v>5447</v>
      </c>
    </row>
    <row r="1692" spans="1:2" x14ac:dyDescent="0.2">
      <c r="A1692" s="70" t="s">
        <v>1849</v>
      </c>
      <c r="B1692" s="69" t="s">
        <v>5446</v>
      </c>
    </row>
    <row r="1693" spans="1:2" x14ac:dyDescent="0.2">
      <c r="A1693" s="70" t="s">
        <v>1917</v>
      </c>
      <c r="B1693" s="69" t="s">
        <v>5445</v>
      </c>
    </row>
    <row r="1694" spans="1:2" x14ac:dyDescent="0.2">
      <c r="A1694" s="70" t="s">
        <v>1933</v>
      </c>
      <c r="B1694" s="69" t="s">
        <v>5444</v>
      </c>
    </row>
    <row r="1695" spans="1:2" x14ac:dyDescent="0.2">
      <c r="A1695" s="70" t="s">
        <v>1874</v>
      </c>
      <c r="B1695" s="69" t="s">
        <v>5443</v>
      </c>
    </row>
    <row r="1696" spans="1:2" x14ac:dyDescent="0.2">
      <c r="A1696" s="70" t="s">
        <v>1875</v>
      </c>
      <c r="B1696" s="69" t="s">
        <v>5442</v>
      </c>
    </row>
    <row r="1697" spans="1:2" x14ac:dyDescent="0.2">
      <c r="A1697" s="70" t="s">
        <v>1832</v>
      </c>
      <c r="B1697" s="69" t="s">
        <v>5441</v>
      </c>
    </row>
    <row r="1698" spans="1:2" x14ac:dyDescent="0.2">
      <c r="A1698" s="70" t="s">
        <v>1891</v>
      </c>
      <c r="B1698" s="69" t="s">
        <v>5440</v>
      </c>
    </row>
    <row r="1699" spans="1:2" x14ac:dyDescent="0.2">
      <c r="A1699" s="70" t="s">
        <v>1920</v>
      </c>
      <c r="B1699" s="69" t="s">
        <v>5439</v>
      </c>
    </row>
    <row r="1700" spans="1:2" x14ac:dyDescent="0.2">
      <c r="A1700" s="70" t="s">
        <v>1926</v>
      </c>
      <c r="B1700" s="69" t="s">
        <v>5438</v>
      </c>
    </row>
    <row r="1701" spans="1:2" x14ac:dyDescent="0.2">
      <c r="A1701" s="70" t="s">
        <v>1898</v>
      </c>
      <c r="B1701" s="69" t="s">
        <v>5437</v>
      </c>
    </row>
    <row r="1702" spans="1:2" x14ac:dyDescent="0.2">
      <c r="A1702" s="70" t="s">
        <v>1902</v>
      </c>
      <c r="B1702" s="69" t="s">
        <v>5436</v>
      </c>
    </row>
    <row r="1703" spans="1:2" x14ac:dyDescent="0.2">
      <c r="A1703" s="70" t="s">
        <v>1937</v>
      </c>
      <c r="B1703" s="69" t="s">
        <v>5435</v>
      </c>
    </row>
    <row r="1704" spans="1:2" x14ac:dyDescent="0.2">
      <c r="A1704" s="70" t="s">
        <v>1883</v>
      </c>
      <c r="B1704" s="69" t="s">
        <v>5434</v>
      </c>
    </row>
    <row r="1705" spans="1:2" x14ac:dyDescent="0.2">
      <c r="A1705" s="68" t="s">
        <v>3853</v>
      </c>
      <c r="B1705" s="67" t="s">
        <v>5433</v>
      </c>
    </row>
    <row r="1706" spans="1:2" x14ac:dyDescent="0.2">
      <c r="A1706" s="68" t="s">
        <v>3852</v>
      </c>
      <c r="B1706" s="67" t="s">
        <v>5432</v>
      </c>
    </row>
    <row r="1707" spans="1:2" x14ac:dyDescent="0.2">
      <c r="A1707" s="68" t="s">
        <v>3851</v>
      </c>
      <c r="B1707" s="67" t="s">
        <v>5431</v>
      </c>
    </row>
    <row r="1708" spans="1:2" x14ac:dyDescent="0.2">
      <c r="A1708" s="68" t="s">
        <v>3850</v>
      </c>
      <c r="B1708" s="67" t="s">
        <v>5430</v>
      </c>
    </row>
    <row r="1709" spans="1:2" x14ac:dyDescent="0.2">
      <c r="A1709" s="68" t="s">
        <v>3849</v>
      </c>
      <c r="B1709" s="67" t="s">
        <v>5429</v>
      </c>
    </row>
    <row r="1710" spans="1:2" x14ac:dyDescent="0.2">
      <c r="A1710" s="68" t="s">
        <v>3848</v>
      </c>
      <c r="B1710" s="67" t="s">
        <v>5428</v>
      </c>
    </row>
    <row r="1711" spans="1:2" x14ac:dyDescent="0.2">
      <c r="A1711" s="68" t="s">
        <v>3847</v>
      </c>
      <c r="B1711" s="67" t="s">
        <v>5427</v>
      </c>
    </row>
    <row r="1712" spans="1:2" x14ac:dyDescent="0.2">
      <c r="A1712" s="68" t="s">
        <v>3846</v>
      </c>
      <c r="B1712" s="67" t="s">
        <v>5426</v>
      </c>
    </row>
    <row r="1713" spans="1:2" x14ac:dyDescent="0.2">
      <c r="A1713" s="68" t="s">
        <v>3845</v>
      </c>
      <c r="B1713" s="67" t="s">
        <v>5425</v>
      </c>
    </row>
    <row r="1714" spans="1:2" x14ac:dyDescent="0.2">
      <c r="A1714" s="68" t="s">
        <v>3844</v>
      </c>
      <c r="B1714" s="67" t="s">
        <v>5424</v>
      </c>
    </row>
    <row r="1715" spans="1:2" x14ac:dyDescent="0.2">
      <c r="A1715" s="68" t="s">
        <v>1777</v>
      </c>
      <c r="B1715" s="67" t="s">
        <v>5423</v>
      </c>
    </row>
    <row r="1716" spans="1:2" x14ac:dyDescent="0.2">
      <c r="A1716" s="68" t="s">
        <v>1778</v>
      </c>
      <c r="B1716" s="67" t="s">
        <v>5422</v>
      </c>
    </row>
    <row r="1717" spans="1:2" x14ac:dyDescent="0.2">
      <c r="A1717" s="68" t="s">
        <v>3843</v>
      </c>
      <c r="B1717" s="67" t="s">
        <v>5421</v>
      </c>
    </row>
    <row r="1718" spans="1:2" x14ac:dyDescent="0.2">
      <c r="A1718" s="68" t="s">
        <v>3842</v>
      </c>
      <c r="B1718" s="67" t="s">
        <v>5420</v>
      </c>
    </row>
    <row r="1719" spans="1:2" x14ac:dyDescent="0.2">
      <c r="A1719" s="68" t="s">
        <v>3841</v>
      </c>
      <c r="B1719" s="67" t="s">
        <v>5419</v>
      </c>
    </row>
    <row r="1720" spans="1:2" x14ac:dyDescent="0.2">
      <c r="A1720" s="68" t="s">
        <v>3840</v>
      </c>
      <c r="B1720" s="67" t="s">
        <v>5418</v>
      </c>
    </row>
    <row r="1721" spans="1:2" x14ac:dyDescent="0.2">
      <c r="A1721" s="68" t="s">
        <v>3839</v>
      </c>
      <c r="B1721" s="67" t="s">
        <v>5417</v>
      </c>
    </row>
    <row r="1722" spans="1:2" x14ac:dyDescent="0.2">
      <c r="A1722" s="68" t="s">
        <v>3838</v>
      </c>
      <c r="B1722" s="67" t="s">
        <v>5416</v>
      </c>
    </row>
    <row r="1723" spans="1:2" x14ac:dyDescent="0.2">
      <c r="A1723" s="68" t="s">
        <v>3837</v>
      </c>
      <c r="B1723" s="67" t="s">
        <v>5415</v>
      </c>
    </row>
    <row r="1724" spans="1:2" x14ac:dyDescent="0.2">
      <c r="A1724" s="68" t="s">
        <v>3836</v>
      </c>
      <c r="B1724" s="67" t="s">
        <v>5414</v>
      </c>
    </row>
    <row r="1725" spans="1:2" x14ac:dyDescent="0.2">
      <c r="A1725" s="68" t="s">
        <v>3835</v>
      </c>
      <c r="B1725" s="67" t="s">
        <v>5413</v>
      </c>
    </row>
    <row r="1726" spans="1:2" x14ac:dyDescent="0.2">
      <c r="A1726" s="68" t="s">
        <v>3834</v>
      </c>
      <c r="B1726" s="67" t="s">
        <v>5412</v>
      </c>
    </row>
    <row r="1727" spans="1:2" x14ac:dyDescent="0.2">
      <c r="A1727" s="68" t="s">
        <v>3833</v>
      </c>
      <c r="B1727" s="67" t="s">
        <v>5411</v>
      </c>
    </row>
    <row r="1728" spans="1:2" x14ac:dyDescent="0.2">
      <c r="A1728" s="68" t="s">
        <v>3832</v>
      </c>
      <c r="B1728" s="67" t="s">
        <v>5410</v>
      </c>
    </row>
    <row r="1729" spans="1:2" x14ac:dyDescent="0.2">
      <c r="A1729" s="68" t="s">
        <v>3831</v>
      </c>
      <c r="B1729" s="67" t="s">
        <v>5409</v>
      </c>
    </row>
    <row r="1730" spans="1:2" x14ac:dyDescent="0.2">
      <c r="A1730" s="68" t="s">
        <v>3830</v>
      </c>
      <c r="B1730" s="67" t="s">
        <v>5408</v>
      </c>
    </row>
    <row r="1731" spans="1:2" x14ac:dyDescent="0.2">
      <c r="A1731" s="68" t="s">
        <v>3829</v>
      </c>
      <c r="B1731" s="67" t="s">
        <v>5407</v>
      </c>
    </row>
    <row r="1732" spans="1:2" x14ac:dyDescent="0.2">
      <c r="A1732" s="68" t="s">
        <v>3828</v>
      </c>
      <c r="B1732" s="67" t="s">
        <v>5406</v>
      </c>
    </row>
    <row r="1733" spans="1:2" x14ac:dyDescent="0.2">
      <c r="A1733" s="68" t="s">
        <v>3827</v>
      </c>
      <c r="B1733" s="67" t="s">
        <v>5405</v>
      </c>
    </row>
    <row r="1734" spans="1:2" x14ac:dyDescent="0.2">
      <c r="A1734" s="68" t="s">
        <v>3826</v>
      </c>
      <c r="B1734" s="67" t="s">
        <v>5404</v>
      </c>
    </row>
    <row r="1735" spans="1:2" x14ac:dyDescent="0.2">
      <c r="A1735" s="68" t="s">
        <v>3825</v>
      </c>
      <c r="B1735" s="67" t="s">
        <v>5403</v>
      </c>
    </row>
    <row r="1736" spans="1:2" x14ac:dyDescent="0.2">
      <c r="A1736" s="68" t="s">
        <v>3824</v>
      </c>
      <c r="B1736" s="67" t="s">
        <v>5402</v>
      </c>
    </row>
    <row r="1737" spans="1:2" x14ac:dyDescent="0.2">
      <c r="A1737" s="68" t="s">
        <v>3823</v>
      </c>
      <c r="B1737" s="67" t="s">
        <v>5401</v>
      </c>
    </row>
    <row r="1738" spans="1:2" x14ac:dyDescent="0.2">
      <c r="A1738" s="68" t="s">
        <v>3822</v>
      </c>
      <c r="B1738" s="67" t="s">
        <v>5400</v>
      </c>
    </row>
    <row r="1739" spans="1:2" x14ac:dyDescent="0.2">
      <c r="A1739" s="68" t="s">
        <v>1780</v>
      </c>
      <c r="B1739" s="67" t="s">
        <v>5399</v>
      </c>
    </row>
    <row r="1740" spans="1:2" x14ac:dyDescent="0.2">
      <c r="A1740" s="68" t="s">
        <v>3821</v>
      </c>
      <c r="B1740" s="67" t="s">
        <v>5398</v>
      </c>
    </row>
    <row r="1741" spans="1:2" x14ac:dyDescent="0.2">
      <c r="A1741" s="68" t="s">
        <v>3820</v>
      </c>
      <c r="B1741" s="67" t="s">
        <v>5397</v>
      </c>
    </row>
    <row r="1742" spans="1:2" x14ac:dyDescent="0.2">
      <c r="A1742" s="68" t="s">
        <v>3819</v>
      </c>
      <c r="B1742" s="67" t="s">
        <v>5396</v>
      </c>
    </row>
    <row r="1743" spans="1:2" x14ac:dyDescent="0.2">
      <c r="A1743" s="68" t="s">
        <v>3818</v>
      </c>
      <c r="B1743" s="67" t="s">
        <v>5395</v>
      </c>
    </row>
    <row r="1744" spans="1:2" x14ac:dyDescent="0.2">
      <c r="A1744" s="68" t="s">
        <v>3817</v>
      </c>
      <c r="B1744" s="67" t="s">
        <v>5394</v>
      </c>
    </row>
    <row r="1745" spans="1:2" x14ac:dyDescent="0.2">
      <c r="A1745" s="68" t="s">
        <v>3816</v>
      </c>
      <c r="B1745" s="67" t="s">
        <v>5393</v>
      </c>
    </row>
    <row r="1746" spans="1:2" x14ac:dyDescent="0.2">
      <c r="A1746" s="68" t="s">
        <v>3815</v>
      </c>
      <c r="B1746" s="67" t="s">
        <v>5392</v>
      </c>
    </row>
    <row r="1747" spans="1:2" x14ac:dyDescent="0.2">
      <c r="A1747" s="68" t="s">
        <v>3814</v>
      </c>
      <c r="B1747" s="67" t="s">
        <v>5391</v>
      </c>
    </row>
    <row r="1748" spans="1:2" x14ac:dyDescent="0.2">
      <c r="A1748" s="68" t="s">
        <v>3813</v>
      </c>
      <c r="B1748" s="67" t="s">
        <v>5390</v>
      </c>
    </row>
    <row r="1749" spans="1:2" x14ac:dyDescent="0.2">
      <c r="A1749" s="68" t="s">
        <v>3812</v>
      </c>
      <c r="B1749" s="67" t="s">
        <v>5389</v>
      </c>
    </row>
    <row r="1750" spans="1:2" x14ac:dyDescent="0.2">
      <c r="A1750" s="68" t="s">
        <v>3811</v>
      </c>
      <c r="B1750" s="67" t="s">
        <v>5388</v>
      </c>
    </row>
    <row r="1751" spans="1:2" x14ac:dyDescent="0.2">
      <c r="A1751" s="68" t="s">
        <v>3810</v>
      </c>
      <c r="B1751" s="67" t="s">
        <v>5387</v>
      </c>
    </row>
    <row r="1752" spans="1:2" x14ac:dyDescent="0.2">
      <c r="A1752" s="68" t="s">
        <v>3809</v>
      </c>
      <c r="B1752" s="67" t="s">
        <v>5386</v>
      </c>
    </row>
    <row r="1753" spans="1:2" x14ac:dyDescent="0.2">
      <c r="A1753" s="68" t="s">
        <v>3808</v>
      </c>
      <c r="B1753" s="67" t="s">
        <v>5385</v>
      </c>
    </row>
    <row r="1754" spans="1:2" x14ac:dyDescent="0.2">
      <c r="A1754" s="68" t="s">
        <v>3807</v>
      </c>
      <c r="B1754" s="67" t="s">
        <v>5384</v>
      </c>
    </row>
    <row r="1755" spans="1:2" x14ac:dyDescent="0.2">
      <c r="A1755" s="68" t="s">
        <v>3806</v>
      </c>
      <c r="B1755" s="67" t="s">
        <v>5383</v>
      </c>
    </row>
    <row r="1756" spans="1:2" x14ac:dyDescent="0.2">
      <c r="A1756" s="68" t="s">
        <v>3805</v>
      </c>
      <c r="B1756" s="67" t="s">
        <v>5382</v>
      </c>
    </row>
    <row r="1757" spans="1:2" x14ac:dyDescent="0.2">
      <c r="A1757" s="68" t="s">
        <v>3804</v>
      </c>
      <c r="B1757" s="67" t="s">
        <v>5381</v>
      </c>
    </row>
    <row r="1758" spans="1:2" x14ac:dyDescent="0.2">
      <c r="A1758" s="68" t="s">
        <v>3803</v>
      </c>
      <c r="B1758" s="67" t="s">
        <v>5380</v>
      </c>
    </row>
    <row r="1759" spans="1:2" x14ac:dyDescent="0.2">
      <c r="A1759" s="68" t="s">
        <v>3802</v>
      </c>
      <c r="B1759" s="67" t="s">
        <v>5379</v>
      </c>
    </row>
    <row r="1760" spans="1:2" x14ac:dyDescent="0.2">
      <c r="A1760" s="68" t="s">
        <v>3801</v>
      </c>
      <c r="B1760" s="67" t="s">
        <v>5378</v>
      </c>
    </row>
    <row r="1761" spans="1:2" x14ac:dyDescent="0.2">
      <c r="A1761" s="68" t="s">
        <v>3800</v>
      </c>
      <c r="B1761" s="67" t="s">
        <v>5377</v>
      </c>
    </row>
    <row r="1762" spans="1:2" x14ac:dyDescent="0.2">
      <c r="A1762" s="68" t="s">
        <v>3799</v>
      </c>
      <c r="B1762" s="67" t="s">
        <v>5376</v>
      </c>
    </row>
    <row r="1763" spans="1:2" x14ac:dyDescent="0.2">
      <c r="A1763" s="68" t="s">
        <v>3798</v>
      </c>
      <c r="B1763" s="67" t="s">
        <v>5375</v>
      </c>
    </row>
    <row r="1764" spans="1:2" x14ac:dyDescent="0.2">
      <c r="A1764" s="68" t="s">
        <v>3797</v>
      </c>
      <c r="B1764" s="67" t="s">
        <v>5374</v>
      </c>
    </row>
    <row r="1765" spans="1:2" x14ac:dyDescent="0.2">
      <c r="A1765" s="68" t="s">
        <v>3796</v>
      </c>
      <c r="B1765" s="67" t="s">
        <v>5373</v>
      </c>
    </row>
    <row r="1766" spans="1:2" x14ac:dyDescent="0.2">
      <c r="A1766" s="68" t="s">
        <v>3795</v>
      </c>
      <c r="B1766" s="67" t="s">
        <v>5372</v>
      </c>
    </row>
    <row r="1767" spans="1:2" x14ac:dyDescent="0.2">
      <c r="A1767" s="68" t="s">
        <v>3794</v>
      </c>
      <c r="B1767" s="67" t="s">
        <v>5371</v>
      </c>
    </row>
    <row r="1768" spans="1:2" x14ac:dyDescent="0.2">
      <c r="A1768" s="68" t="s">
        <v>3793</v>
      </c>
      <c r="B1768" s="67" t="s">
        <v>5370</v>
      </c>
    </row>
    <row r="1769" spans="1:2" x14ac:dyDescent="0.2">
      <c r="A1769" s="68" t="s">
        <v>3792</v>
      </c>
      <c r="B1769" s="67" t="s">
        <v>5369</v>
      </c>
    </row>
    <row r="1770" spans="1:2" x14ac:dyDescent="0.2">
      <c r="A1770" s="68" t="s">
        <v>3791</v>
      </c>
      <c r="B1770" s="67" t="s">
        <v>5368</v>
      </c>
    </row>
    <row r="1771" spans="1:2" x14ac:dyDescent="0.2">
      <c r="A1771" s="68" t="s">
        <v>3790</v>
      </c>
      <c r="B1771" s="67" t="s">
        <v>5367</v>
      </c>
    </row>
    <row r="1772" spans="1:2" x14ac:dyDescent="0.2">
      <c r="A1772" s="68" t="s">
        <v>3789</v>
      </c>
      <c r="B1772" s="67" t="s">
        <v>5366</v>
      </c>
    </row>
    <row r="1773" spans="1:2" x14ac:dyDescent="0.2">
      <c r="A1773" s="68" t="s">
        <v>3788</v>
      </c>
      <c r="B1773" s="67" t="s">
        <v>5365</v>
      </c>
    </row>
    <row r="1774" spans="1:2" x14ac:dyDescent="0.2">
      <c r="A1774" s="68" t="s">
        <v>3787</v>
      </c>
      <c r="B1774" s="67" t="s">
        <v>5364</v>
      </c>
    </row>
    <row r="1775" spans="1:2" x14ac:dyDescent="0.2">
      <c r="A1775" s="68" t="s">
        <v>3786</v>
      </c>
      <c r="B1775" s="67" t="s">
        <v>5363</v>
      </c>
    </row>
    <row r="1776" spans="1:2" x14ac:dyDescent="0.2">
      <c r="A1776" s="68" t="s">
        <v>3785</v>
      </c>
      <c r="B1776" s="67" t="s">
        <v>5362</v>
      </c>
    </row>
    <row r="1777" spans="1:2" x14ac:dyDescent="0.2">
      <c r="A1777" s="68" t="s">
        <v>3784</v>
      </c>
      <c r="B1777" s="67" t="s">
        <v>5361</v>
      </c>
    </row>
    <row r="1778" spans="1:2" x14ac:dyDescent="0.2">
      <c r="A1778" s="68" t="s">
        <v>3783</v>
      </c>
      <c r="B1778" s="67" t="s">
        <v>5360</v>
      </c>
    </row>
    <row r="1779" spans="1:2" x14ac:dyDescent="0.2">
      <c r="A1779" s="68" t="s">
        <v>3782</v>
      </c>
      <c r="B1779" s="67" t="s">
        <v>5359</v>
      </c>
    </row>
    <row r="1780" spans="1:2" x14ac:dyDescent="0.2">
      <c r="A1780" s="68" t="s">
        <v>3781</v>
      </c>
      <c r="B1780" s="67" t="s">
        <v>5358</v>
      </c>
    </row>
    <row r="1781" spans="1:2" x14ac:dyDescent="0.2">
      <c r="A1781" s="68" t="s">
        <v>3780</v>
      </c>
      <c r="B1781" s="67" t="s">
        <v>5357</v>
      </c>
    </row>
    <row r="1782" spans="1:2" x14ac:dyDescent="0.2">
      <c r="A1782" s="68" t="s">
        <v>3779</v>
      </c>
      <c r="B1782" s="67" t="s">
        <v>5356</v>
      </c>
    </row>
    <row r="1783" spans="1:2" x14ac:dyDescent="0.2">
      <c r="A1783" s="68" t="s">
        <v>3778</v>
      </c>
      <c r="B1783" s="67" t="s">
        <v>5355</v>
      </c>
    </row>
    <row r="1784" spans="1:2" x14ac:dyDescent="0.2">
      <c r="A1784" s="68" t="s">
        <v>3777</v>
      </c>
      <c r="B1784" s="67" t="s">
        <v>5354</v>
      </c>
    </row>
    <row r="1785" spans="1:2" x14ac:dyDescent="0.2">
      <c r="A1785" s="68" t="s">
        <v>3776</v>
      </c>
      <c r="B1785" s="67" t="s">
        <v>5353</v>
      </c>
    </row>
    <row r="1786" spans="1:2" x14ac:dyDescent="0.2">
      <c r="A1786" s="68" t="s">
        <v>3775</v>
      </c>
      <c r="B1786" s="67" t="s">
        <v>5352</v>
      </c>
    </row>
    <row r="1787" spans="1:2" x14ac:dyDescent="0.2">
      <c r="A1787" s="68" t="s">
        <v>3774</v>
      </c>
      <c r="B1787" s="67" t="s">
        <v>5351</v>
      </c>
    </row>
    <row r="1788" spans="1:2" x14ac:dyDescent="0.2">
      <c r="A1788" s="68" t="s">
        <v>3773</v>
      </c>
      <c r="B1788" s="67" t="s">
        <v>5350</v>
      </c>
    </row>
    <row r="1789" spans="1:2" x14ac:dyDescent="0.2">
      <c r="A1789" s="68" t="s">
        <v>3772</v>
      </c>
      <c r="B1789" s="67" t="s">
        <v>5349</v>
      </c>
    </row>
    <row r="1790" spans="1:2" x14ac:dyDescent="0.2">
      <c r="A1790" s="68" t="s">
        <v>3771</v>
      </c>
      <c r="B1790" s="67" t="s">
        <v>5348</v>
      </c>
    </row>
    <row r="1791" spans="1:2" x14ac:dyDescent="0.2">
      <c r="A1791" s="68" t="s">
        <v>3770</v>
      </c>
      <c r="B1791" s="67" t="s">
        <v>5347</v>
      </c>
    </row>
    <row r="1792" spans="1:2" x14ac:dyDescent="0.2">
      <c r="A1792" s="68" t="s">
        <v>3769</v>
      </c>
      <c r="B1792" s="67" t="s">
        <v>5346</v>
      </c>
    </row>
    <row r="1793" spans="1:2" x14ac:dyDescent="0.2">
      <c r="A1793" s="68" t="s">
        <v>3768</v>
      </c>
      <c r="B1793" s="67" t="s">
        <v>5345</v>
      </c>
    </row>
    <row r="1794" spans="1:2" x14ac:dyDescent="0.2">
      <c r="A1794" s="68" t="s">
        <v>3767</v>
      </c>
      <c r="B1794" s="67" t="s">
        <v>5344</v>
      </c>
    </row>
    <row r="1795" spans="1:2" x14ac:dyDescent="0.2">
      <c r="A1795" s="68" t="s">
        <v>3766</v>
      </c>
      <c r="B1795" s="67" t="s">
        <v>5343</v>
      </c>
    </row>
    <row r="1796" spans="1:2" x14ac:dyDescent="0.2">
      <c r="A1796" s="68" t="s">
        <v>3765</v>
      </c>
      <c r="B1796" s="67" t="s">
        <v>5342</v>
      </c>
    </row>
    <row r="1797" spans="1:2" x14ac:dyDescent="0.2">
      <c r="A1797" s="68" t="s">
        <v>3764</v>
      </c>
      <c r="B1797" s="67" t="s">
        <v>5341</v>
      </c>
    </row>
    <row r="1798" spans="1:2" x14ac:dyDescent="0.2">
      <c r="A1798" s="68" t="s">
        <v>3763</v>
      </c>
      <c r="B1798" s="67" t="s">
        <v>5340</v>
      </c>
    </row>
    <row r="1799" spans="1:2" x14ac:dyDescent="0.2">
      <c r="A1799" s="68" t="s">
        <v>3762</v>
      </c>
      <c r="B1799" s="67" t="s">
        <v>5339</v>
      </c>
    </row>
    <row r="1800" spans="1:2" x14ac:dyDescent="0.2">
      <c r="A1800" s="68" t="s">
        <v>3761</v>
      </c>
      <c r="B1800" s="67" t="s">
        <v>5338</v>
      </c>
    </row>
    <row r="1801" spans="1:2" x14ac:dyDescent="0.2">
      <c r="A1801" s="68" t="s">
        <v>3760</v>
      </c>
      <c r="B1801" s="67" t="s">
        <v>5337</v>
      </c>
    </row>
    <row r="1802" spans="1:2" x14ac:dyDescent="0.2">
      <c r="A1802" s="68" t="s">
        <v>3759</v>
      </c>
      <c r="B1802" s="67" t="s">
        <v>5336</v>
      </c>
    </row>
    <row r="1803" spans="1:2" x14ac:dyDescent="0.2">
      <c r="A1803" s="68" t="s">
        <v>3758</v>
      </c>
      <c r="B1803" s="67" t="s">
        <v>5335</v>
      </c>
    </row>
    <row r="1804" spans="1:2" x14ac:dyDescent="0.2">
      <c r="A1804" s="68" t="s">
        <v>3757</v>
      </c>
      <c r="B1804" s="67" t="s">
        <v>5334</v>
      </c>
    </row>
    <row r="1805" spans="1:2" x14ac:dyDescent="0.2">
      <c r="A1805" s="68" t="s">
        <v>3756</v>
      </c>
      <c r="B1805" s="67" t="s">
        <v>5333</v>
      </c>
    </row>
    <row r="1806" spans="1:2" x14ac:dyDescent="0.2">
      <c r="A1806" s="68" t="s">
        <v>3755</v>
      </c>
      <c r="B1806" s="67" t="s">
        <v>5332</v>
      </c>
    </row>
    <row r="1807" spans="1:2" x14ac:dyDescent="0.2">
      <c r="A1807" s="68" t="s">
        <v>3754</v>
      </c>
      <c r="B1807" s="67" t="s">
        <v>5331</v>
      </c>
    </row>
    <row r="1808" spans="1:2" x14ac:dyDescent="0.2">
      <c r="A1808" s="68" t="s">
        <v>3753</v>
      </c>
      <c r="B1808" s="67" t="s">
        <v>5330</v>
      </c>
    </row>
    <row r="1809" spans="1:2" x14ac:dyDescent="0.2">
      <c r="A1809" s="68" t="s">
        <v>3752</v>
      </c>
      <c r="B1809" s="67" t="s">
        <v>5329</v>
      </c>
    </row>
    <row r="1810" spans="1:2" x14ac:dyDescent="0.2">
      <c r="A1810" s="68" t="s">
        <v>3751</v>
      </c>
      <c r="B1810" s="67" t="s">
        <v>5328</v>
      </c>
    </row>
    <row r="1811" spans="1:2" x14ac:dyDescent="0.2">
      <c r="A1811" s="68" t="s">
        <v>3750</v>
      </c>
      <c r="B1811" s="67" t="s">
        <v>5327</v>
      </c>
    </row>
    <row r="1812" spans="1:2" x14ac:dyDescent="0.2">
      <c r="A1812" s="68" t="s">
        <v>3749</v>
      </c>
      <c r="B1812" s="67" t="s">
        <v>5326</v>
      </c>
    </row>
    <row r="1813" spans="1:2" x14ac:dyDescent="0.2">
      <c r="A1813" s="68" t="s">
        <v>3748</v>
      </c>
      <c r="B1813" s="67" t="s">
        <v>5325</v>
      </c>
    </row>
    <row r="1814" spans="1:2" x14ac:dyDescent="0.2">
      <c r="A1814" s="68" t="s">
        <v>3747</v>
      </c>
      <c r="B1814" s="67" t="s">
        <v>5324</v>
      </c>
    </row>
    <row r="1815" spans="1:2" x14ac:dyDescent="0.2">
      <c r="A1815" s="68" t="s">
        <v>3746</v>
      </c>
      <c r="B1815" s="67" t="s">
        <v>5323</v>
      </c>
    </row>
    <row r="1816" spans="1:2" x14ac:dyDescent="0.2">
      <c r="A1816" s="68" t="s">
        <v>3745</v>
      </c>
      <c r="B1816" s="67" t="s">
        <v>5322</v>
      </c>
    </row>
    <row r="1817" spans="1:2" x14ac:dyDescent="0.2">
      <c r="A1817" s="68" t="s">
        <v>3744</v>
      </c>
      <c r="B1817" s="67" t="s">
        <v>5321</v>
      </c>
    </row>
    <row r="1818" spans="1:2" x14ac:dyDescent="0.2">
      <c r="A1818" s="68" t="s">
        <v>3743</v>
      </c>
      <c r="B1818" s="67" t="s">
        <v>5320</v>
      </c>
    </row>
    <row r="1819" spans="1:2" x14ac:dyDescent="0.2">
      <c r="A1819" s="68" t="s">
        <v>3742</v>
      </c>
      <c r="B1819" s="67"/>
    </row>
    <row r="1820" spans="1:2" x14ac:dyDescent="0.2">
      <c r="A1820" s="68" t="s">
        <v>3741</v>
      </c>
      <c r="B1820" s="67" t="s">
        <v>5319</v>
      </c>
    </row>
    <row r="1821" spans="1:2" x14ac:dyDescent="0.2">
      <c r="A1821" s="68" t="s">
        <v>3740</v>
      </c>
      <c r="B1821" s="67" t="s">
        <v>5318</v>
      </c>
    </row>
    <row r="1822" spans="1:2" x14ac:dyDescent="0.2">
      <c r="A1822" s="68" t="s">
        <v>3739</v>
      </c>
      <c r="B1822" s="67" t="s">
        <v>5317</v>
      </c>
    </row>
    <row r="1823" spans="1:2" x14ac:dyDescent="0.2">
      <c r="A1823" s="68" t="s">
        <v>3738</v>
      </c>
      <c r="B1823" s="67" t="s">
        <v>5316</v>
      </c>
    </row>
    <row r="1824" spans="1:2" x14ac:dyDescent="0.2">
      <c r="A1824" s="68" t="s">
        <v>3737</v>
      </c>
      <c r="B1824" s="67" t="s">
        <v>5315</v>
      </c>
    </row>
    <row r="1825" spans="1:2" x14ac:dyDescent="0.2">
      <c r="A1825" s="68" t="s">
        <v>3736</v>
      </c>
      <c r="B1825" s="67" t="s">
        <v>5314</v>
      </c>
    </row>
    <row r="1826" spans="1:2" x14ac:dyDescent="0.2">
      <c r="A1826" s="68" t="s">
        <v>3735</v>
      </c>
      <c r="B1826" s="67" t="s">
        <v>5313</v>
      </c>
    </row>
    <row r="1827" spans="1:2" x14ac:dyDescent="0.2">
      <c r="A1827" s="68" t="s">
        <v>3734</v>
      </c>
      <c r="B1827" s="67" t="s">
        <v>5312</v>
      </c>
    </row>
    <row r="1828" spans="1:2" x14ac:dyDescent="0.2">
      <c r="A1828" s="68" t="s">
        <v>3733</v>
      </c>
      <c r="B1828" s="67" t="s">
        <v>5311</v>
      </c>
    </row>
    <row r="1829" spans="1:2" x14ac:dyDescent="0.2">
      <c r="A1829" s="68" t="s">
        <v>3732</v>
      </c>
      <c r="B1829" s="67" t="s">
        <v>5310</v>
      </c>
    </row>
    <row r="1830" spans="1:2" x14ac:dyDescent="0.2">
      <c r="A1830" s="68" t="s">
        <v>3731</v>
      </c>
      <c r="B1830" s="67" t="s">
        <v>5309</v>
      </c>
    </row>
    <row r="1831" spans="1:2" x14ac:dyDescent="0.2">
      <c r="A1831" s="68" t="s">
        <v>3730</v>
      </c>
      <c r="B1831" s="67" t="s">
        <v>5308</v>
      </c>
    </row>
    <row r="1832" spans="1:2" x14ac:dyDescent="0.2">
      <c r="A1832" s="68" t="s">
        <v>3729</v>
      </c>
      <c r="B1832" s="67" t="s">
        <v>5307</v>
      </c>
    </row>
    <row r="1833" spans="1:2" x14ac:dyDescent="0.2">
      <c r="A1833" s="68" t="s">
        <v>3728</v>
      </c>
      <c r="B1833" s="67" t="s">
        <v>5306</v>
      </c>
    </row>
    <row r="1834" spans="1:2" x14ac:dyDescent="0.2">
      <c r="A1834" s="68" t="s">
        <v>3727</v>
      </c>
      <c r="B1834" s="67" t="s">
        <v>5305</v>
      </c>
    </row>
    <row r="1835" spans="1:2" x14ac:dyDescent="0.2">
      <c r="A1835" s="68" t="s">
        <v>3726</v>
      </c>
      <c r="B1835" s="67" t="s">
        <v>5304</v>
      </c>
    </row>
    <row r="1836" spans="1:2" x14ac:dyDescent="0.2">
      <c r="A1836" s="68" t="s">
        <v>3725</v>
      </c>
      <c r="B1836" s="67" t="s">
        <v>5303</v>
      </c>
    </row>
    <row r="1837" spans="1:2" x14ac:dyDescent="0.2">
      <c r="A1837" s="68" t="s">
        <v>3724</v>
      </c>
      <c r="B1837" s="67" t="s">
        <v>5302</v>
      </c>
    </row>
    <row r="1838" spans="1:2" x14ac:dyDescent="0.2">
      <c r="A1838" s="68" t="s">
        <v>3723</v>
      </c>
      <c r="B1838" s="67" t="s">
        <v>5301</v>
      </c>
    </row>
    <row r="1839" spans="1:2" x14ac:dyDescent="0.2">
      <c r="A1839" s="68" t="s">
        <v>3722</v>
      </c>
      <c r="B1839" s="67" t="s">
        <v>5300</v>
      </c>
    </row>
    <row r="1840" spans="1:2" x14ac:dyDescent="0.2">
      <c r="A1840" s="68" t="s">
        <v>3721</v>
      </c>
      <c r="B1840" s="67" t="s">
        <v>5299</v>
      </c>
    </row>
    <row r="1841" spans="1:2" x14ac:dyDescent="0.2">
      <c r="A1841" s="68" t="s">
        <v>3720</v>
      </c>
      <c r="B1841" s="67" t="s">
        <v>5298</v>
      </c>
    </row>
    <row r="1842" spans="1:2" x14ac:dyDescent="0.2">
      <c r="A1842" s="68" t="s">
        <v>3719</v>
      </c>
      <c r="B1842" s="67" t="s">
        <v>5297</v>
      </c>
    </row>
    <row r="1843" spans="1:2" x14ac:dyDescent="0.2">
      <c r="A1843" s="68" t="s">
        <v>3718</v>
      </c>
      <c r="B1843" s="67" t="s">
        <v>5296</v>
      </c>
    </row>
    <row r="1844" spans="1:2" x14ac:dyDescent="0.2">
      <c r="A1844" s="68" t="s">
        <v>3717</v>
      </c>
      <c r="B1844" s="67" t="s">
        <v>5295</v>
      </c>
    </row>
    <row r="1845" spans="1:2" x14ac:dyDescent="0.2">
      <c r="A1845" s="68" t="s">
        <v>3716</v>
      </c>
      <c r="B1845" s="67" t="s">
        <v>5294</v>
      </c>
    </row>
    <row r="1846" spans="1:2" x14ac:dyDescent="0.2">
      <c r="A1846" s="68" t="s">
        <v>3715</v>
      </c>
      <c r="B1846" s="67" t="s">
        <v>5293</v>
      </c>
    </row>
    <row r="1847" spans="1:2" x14ac:dyDescent="0.2">
      <c r="A1847" s="68" t="s">
        <v>3714</v>
      </c>
      <c r="B1847" s="67" t="s">
        <v>5292</v>
      </c>
    </row>
    <row r="1848" spans="1:2" x14ac:dyDescent="0.2">
      <c r="A1848" s="68" t="s">
        <v>3713</v>
      </c>
      <c r="B1848" s="67" t="s">
        <v>5291</v>
      </c>
    </row>
    <row r="1849" spans="1:2" x14ac:dyDescent="0.2">
      <c r="A1849" s="68" t="s">
        <v>3712</v>
      </c>
      <c r="B1849" s="67" t="s">
        <v>5290</v>
      </c>
    </row>
    <row r="1850" spans="1:2" x14ac:dyDescent="0.2">
      <c r="A1850" s="68" t="s">
        <v>3711</v>
      </c>
      <c r="B1850" s="67" t="s">
        <v>5289</v>
      </c>
    </row>
    <row r="1851" spans="1:2" x14ac:dyDescent="0.2">
      <c r="A1851" s="68" t="s">
        <v>3710</v>
      </c>
      <c r="B1851" s="67" t="s">
        <v>5288</v>
      </c>
    </row>
    <row r="1852" spans="1:2" x14ac:dyDescent="0.2">
      <c r="A1852" s="68" t="s">
        <v>3709</v>
      </c>
      <c r="B1852" s="67" t="s">
        <v>5287</v>
      </c>
    </row>
    <row r="1853" spans="1:2" x14ac:dyDescent="0.2">
      <c r="A1853" s="68" t="s">
        <v>3708</v>
      </c>
      <c r="B1853" s="67" t="s">
        <v>5286</v>
      </c>
    </row>
    <row r="1854" spans="1:2" x14ac:dyDescent="0.2">
      <c r="A1854" s="68" t="s">
        <v>3707</v>
      </c>
      <c r="B1854" s="67" t="s">
        <v>5285</v>
      </c>
    </row>
    <row r="1855" spans="1:2" x14ac:dyDescent="0.2">
      <c r="A1855" s="68" t="s">
        <v>3706</v>
      </c>
      <c r="B1855" s="67" t="s">
        <v>5284</v>
      </c>
    </row>
    <row r="1856" spans="1:2" x14ac:dyDescent="0.2">
      <c r="A1856" s="68" t="s">
        <v>3705</v>
      </c>
      <c r="B1856" s="67" t="s">
        <v>5283</v>
      </c>
    </row>
    <row r="1857" spans="1:2" x14ac:dyDescent="0.2">
      <c r="A1857" s="68" t="s">
        <v>3704</v>
      </c>
      <c r="B1857" s="67" t="s">
        <v>5282</v>
      </c>
    </row>
    <row r="1858" spans="1:2" x14ac:dyDescent="0.2">
      <c r="A1858" s="68" t="s">
        <v>3703</v>
      </c>
      <c r="B1858" s="67" t="s">
        <v>5281</v>
      </c>
    </row>
    <row r="1859" spans="1:2" x14ac:dyDescent="0.2">
      <c r="A1859" s="68" t="s">
        <v>3702</v>
      </c>
      <c r="B1859" s="67" t="s">
        <v>5280</v>
      </c>
    </row>
    <row r="1860" spans="1:2" x14ac:dyDescent="0.2">
      <c r="A1860" s="68" t="s">
        <v>3701</v>
      </c>
      <c r="B1860" s="67" t="s">
        <v>5279</v>
      </c>
    </row>
    <row r="1861" spans="1:2" x14ac:dyDescent="0.2">
      <c r="A1861" s="68" t="s">
        <v>3700</v>
      </c>
      <c r="B1861" s="67" t="s">
        <v>5278</v>
      </c>
    </row>
    <row r="1862" spans="1:2" x14ac:dyDescent="0.2">
      <c r="A1862" s="68" t="s">
        <v>3699</v>
      </c>
      <c r="B1862" s="67" t="s">
        <v>5277</v>
      </c>
    </row>
    <row r="1863" spans="1:2" x14ac:dyDescent="0.2">
      <c r="A1863" s="68" t="s">
        <v>3698</v>
      </c>
      <c r="B1863" s="67" t="s">
        <v>5276</v>
      </c>
    </row>
    <row r="1864" spans="1:2" x14ac:dyDescent="0.2">
      <c r="A1864" s="68" t="s">
        <v>3697</v>
      </c>
      <c r="B1864" s="67" t="s">
        <v>5275</v>
      </c>
    </row>
    <row r="1865" spans="1:2" x14ac:dyDescent="0.2">
      <c r="A1865" s="68" t="s">
        <v>3696</v>
      </c>
      <c r="B1865" s="67" t="s">
        <v>5274</v>
      </c>
    </row>
    <row r="1866" spans="1:2" x14ac:dyDescent="0.2">
      <c r="A1866" s="68" t="s">
        <v>3695</v>
      </c>
      <c r="B1866" s="67" t="s">
        <v>5273</v>
      </c>
    </row>
    <row r="1867" spans="1:2" x14ac:dyDescent="0.2">
      <c r="A1867" s="68" t="s">
        <v>3694</v>
      </c>
      <c r="B1867" s="67" t="s">
        <v>5272</v>
      </c>
    </row>
    <row r="1868" spans="1:2" x14ac:dyDescent="0.2">
      <c r="A1868" s="68" t="s">
        <v>3693</v>
      </c>
      <c r="B1868" s="67" t="s">
        <v>5271</v>
      </c>
    </row>
    <row r="1869" spans="1:2" x14ac:dyDescent="0.2">
      <c r="A1869" s="68" t="s">
        <v>3692</v>
      </c>
      <c r="B1869" s="67" t="s">
        <v>5270</v>
      </c>
    </row>
    <row r="1870" spans="1:2" x14ac:dyDescent="0.2">
      <c r="A1870" s="68" t="s">
        <v>3691</v>
      </c>
      <c r="B1870" s="67" t="s">
        <v>5269</v>
      </c>
    </row>
    <row r="1871" spans="1:2" x14ac:dyDescent="0.2">
      <c r="A1871" s="68" t="s">
        <v>3690</v>
      </c>
      <c r="B1871" s="67" t="s">
        <v>5268</v>
      </c>
    </row>
    <row r="1872" spans="1:2" x14ac:dyDescent="0.2">
      <c r="A1872" s="68" t="s">
        <v>3689</v>
      </c>
      <c r="B1872" s="67" t="s">
        <v>5267</v>
      </c>
    </row>
    <row r="1873" spans="1:2" x14ac:dyDescent="0.2">
      <c r="A1873" s="68" t="s">
        <v>3688</v>
      </c>
      <c r="B1873" s="67" t="s">
        <v>5266</v>
      </c>
    </row>
    <row r="1874" spans="1:2" x14ac:dyDescent="0.2">
      <c r="A1874" s="68" t="s">
        <v>3687</v>
      </c>
      <c r="B1874" s="67" t="s">
        <v>5265</v>
      </c>
    </row>
    <row r="1875" spans="1:2" x14ac:dyDescent="0.2">
      <c r="A1875" s="68" t="s">
        <v>3686</v>
      </c>
      <c r="B1875" s="67" t="s">
        <v>5264</v>
      </c>
    </row>
    <row r="1876" spans="1:2" x14ac:dyDescent="0.2">
      <c r="A1876" s="68" t="s">
        <v>3685</v>
      </c>
      <c r="B1876" s="67" t="s">
        <v>5263</v>
      </c>
    </row>
    <row r="1877" spans="1:2" x14ac:dyDescent="0.2">
      <c r="A1877" s="68" t="s">
        <v>3684</v>
      </c>
      <c r="B1877" s="67" t="s">
        <v>5262</v>
      </c>
    </row>
    <row r="1878" spans="1:2" x14ac:dyDescent="0.2">
      <c r="A1878" s="68" t="s">
        <v>3683</v>
      </c>
      <c r="B1878" s="67" t="s">
        <v>5261</v>
      </c>
    </row>
    <row r="1879" spans="1:2" x14ac:dyDescent="0.2">
      <c r="A1879" s="68" t="s">
        <v>3682</v>
      </c>
      <c r="B1879" s="67" t="s">
        <v>5260</v>
      </c>
    </row>
    <row r="1880" spans="1:2" x14ac:dyDescent="0.2">
      <c r="A1880" s="68" t="s">
        <v>3681</v>
      </c>
      <c r="B1880" s="67" t="s">
        <v>5259</v>
      </c>
    </row>
    <row r="1881" spans="1:2" x14ac:dyDescent="0.2">
      <c r="A1881" s="68" t="s">
        <v>3680</v>
      </c>
      <c r="B1881" s="67" t="s">
        <v>5258</v>
      </c>
    </row>
    <row r="1882" spans="1:2" x14ac:dyDescent="0.2">
      <c r="A1882" s="68" t="s">
        <v>3679</v>
      </c>
      <c r="B1882" s="67" t="s">
        <v>5257</v>
      </c>
    </row>
    <row r="1883" spans="1:2" x14ac:dyDescent="0.2">
      <c r="A1883" s="68" t="s">
        <v>3678</v>
      </c>
      <c r="B1883" s="67" t="s">
        <v>5256</v>
      </c>
    </row>
    <row r="1884" spans="1:2" x14ac:dyDescent="0.2">
      <c r="A1884" s="68" t="s">
        <v>3677</v>
      </c>
      <c r="B1884" s="67" t="s">
        <v>5255</v>
      </c>
    </row>
    <row r="1885" spans="1:2" x14ac:dyDescent="0.2">
      <c r="A1885" s="68" t="s">
        <v>3676</v>
      </c>
      <c r="B1885" s="67" t="s">
        <v>5254</v>
      </c>
    </row>
    <row r="1886" spans="1:2" x14ac:dyDescent="0.2">
      <c r="A1886" s="68" t="s">
        <v>3675</v>
      </c>
      <c r="B1886" s="67" t="s">
        <v>5253</v>
      </c>
    </row>
    <row r="1887" spans="1:2" x14ac:dyDescent="0.2">
      <c r="A1887" s="68" t="s">
        <v>3674</v>
      </c>
      <c r="B1887" s="67" t="s">
        <v>5252</v>
      </c>
    </row>
    <row r="1888" spans="1:2" x14ac:dyDescent="0.2">
      <c r="A1888" s="68" t="s">
        <v>3673</v>
      </c>
      <c r="B1888" s="67" t="s">
        <v>5251</v>
      </c>
    </row>
    <row r="1889" spans="1:2" x14ac:dyDescent="0.2">
      <c r="A1889" s="68" t="s">
        <v>3672</v>
      </c>
      <c r="B1889" s="67" t="s">
        <v>5250</v>
      </c>
    </row>
    <row r="1890" spans="1:2" x14ac:dyDescent="0.2">
      <c r="A1890" s="68" t="s">
        <v>3671</v>
      </c>
      <c r="B1890" s="67" t="s">
        <v>5249</v>
      </c>
    </row>
    <row r="1891" spans="1:2" x14ac:dyDescent="0.2">
      <c r="A1891" s="68" t="s">
        <v>3670</v>
      </c>
      <c r="B1891" s="67" t="s">
        <v>5248</v>
      </c>
    </row>
    <row r="1892" spans="1:2" x14ac:dyDescent="0.2">
      <c r="A1892" s="68" t="s">
        <v>3669</v>
      </c>
      <c r="B1892" s="67" t="s">
        <v>5247</v>
      </c>
    </row>
    <row r="1893" spans="1:2" x14ac:dyDescent="0.2">
      <c r="A1893" s="68" t="s">
        <v>3668</v>
      </c>
      <c r="B1893" s="67" t="s">
        <v>5246</v>
      </c>
    </row>
    <row r="1894" spans="1:2" x14ac:dyDescent="0.2">
      <c r="A1894" s="68" t="s">
        <v>3667</v>
      </c>
      <c r="B1894" s="67" t="s">
        <v>5245</v>
      </c>
    </row>
    <row r="1895" spans="1:2" x14ac:dyDescent="0.2">
      <c r="A1895" s="68" t="s">
        <v>3666</v>
      </c>
      <c r="B1895" s="67" t="s">
        <v>5244</v>
      </c>
    </row>
    <row r="1896" spans="1:2" x14ac:dyDescent="0.2">
      <c r="A1896" s="68" t="s">
        <v>3665</v>
      </c>
      <c r="B1896" s="67" t="s">
        <v>5243</v>
      </c>
    </row>
    <row r="1897" spans="1:2" x14ac:dyDescent="0.2">
      <c r="A1897" s="68" t="s">
        <v>3664</v>
      </c>
      <c r="B1897" s="67" t="s">
        <v>5242</v>
      </c>
    </row>
    <row r="1898" spans="1:2" x14ac:dyDescent="0.2">
      <c r="A1898" s="68" t="s">
        <v>3663</v>
      </c>
      <c r="B1898" s="67" t="s">
        <v>5241</v>
      </c>
    </row>
    <row r="1899" spans="1:2" x14ac:dyDescent="0.2">
      <c r="A1899" s="68" t="s">
        <v>3662</v>
      </c>
      <c r="B1899" s="67" t="s">
        <v>5240</v>
      </c>
    </row>
    <row r="1900" spans="1:2" x14ac:dyDescent="0.2">
      <c r="A1900" s="68" t="s">
        <v>3661</v>
      </c>
      <c r="B1900" s="67" t="s">
        <v>5239</v>
      </c>
    </row>
    <row r="1901" spans="1:2" x14ac:dyDescent="0.2">
      <c r="A1901" s="68" t="s">
        <v>3660</v>
      </c>
      <c r="B1901" s="67" t="s">
        <v>5238</v>
      </c>
    </row>
    <row r="1902" spans="1:2" x14ac:dyDescent="0.2">
      <c r="A1902" s="68" t="s">
        <v>3659</v>
      </c>
      <c r="B1902" s="67" t="s">
        <v>5237</v>
      </c>
    </row>
    <row r="1903" spans="1:2" x14ac:dyDescent="0.2">
      <c r="A1903" s="68" t="s">
        <v>3658</v>
      </c>
      <c r="B1903" s="67" t="s">
        <v>5236</v>
      </c>
    </row>
    <row r="1904" spans="1:2" x14ac:dyDescent="0.2">
      <c r="A1904" s="68" t="s">
        <v>3657</v>
      </c>
      <c r="B1904" s="67"/>
    </row>
    <row r="1905" spans="1:2" x14ac:dyDescent="0.2">
      <c r="A1905" s="68" t="s">
        <v>3656</v>
      </c>
      <c r="B1905" s="67" t="s">
        <v>5235</v>
      </c>
    </row>
    <row r="1906" spans="1:2" x14ac:dyDescent="0.2">
      <c r="A1906" s="68" t="s">
        <v>3655</v>
      </c>
      <c r="B1906" s="67" t="s">
        <v>5234</v>
      </c>
    </row>
    <row r="1907" spans="1:2" x14ac:dyDescent="0.2">
      <c r="A1907" s="68" t="s">
        <v>3654</v>
      </c>
      <c r="B1907" s="67" t="s">
        <v>5233</v>
      </c>
    </row>
    <row r="1908" spans="1:2" x14ac:dyDescent="0.2">
      <c r="A1908" s="68" t="s">
        <v>3653</v>
      </c>
      <c r="B1908" s="67" t="s">
        <v>5232</v>
      </c>
    </row>
    <row r="1909" spans="1:2" x14ac:dyDescent="0.2">
      <c r="A1909" s="68" t="s">
        <v>3652</v>
      </c>
      <c r="B1909" s="67" t="s">
        <v>5231</v>
      </c>
    </row>
    <row r="1910" spans="1:2" x14ac:dyDescent="0.2">
      <c r="A1910" s="68" t="s">
        <v>3651</v>
      </c>
      <c r="B1910" s="67" t="s">
        <v>5230</v>
      </c>
    </row>
    <row r="1911" spans="1:2" x14ac:dyDescent="0.2">
      <c r="A1911" s="68" t="s">
        <v>3650</v>
      </c>
      <c r="B1911" s="67" t="s">
        <v>5229</v>
      </c>
    </row>
    <row r="1912" spans="1:2" x14ac:dyDescent="0.2">
      <c r="A1912" s="68" t="s">
        <v>3649</v>
      </c>
      <c r="B1912" s="67" t="s">
        <v>5228</v>
      </c>
    </row>
    <row r="1913" spans="1:2" x14ac:dyDescent="0.2">
      <c r="A1913" s="68" t="s">
        <v>3648</v>
      </c>
      <c r="B1913" s="67" t="s">
        <v>5227</v>
      </c>
    </row>
    <row r="1914" spans="1:2" x14ac:dyDescent="0.2">
      <c r="A1914" s="68" t="s">
        <v>3647</v>
      </c>
      <c r="B1914" s="67" t="s">
        <v>5226</v>
      </c>
    </row>
    <row r="1915" spans="1:2" x14ac:dyDescent="0.2">
      <c r="A1915" s="68" t="s">
        <v>3646</v>
      </c>
      <c r="B1915" s="67" t="s">
        <v>5225</v>
      </c>
    </row>
    <row r="1916" spans="1:2" x14ac:dyDescent="0.2">
      <c r="A1916" s="68" t="s">
        <v>3645</v>
      </c>
      <c r="B1916" s="67" t="s">
        <v>5224</v>
      </c>
    </row>
    <row r="1917" spans="1:2" x14ac:dyDescent="0.2">
      <c r="A1917" s="68" t="s">
        <v>3644</v>
      </c>
      <c r="B1917" s="67" t="s">
        <v>5223</v>
      </c>
    </row>
    <row r="1918" spans="1:2" x14ac:dyDescent="0.2">
      <c r="A1918" s="68" t="s">
        <v>3643</v>
      </c>
      <c r="B1918" s="67" t="s">
        <v>5222</v>
      </c>
    </row>
    <row r="1919" spans="1:2" x14ac:dyDescent="0.2">
      <c r="A1919" s="68" t="s">
        <v>3642</v>
      </c>
      <c r="B1919" s="67" t="s">
        <v>5221</v>
      </c>
    </row>
    <row r="1920" spans="1:2" x14ac:dyDescent="0.2">
      <c r="A1920" s="68" t="s">
        <v>3641</v>
      </c>
      <c r="B1920" s="67" t="s">
        <v>5220</v>
      </c>
    </row>
    <row r="1921" spans="1:2" x14ac:dyDescent="0.2">
      <c r="A1921" s="68" t="s">
        <v>3640</v>
      </c>
      <c r="B1921" s="67" t="s">
        <v>5219</v>
      </c>
    </row>
    <row r="1922" spans="1:2" x14ac:dyDescent="0.2">
      <c r="A1922" s="68" t="s">
        <v>3639</v>
      </c>
      <c r="B1922" s="67" t="s">
        <v>5218</v>
      </c>
    </row>
    <row r="1923" spans="1:2" x14ac:dyDescent="0.2">
      <c r="A1923" s="68" t="s">
        <v>3638</v>
      </c>
      <c r="B1923" s="67" t="s">
        <v>5217</v>
      </c>
    </row>
    <row r="1924" spans="1:2" x14ac:dyDescent="0.2">
      <c r="A1924" s="68" t="s">
        <v>3637</v>
      </c>
      <c r="B1924" s="67" t="s">
        <v>5216</v>
      </c>
    </row>
    <row r="1925" spans="1:2" x14ac:dyDescent="0.2">
      <c r="A1925" s="68" t="s">
        <v>3636</v>
      </c>
      <c r="B1925" s="67" t="s">
        <v>5215</v>
      </c>
    </row>
    <row r="1926" spans="1:2" x14ac:dyDescent="0.2">
      <c r="A1926" s="68" t="s">
        <v>3635</v>
      </c>
      <c r="B1926" s="67" t="s">
        <v>5214</v>
      </c>
    </row>
    <row r="1927" spans="1:2" x14ac:dyDescent="0.2">
      <c r="A1927" s="68" t="s">
        <v>3634</v>
      </c>
      <c r="B1927" s="67" t="s">
        <v>5213</v>
      </c>
    </row>
    <row r="1928" spans="1:2" x14ac:dyDescent="0.2">
      <c r="A1928" s="68" t="s">
        <v>3633</v>
      </c>
      <c r="B1928" s="67" t="s">
        <v>5212</v>
      </c>
    </row>
    <row r="1929" spans="1:2" x14ac:dyDescent="0.2">
      <c r="A1929" s="68" t="s">
        <v>3632</v>
      </c>
      <c r="B1929" s="67" t="s">
        <v>5211</v>
      </c>
    </row>
    <row r="1930" spans="1:2" x14ac:dyDescent="0.2">
      <c r="A1930" s="68" t="s">
        <v>3631</v>
      </c>
      <c r="B1930" s="67" t="s">
        <v>5210</v>
      </c>
    </row>
    <row r="1931" spans="1:2" x14ac:dyDescent="0.2">
      <c r="A1931" s="68" t="s">
        <v>3630</v>
      </c>
      <c r="B1931" s="67" t="s">
        <v>5209</v>
      </c>
    </row>
    <row r="1932" spans="1:2" x14ac:dyDescent="0.2">
      <c r="A1932" s="68" t="s">
        <v>3629</v>
      </c>
      <c r="B1932" s="67" t="s">
        <v>5208</v>
      </c>
    </row>
    <row r="1933" spans="1:2" x14ac:dyDescent="0.2">
      <c r="A1933" s="68" t="s">
        <v>3628</v>
      </c>
      <c r="B1933" s="67" t="s">
        <v>5207</v>
      </c>
    </row>
    <row r="1934" spans="1:2" x14ac:dyDescent="0.2">
      <c r="A1934" s="68" t="s">
        <v>3627</v>
      </c>
      <c r="B1934" s="67" t="s">
        <v>5206</v>
      </c>
    </row>
    <row r="1935" spans="1:2" x14ac:dyDescent="0.2">
      <c r="A1935" s="68" t="s">
        <v>3626</v>
      </c>
      <c r="B1935" s="67" t="s">
        <v>5205</v>
      </c>
    </row>
    <row r="1936" spans="1:2" x14ac:dyDescent="0.2">
      <c r="A1936" s="68" t="s">
        <v>3625</v>
      </c>
      <c r="B1936" s="67" t="s">
        <v>5204</v>
      </c>
    </row>
    <row r="1937" spans="1:2" x14ac:dyDescent="0.2">
      <c r="A1937" s="68" t="s">
        <v>3624</v>
      </c>
      <c r="B1937" s="67" t="s">
        <v>5203</v>
      </c>
    </row>
    <row r="1938" spans="1:2" x14ac:dyDescent="0.2">
      <c r="A1938" s="68" t="s">
        <v>3623</v>
      </c>
      <c r="B1938" s="67" t="s">
        <v>5202</v>
      </c>
    </row>
    <row r="1939" spans="1:2" x14ac:dyDescent="0.2">
      <c r="A1939" s="68" t="s">
        <v>3622</v>
      </c>
      <c r="B1939" s="67" t="s">
        <v>5201</v>
      </c>
    </row>
    <row r="1940" spans="1:2" x14ac:dyDescent="0.2">
      <c r="A1940" s="68" t="s">
        <v>3621</v>
      </c>
      <c r="B1940" s="67" t="s">
        <v>5200</v>
      </c>
    </row>
    <row r="1941" spans="1:2" x14ac:dyDescent="0.2">
      <c r="A1941" s="68" t="s">
        <v>3620</v>
      </c>
      <c r="B1941" s="67" t="s">
        <v>5199</v>
      </c>
    </row>
    <row r="1942" spans="1:2" x14ac:dyDescent="0.2">
      <c r="A1942" s="68" t="s">
        <v>3619</v>
      </c>
      <c r="B1942" s="67" t="s">
        <v>5198</v>
      </c>
    </row>
    <row r="1943" spans="1:2" x14ac:dyDescent="0.2">
      <c r="A1943" s="68" t="s">
        <v>3618</v>
      </c>
      <c r="B1943" s="67" t="s">
        <v>5197</v>
      </c>
    </row>
    <row r="1944" spans="1:2" x14ac:dyDescent="0.2">
      <c r="A1944" s="68" t="s">
        <v>3617</v>
      </c>
      <c r="B1944" s="67" t="s">
        <v>5196</v>
      </c>
    </row>
    <row r="1945" spans="1:2" x14ac:dyDescent="0.2">
      <c r="A1945" s="68" t="s">
        <v>3616</v>
      </c>
      <c r="B1945" s="67" t="s">
        <v>5195</v>
      </c>
    </row>
    <row r="1946" spans="1:2" x14ac:dyDescent="0.2">
      <c r="A1946" s="68" t="s">
        <v>3615</v>
      </c>
      <c r="B1946" s="67" t="s">
        <v>5194</v>
      </c>
    </row>
    <row r="1947" spans="1:2" x14ac:dyDescent="0.2">
      <c r="A1947" s="68" t="s">
        <v>3614</v>
      </c>
      <c r="B1947" s="67" t="s">
        <v>5193</v>
      </c>
    </row>
    <row r="1948" spans="1:2" x14ac:dyDescent="0.2">
      <c r="A1948" s="68" t="s">
        <v>3613</v>
      </c>
      <c r="B1948" s="67" t="s">
        <v>5192</v>
      </c>
    </row>
    <row r="1949" spans="1:2" x14ac:dyDescent="0.2">
      <c r="A1949" s="68" t="s">
        <v>3612</v>
      </c>
      <c r="B1949" s="67" t="s">
        <v>5191</v>
      </c>
    </row>
    <row r="1950" spans="1:2" x14ac:dyDescent="0.2">
      <c r="A1950" s="68" t="s">
        <v>3611</v>
      </c>
      <c r="B1950" s="67" t="s">
        <v>5190</v>
      </c>
    </row>
    <row r="1951" spans="1:2" x14ac:dyDescent="0.2">
      <c r="A1951" s="68" t="s">
        <v>3610</v>
      </c>
      <c r="B1951" s="67" t="s">
        <v>5189</v>
      </c>
    </row>
    <row r="1952" spans="1:2" x14ac:dyDescent="0.2">
      <c r="A1952" s="68" t="s">
        <v>3609</v>
      </c>
      <c r="B1952" s="67" t="s">
        <v>5188</v>
      </c>
    </row>
    <row r="1953" spans="1:2" x14ac:dyDescent="0.2">
      <c r="A1953" s="68" t="s">
        <v>3608</v>
      </c>
      <c r="B1953" s="67" t="s">
        <v>5187</v>
      </c>
    </row>
    <row r="1954" spans="1:2" x14ac:dyDescent="0.2">
      <c r="A1954" s="68" t="s">
        <v>3607</v>
      </c>
      <c r="B1954" s="67" t="s">
        <v>5186</v>
      </c>
    </row>
    <row r="1955" spans="1:2" x14ac:dyDescent="0.2">
      <c r="A1955" s="68" t="s">
        <v>3606</v>
      </c>
      <c r="B1955" s="67" t="s">
        <v>5185</v>
      </c>
    </row>
    <row r="1956" spans="1:2" x14ac:dyDescent="0.2">
      <c r="A1956" s="68" t="s">
        <v>3605</v>
      </c>
      <c r="B1956" s="67" t="s">
        <v>5184</v>
      </c>
    </row>
    <row r="1957" spans="1:2" x14ac:dyDescent="0.2">
      <c r="A1957" s="68" t="s">
        <v>3604</v>
      </c>
      <c r="B1957" s="67" t="s">
        <v>5183</v>
      </c>
    </row>
    <row r="1958" spans="1:2" x14ac:dyDescent="0.2">
      <c r="A1958" s="68" t="s">
        <v>3603</v>
      </c>
      <c r="B1958" s="67" t="s">
        <v>5182</v>
      </c>
    </row>
    <row r="1959" spans="1:2" x14ac:dyDescent="0.2">
      <c r="A1959" s="68" t="s">
        <v>3602</v>
      </c>
      <c r="B1959" s="67" t="s">
        <v>5181</v>
      </c>
    </row>
    <row r="1960" spans="1:2" x14ac:dyDescent="0.2">
      <c r="A1960" s="68" t="s">
        <v>3601</v>
      </c>
      <c r="B1960" s="67" t="s">
        <v>5180</v>
      </c>
    </row>
    <row r="1961" spans="1:2" x14ac:dyDescent="0.2">
      <c r="A1961" s="68" t="s">
        <v>3600</v>
      </c>
      <c r="B1961" s="67" t="s">
        <v>5179</v>
      </c>
    </row>
    <row r="1962" spans="1:2" x14ac:dyDescent="0.2">
      <c r="A1962" s="68" t="s">
        <v>3599</v>
      </c>
      <c r="B1962" s="67" t="s">
        <v>5178</v>
      </c>
    </row>
    <row r="1963" spans="1:2" x14ac:dyDescent="0.2">
      <c r="A1963" s="68" t="s">
        <v>3598</v>
      </c>
      <c r="B1963" s="67" t="s">
        <v>5177</v>
      </c>
    </row>
    <row r="1964" spans="1:2" x14ac:dyDescent="0.2">
      <c r="A1964" s="68" t="s">
        <v>3597</v>
      </c>
      <c r="B1964" s="67" t="s">
        <v>5176</v>
      </c>
    </row>
    <row r="1965" spans="1:2" x14ac:dyDescent="0.2">
      <c r="A1965" s="68" t="s">
        <v>3596</v>
      </c>
      <c r="B1965" s="67" t="s">
        <v>5175</v>
      </c>
    </row>
    <row r="1966" spans="1:2" x14ac:dyDescent="0.2">
      <c r="A1966" s="68" t="s">
        <v>3595</v>
      </c>
      <c r="B1966" s="67" t="s">
        <v>5174</v>
      </c>
    </row>
    <row r="1967" spans="1:2" x14ac:dyDescent="0.2">
      <c r="A1967" s="68" t="s">
        <v>3594</v>
      </c>
      <c r="B1967" s="67" t="s">
        <v>5173</v>
      </c>
    </row>
    <row r="1968" spans="1:2" x14ac:dyDescent="0.2">
      <c r="A1968" s="68" t="s">
        <v>3593</v>
      </c>
      <c r="B1968" s="67" t="s">
        <v>5172</v>
      </c>
    </row>
    <row r="1969" spans="1:2" x14ac:dyDescent="0.2">
      <c r="A1969" s="68" t="s">
        <v>3592</v>
      </c>
      <c r="B1969" s="67" t="s">
        <v>5171</v>
      </c>
    </row>
    <row r="1970" spans="1:2" x14ac:dyDescent="0.2">
      <c r="A1970" s="68" t="s">
        <v>3591</v>
      </c>
      <c r="B1970" s="67" t="s">
        <v>5170</v>
      </c>
    </row>
    <row r="1971" spans="1:2" x14ac:dyDescent="0.2">
      <c r="A1971" s="68" t="s">
        <v>3590</v>
      </c>
      <c r="B1971" s="67" t="s">
        <v>5169</v>
      </c>
    </row>
    <row r="1972" spans="1:2" x14ac:dyDescent="0.2">
      <c r="A1972" s="68" t="s">
        <v>3589</v>
      </c>
      <c r="B1972" s="67" t="s">
        <v>5168</v>
      </c>
    </row>
    <row r="1973" spans="1:2" x14ac:dyDescent="0.2">
      <c r="A1973" s="68" t="s">
        <v>3588</v>
      </c>
      <c r="B1973" s="67" t="s">
        <v>5167</v>
      </c>
    </row>
    <row r="1974" spans="1:2" x14ac:dyDescent="0.2">
      <c r="A1974" s="68" t="s">
        <v>3587</v>
      </c>
      <c r="B1974" s="67" t="s">
        <v>5166</v>
      </c>
    </row>
    <row r="1975" spans="1:2" x14ac:dyDescent="0.2">
      <c r="A1975" s="68" t="s">
        <v>3586</v>
      </c>
      <c r="B1975" s="67" t="s">
        <v>5165</v>
      </c>
    </row>
    <row r="1976" spans="1:2" x14ac:dyDescent="0.2">
      <c r="A1976" s="68" t="s">
        <v>3585</v>
      </c>
      <c r="B1976" s="67" t="s">
        <v>5164</v>
      </c>
    </row>
    <row r="1977" spans="1:2" x14ac:dyDescent="0.2">
      <c r="A1977" s="68" t="s">
        <v>3584</v>
      </c>
      <c r="B1977" s="67" t="s">
        <v>5163</v>
      </c>
    </row>
    <row r="1978" spans="1:2" x14ac:dyDescent="0.2">
      <c r="A1978" s="68" t="s">
        <v>3583</v>
      </c>
      <c r="B1978" s="67" t="s">
        <v>5162</v>
      </c>
    </row>
    <row r="1979" spans="1:2" x14ac:dyDescent="0.2">
      <c r="A1979" s="68" t="s">
        <v>3582</v>
      </c>
      <c r="B1979" s="67" t="s">
        <v>5161</v>
      </c>
    </row>
    <row r="1980" spans="1:2" x14ac:dyDescent="0.2">
      <c r="A1980" s="68" t="s">
        <v>3581</v>
      </c>
      <c r="B1980" s="67" t="s">
        <v>5160</v>
      </c>
    </row>
    <row r="1981" spans="1:2" x14ac:dyDescent="0.2">
      <c r="A1981" s="68" t="s">
        <v>3580</v>
      </c>
      <c r="B1981" s="67" t="s">
        <v>5159</v>
      </c>
    </row>
    <row r="1982" spans="1:2" x14ac:dyDescent="0.2">
      <c r="A1982" s="68" t="s">
        <v>3579</v>
      </c>
      <c r="B1982" s="67" t="s">
        <v>5158</v>
      </c>
    </row>
    <row r="1983" spans="1:2" x14ac:dyDescent="0.2">
      <c r="A1983" s="68" t="s">
        <v>3578</v>
      </c>
      <c r="B1983" s="67" t="s">
        <v>5157</v>
      </c>
    </row>
    <row r="1984" spans="1:2" x14ac:dyDescent="0.2">
      <c r="A1984" s="68" t="s">
        <v>3577</v>
      </c>
      <c r="B1984" s="67" t="s">
        <v>5156</v>
      </c>
    </row>
    <row r="1985" spans="1:2" x14ac:dyDescent="0.2">
      <c r="A1985" s="68" t="s">
        <v>3576</v>
      </c>
      <c r="B1985" s="67" t="s">
        <v>5155</v>
      </c>
    </row>
    <row r="1986" spans="1:2" x14ac:dyDescent="0.2">
      <c r="A1986" s="68" t="s">
        <v>3575</v>
      </c>
      <c r="B1986" s="67" t="s">
        <v>5154</v>
      </c>
    </row>
    <row r="1987" spans="1:2" x14ac:dyDescent="0.2">
      <c r="A1987" s="68" t="s">
        <v>3574</v>
      </c>
      <c r="B1987" s="67" t="s">
        <v>5153</v>
      </c>
    </row>
    <row r="1988" spans="1:2" x14ac:dyDescent="0.2">
      <c r="A1988" s="68" t="s">
        <v>3573</v>
      </c>
      <c r="B1988" s="67" t="s">
        <v>5152</v>
      </c>
    </row>
    <row r="1989" spans="1:2" x14ac:dyDescent="0.2">
      <c r="A1989" s="68" t="s">
        <v>3572</v>
      </c>
      <c r="B1989" s="67" t="s">
        <v>5151</v>
      </c>
    </row>
    <row r="1990" spans="1:2" x14ac:dyDescent="0.2">
      <c r="A1990" s="68" t="s">
        <v>3571</v>
      </c>
      <c r="B1990" s="67" t="s">
        <v>5150</v>
      </c>
    </row>
    <row r="1991" spans="1:2" x14ac:dyDescent="0.2">
      <c r="A1991" s="68" t="s">
        <v>3570</v>
      </c>
      <c r="B1991" s="67" t="s">
        <v>5149</v>
      </c>
    </row>
    <row r="1992" spans="1:2" x14ac:dyDescent="0.2">
      <c r="A1992" s="68" t="s">
        <v>3569</v>
      </c>
      <c r="B1992" s="67" t="s">
        <v>5148</v>
      </c>
    </row>
    <row r="1993" spans="1:2" x14ac:dyDescent="0.2">
      <c r="A1993" s="68" t="s">
        <v>3568</v>
      </c>
      <c r="B1993" s="67" t="s">
        <v>5147</v>
      </c>
    </row>
    <row r="1994" spans="1:2" x14ac:dyDescent="0.2">
      <c r="A1994" s="68" t="s">
        <v>3567</v>
      </c>
      <c r="B1994" s="67" t="s">
        <v>5146</v>
      </c>
    </row>
    <row r="1995" spans="1:2" x14ac:dyDescent="0.2">
      <c r="A1995" s="68" t="s">
        <v>3566</v>
      </c>
      <c r="B1995" s="67" t="s">
        <v>5145</v>
      </c>
    </row>
    <row r="1996" spans="1:2" x14ac:dyDescent="0.2">
      <c r="A1996" s="68" t="s">
        <v>3565</v>
      </c>
      <c r="B1996" s="67" t="s">
        <v>5144</v>
      </c>
    </row>
    <row r="1997" spans="1:2" x14ac:dyDescent="0.2">
      <c r="A1997" s="68" t="s">
        <v>3564</v>
      </c>
      <c r="B1997" s="67" t="s">
        <v>5143</v>
      </c>
    </row>
    <row r="1998" spans="1:2" x14ac:dyDescent="0.2">
      <c r="A1998" s="68" t="s">
        <v>3563</v>
      </c>
      <c r="B1998" s="67" t="s">
        <v>5142</v>
      </c>
    </row>
    <row r="1999" spans="1:2" x14ac:dyDescent="0.2">
      <c r="A1999" s="68" t="s">
        <v>3562</v>
      </c>
      <c r="B1999" s="67" t="s">
        <v>5141</v>
      </c>
    </row>
    <row r="2000" spans="1:2" x14ac:dyDescent="0.2">
      <c r="A2000" s="68" t="s">
        <v>3561</v>
      </c>
      <c r="B2000" s="67" t="s">
        <v>5140</v>
      </c>
    </row>
    <row r="2001" spans="1:2" x14ac:dyDescent="0.2">
      <c r="A2001" s="68" t="s">
        <v>3560</v>
      </c>
      <c r="B2001" s="67" t="s">
        <v>5139</v>
      </c>
    </row>
    <row r="2002" spans="1:2" x14ac:dyDescent="0.2">
      <c r="A2002" s="68" t="s">
        <v>3559</v>
      </c>
      <c r="B2002" s="67" t="s">
        <v>5138</v>
      </c>
    </row>
    <row r="2003" spans="1:2" x14ac:dyDescent="0.2">
      <c r="A2003" s="68" t="s">
        <v>3558</v>
      </c>
      <c r="B2003" s="67" t="s">
        <v>5137</v>
      </c>
    </row>
    <row r="2004" spans="1:2" x14ac:dyDescent="0.2">
      <c r="A2004" s="68" t="s">
        <v>3557</v>
      </c>
      <c r="B2004" s="67" t="s">
        <v>5136</v>
      </c>
    </row>
    <row r="2005" spans="1:2" x14ac:dyDescent="0.2">
      <c r="A2005" s="68" t="s">
        <v>3556</v>
      </c>
      <c r="B2005" s="67" t="s">
        <v>5135</v>
      </c>
    </row>
    <row r="2006" spans="1:2" x14ac:dyDescent="0.2">
      <c r="A2006" s="68" t="s">
        <v>3555</v>
      </c>
      <c r="B2006" s="67" t="s">
        <v>5134</v>
      </c>
    </row>
    <row r="2007" spans="1:2" x14ac:dyDescent="0.2">
      <c r="A2007" s="68" t="s">
        <v>3554</v>
      </c>
      <c r="B2007" s="67" t="s">
        <v>5133</v>
      </c>
    </row>
    <row r="2008" spans="1:2" x14ac:dyDescent="0.2">
      <c r="A2008" s="68" t="s">
        <v>3553</v>
      </c>
      <c r="B2008" s="67" t="s">
        <v>5132</v>
      </c>
    </row>
    <row r="2009" spans="1:2" x14ac:dyDescent="0.2">
      <c r="A2009" s="68" t="s">
        <v>3552</v>
      </c>
      <c r="B2009" s="67" t="s">
        <v>5131</v>
      </c>
    </row>
    <row r="2010" spans="1:2" x14ac:dyDescent="0.2">
      <c r="A2010" s="68" t="s">
        <v>3551</v>
      </c>
      <c r="B2010" s="67" t="s">
        <v>5130</v>
      </c>
    </row>
    <row r="2011" spans="1:2" x14ac:dyDescent="0.2">
      <c r="A2011" s="68" t="s">
        <v>3550</v>
      </c>
      <c r="B2011" s="67" t="s">
        <v>5129</v>
      </c>
    </row>
    <row r="2012" spans="1:2" x14ac:dyDescent="0.2">
      <c r="A2012" s="68" t="s">
        <v>3549</v>
      </c>
      <c r="B2012" s="67" t="s">
        <v>5128</v>
      </c>
    </row>
    <row r="2013" spans="1:2" x14ac:dyDescent="0.2">
      <c r="A2013" s="68" t="s">
        <v>3548</v>
      </c>
      <c r="B2013" s="67" t="s">
        <v>5127</v>
      </c>
    </row>
    <row r="2014" spans="1:2" x14ac:dyDescent="0.2">
      <c r="A2014" s="68" t="s">
        <v>3547</v>
      </c>
      <c r="B2014" s="67" t="s">
        <v>5126</v>
      </c>
    </row>
    <row r="2015" spans="1:2" x14ac:dyDescent="0.2">
      <c r="A2015" s="68" t="s">
        <v>3546</v>
      </c>
      <c r="B2015" s="67" t="s">
        <v>5125</v>
      </c>
    </row>
    <row r="2016" spans="1:2" x14ac:dyDescent="0.2">
      <c r="A2016" s="68" t="s">
        <v>3545</v>
      </c>
      <c r="B2016" s="67" t="s">
        <v>5124</v>
      </c>
    </row>
    <row r="2017" spans="1:2" x14ac:dyDescent="0.2">
      <c r="A2017" s="68" t="s">
        <v>3544</v>
      </c>
      <c r="B2017" s="67" t="s">
        <v>5123</v>
      </c>
    </row>
    <row r="2018" spans="1:2" x14ac:dyDescent="0.2">
      <c r="A2018" s="68" t="s">
        <v>3543</v>
      </c>
      <c r="B2018" s="67" t="s">
        <v>5122</v>
      </c>
    </row>
    <row r="2019" spans="1:2" x14ac:dyDescent="0.2">
      <c r="A2019" s="68" t="s">
        <v>3542</v>
      </c>
      <c r="B2019" s="67" t="s">
        <v>5121</v>
      </c>
    </row>
    <row r="2020" spans="1:2" x14ac:dyDescent="0.2">
      <c r="A2020" s="68" t="s">
        <v>3541</v>
      </c>
      <c r="B2020" s="67" t="s">
        <v>5120</v>
      </c>
    </row>
    <row r="2021" spans="1:2" x14ac:dyDescent="0.2">
      <c r="A2021" s="68" t="s">
        <v>3540</v>
      </c>
      <c r="B2021" s="67" t="s">
        <v>5119</v>
      </c>
    </row>
    <row r="2022" spans="1:2" x14ac:dyDescent="0.2">
      <c r="A2022" s="68" t="s">
        <v>3539</v>
      </c>
      <c r="B2022" s="67" t="s">
        <v>5118</v>
      </c>
    </row>
    <row r="2023" spans="1:2" x14ac:dyDescent="0.2">
      <c r="A2023" s="68" t="s">
        <v>3538</v>
      </c>
      <c r="B2023" s="67" t="s">
        <v>5117</v>
      </c>
    </row>
    <row r="2024" spans="1:2" x14ac:dyDescent="0.2">
      <c r="A2024" s="68" t="s">
        <v>3537</v>
      </c>
      <c r="B2024" s="67" t="s">
        <v>5116</v>
      </c>
    </row>
    <row r="2025" spans="1:2" x14ac:dyDescent="0.2">
      <c r="A2025" s="68" t="s">
        <v>3536</v>
      </c>
      <c r="B2025" s="67" t="s">
        <v>5115</v>
      </c>
    </row>
    <row r="2026" spans="1:2" x14ac:dyDescent="0.2">
      <c r="A2026" s="68" t="s">
        <v>3535</v>
      </c>
      <c r="B2026" s="67" t="s">
        <v>5114</v>
      </c>
    </row>
    <row r="2027" spans="1:2" x14ac:dyDescent="0.2">
      <c r="A2027" s="68" t="s">
        <v>3534</v>
      </c>
      <c r="B2027" s="67" t="s">
        <v>5113</v>
      </c>
    </row>
    <row r="2028" spans="1:2" x14ac:dyDescent="0.2">
      <c r="A2028" s="68" t="s">
        <v>3533</v>
      </c>
      <c r="B2028" s="67" t="s">
        <v>5112</v>
      </c>
    </row>
    <row r="2029" spans="1:2" x14ac:dyDescent="0.2">
      <c r="A2029" s="68" t="s">
        <v>3532</v>
      </c>
      <c r="B2029" s="67" t="s">
        <v>5111</v>
      </c>
    </row>
    <row r="2030" spans="1:2" x14ac:dyDescent="0.2">
      <c r="A2030" s="68" t="s">
        <v>3531</v>
      </c>
      <c r="B2030" s="67" t="s">
        <v>5110</v>
      </c>
    </row>
    <row r="2031" spans="1:2" x14ac:dyDescent="0.2">
      <c r="A2031" s="68" t="s">
        <v>3530</v>
      </c>
      <c r="B2031" s="67" t="s">
        <v>5109</v>
      </c>
    </row>
    <row r="2032" spans="1:2" x14ac:dyDescent="0.2">
      <c r="A2032" s="68" t="s">
        <v>3529</v>
      </c>
      <c r="B2032" s="67" t="s">
        <v>5108</v>
      </c>
    </row>
    <row r="2033" spans="1:2" x14ac:dyDescent="0.2">
      <c r="A2033" s="68" t="s">
        <v>3528</v>
      </c>
      <c r="B2033" s="67" t="s">
        <v>5107</v>
      </c>
    </row>
    <row r="2034" spans="1:2" x14ac:dyDescent="0.2">
      <c r="A2034" s="68" t="s">
        <v>3527</v>
      </c>
      <c r="B2034" s="67" t="s">
        <v>5106</v>
      </c>
    </row>
    <row r="2035" spans="1:2" x14ac:dyDescent="0.2">
      <c r="A2035" s="68" t="s">
        <v>3526</v>
      </c>
      <c r="B2035" s="67" t="s">
        <v>5105</v>
      </c>
    </row>
    <row r="2036" spans="1:2" x14ac:dyDescent="0.2">
      <c r="A2036" s="68" t="s">
        <v>3525</v>
      </c>
      <c r="B2036" s="67" t="s">
        <v>5104</v>
      </c>
    </row>
    <row r="2037" spans="1:2" x14ac:dyDescent="0.2">
      <c r="A2037" s="68" t="s">
        <v>3524</v>
      </c>
      <c r="B2037" s="67" t="s">
        <v>5103</v>
      </c>
    </row>
    <row r="2038" spans="1:2" x14ac:dyDescent="0.2">
      <c r="A2038" s="68" t="s">
        <v>3523</v>
      </c>
      <c r="B2038" s="67" t="s">
        <v>5102</v>
      </c>
    </row>
    <row r="2039" spans="1:2" x14ac:dyDescent="0.2">
      <c r="A2039" s="68" t="s">
        <v>3522</v>
      </c>
      <c r="B2039" s="67" t="s">
        <v>5101</v>
      </c>
    </row>
    <row r="2040" spans="1:2" x14ac:dyDescent="0.2">
      <c r="A2040" s="68" t="s">
        <v>3521</v>
      </c>
      <c r="B2040" s="67" t="s">
        <v>5100</v>
      </c>
    </row>
    <row r="2041" spans="1:2" x14ac:dyDescent="0.2">
      <c r="A2041" s="68" t="s">
        <v>3520</v>
      </c>
      <c r="B2041" s="67" t="s">
        <v>5099</v>
      </c>
    </row>
    <row r="2042" spans="1:2" x14ac:dyDescent="0.2">
      <c r="A2042" s="68" t="s">
        <v>3519</v>
      </c>
      <c r="B2042" s="67" t="s">
        <v>5098</v>
      </c>
    </row>
    <row r="2043" spans="1:2" x14ac:dyDescent="0.2">
      <c r="A2043" s="68" t="s">
        <v>3518</v>
      </c>
      <c r="B2043" s="67" t="s">
        <v>5097</v>
      </c>
    </row>
    <row r="2044" spans="1:2" x14ac:dyDescent="0.2">
      <c r="A2044" s="68" t="s">
        <v>3517</v>
      </c>
      <c r="B2044" s="67" t="s">
        <v>5096</v>
      </c>
    </row>
    <row r="2045" spans="1:2" x14ac:dyDescent="0.2">
      <c r="A2045" s="68" t="s">
        <v>3516</v>
      </c>
      <c r="B2045" s="67" t="s">
        <v>5095</v>
      </c>
    </row>
    <row r="2046" spans="1:2" x14ac:dyDescent="0.2">
      <c r="A2046" s="68" t="s">
        <v>3515</v>
      </c>
      <c r="B2046" s="67" t="s">
        <v>5094</v>
      </c>
    </row>
    <row r="2047" spans="1:2" x14ac:dyDescent="0.2">
      <c r="A2047" s="68" t="s">
        <v>3514</v>
      </c>
      <c r="B2047" s="67" t="s">
        <v>5093</v>
      </c>
    </row>
    <row r="2048" spans="1:2" x14ac:dyDescent="0.2">
      <c r="A2048" s="68" t="s">
        <v>3513</v>
      </c>
      <c r="B2048" s="67" t="s">
        <v>5092</v>
      </c>
    </row>
    <row r="2049" spans="1:2" x14ac:dyDescent="0.2">
      <c r="A2049" s="68" t="s">
        <v>3512</v>
      </c>
      <c r="B2049" s="67" t="s">
        <v>5091</v>
      </c>
    </row>
    <row r="2050" spans="1:2" x14ac:dyDescent="0.2">
      <c r="A2050" s="68" t="s">
        <v>3511</v>
      </c>
      <c r="B2050" s="67" t="s">
        <v>5090</v>
      </c>
    </row>
    <row r="2051" spans="1:2" x14ac:dyDescent="0.2">
      <c r="A2051" s="68" t="s">
        <v>3510</v>
      </c>
      <c r="B2051" s="67" t="s">
        <v>5089</v>
      </c>
    </row>
    <row r="2052" spans="1:2" x14ac:dyDescent="0.2">
      <c r="A2052" s="68" t="s">
        <v>3509</v>
      </c>
      <c r="B2052" s="67" t="s">
        <v>5088</v>
      </c>
    </row>
    <row r="2053" spans="1:2" x14ac:dyDescent="0.2">
      <c r="A2053" s="68" t="s">
        <v>3508</v>
      </c>
      <c r="B2053" s="67" t="s">
        <v>5087</v>
      </c>
    </row>
    <row r="2054" spans="1:2" x14ac:dyDescent="0.2">
      <c r="A2054" s="68" t="s">
        <v>3507</v>
      </c>
      <c r="B2054" s="67" t="s">
        <v>5086</v>
      </c>
    </row>
    <row r="2055" spans="1:2" x14ac:dyDescent="0.2">
      <c r="A2055" s="68" t="s">
        <v>3506</v>
      </c>
      <c r="B2055" s="67" t="s">
        <v>5085</v>
      </c>
    </row>
    <row r="2056" spans="1:2" x14ac:dyDescent="0.2">
      <c r="A2056" s="68" t="s">
        <v>3505</v>
      </c>
      <c r="B2056" s="67" t="s">
        <v>5084</v>
      </c>
    </row>
    <row r="2057" spans="1:2" x14ac:dyDescent="0.2">
      <c r="A2057" s="68" t="s">
        <v>3504</v>
      </c>
      <c r="B2057" s="67" t="s">
        <v>5083</v>
      </c>
    </row>
    <row r="2058" spans="1:2" x14ac:dyDescent="0.2">
      <c r="A2058" s="68" t="s">
        <v>3503</v>
      </c>
      <c r="B2058" s="67" t="s">
        <v>5082</v>
      </c>
    </row>
    <row r="2059" spans="1:2" x14ac:dyDescent="0.2">
      <c r="A2059" s="68" t="s">
        <v>3502</v>
      </c>
      <c r="B2059" s="67" t="s">
        <v>5081</v>
      </c>
    </row>
    <row r="2060" spans="1:2" x14ac:dyDescent="0.2">
      <c r="A2060" s="68" t="s">
        <v>3501</v>
      </c>
      <c r="B2060" s="67" t="s">
        <v>5080</v>
      </c>
    </row>
    <row r="2061" spans="1:2" x14ac:dyDescent="0.2">
      <c r="A2061" s="68" t="s">
        <v>3500</v>
      </c>
      <c r="B2061" s="67" t="s">
        <v>5079</v>
      </c>
    </row>
    <row r="2062" spans="1:2" x14ac:dyDescent="0.2">
      <c r="A2062" s="68" t="s">
        <v>3499</v>
      </c>
      <c r="B2062" s="67" t="s">
        <v>5078</v>
      </c>
    </row>
    <row r="2063" spans="1:2" x14ac:dyDescent="0.2">
      <c r="A2063" s="68" t="s">
        <v>3498</v>
      </c>
      <c r="B2063" s="67" t="s">
        <v>5077</v>
      </c>
    </row>
    <row r="2064" spans="1:2" x14ac:dyDescent="0.2">
      <c r="A2064" s="68" t="s">
        <v>3497</v>
      </c>
      <c r="B2064" s="67" t="s">
        <v>5076</v>
      </c>
    </row>
    <row r="2065" spans="1:2" x14ac:dyDescent="0.2">
      <c r="A2065" s="68" t="s">
        <v>3496</v>
      </c>
      <c r="B2065" s="67" t="s">
        <v>5075</v>
      </c>
    </row>
    <row r="2066" spans="1:2" x14ac:dyDescent="0.2">
      <c r="A2066" s="68" t="s">
        <v>3495</v>
      </c>
      <c r="B2066" s="67" t="s">
        <v>5074</v>
      </c>
    </row>
    <row r="2067" spans="1:2" x14ac:dyDescent="0.2">
      <c r="A2067" s="68" t="s">
        <v>3494</v>
      </c>
      <c r="B2067" s="67" t="s">
        <v>5073</v>
      </c>
    </row>
    <row r="2068" spans="1:2" x14ac:dyDescent="0.2">
      <c r="A2068" s="68" t="s">
        <v>3493</v>
      </c>
      <c r="B2068" s="67" t="s">
        <v>5072</v>
      </c>
    </row>
    <row r="2069" spans="1:2" x14ac:dyDescent="0.2">
      <c r="A2069" s="68" t="s">
        <v>3492</v>
      </c>
      <c r="B2069" s="67" t="s">
        <v>5071</v>
      </c>
    </row>
    <row r="2070" spans="1:2" x14ac:dyDescent="0.2">
      <c r="A2070" s="68" t="s">
        <v>3491</v>
      </c>
      <c r="B2070" s="67" t="s">
        <v>5070</v>
      </c>
    </row>
    <row r="2071" spans="1:2" x14ac:dyDescent="0.2">
      <c r="A2071" s="68" t="s">
        <v>3490</v>
      </c>
      <c r="B2071" s="67" t="s">
        <v>5069</v>
      </c>
    </row>
    <row r="2072" spans="1:2" x14ac:dyDescent="0.2">
      <c r="A2072" s="68" t="s">
        <v>3489</v>
      </c>
      <c r="B2072" s="67" t="s">
        <v>5068</v>
      </c>
    </row>
    <row r="2073" spans="1:2" x14ac:dyDescent="0.2">
      <c r="A2073" s="68" t="s">
        <v>3488</v>
      </c>
      <c r="B2073" s="67" t="s">
        <v>5067</v>
      </c>
    </row>
    <row r="2074" spans="1:2" x14ac:dyDescent="0.2">
      <c r="A2074" s="68" t="s">
        <v>3487</v>
      </c>
      <c r="B2074" s="67" t="s">
        <v>5066</v>
      </c>
    </row>
    <row r="2075" spans="1:2" x14ac:dyDescent="0.2">
      <c r="A2075" s="68" t="s">
        <v>3486</v>
      </c>
      <c r="B2075" s="67" t="s">
        <v>5065</v>
      </c>
    </row>
    <row r="2076" spans="1:2" x14ac:dyDescent="0.2">
      <c r="A2076" s="68" t="s">
        <v>3485</v>
      </c>
      <c r="B2076" s="67" t="s">
        <v>5064</v>
      </c>
    </row>
    <row r="2077" spans="1:2" x14ac:dyDescent="0.2">
      <c r="A2077" s="68" t="s">
        <v>3484</v>
      </c>
      <c r="B2077" s="67" t="s">
        <v>5063</v>
      </c>
    </row>
    <row r="2078" spans="1:2" x14ac:dyDescent="0.2">
      <c r="A2078" s="68" t="s">
        <v>3483</v>
      </c>
      <c r="B2078" s="67" t="s">
        <v>5062</v>
      </c>
    </row>
    <row r="2079" spans="1:2" x14ac:dyDescent="0.2">
      <c r="A2079" s="68" t="s">
        <v>3482</v>
      </c>
      <c r="B2079" s="67" t="s">
        <v>5061</v>
      </c>
    </row>
    <row r="2080" spans="1:2" x14ac:dyDescent="0.2">
      <c r="A2080" s="68" t="s">
        <v>3481</v>
      </c>
      <c r="B2080" s="67" t="s">
        <v>5060</v>
      </c>
    </row>
    <row r="2081" spans="1:2" x14ac:dyDescent="0.2">
      <c r="A2081" s="68" t="s">
        <v>3480</v>
      </c>
      <c r="B2081" s="67" t="s">
        <v>5059</v>
      </c>
    </row>
    <row r="2082" spans="1:2" x14ac:dyDescent="0.2">
      <c r="A2082" s="68" t="s">
        <v>3479</v>
      </c>
      <c r="B2082" s="67" t="s">
        <v>5058</v>
      </c>
    </row>
    <row r="2083" spans="1:2" x14ac:dyDescent="0.2">
      <c r="A2083" s="68" t="s">
        <v>3478</v>
      </c>
      <c r="B2083" s="67" t="s">
        <v>5057</v>
      </c>
    </row>
    <row r="2084" spans="1:2" x14ac:dyDescent="0.2">
      <c r="A2084" s="68" t="s">
        <v>3477</v>
      </c>
      <c r="B2084" s="67" t="s">
        <v>5056</v>
      </c>
    </row>
    <row r="2085" spans="1:2" x14ac:dyDescent="0.2">
      <c r="A2085" s="68" t="s">
        <v>3476</v>
      </c>
      <c r="B2085" s="67" t="s">
        <v>5055</v>
      </c>
    </row>
    <row r="2086" spans="1:2" x14ac:dyDescent="0.2">
      <c r="A2086" s="68" t="s">
        <v>3475</v>
      </c>
      <c r="B2086" s="67" t="s">
        <v>5054</v>
      </c>
    </row>
    <row r="2087" spans="1:2" x14ac:dyDescent="0.2">
      <c r="A2087" s="68" t="s">
        <v>3474</v>
      </c>
      <c r="B2087" s="67" t="s">
        <v>5053</v>
      </c>
    </row>
    <row r="2088" spans="1:2" x14ac:dyDescent="0.2">
      <c r="A2088" s="68" t="s">
        <v>3473</v>
      </c>
      <c r="B2088" s="67" t="s">
        <v>5052</v>
      </c>
    </row>
    <row r="2089" spans="1:2" x14ac:dyDescent="0.2">
      <c r="A2089" s="68" t="s">
        <v>3472</v>
      </c>
      <c r="B2089" s="67" t="s">
        <v>5051</v>
      </c>
    </row>
    <row r="2090" spans="1:2" x14ac:dyDescent="0.2">
      <c r="A2090" s="68" t="s">
        <v>3471</v>
      </c>
      <c r="B2090" s="67" t="s">
        <v>5050</v>
      </c>
    </row>
    <row r="2091" spans="1:2" x14ac:dyDescent="0.2">
      <c r="A2091" s="68" t="s">
        <v>3470</v>
      </c>
      <c r="B2091" s="67" t="s">
        <v>5049</v>
      </c>
    </row>
    <row r="2092" spans="1:2" x14ac:dyDescent="0.2">
      <c r="A2092" s="68" t="s">
        <v>3469</v>
      </c>
      <c r="B2092" s="67" t="s">
        <v>5048</v>
      </c>
    </row>
    <row r="2093" spans="1:2" x14ac:dyDescent="0.2">
      <c r="A2093" s="68" t="s">
        <v>3468</v>
      </c>
      <c r="B2093" s="67" t="s">
        <v>5047</v>
      </c>
    </row>
    <row r="2094" spans="1:2" x14ac:dyDescent="0.2">
      <c r="A2094" s="68" t="s">
        <v>3467</v>
      </c>
      <c r="B2094" s="67" t="s">
        <v>5046</v>
      </c>
    </row>
    <row r="2095" spans="1:2" x14ac:dyDescent="0.2">
      <c r="A2095" s="68" t="s">
        <v>3466</v>
      </c>
      <c r="B2095" s="67" t="s">
        <v>5045</v>
      </c>
    </row>
    <row r="2096" spans="1:2" x14ac:dyDescent="0.2">
      <c r="A2096" s="68" t="s">
        <v>3465</v>
      </c>
      <c r="B2096" s="67" t="s">
        <v>5044</v>
      </c>
    </row>
    <row r="2097" spans="1:2" x14ac:dyDescent="0.2">
      <c r="A2097" s="68" t="s">
        <v>3464</v>
      </c>
      <c r="B2097" s="67" t="s">
        <v>5043</v>
      </c>
    </row>
    <row r="2098" spans="1:2" x14ac:dyDescent="0.2">
      <c r="A2098" s="68" t="s">
        <v>3463</v>
      </c>
      <c r="B2098" s="67" t="s">
        <v>5042</v>
      </c>
    </row>
    <row r="2099" spans="1:2" x14ac:dyDescent="0.2">
      <c r="A2099" s="68" t="s">
        <v>3462</v>
      </c>
      <c r="B2099" s="67" t="s">
        <v>5041</v>
      </c>
    </row>
    <row r="2100" spans="1:2" x14ac:dyDescent="0.2">
      <c r="A2100" s="68" t="s">
        <v>3461</v>
      </c>
      <c r="B2100" s="67" t="s">
        <v>5040</v>
      </c>
    </row>
    <row r="2101" spans="1:2" x14ac:dyDescent="0.2">
      <c r="A2101" s="68" t="s">
        <v>3460</v>
      </c>
      <c r="B2101" s="67" t="s">
        <v>5039</v>
      </c>
    </row>
    <row r="2102" spans="1:2" x14ac:dyDescent="0.2">
      <c r="A2102" s="68" t="s">
        <v>3459</v>
      </c>
      <c r="B2102" s="67" t="s">
        <v>5038</v>
      </c>
    </row>
    <row r="2103" spans="1:2" x14ac:dyDescent="0.2">
      <c r="A2103" s="68" t="s">
        <v>3458</v>
      </c>
      <c r="B2103" s="67" t="s">
        <v>5037</v>
      </c>
    </row>
    <row r="2104" spans="1:2" x14ac:dyDescent="0.2">
      <c r="A2104" s="68" t="s">
        <v>3457</v>
      </c>
      <c r="B2104" s="67" t="s">
        <v>5036</v>
      </c>
    </row>
    <row r="2105" spans="1:2" x14ac:dyDescent="0.2">
      <c r="A2105" s="68" t="s">
        <v>3456</v>
      </c>
      <c r="B2105" s="67" t="s">
        <v>5035</v>
      </c>
    </row>
    <row r="2106" spans="1:2" x14ac:dyDescent="0.2">
      <c r="A2106" s="68" t="s">
        <v>3455</v>
      </c>
      <c r="B2106" s="67" t="s">
        <v>5034</v>
      </c>
    </row>
    <row r="2107" spans="1:2" x14ac:dyDescent="0.2">
      <c r="A2107" s="68" t="s">
        <v>3454</v>
      </c>
      <c r="B2107" s="67" t="s">
        <v>5033</v>
      </c>
    </row>
    <row r="2108" spans="1:2" x14ac:dyDescent="0.2">
      <c r="A2108" s="68" t="s">
        <v>3453</v>
      </c>
      <c r="B2108" s="67" t="s">
        <v>5032</v>
      </c>
    </row>
    <row r="2109" spans="1:2" x14ac:dyDescent="0.2">
      <c r="A2109" s="68" t="s">
        <v>3452</v>
      </c>
      <c r="B2109" s="67" t="s">
        <v>5031</v>
      </c>
    </row>
    <row r="2110" spans="1:2" x14ac:dyDescent="0.2">
      <c r="A2110" s="68" t="s">
        <v>3451</v>
      </c>
      <c r="B2110" s="67" t="s">
        <v>5030</v>
      </c>
    </row>
    <row r="2111" spans="1:2" x14ac:dyDescent="0.2">
      <c r="A2111" s="68" t="s">
        <v>3450</v>
      </c>
      <c r="B2111" s="67" t="s">
        <v>5029</v>
      </c>
    </row>
    <row r="2112" spans="1:2" x14ac:dyDescent="0.2">
      <c r="A2112" s="68" t="s">
        <v>3449</v>
      </c>
      <c r="B2112" s="67" t="s">
        <v>5028</v>
      </c>
    </row>
    <row r="2113" spans="1:2" x14ac:dyDescent="0.2">
      <c r="A2113" s="68" t="s">
        <v>3448</v>
      </c>
      <c r="B2113" s="67" t="s">
        <v>5027</v>
      </c>
    </row>
    <row r="2114" spans="1:2" x14ac:dyDescent="0.2">
      <c r="A2114" s="68" t="s">
        <v>3447</v>
      </c>
      <c r="B2114" s="67" t="s">
        <v>5026</v>
      </c>
    </row>
    <row r="2115" spans="1:2" x14ac:dyDescent="0.2">
      <c r="A2115" s="68" t="s">
        <v>3446</v>
      </c>
      <c r="B2115" s="67" t="s">
        <v>5025</v>
      </c>
    </row>
    <row r="2116" spans="1:2" x14ac:dyDescent="0.2">
      <c r="A2116" s="68" t="s">
        <v>3445</v>
      </c>
      <c r="B2116" s="67" t="s">
        <v>5024</v>
      </c>
    </row>
    <row r="2117" spans="1:2" x14ac:dyDescent="0.2">
      <c r="A2117" s="68" t="s">
        <v>3444</v>
      </c>
      <c r="B2117" s="67" t="s">
        <v>5023</v>
      </c>
    </row>
    <row r="2118" spans="1:2" x14ac:dyDescent="0.2">
      <c r="A2118" s="68" t="s">
        <v>3443</v>
      </c>
      <c r="B2118" s="67" t="s">
        <v>5022</v>
      </c>
    </row>
    <row r="2119" spans="1:2" x14ac:dyDescent="0.2">
      <c r="A2119" s="68" t="s">
        <v>3442</v>
      </c>
      <c r="B2119" s="67" t="s">
        <v>5021</v>
      </c>
    </row>
    <row r="2120" spans="1:2" x14ac:dyDescent="0.2">
      <c r="A2120" s="68" t="s">
        <v>3441</v>
      </c>
      <c r="B2120" s="67" t="s">
        <v>5020</v>
      </c>
    </row>
    <row r="2121" spans="1:2" x14ac:dyDescent="0.2">
      <c r="A2121" s="68" t="s">
        <v>3440</v>
      </c>
      <c r="B2121" s="67" t="s">
        <v>5019</v>
      </c>
    </row>
    <row r="2122" spans="1:2" x14ac:dyDescent="0.2">
      <c r="A2122" s="68" t="s">
        <v>3439</v>
      </c>
      <c r="B2122" s="67" t="s">
        <v>5018</v>
      </c>
    </row>
    <row r="2123" spans="1:2" x14ac:dyDescent="0.2">
      <c r="A2123" s="68" t="s">
        <v>3438</v>
      </c>
      <c r="B2123" s="67" t="s">
        <v>5017</v>
      </c>
    </row>
    <row r="2124" spans="1:2" x14ac:dyDescent="0.2">
      <c r="A2124" s="68" t="s">
        <v>3437</v>
      </c>
      <c r="B2124" s="67" t="s">
        <v>5016</v>
      </c>
    </row>
    <row r="2125" spans="1:2" x14ac:dyDescent="0.2">
      <c r="A2125" s="68" t="s">
        <v>3436</v>
      </c>
      <c r="B2125" s="67" t="s">
        <v>5015</v>
      </c>
    </row>
    <row r="2126" spans="1:2" x14ac:dyDescent="0.2">
      <c r="A2126" s="68" t="s">
        <v>3435</v>
      </c>
      <c r="B2126" s="67" t="s">
        <v>5014</v>
      </c>
    </row>
    <row r="2127" spans="1:2" x14ac:dyDescent="0.2">
      <c r="A2127" s="68" t="s">
        <v>3434</v>
      </c>
      <c r="B2127" s="67" t="s">
        <v>5013</v>
      </c>
    </row>
    <row r="2128" spans="1:2" x14ac:dyDescent="0.2">
      <c r="A2128" s="68" t="s">
        <v>3433</v>
      </c>
      <c r="B2128" s="67" t="s">
        <v>5012</v>
      </c>
    </row>
    <row r="2129" spans="1:2" x14ac:dyDescent="0.2">
      <c r="A2129" s="68" t="s">
        <v>3432</v>
      </c>
      <c r="B2129" s="67" t="s">
        <v>5011</v>
      </c>
    </row>
    <row r="2130" spans="1:2" x14ac:dyDescent="0.2">
      <c r="A2130" s="68" t="s">
        <v>3431</v>
      </c>
      <c r="B2130" s="67" t="s">
        <v>5010</v>
      </c>
    </row>
    <row r="2131" spans="1:2" x14ac:dyDescent="0.2">
      <c r="A2131" s="68" t="s">
        <v>3430</v>
      </c>
      <c r="B2131" s="67" t="s">
        <v>5009</v>
      </c>
    </row>
    <row r="2132" spans="1:2" x14ac:dyDescent="0.2">
      <c r="A2132" s="68" t="s">
        <v>3429</v>
      </c>
      <c r="B2132" s="67" t="s">
        <v>5008</v>
      </c>
    </row>
    <row r="2133" spans="1:2" x14ac:dyDescent="0.2">
      <c r="A2133" s="68" t="s">
        <v>3428</v>
      </c>
      <c r="B2133" s="67" t="s">
        <v>5007</v>
      </c>
    </row>
    <row r="2134" spans="1:2" x14ac:dyDescent="0.2">
      <c r="A2134" s="68" t="s">
        <v>3427</v>
      </c>
      <c r="B2134" s="67" t="s">
        <v>5006</v>
      </c>
    </row>
    <row r="2135" spans="1:2" x14ac:dyDescent="0.2">
      <c r="A2135" s="68" t="s">
        <v>3426</v>
      </c>
      <c r="B2135" s="67" t="s">
        <v>5005</v>
      </c>
    </row>
    <row r="2136" spans="1:2" x14ac:dyDescent="0.2">
      <c r="A2136" s="68" t="s">
        <v>3425</v>
      </c>
      <c r="B2136" s="67" t="s">
        <v>5004</v>
      </c>
    </row>
    <row r="2137" spans="1:2" x14ac:dyDescent="0.2">
      <c r="A2137" s="68" t="s">
        <v>3424</v>
      </c>
      <c r="B2137" s="67" t="s">
        <v>5003</v>
      </c>
    </row>
    <row r="2138" spans="1:2" x14ac:dyDescent="0.2">
      <c r="A2138" s="68" t="s">
        <v>3423</v>
      </c>
      <c r="B2138" s="67" t="s">
        <v>5002</v>
      </c>
    </row>
    <row r="2139" spans="1:2" x14ac:dyDescent="0.2">
      <c r="A2139" s="68" t="s">
        <v>3422</v>
      </c>
      <c r="B2139" s="67" t="s">
        <v>5001</v>
      </c>
    </row>
    <row r="2140" spans="1:2" x14ac:dyDescent="0.2">
      <c r="A2140" s="68" t="s">
        <v>3421</v>
      </c>
      <c r="B2140" s="67" t="s">
        <v>5000</v>
      </c>
    </row>
    <row r="2141" spans="1:2" x14ac:dyDescent="0.2">
      <c r="A2141" s="68" t="s">
        <v>3420</v>
      </c>
      <c r="B2141" s="67" t="s">
        <v>4999</v>
      </c>
    </row>
    <row r="2142" spans="1:2" x14ac:dyDescent="0.2">
      <c r="A2142" s="68" t="s">
        <v>3419</v>
      </c>
      <c r="B2142" s="67" t="s">
        <v>4998</v>
      </c>
    </row>
    <row r="2143" spans="1:2" x14ac:dyDescent="0.2">
      <c r="A2143" s="68" t="s">
        <v>3418</v>
      </c>
      <c r="B2143" s="67" t="s">
        <v>4997</v>
      </c>
    </row>
    <row r="2144" spans="1:2" x14ac:dyDescent="0.2">
      <c r="A2144" s="68" t="s">
        <v>3417</v>
      </c>
      <c r="B2144" s="67" t="s">
        <v>4996</v>
      </c>
    </row>
    <row r="2145" spans="1:2" x14ac:dyDescent="0.2">
      <c r="A2145" s="68" t="s">
        <v>3416</v>
      </c>
      <c r="B2145" s="67" t="s">
        <v>4995</v>
      </c>
    </row>
    <row r="2146" spans="1:2" x14ac:dyDescent="0.2">
      <c r="A2146" s="68" t="s">
        <v>3415</v>
      </c>
      <c r="B2146" s="67" t="s">
        <v>4994</v>
      </c>
    </row>
    <row r="2147" spans="1:2" x14ac:dyDescent="0.2">
      <c r="A2147" s="68" t="s">
        <v>3414</v>
      </c>
      <c r="B2147" s="67" t="s">
        <v>4993</v>
      </c>
    </row>
    <row r="2148" spans="1:2" x14ac:dyDescent="0.2">
      <c r="A2148" s="68" t="s">
        <v>3413</v>
      </c>
      <c r="B2148" s="67" t="s">
        <v>4992</v>
      </c>
    </row>
    <row r="2149" spans="1:2" x14ac:dyDescent="0.2">
      <c r="A2149" s="68" t="s">
        <v>3412</v>
      </c>
      <c r="B2149" s="67" t="s">
        <v>4991</v>
      </c>
    </row>
    <row r="2150" spans="1:2" x14ac:dyDescent="0.2">
      <c r="A2150" s="68" t="s">
        <v>3411</v>
      </c>
      <c r="B2150" s="67" t="s">
        <v>4990</v>
      </c>
    </row>
    <row r="2151" spans="1:2" x14ac:dyDescent="0.2">
      <c r="A2151" s="68" t="s">
        <v>3410</v>
      </c>
      <c r="B2151" s="67" t="s">
        <v>4989</v>
      </c>
    </row>
    <row r="2152" spans="1:2" x14ac:dyDescent="0.2">
      <c r="A2152" s="68" t="s">
        <v>3409</v>
      </c>
      <c r="B2152" s="67" t="s">
        <v>4988</v>
      </c>
    </row>
    <row r="2153" spans="1:2" x14ac:dyDescent="0.2">
      <c r="A2153" s="68" t="s">
        <v>3408</v>
      </c>
      <c r="B2153" s="67" t="s">
        <v>4987</v>
      </c>
    </row>
    <row r="2154" spans="1:2" x14ac:dyDescent="0.2">
      <c r="A2154" s="68" t="s">
        <v>3407</v>
      </c>
      <c r="B2154" s="67" t="s">
        <v>4986</v>
      </c>
    </row>
    <row r="2155" spans="1:2" x14ac:dyDescent="0.2">
      <c r="A2155" s="68" t="s">
        <v>3406</v>
      </c>
      <c r="B2155" s="67" t="s">
        <v>4985</v>
      </c>
    </row>
    <row r="2156" spans="1:2" x14ac:dyDescent="0.2">
      <c r="A2156" s="68" t="s">
        <v>3405</v>
      </c>
      <c r="B2156" s="67" t="s">
        <v>4984</v>
      </c>
    </row>
    <row r="2157" spans="1:2" x14ac:dyDescent="0.2">
      <c r="A2157" s="68" t="s">
        <v>3404</v>
      </c>
      <c r="B2157" s="67" t="s">
        <v>4983</v>
      </c>
    </row>
    <row r="2158" spans="1:2" x14ac:dyDescent="0.2">
      <c r="A2158" s="68" t="s">
        <v>3403</v>
      </c>
      <c r="B2158" s="67" t="s">
        <v>4982</v>
      </c>
    </row>
    <row r="2159" spans="1:2" x14ac:dyDescent="0.2">
      <c r="A2159" s="68" t="s">
        <v>3402</v>
      </c>
      <c r="B2159" s="67" t="s">
        <v>4981</v>
      </c>
    </row>
    <row r="2160" spans="1:2" x14ac:dyDescent="0.2">
      <c r="A2160" s="68" t="s">
        <v>3401</v>
      </c>
      <c r="B2160" s="67" t="s">
        <v>4980</v>
      </c>
    </row>
    <row r="2161" spans="1:2" x14ac:dyDescent="0.2">
      <c r="A2161" s="68" t="s">
        <v>3400</v>
      </c>
      <c r="B2161" s="67" t="s">
        <v>4979</v>
      </c>
    </row>
    <row r="2162" spans="1:2" x14ac:dyDescent="0.2">
      <c r="A2162" s="68" t="s">
        <v>3399</v>
      </c>
      <c r="B2162" s="67" t="s">
        <v>4978</v>
      </c>
    </row>
    <row r="2163" spans="1:2" x14ac:dyDescent="0.2">
      <c r="A2163" s="68" t="s">
        <v>3398</v>
      </c>
      <c r="B2163" s="67" t="s">
        <v>4977</v>
      </c>
    </row>
    <row r="2164" spans="1:2" x14ac:dyDescent="0.2">
      <c r="A2164" s="68" t="s">
        <v>3397</v>
      </c>
      <c r="B2164" s="67" t="s">
        <v>4976</v>
      </c>
    </row>
    <row r="2165" spans="1:2" x14ac:dyDescent="0.2">
      <c r="A2165" s="68" t="s">
        <v>3396</v>
      </c>
      <c r="B2165" s="67" t="s">
        <v>4975</v>
      </c>
    </row>
    <row r="2166" spans="1:2" x14ac:dyDescent="0.2">
      <c r="A2166" s="68" t="s">
        <v>3395</v>
      </c>
      <c r="B2166" s="67" t="s">
        <v>4974</v>
      </c>
    </row>
    <row r="2167" spans="1:2" x14ac:dyDescent="0.2">
      <c r="A2167" s="68" t="s">
        <v>3394</v>
      </c>
      <c r="B2167" s="67" t="s">
        <v>4973</v>
      </c>
    </row>
    <row r="2168" spans="1:2" x14ac:dyDescent="0.2">
      <c r="A2168" s="68" t="s">
        <v>3393</v>
      </c>
      <c r="B2168" s="67" t="s">
        <v>4972</v>
      </c>
    </row>
    <row r="2169" spans="1:2" x14ac:dyDescent="0.2">
      <c r="A2169" s="68" t="s">
        <v>3392</v>
      </c>
      <c r="B2169" s="67" t="s">
        <v>4971</v>
      </c>
    </row>
    <row r="2170" spans="1:2" x14ac:dyDescent="0.2">
      <c r="A2170" s="68" t="s">
        <v>3391</v>
      </c>
      <c r="B2170" s="67" t="s">
        <v>4970</v>
      </c>
    </row>
    <row r="2171" spans="1:2" x14ac:dyDescent="0.2">
      <c r="A2171" s="68" t="s">
        <v>3390</v>
      </c>
      <c r="B2171" s="67" t="s">
        <v>4969</v>
      </c>
    </row>
    <row r="2172" spans="1:2" x14ac:dyDescent="0.2">
      <c r="A2172" s="68" t="s">
        <v>3389</v>
      </c>
      <c r="B2172" s="67" t="s">
        <v>4968</v>
      </c>
    </row>
    <row r="2173" spans="1:2" x14ac:dyDescent="0.2">
      <c r="A2173" s="68" t="s">
        <v>3388</v>
      </c>
      <c r="B2173" s="67" t="s">
        <v>4967</v>
      </c>
    </row>
    <row r="2174" spans="1:2" x14ac:dyDescent="0.2">
      <c r="A2174" s="68" t="s">
        <v>3387</v>
      </c>
      <c r="B2174" s="67" t="s">
        <v>4966</v>
      </c>
    </row>
    <row r="2175" spans="1:2" x14ac:dyDescent="0.2">
      <c r="A2175" s="68" t="s">
        <v>3386</v>
      </c>
      <c r="B2175" s="67" t="s">
        <v>4965</v>
      </c>
    </row>
    <row r="2176" spans="1:2" x14ac:dyDescent="0.2">
      <c r="A2176" s="68" t="s">
        <v>3385</v>
      </c>
      <c r="B2176" s="67" t="s">
        <v>4964</v>
      </c>
    </row>
    <row r="2177" spans="1:2" x14ac:dyDescent="0.2">
      <c r="A2177" s="68" t="s">
        <v>3384</v>
      </c>
      <c r="B2177" s="67" t="s">
        <v>4963</v>
      </c>
    </row>
    <row r="2178" spans="1:2" x14ac:dyDescent="0.2">
      <c r="A2178" s="68" t="s">
        <v>3383</v>
      </c>
      <c r="B2178" s="67" t="s">
        <v>4962</v>
      </c>
    </row>
    <row r="2179" spans="1:2" x14ac:dyDescent="0.2">
      <c r="A2179" s="68" t="s">
        <v>3382</v>
      </c>
      <c r="B2179" s="67" t="s">
        <v>4961</v>
      </c>
    </row>
    <row r="2180" spans="1:2" x14ac:dyDescent="0.2">
      <c r="A2180" s="68" t="s">
        <v>3381</v>
      </c>
      <c r="B2180" s="67" t="s">
        <v>4960</v>
      </c>
    </row>
    <row r="2181" spans="1:2" x14ac:dyDescent="0.2">
      <c r="A2181" s="68" t="s">
        <v>3380</v>
      </c>
      <c r="B2181" s="67" t="s">
        <v>4959</v>
      </c>
    </row>
    <row r="2182" spans="1:2" x14ac:dyDescent="0.2">
      <c r="A2182" s="68" t="s">
        <v>3379</v>
      </c>
      <c r="B2182" s="67" t="s">
        <v>4958</v>
      </c>
    </row>
    <row r="2183" spans="1:2" x14ac:dyDescent="0.2">
      <c r="A2183" s="68" t="s">
        <v>3378</v>
      </c>
      <c r="B2183" s="67" t="s">
        <v>4957</v>
      </c>
    </row>
    <row r="2184" spans="1:2" x14ac:dyDescent="0.2">
      <c r="A2184" s="68" t="s">
        <v>3377</v>
      </c>
      <c r="B2184" s="67" t="s">
        <v>4956</v>
      </c>
    </row>
    <row r="2185" spans="1:2" x14ac:dyDescent="0.2">
      <c r="A2185" s="68" t="s">
        <v>3376</v>
      </c>
      <c r="B2185" s="67" t="s">
        <v>4955</v>
      </c>
    </row>
    <row r="2186" spans="1:2" x14ac:dyDescent="0.2">
      <c r="A2186" s="68" t="s">
        <v>3375</v>
      </c>
      <c r="B2186" s="67" t="s">
        <v>4954</v>
      </c>
    </row>
    <row r="2187" spans="1:2" x14ac:dyDescent="0.2">
      <c r="A2187" s="68" t="s">
        <v>3374</v>
      </c>
      <c r="B2187" s="67" t="s">
        <v>4953</v>
      </c>
    </row>
    <row r="2188" spans="1:2" x14ac:dyDescent="0.2">
      <c r="A2188" s="68" t="s">
        <v>3373</v>
      </c>
      <c r="B2188" s="67" t="s">
        <v>4952</v>
      </c>
    </row>
    <row r="2189" spans="1:2" x14ac:dyDescent="0.2">
      <c r="A2189" s="68" t="s">
        <v>3372</v>
      </c>
      <c r="B2189" s="67" t="s">
        <v>4951</v>
      </c>
    </row>
    <row r="2190" spans="1:2" x14ac:dyDescent="0.2">
      <c r="A2190" s="68" t="s">
        <v>3371</v>
      </c>
      <c r="B2190" s="67" t="s">
        <v>4950</v>
      </c>
    </row>
    <row r="2191" spans="1:2" x14ac:dyDescent="0.2">
      <c r="A2191" s="68" t="s">
        <v>3370</v>
      </c>
      <c r="B2191" s="67" t="s">
        <v>4949</v>
      </c>
    </row>
    <row r="2192" spans="1:2" x14ac:dyDescent="0.2">
      <c r="A2192" s="68" t="s">
        <v>3369</v>
      </c>
      <c r="B2192" s="67" t="s">
        <v>4948</v>
      </c>
    </row>
    <row r="2193" spans="1:2" x14ac:dyDescent="0.2">
      <c r="A2193" s="68" t="s">
        <v>3368</v>
      </c>
      <c r="B2193" s="67" t="s">
        <v>4947</v>
      </c>
    </row>
    <row r="2194" spans="1:2" x14ac:dyDescent="0.2">
      <c r="A2194" s="68" t="s">
        <v>3367</v>
      </c>
      <c r="B2194" s="67" t="s">
        <v>4946</v>
      </c>
    </row>
    <row r="2195" spans="1:2" x14ac:dyDescent="0.2">
      <c r="A2195" s="68" t="s">
        <v>3366</v>
      </c>
      <c r="B2195" s="67" t="s">
        <v>4945</v>
      </c>
    </row>
    <row r="2196" spans="1:2" x14ac:dyDescent="0.2">
      <c r="A2196" s="68" t="s">
        <v>3365</v>
      </c>
      <c r="B2196" s="67" t="s">
        <v>4944</v>
      </c>
    </row>
    <row r="2197" spans="1:2" x14ac:dyDescent="0.2">
      <c r="A2197" s="68" t="s">
        <v>3364</v>
      </c>
      <c r="B2197" s="67" t="s">
        <v>4943</v>
      </c>
    </row>
    <row r="2198" spans="1:2" x14ac:dyDescent="0.2">
      <c r="A2198" s="68" t="s">
        <v>3363</v>
      </c>
      <c r="B2198" s="67" t="s">
        <v>4942</v>
      </c>
    </row>
    <row r="2199" spans="1:2" x14ac:dyDescent="0.2">
      <c r="A2199" s="68" t="s">
        <v>3362</v>
      </c>
      <c r="B2199" s="67" t="s">
        <v>4941</v>
      </c>
    </row>
    <row r="2200" spans="1:2" x14ac:dyDescent="0.2">
      <c r="A2200" s="68" t="s">
        <v>3361</v>
      </c>
      <c r="B2200" s="67" t="s">
        <v>4940</v>
      </c>
    </row>
    <row r="2201" spans="1:2" x14ac:dyDescent="0.2">
      <c r="A2201" s="68" t="s">
        <v>3360</v>
      </c>
      <c r="B2201" s="67" t="s">
        <v>4939</v>
      </c>
    </row>
    <row r="2202" spans="1:2" x14ac:dyDescent="0.2">
      <c r="A2202" s="68" t="s">
        <v>3359</v>
      </c>
      <c r="B2202" s="67" t="s">
        <v>4938</v>
      </c>
    </row>
    <row r="2203" spans="1:2" x14ac:dyDescent="0.2">
      <c r="A2203" s="68" t="s">
        <v>3358</v>
      </c>
      <c r="B2203" s="67" t="s">
        <v>4937</v>
      </c>
    </row>
    <row r="2204" spans="1:2" x14ac:dyDescent="0.2">
      <c r="A2204" s="68" t="s">
        <v>3357</v>
      </c>
      <c r="B2204" s="67" t="s">
        <v>4936</v>
      </c>
    </row>
    <row r="2205" spans="1:2" x14ac:dyDescent="0.2">
      <c r="A2205" s="68" t="s">
        <v>3356</v>
      </c>
      <c r="B2205" s="67" t="s">
        <v>4935</v>
      </c>
    </row>
    <row r="2206" spans="1:2" x14ac:dyDescent="0.2">
      <c r="A2206" s="68" t="s">
        <v>3355</v>
      </c>
      <c r="B2206" s="67" t="s">
        <v>4934</v>
      </c>
    </row>
    <row r="2207" spans="1:2" x14ac:dyDescent="0.2">
      <c r="A2207" s="68" t="s">
        <v>3354</v>
      </c>
      <c r="B2207" s="67" t="s">
        <v>4933</v>
      </c>
    </row>
    <row r="2208" spans="1:2" x14ac:dyDescent="0.2">
      <c r="A2208" s="68" t="s">
        <v>3353</v>
      </c>
      <c r="B2208" s="67" t="s">
        <v>4932</v>
      </c>
    </row>
    <row r="2209" spans="1:2" x14ac:dyDescent="0.2">
      <c r="A2209" s="68" t="s">
        <v>3352</v>
      </c>
      <c r="B2209" s="67" t="s">
        <v>4931</v>
      </c>
    </row>
    <row r="2210" spans="1:2" x14ac:dyDescent="0.2">
      <c r="A2210" s="68" t="s">
        <v>3351</v>
      </c>
      <c r="B2210" s="67" t="s">
        <v>4930</v>
      </c>
    </row>
    <row r="2211" spans="1:2" x14ac:dyDescent="0.2">
      <c r="A2211" s="68" t="s">
        <v>3350</v>
      </c>
      <c r="B2211" s="67" t="s">
        <v>4929</v>
      </c>
    </row>
    <row r="2212" spans="1:2" x14ac:dyDescent="0.2">
      <c r="A2212" s="68" t="s">
        <v>3349</v>
      </c>
      <c r="B2212" s="67" t="s">
        <v>4928</v>
      </c>
    </row>
    <row r="2213" spans="1:2" x14ac:dyDescent="0.2">
      <c r="A2213" s="68" t="s">
        <v>3348</v>
      </c>
      <c r="B2213" s="67" t="s">
        <v>4927</v>
      </c>
    </row>
    <row r="2214" spans="1:2" x14ac:dyDescent="0.2">
      <c r="A2214" s="68" t="s">
        <v>3347</v>
      </c>
      <c r="B2214" s="67" t="s">
        <v>4926</v>
      </c>
    </row>
    <row r="2215" spans="1:2" x14ac:dyDescent="0.2">
      <c r="A2215" s="68" t="s">
        <v>3346</v>
      </c>
      <c r="B2215" s="67" t="s">
        <v>4925</v>
      </c>
    </row>
    <row r="2216" spans="1:2" x14ac:dyDescent="0.2">
      <c r="A2216" s="68" t="s">
        <v>3345</v>
      </c>
      <c r="B2216" s="67" t="s">
        <v>4924</v>
      </c>
    </row>
    <row r="2217" spans="1:2" x14ac:dyDescent="0.2">
      <c r="A2217" s="68" t="s">
        <v>3344</v>
      </c>
      <c r="B2217" s="67" t="s">
        <v>4923</v>
      </c>
    </row>
    <row r="2218" spans="1:2" x14ac:dyDescent="0.2">
      <c r="A2218" s="68" t="s">
        <v>3343</v>
      </c>
      <c r="B2218" s="67" t="s">
        <v>4922</v>
      </c>
    </row>
    <row r="2219" spans="1:2" x14ac:dyDescent="0.2">
      <c r="A2219" s="68" t="s">
        <v>3342</v>
      </c>
      <c r="B2219" s="67" t="s">
        <v>4921</v>
      </c>
    </row>
    <row r="2220" spans="1:2" x14ac:dyDescent="0.2">
      <c r="A2220" s="68" t="s">
        <v>3341</v>
      </c>
      <c r="B2220" s="67" t="s">
        <v>4920</v>
      </c>
    </row>
    <row r="2221" spans="1:2" x14ac:dyDescent="0.2">
      <c r="A2221" s="68" t="s">
        <v>3340</v>
      </c>
      <c r="B2221" s="67" t="s">
        <v>4919</v>
      </c>
    </row>
    <row r="2222" spans="1:2" x14ac:dyDescent="0.2">
      <c r="A2222" s="68" t="s">
        <v>3339</v>
      </c>
      <c r="B2222" s="67" t="s">
        <v>4918</v>
      </c>
    </row>
    <row r="2223" spans="1:2" x14ac:dyDescent="0.2">
      <c r="A2223" s="68" t="s">
        <v>3338</v>
      </c>
      <c r="B2223" s="67" t="s">
        <v>4917</v>
      </c>
    </row>
    <row r="2224" spans="1:2" x14ac:dyDescent="0.2">
      <c r="A2224" s="68" t="s">
        <v>3337</v>
      </c>
      <c r="B2224" s="67" t="s">
        <v>4916</v>
      </c>
    </row>
    <row r="2225" spans="1:2" x14ac:dyDescent="0.2">
      <c r="A2225" s="68" t="s">
        <v>3336</v>
      </c>
      <c r="B2225" s="67" t="s">
        <v>4915</v>
      </c>
    </row>
    <row r="2226" spans="1:2" x14ac:dyDescent="0.2">
      <c r="A2226" s="68" t="s">
        <v>3335</v>
      </c>
      <c r="B2226" s="67" t="s">
        <v>4914</v>
      </c>
    </row>
    <row r="2227" spans="1:2" x14ac:dyDescent="0.2">
      <c r="A2227" s="68" t="s">
        <v>3334</v>
      </c>
      <c r="B2227" s="67" t="s">
        <v>4913</v>
      </c>
    </row>
    <row r="2228" spans="1:2" x14ac:dyDescent="0.2">
      <c r="A2228" s="68" t="s">
        <v>3333</v>
      </c>
      <c r="B2228" s="67" t="s">
        <v>4912</v>
      </c>
    </row>
    <row r="2229" spans="1:2" x14ac:dyDescent="0.2">
      <c r="A2229" s="68" t="s">
        <v>3332</v>
      </c>
      <c r="B2229" s="67" t="s">
        <v>4911</v>
      </c>
    </row>
    <row r="2230" spans="1:2" x14ac:dyDescent="0.2">
      <c r="A2230" s="68" t="s">
        <v>3331</v>
      </c>
      <c r="B2230" s="67" t="s">
        <v>4910</v>
      </c>
    </row>
    <row r="2231" spans="1:2" x14ac:dyDescent="0.2">
      <c r="A2231" s="68" t="s">
        <v>3330</v>
      </c>
      <c r="B2231" s="67" t="s">
        <v>4909</v>
      </c>
    </row>
    <row r="2232" spans="1:2" x14ac:dyDescent="0.2">
      <c r="A2232" s="68" t="s">
        <v>3329</v>
      </c>
      <c r="B2232" s="67" t="s">
        <v>4908</v>
      </c>
    </row>
    <row r="2233" spans="1:2" x14ac:dyDescent="0.2">
      <c r="A2233" s="68" t="s">
        <v>3328</v>
      </c>
      <c r="B2233" s="67" t="s">
        <v>4907</v>
      </c>
    </row>
    <row r="2234" spans="1:2" x14ac:dyDescent="0.2">
      <c r="A2234" s="68" t="s">
        <v>3327</v>
      </c>
      <c r="B2234" s="67" t="s">
        <v>4906</v>
      </c>
    </row>
    <row r="2235" spans="1:2" x14ac:dyDescent="0.2">
      <c r="A2235" s="68" t="s">
        <v>3326</v>
      </c>
      <c r="B2235" s="67" t="s">
        <v>4905</v>
      </c>
    </row>
    <row r="2236" spans="1:2" x14ac:dyDescent="0.2">
      <c r="A2236" s="68" t="s">
        <v>3325</v>
      </c>
      <c r="B2236" s="67" t="s">
        <v>4904</v>
      </c>
    </row>
    <row r="2237" spans="1:2" x14ac:dyDescent="0.2">
      <c r="A2237" s="68" t="s">
        <v>3324</v>
      </c>
      <c r="B2237" s="67" t="s">
        <v>4903</v>
      </c>
    </row>
    <row r="2238" spans="1:2" x14ac:dyDescent="0.2">
      <c r="A2238" s="68" t="s">
        <v>3323</v>
      </c>
      <c r="B2238" s="67" t="s">
        <v>4902</v>
      </c>
    </row>
    <row r="2239" spans="1:2" x14ac:dyDescent="0.2">
      <c r="A2239" s="68" t="s">
        <v>3322</v>
      </c>
      <c r="B2239" s="67" t="s">
        <v>4901</v>
      </c>
    </row>
    <row r="2240" spans="1:2" x14ac:dyDescent="0.2">
      <c r="A2240" s="68" t="s">
        <v>3321</v>
      </c>
      <c r="B2240" s="67" t="s">
        <v>4900</v>
      </c>
    </row>
    <row r="2241" spans="1:2" x14ac:dyDescent="0.2">
      <c r="A2241" s="68" t="s">
        <v>3320</v>
      </c>
      <c r="B2241" s="67" t="s">
        <v>4899</v>
      </c>
    </row>
    <row r="2242" spans="1:2" x14ac:dyDescent="0.2">
      <c r="A2242" s="68" t="s">
        <v>3319</v>
      </c>
      <c r="B2242" s="67" t="s">
        <v>4898</v>
      </c>
    </row>
    <row r="2243" spans="1:2" x14ac:dyDescent="0.2">
      <c r="A2243" s="68" t="s">
        <v>3318</v>
      </c>
      <c r="B2243" s="67" t="s">
        <v>4897</v>
      </c>
    </row>
    <row r="2244" spans="1:2" x14ac:dyDescent="0.2">
      <c r="A2244" s="68" t="s">
        <v>3317</v>
      </c>
      <c r="B2244" s="67" t="s">
        <v>4896</v>
      </c>
    </row>
    <row r="2245" spans="1:2" x14ac:dyDescent="0.2">
      <c r="A2245" s="68" t="s">
        <v>3316</v>
      </c>
      <c r="B2245" s="67" t="s">
        <v>4895</v>
      </c>
    </row>
    <row r="2246" spans="1:2" x14ac:dyDescent="0.2">
      <c r="A2246" s="68" t="s">
        <v>3315</v>
      </c>
      <c r="B2246" s="67" t="s">
        <v>4894</v>
      </c>
    </row>
    <row r="2247" spans="1:2" x14ac:dyDescent="0.2">
      <c r="A2247" s="68" t="s">
        <v>3314</v>
      </c>
      <c r="B2247" s="67" t="s">
        <v>4893</v>
      </c>
    </row>
    <row r="2248" spans="1:2" x14ac:dyDescent="0.2">
      <c r="A2248" s="68" t="s">
        <v>3313</v>
      </c>
      <c r="B2248" s="67" t="s">
        <v>4892</v>
      </c>
    </row>
    <row r="2249" spans="1:2" x14ac:dyDescent="0.2">
      <c r="A2249" s="68" t="s">
        <v>3312</v>
      </c>
      <c r="B2249" s="67" t="s">
        <v>4891</v>
      </c>
    </row>
    <row r="2250" spans="1:2" x14ac:dyDescent="0.2">
      <c r="A2250" s="68" t="s">
        <v>3311</v>
      </c>
      <c r="B2250" s="67" t="s">
        <v>4890</v>
      </c>
    </row>
    <row r="2251" spans="1:2" x14ac:dyDescent="0.2">
      <c r="A2251" s="68" t="s">
        <v>3310</v>
      </c>
      <c r="B2251" s="67" t="s">
        <v>4889</v>
      </c>
    </row>
    <row r="2252" spans="1:2" x14ac:dyDescent="0.2">
      <c r="A2252" s="68" t="s">
        <v>3309</v>
      </c>
      <c r="B2252" s="67" t="s">
        <v>4888</v>
      </c>
    </row>
    <row r="2253" spans="1:2" x14ac:dyDescent="0.2">
      <c r="A2253" s="68" t="s">
        <v>3308</v>
      </c>
      <c r="B2253" s="67" t="s">
        <v>4887</v>
      </c>
    </row>
    <row r="2254" spans="1:2" x14ac:dyDescent="0.2">
      <c r="A2254" s="68" t="s">
        <v>3307</v>
      </c>
      <c r="B2254" s="67" t="s">
        <v>4886</v>
      </c>
    </row>
    <row r="2255" spans="1:2" x14ac:dyDescent="0.2">
      <c r="A2255" s="68" t="s">
        <v>3306</v>
      </c>
      <c r="B2255" s="67" t="s">
        <v>4885</v>
      </c>
    </row>
    <row r="2256" spans="1:2" x14ac:dyDescent="0.2">
      <c r="A2256" s="68" t="s">
        <v>3305</v>
      </c>
      <c r="B2256" s="67" t="s">
        <v>4884</v>
      </c>
    </row>
    <row r="2257" spans="1:2" x14ac:dyDescent="0.2">
      <c r="A2257" s="68" t="s">
        <v>3304</v>
      </c>
      <c r="B2257" s="67" t="s">
        <v>4883</v>
      </c>
    </row>
    <row r="2258" spans="1:2" x14ac:dyDescent="0.2">
      <c r="A2258" s="68" t="s">
        <v>3303</v>
      </c>
      <c r="B2258" s="67" t="s">
        <v>4882</v>
      </c>
    </row>
    <row r="2259" spans="1:2" x14ac:dyDescent="0.2">
      <c r="A2259" s="68" t="s">
        <v>3302</v>
      </c>
      <c r="B2259" s="67" t="s">
        <v>4881</v>
      </c>
    </row>
    <row r="2260" spans="1:2" x14ac:dyDescent="0.2">
      <c r="A2260" s="68" t="s">
        <v>3301</v>
      </c>
      <c r="B2260" s="67" t="s">
        <v>4880</v>
      </c>
    </row>
    <row r="2261" spans="1:2" x14ac:dyDescent="0.2">
      <c r="A2261" s="68" t="s">
        <v>3300</v>
      </c>
      <c r="B2261" s="67" t="s">
        <v>4879</v>
      </c>
    </row>
    <row r="2262" spans="1:2" x14ac:dyDescent="0.2">
      <c r="A2262" s="68" t="s">
        <v>3299</v>
      </c>
      <c r="B2262" s="67" t="s">
        <v>4878</v>
      </c>
    </row>
    <row r="2263" spans="1:2" x14ac:dyDescent="0.2">
      <c r="A2263" s="68" t="s">
        <v>3298</v>
      </c>
      <c r="B2263" s="67" t="s">
        <v>4877</v>
      </c>
    </row>
    <row r="2264" spans="1:2" x14ac:dyDescent="0.2">
      <c r="A2264" s="68" t="s">
        <v>3297</v>
      </c>
      <c r="B2264" s="67" t="s">
        <v>4876</v>
      </c>
    </row>
    <row r="2265" spans="1:2" x14ac:dyDescent="0.2">
      <c r="A2265" s="68" t="s">
        <v>3296</v>
      </c>
      <c r="B2265" s="67" t="s">
        <v>4875</v>
      </c>
    </row>
    <row r="2266" spans="1:2" x14ac:dyDescent="0.2">
      <c r="A2266" s="68" t="s">
        <v>3295</v>
      </c>
      <c r="B2266" s="67" t="s">
        <v>4874</v>
      </c>
    </row>
    <row r="2267" spans="1:2" x14ac:dyDescent="0.2">
      <c r="A2267" s="68" t="s">
        <v>3294</v>
      </c>
      <c r="B2267" s="67" t="s">
        <v>4873</v>
      </c>
    </row>
    <row r="2268" spans="1:2" x14ac:dyDescent="0.2">
      <c r="A2268" s="68" t="s">
        <v>3293</v>
      </c>
      <c r="B2268" s="67" t="s">
        <v>4872</v>
      </c>
    </row>
    <row r="2269" spans="1:2" x14ac:dyDescent="0.2">
      <c r="A2269" s="68" t="s">
        <v>3292</v>
      </c>
      <c r="B2269" s="67" t="s">
        <v>4871</v>
      </c>
    </row>
    <row r="2270" spans="1:2" x14ac:dyDescent="0.2">
      <c r="A2270" s="68" t="s">
        <v>3291</v>
      </c>
      <c r="B2270" s="67" t="s">
        <v>4870</v>
      </c>
    </row>
    <row r="2271" spans="1:2" x14ac:dyDescent="0.2">
      <c r="A2271" s="68" t="s">
        <v>3290</v>
      </c>
      <c r="B2271" s="67" t="s">
        <v>4869</v>
      </c>
    </row>
    <row r="2272" spans="1:2" x14ac:dyDescent="0.2">
      <c r="A2272" s="68" t="s">
        <v>3289</v>
      </c>
      <c r="B2272" s="67" t="s">
        <v>4868</v>
      </c>
    </row>
    <row r="2273" spans="1:2" x14ac:dyDescent="0.2">
      <c r="A2273" s="68" t="s">
        <v>3288</v>
      </c>
      <c r="B2273" s="67" t="s">
        <v>4867</v>
      </c>
    </row>
    <row r="2274" spans="1:2" x14ac:dyDescent="0.2">
      <c r="A2274" s="68" t="s">
        <v>3287</v>
      </c>
      <c r="B2274" s="67" t="s">
        <v>4866</v>
      </c>
    </row>
    <row r="2275" spans="1:2" x14ac:dyDescent="0.2">
      <c r="A2275" s="68" t="s">
        <v>3286</v>
      </c>
      <c r="B2275" s="67" t="s">
        <v>4865</v>
      </c>
    </row>
    <row r="2276" spans="1:2" x14ac:dyDescent="0.2">
      <c r="A2276" s="68" t="s">
        <v>3285</v>
      </c>
      <c r="B2276" s="67" t="s">
        <v>4864</v>
      </c>
    </row>
    <row r="2277" spans="1:2" x14ac:dyDescent="0.2">
      <c r="A2277" s="68" t="s">
        <v>3284</v>
      </c>
      <c r="B2277" s="67" t="s">
        <v>4863</v>
      </c>
    </row>
    <row r="2278" spans="1:2" x14ac:dyDescent="0.2">
      <c r="A2278" s="68" t="s">
        <v>3283</v>
      </c>
      <c r="B2278" s="67" t="s">
        <v>4862</v>
      </c>
    </row>
    <row r="2279" spans="1:2" x14ac:dyDescent="0.2">
      <c r="A2279" s="68" t="s">
        <v>3282</v>
      </c>
      <c r="B2279" s="67" t="s">
        <v>4861</v>
      </c>
    </row>
    <row r="2280" spans="1:2" x14ac:dyDescent="0.2">
      <c r="A2280" s="68" t="s">
        <v>3281</v>
      </c>
      <c r="B2280" s="67" t="s">
        <v>4860</v>
      </c>
    </row>
    <row r="2281" spans="1:2" x14ac:dyDescent="0.2">
      <c r="A2281" s="68" t="s">
        <v>3280</v>
      </c>
      <c r="B2281" s="67" t="s">
        <v>4859</v>
      </c>
    </row>
    <row r="2282" spans="1:2" x14ac:dyDescent="0.2">
      <c r="A2282" s="68" t="s">
        <v>3279</v>
      </c>
      <c r="B2282" s="67" t="s">
        <v>4858</v>
      </c>
    </row>
    <row r="2283" spans="1:2" x14ac:dyDescent="0.2">
      <c r="A2283" s="68" t="s">
        <v>3278</v>
      </c>
      <c r="B2283" s="67" t="s">
        <v>4857</v>
      </c>
    </row>
    <row r="2284" spans="1:2" x14ac:dyDescent="0.2">
      <c r="A2284" s="68" t="s">
        <v>3277</v>
      </c>
      <c r="B2284" s="67" t="s">
        <v>4856</v>
      </c>
    </row>
    <row r="2285" spans="1:2" x14ac:dyDescent="0.2">
      <c r="A2285" s="68" t="s">
        <v>3276</v>
      </c>
      <c r="B2285" s="67" t="s">
        <v>4855</v>
      </c>
    </row>
    <row r="2286" spans="1:2" x14ac:dyDescent="0.2">
      <c r="A2286" s="68" t="s">
        <v>3275</v>
      </c>
      <c r="B2286" s="67" t="s">
        <v>4854</v>
      </c>
    </row>
    <row r="2287" spans="1:2" x14ac:dyDescent="0.2">
      <c r="A2287" s="68" t="s">
        <v>3274</v>
      </c>
      <c r="B2287" s="67" t="s">
        <v>4853</v>
      </c>
    </row>
    <row r="2288" spans="1:2" x14ac:dyDescent="0.2">
      <c r="A2288" s="68" t="s">
        <v>3273</v>
      </c>
      <c r="B2288" s="67" t="s">
        <v>4852</v>
      </c>
    </row>
    <row r="2289" spans="1:2" x14ac:dyDescent="0.2">
      <c r="A2289" s="68" t="s">
        <v>3272</v>
      </c>
      <c r="B2289" s="67" t="s">
        <v>4851</v>
      </c>
    </row>
    <row r="2290" spans="1:2" x14ac:dyDescent="0.2">
      <c r="A2290" s="68" t="s">
        <v>3271</v>
      </c>
      <c r="B2290" s="67" t="s">
        <v>4850</v>
      </c>
    </row>
    <row r="2291" spans="1:2" x14ac:dyDescent="0.2">
      <c r="A2291" s="68" t="s">
        <v>3270</v>
      </c>
      <c r="B2291" s="67" t="s">
        <v>4849</v>
      </c>
    </row>
    <row r="2292" spans="1:2" x14ac:dyDescent="0.2">
      <c r="A2292" s="68" t="s">
        <v>3269</v>
      </c>
      <c r="B2292" s="67" t="s">
        <v>4848</v>
      </c>
    </row>
    <row r="2293" spans="1:2" x14ac:dyDescent="0.2">
      <c r="A2293" s="68" t="s">
        <v>3268</v>
      </c>
      <c r="B2293" s="67" t="s">
        <v>4847</v>
      </c>
    </row>
    <row r="2294" spans="1:2" x14ac:dyDescent="0.2">
      <c r="A2294" s="68" t="s">
        <v>3267</v>
      </c>
      <c r="B2294" s="67" t="s">
        <v>4846</v>
      </c>
    </row>
    <row r="2295" spans="1:2" x14ac:dyDescent="0.2">
      <c r="A2295" s="68" t="s">
        <v>3266</v>
      </c>
      <c r="B2295" s="67" t="s">
        <v>4845</v>
      </c>
    </row>
    <row r="2296" spans="1:2" x14ac:dyDescent="0.2">
      <c r="A2296" s="68" t="s">
        <v>3265</v>
      </c>
      <c r="B2296" s="67" t="s">
        <v>4844</v>
      </c>
    </row>
    <row r="2297" spans="1:2" x14ac:dyDescent="0.2">
      <c r="A2297" s="68" t="s">
        <v>3264</v>
      </c>
      <c r="B2297" s="67" t="s">
        <v>4843</v>
      </c>
    </row>
    <row r="2298" spans="1:2" x14ac:dyDescent="0.2">
      <c r="A2298" s="68" t="s">
        <v>3263</v>
      </c>
      <c r="B2298" s="67" t="s">
        <v>4842</v>
      </c>
    </row>
    <row r="2299" spans="1:2" x14ac:dyDescent="0.2">
      <c r="A2299" s="68" t="s">
        <v>3262</v>
      </c>
      <c r="B2299" s="67" t="s">
        <v>4841</v>
      </c>
    </row>
    <row r="2300" spans="1:2" x14ac:dyDescent="0.2">
      <c r="A2300" s="68" t="s">
        <v>3261</v>
      </c>
      <c r="B2300" s="67" t="s">
        <v>4840</v>
      </c>
    </row>
    <row r="2301" spans="1:2" x14ac:dyDescent="0.2">
      <c r="A2301" s="68" t="s">
        <v>3260</v>
      </c>
      <c r="B2301" s="67" t="s">
        <v>4839</v>
      </c>
    </row>
    <row r="2302" spans="1:2" x14ac:dyDescent="0.2">
      <c r="A2302" s="68" t="s">
        <v>3259</v>
      </c>
      <c r="B2302" s="67" t="s">
        <v>4838</v>
      </c>
    </row>
    <row r="2303" spans="1:2" x14ac:dyDescent="0.2">
      <c r="A2303" s="68" t="s">
        <v>3258</v>
      </c>
      <c r="B2303" s="67" t="s">
        <v>4837</v>
      </c>
    </row>
    <row r="2304" spans="1:2" x14ac:dyDescent="0.2">
      <c r="A2304" s="68" t="s">
        <v>3257</v>
      </c>
      <c r="B2304" s="67" t="s">
        <v>4836</v>
      </c>
    </row>
    <row r="2305" spans="1:2" x14ac:dyDescent="0.2">
      <c r="A2305" s="68" t="s">
        <v>3256</v>
      </c>
      <c r="B2305" s="67" t="s">
        <v>4835</v>
      </c>
    </row>
    <row r="2306" spans="1:2" x14ac:dyDescent="0.2">
      <c r="A2306" s="68" t="s">
        <v>3255</v>
      </c>
      <c r="B2306" s="67" t="s">
        <v>4834</v>
      </c>
    </row>
    <row r="2307" spans="1:2" x14ac:dyDescent="0.2">
      <c r="A2307" s="68" t="s">
        <v>3254</v>
      </c>
      <c r="B2307" s="67" t="s">
        <v>4833</v>
      </c>
    </row>
    <row r="2308" spans="1:2" x14ac:dyDescent="0.2">
      <c r="A2308" s="68" t="s">
        <v>3253</v>
      </c>
      <c r="B2308" s="67" t="s">
        <v>4832</v>
      </c>
    </row>
    <row r="2309" spans="1:2" x14ac:dyDescent="0.2">
      <c r="A2309" s="68" t="s">
        <v>3252</v>
      </c>
      <c r="B2309" s="67" t="s">
        <v>4831</v>
      </c>
    </row>
    <row r="2310" spans="1:2" x14ac:dyDescent="0.2">
      <c r="A2310" s="68" t="s">
        <v>3251</v>
      </c>
      <c r="B2310" s="67" t="s">
        <v>4830</v>
      </c>
    </row>
    <row r="2311" spans="1:2" x14ac:dyDescent="0.2">
      <c r="A2311" s="68" t="s">
        <v>3250</v>
      </c>
      <c r="B2311" s="67" t="s">
        <v>4829</v>
      </c>
    </row>
    <row r="2312" spans="1:2" x14ac:dyDescent="0.2">
      <c r="A2312" s="68" t="s">
        <v>3249</v>
      </c>
      <c r="B2312" s="67" t="s">
        <v>4828</v>
      </c>
    </row>
    <row r="2313" spans="1:2" x14ac:dyDescent="0.2">
      <c r="A2313" s="68" t="s">
        <v>3248</v>
      </c>
      <c r="B2313" s="67" t="s">
        <v>4827</v>
      </c>
    </row>
    <row r="2314" spans="1:2" x14ac:dyDescent="0.2">
      <c r="A2314" s="68" t="s">
        <v>3247</v>
      </c>
      <c r="B2314" s="67" t="s">
        <v>4826</v>
      </c>
    </row>
    <row r="2315" spans="1:2" x14ac:dyDescent="0.2">
      <c r="A2315" s="68" t="s">
        <v>3246</v>
      </c>
      <c r="B2315" s="67" t="s">
        <v>4825</v>
      </c>
    </row>
    <row r="2316" spans="1:2" x14ac:dyDescent="0.2">
      <c r="A2316" s="68" t="s">
        <v>3245</v>
      </c>
      <c r="B2316" s="67" t="s">
        <v>4824</v>
      </c>
    </row>
    <row r="2317" spans="1:2" x14ac:dyDescent="0.2">
      <c r="A2317" s="68" t="s">
        <v>3244</v>
      </c>
      <c r="B2317" s="67" t="s">
        <v>4823</v>
      </c>
    </row>
    <row r="2318" spans="1:2" x14ac:dyDescent="0.2">
      <c r="A2318" s="68" t="s">
        <v>3243</v>
      </c>
      <c r="B2318" s="67" t="s">
        <v>4822</v>
      </c>
    </row>
    <row r="2319" spans="1:2" x14ac:dyDescent="0.2">
      <c r="A2319" s="68" t="s">
        <v>3242</v>
      </c>
      <c r="B2319" s="67" t="s">
        <v>4821</v>
      </c>
    </row>
    <row r="2320" spans="1:2" x14ac:dyDescent="0.2">
      <c r="A2320" s="68" t="s">
        <v>3241</v>
      </c>
      <c r="B2320" s="67" t="s">
        <v>4820</v>
      </c>
    </row>
    <row r="2321" spans="1:2" x14ac:dyDescent="0.2">
      <c r="A2321" s="68" t="s">
        <v>3240</v>
      </c>
      <c r="B2321" s="67" t="s">
        <v>4819</v>
      </c>
    </row>
    <row r="2322" spans="1:2" x14ac:dyDescent="0.2">
      <c r="A2322" s="68" t="s">
        <v>3239</v>
      </c>
      <c r="B2322" s="67" t="s">
        <v>4818</v>
      </c>
    </row>
    <row r="2323" spans="1:2" x14ac:dyDescent="0.2">
      <c r="A2323" s="68" t="s">
        <v>3238</v>
      </c>
      <c r="B2323" s="67" t="s">
        <v>4817</v>
      </c>
    </row>
    <row r="2324" spans="1:2" x14ac:dyDescent="0.2">
      <c r="A2324" s="68" t="s">
        <v>3237</v>
      </c>
      <c r="B2324" s="67" t="s">
        <v>4816</v>
      </c>
    </row>
    <row r="2325" spans="1:2" x14ac:dyDescent="0.2">
      <c r="A2325" s="68" t="s">
        <v>3236</v>
      </c>
      <c r="B2325" s="67" t="s">
        <v>4815</v>
      </c>
    </row>
    <row r="2326" spans="1:2" x14ac:dyDescent="0.2">
      <c r="A2326" s="68" t="s">
        <v>3235</v>
      </c>
      <c r="B2326" s="67" t="s">
        <v>4814</v>
      </c>
    </row>
    <row r="2327" spans="1:2" x14ac:dyDescent="0.2">
      <c r="A2327" s="68" t="s">
        <v>1798</v>
      </c>
      <c r="B2327" s="67" t="s">
        <v>4813</v>
      </c>
    </row>
    <row r="2328" spans="1:2" x14ac:dyDescent="0.2">
      <c r="A2328" s="68" t="s">
        <v>3234</v>
      </c>
      <c r="B2328" s="67" t="s">
        <v>4812</v>
      </c>
    </row>
    <row r="2329" spans="1:2" x14ac:dyDescent="0.2">
      <c r="A2329" s="68" t="s">
        <v>3233</v>
      </c>
      <c r="B2329" s="67" t="s">
        <v>4811</v>
      </c>
    </row>
    <row r="2330" spans="1:2" x14ac:dyDescent="0.2">
      <c r="A2330" s="68" t="s">
        <v>3232</v>
      </c>
      <c r="B2330" s="67" t="s">
        <v>4810</v>
      </c>
    </row>
    <row r="2331" spans="1:2" x14ac:dyDescent="0.2">
      <c r="A2331" s="68" t="s">
        <v>3231</v>
      </c>
      <c r="B2331" s="67" t="s">
        <v>4809</v>
      </c>
    </row>
    <row r="2332" spans="1:2" x14ac:dyDescent="0.2">
      <c r="A2332" s="68" t="s">
        <v>3230</v>
      </c>
      <c r="B2332" s="67" t="s">
        <v>4808</v>
      </c>
    </row>
    <row r="2333" spans="1:2" x14ac:dyDescent="0.2">
      <c r="A2333" s="68" t="s">
        <v>3229</v>
      </c>
      <c r="B2333" s="67" t="s">
        <v>4807</v>
      </c>
    </row>
    <row r="2334" spans="1:2" x14ac:dyDescent="0.2">
      <c r="A2334" s="68" t="s">
        <v>3228</v>
      </c>
      <c r="B2334" s="67" t="s">
        <v>4806</v>
      </c>
    </row>
    <row r="2335" spans="1:2" x14ac:dyDescent="0.2">
      <c r="A2335" s="68" t="s">
        <v>3227</v>
      </c>
      <c r="B2335" s="67" t="s">
        <v>4805</v>
      </c>
    </row>
    <row r="2336" spans="1:2" x14ac:dyDescent="0.2">
      <c r="A2336" s="68" t="s">
        <v>3226</v>
      </c>
      <c r="B2336" s="67" t="s">
        <v>4804</v>
      </c>
    </row>
    <row r="2337" spans="1:2" x14ac:dyDescent="0.2">
      <c r="A2337" s="68" t="s">
        <v>3225</v>
      </c>
      <c r="B2337" s="67" t="s">
        <v>4803</v>
      </c>
    </row>
    <row r="2338" spans="1:2" x14ac:dyDescent="0.2">
      <c r="A2338" s="68" t="s">
        <v>3224</v>
      </c>
      <c r="B2338" s="67" t="s">
        <v>4802</v>
      </c>
    </row>
    <row r="2339" spans="1:2" x14ac:dyDescent="0.2">
      <c r="A2339" s="68" t="s">
        <v>3223</v>
      </c>
      <c r="B2339" s="67" t="s">
        <v>4801</v>
      </c>
    </row>
    <row r="2340" spans="1:2" x14ac:dyDescent="0.2">
      <c r="A2340" s="68" t="s">
        <v>3222</v>
      </c>
      <c r="B2340" s="67" t="s">
        <v>4800</v>
      </c>
    </row>
    <row r="2341" spans="1:2" x14ac:dyDescent="0.2">
      <c r="A2341" s="68" t="s">
        <v>3221</v>
      </c>
      <c r="B2341" s="67" t="s">
        <v>4799</v>
      </c>
    </row>
    <row r="2342" spans="1:2" x14ac:dyDescent="0.2">
      <c r="A2342" s="68" t="s">
        <v>3220</v>
      </c>
      <c r="B2342" s="67" t="s">
        <v>4798</v>
      </c>
    </row>
    <row r="2343" spans="1:2" x14ac:dyDescent="0.2">
      <c r="A2343" s="68" t="s">
        <v>3219</v>
      </c>
      <c r="B2343" s="67" t="s">
        <v>4797</v>
      </c>
    </row>
    <row r="2344" spans="1:2" x14ac:dyDescent="0.2">
      <c r="A2344" s="68" t="s">
        <v>3218</v>
      </c>
      <c r="B2344" s="67" t="s">
        <v>4796</v>
      </c>
    </row>
    <row r="2345" spans="1:2" x14ac:dyDescent="0.2">
      <c r="A2345" s="68" t="s">
        <v>3217</v>
      </c>
      <c r="B2345" s="67" t="s">
        <v>4795</v>
      </c>
    </row>
    <row r="2346" spans="1:2" x14ac:dyDescent="0.2">
      <c r="A2346" s="68" t="s">
        <v>3216</v>
      </c>
      <c r="B2346" s="67" t="s">
        <v>4794</v>
      </c>
    </row>
    <row r="2347" spans="1:2" x14ac:dyDescent="0.2">
      <c r="A2347" s="68" t="s">
        <v>3215</v>
      </c>
      <c r="B2347" s="67" t="s">
        <v>4793</v>
      </c>
    </row>
    <row r="2348" spans="1:2" x14ac:dyDescent="0.2">
      <c r="A2348" s="68" t="s">
        <v>3214</v>
      </c>
      <c r="B2348" s="67" t="s">
        <v>4792</v>
      </c>
    </row>
    <row r="2349" spans="1:2" x14ac:dyDescent="0.2">
      <c r="A2349" s="68" t="s">
        <v>3213</v>
      </c>
      <c r="B2349" s="67" t="s">
        <v>4791</v>
      </c>
    </row>
    <row r="2350" spans="1:2" x14ac:dyDescent="0.2">
      <c r="A2350" s="68" t="s">
        <v>3212</v>
      </c>
      <c r="B2350" s="67" t="s">
        <v>4790</v>
      </c>
    </row>
    <row r="2351" spans="1:2" x14ac:dyDescent="0.2">
      <c r="A2351" s="68" t="s">
        <v>3211</v>
      </c>
      <c r="B2351" s="67" t="s">
        <v>4789</v>
      </c>
    </row>
    <row r="2352" spans="1:2" x14ac:dyDescent="0.2">
      <c r="A2352" s="68" t="s">
        <v>3210</v>
      </c>
      <c r="B2352" s="67" t="s">
        <v>4788</v>
      </c>
    </row>
    <row r="2353" spans="1:2" x14ac:dyDescent="0.2">
      <c r="A2353" s="68" t="s">
        <v>3209</v>
      </c>
      <c r="B2353" s="67" t="s">
        <v>4787</v>
      </c>
    </row>
    <row r="2354" spans="1:2" x14ac:dyDescent="0.2">
      <c r="A2354" s="68" t="s">
        <v>3208</v>
      </c>
      <c r="B2354" s="67" t="s">
        <v>4786</v>
      </c>
    </row>
    <row r="2355" spans="1:2" x14ac:dyDescent="0.2">
      <c r="A2355" s="68" t="s">
        <v>3207</v>
      </c>
      <c r="B2355" s="67" t="s">
        <v>4785</v>
      </c>
    </row>
    <row r="2356" spans="1:2" x14ac:dyDescent="0.2">
      <c r="A2356" s="68" t="s">
        <v>3206</v>
      </c>
      <c r="B2356" s="67" t="s">
        <v>4784</v>
      </c>
    </row>
    <row r="2357" spans="1:2" x14ac:dyDescent="0.2">
      <c r="A2357" s="68" t="s">
        <v>3205</v>
      </c>
      <c r="B2357" s="67" t="s">
        <v>4783</v>
      </c>
    </row>
    <row r="2358" spans="1:2" x14ac:dyDescent="0.2">
      <c r="A2358" s="68" t="s">
        <v>3204</v>
      </c>
      <c r="B2358" s="67" t="s">
        <v>4782</v>
      </c>
    </row>
    <row r="2359" spans="1:2" x14ac:dyDescent="0.2">
      <c r="A2359" s="68" t="s">
        <v>3203</v>
      </c>
      <c r="B2359" s="67" t="s">
        <v>4781</v>
      </c>
    </row>
    <row r="2360" spans="1:2" x14ac:dyDescent="0.2">
      <c r="A2360" s="68" t="s">
        <v>3202</v>
      </c>
      <c r="B2360" s="67" t="s">
        <v>4780</v>
      </c>
    </row>
    <row r="2361" spans="1:2" x14ac:dyDescent="0.2">
      <c r="A2361" s="68" t="s">
        <v>3201</v>
      </c>
      <c r="B2361" s="67" t="s">
        <v>4779</v>
      </c>
    </row>
    <row r="2362" spans="1:2" x14ac:dyDescent="0.2">
      <c r="A2362" s="68" t="s">
        <v>3200</v>
      </c>
      <c r="B2362" s="67" t="s">
        <v>4778</v>
      </c>
    </row>
    <row r="2363" spans="1:2" x14ac:dyDescent="0.2">
      <c r="A2363" s="68" t="s">
        <v>3199</v>
      </c>
      <c r="B2363" s="67" t="s">
        <v>4777</v>
      </c>
    </row>
    <row r="2364" spans="1:2" x14ac:dyDescent="0.2">
      <c r="A2364" s="68" t="s">
        <v>3198</v>
      </c>
      <c r="B2364" s="67" t="s">
        <v>4776</v>
      </c>
    </row>
    <row r="2365" spans="1:2" x14ac:dyDescent="0.2">
      <c r="A2365" s="68" t="s">
        <v>3197</v>
      </c>
      <c r="B2365" s="67" t="s">
        <v>4775</v>
      </c>
    </row>
    <row r="2366" spans="1:2" x14ac:dyDescent="0.2">
      <c r="A2366" s="68" t="s">
        <v>3196</v>
      </c>
      <c r="B2366" s="67" t="s">
        <v>4774</v>
      </c>
    </row>
    <row r="2367" spans="1:2" x14ac:dyDescent="0.2">
      <c r="A2367" s="68" t="s">
        <v>3195</v>
      </c>
      <c r="B2367" s="67" t="s">
        <v>4773</v>
      </c>
    </row>
    <row r="2368" spans="1:2" x14ac:dyDescent="0.2">
      <c r="A2368" s="68" t="s">
        <v>3194</v>
      </c>
      <c r="B2368" s="67" t="s">
        <v>4772</v>
      </c>
    </row>
    <row r="2369" spans="1:2" x14ac:dyDescent="0.2">
      <c r="A2369" s="68" t="s">
        <v>3193</v>
      </c>
      <c r="B2369" s="67" t="s">
        <v>4771</v>
      </c>
    </row>
    <row r="2370" spans="1:2" x14ac:dyDescent="0.2">
      <c r="A2370" s="68" t="s">
        <v>3192</v>
      </c>
      <c r="B2370" s="67" t="s">
        <v>4770</v>
      </c>
    </row>
    <row r="2371" spans="1:2" x14ac:dyDescent="0.2">
      <c r="A2371" s="68" t="s">
        <v>3191</v>
      </c>
      <c r="B2371" s="67" t="s">
        <v>4769</v>
      </c>
    </row>
    <row r="2372" spans="1:2" x14ac:dyDescent="0.2">
      <c r="A2372" s="68" t="s">
        <v>3190</v>
      </c>
      <c r="B2372" s="67" t="s">
        <v>4768</v>
      </c>
    </row>
    <row r="2373" spans="1:2" x14ac:dyDescent="0.2">
      <c r="A2373" s="68" t="s">
        <v>3189</v>
      </c>
      <c r="B2373" s="67" t="s">
        <v>4767</v>
      </c>
    </row>
    <row r="2374" spans="1:2" x14ac:dyDescent="0.2">
      <c r="A2374" s="68" t="s">
        <v>3188</v>
      </c>
      <c r="B2374" s="67" t="s">
        <v>4766</v>
      </c>
    </row>
    <row r="2375" spans="1:2" x14ac:dyDescent="0.2">
      <c r="A2375" s="68" t="s">
        <v>3187</v>
      </c>
      <c r="B2375" s="67" t="s">
        <v>4765</v>
      </c>
    </row>
    <row r="2376" spans="1:2" x14ac:dyDescent="0.2">
      <c r="A2376" s="68" t="s">
        <v>3186</v>
      </c>
      <c r="B2376" s="67" t="s">
        <v>4764</v>
      </c>
    </row>
    <row r="2377" spans="1:2" x14ac:dyDescent="0.2">
      <c r="A2377" s="68" t="s">
        <v>3185</v>
      </c>
      <c r="B2377" s="67" t="s">
        <v>4763</v>
      </c>
    </row>
    <row r="2378" spans="1:2" x14ac:dyDescent="0.2">
      <c r="A2378" s="68" t="s">
        <v>3184</v>
      </c>
      <c r="B2378" s="67" t="s">
        <v>4762</v>
      </c>
    </row>
    <row r="2379" spans="1:2" x14ac:dyDescent="0.2">
      <c r="A2379" s="68" t="s">
        <v>3183</v>
      </c>
      <c r="B2379" s="67" t="s">
        <v>4761</v>
      </c>
    </row>
    <row r="2380" spans="1:2" x14ac:dyDescent="0.2">
      <c r="A2380" s="68" t="s">
        <v>3182</v>
      </c>
      <c r="B2380" s="67" t="s">
        <v>4760</v>
      </c>
    </row>
    <row r="2381" spans="1:2" x14ac:dyDescent="0.2">
      <c r="A2381" s="68" t="s">
        <v>3181</v>
      </c>
      <c r="B2381" s="67" t="s">
        <v>4759</v>
      </c>
    </row>
    <row r="2382" spans="1:2" x14ac:dyDescent="0.2">
      <c r="A2382" s="68" t="s">
        <v>3180</v>
      </c>
      <c r="B2382" s="67" t="s">
        <v>4758</v>
      </c>
    </row>
    <row r="2383" spans="1:2" x14ac:dyDescent="0.2">
      <c r="A2383" s="68" t="s">
        <v>3179</v>
      </c>
      <c r="B2383" s="67" t="s">
        <v>4757</v>
      </c>
    </row>
    <row r="2384" spans="1:2" x14ac:dyDescent="0.2">
      <c r="A2384" s="68" t="s">
        <v>3178</v>
      </c>
      <c r="B2384" s="67" t="s">
        <v>4756</v>
      </c>
    </row>
    <row r="2385" spans="1:2" x14ac:dyDescent="0.2">
      <c r="A2385" s="68" t="s">
        <v>3177</v>
      </c>
      <c r="B2385" s="67" t="s">
        <v>4755</v>
      </c>
    </row>
    <row r="2386" spans="1:2" x14ac:dyDescent="0.2">
      <c r="A2386" s="68" t="s">
        <v>3176</v>
      </c>
      <c r="B2386" s="67" t="s">
        <v>4754</v>
      </c>
    </row>
    <row r="2387" spans="1:2" x14ac:dyDescent="0.2">
      <c r="A2387" s="68" t="s">
        <v>3175</v>
      </c>
      <c r="B2387" s="67" t="s">
        <v>4753</v>
      </c>
    </row>
    <row r="2388" spans="1:2" x14ac:dyDescent="0.2">
      <c r="A2388" s="68" t="s">
        <v>3174</v>
      </c>
      <c r="B2388" s="67" t="s">
        <v>4752</v>
      </c>
    </row>
    <row r="2389" spans="1:2" x14ac:dyDescent="0.2">
      <c r="A2389" s="68" t="s">
        <v>3173</v>
      </c>
      <c r="B2389" s="67" t="s">
        <v>4751</v>
      </c>
    </row>
    <row r="2390" spans="1:2" x14ac:dyDescent="0.2">
      <c r="A2390" s="68" t="s">
        <v>3172</v>
      </c>
      <c r="B2390" s="67" t="s">
        <v>4750</v>
      </c>
    </row>
    <row r="2391" spans="1:2" x14ac:dyDescent="0.2">
      <c r="A2391" s="68" t="s">
        <v>3171</v>
      </c>
      <c r="B2391" s="67" t="s">
        <v>4749</v>
      </c>
    </row>
    <row r="2392" spans="1:2" x14ac:dyDescent="0.2">
      <c r="A2392" s="68" t="s">
        <v>3170</v>
      </c>
      <c r="B2392" s="67" t="s">
        <v>4748</v>
      </c>
    </row>
    <row r="2393" spans="1:2" x14ac:dyDescent="0.2">
      <c r="A2393" s="68" t="s">
        <v>3169</v>
      </c>
      <c r="B2393" s="67" t="s">
        <v>4747</v>
      </c>
    </row>
    <row r="2394" spans="1:2" x14ac:dyDescent="0.2">
      <c r="A2394" s="68" t="s">
        <v>3168</v>
      </c>
      <c r="B2394" s="67" t="s">
        <v>4746</v>
      </c>
    </row>
    <row r="2395" spans="1:2" x14ac:dyDescent="0.2">
      <c r="A2395" s="68" t="s">
        <v>3167</v>
      </c>
      <c r="B2395" s="67" t="s">
        <v>4745</v>
      </c>
    </row>
    <row r="2396" spans="1:2" x14ac:dyDescent="0.2">
      <c r="A2396" s="68" t="s">
        <v>3166</v>
      </c>
      <c r="B2396" s="67" t="s">
        <v>4744</v>
      </c>
    </row>
    <row r="2397" spans="1:2" x14ac:dyDescent="0.2">
      <c r="A2397" s="68" t="s">
        <v>3165</v>
      </c>
      <c r="B2397" s="67" t="s">
        <v>4743</v>
      </c>
    </row>
    <row r="2398" spans="1:2" x14ac:dyDescent="0.2">
      <c r="A2398" s="68" t="s">
        <v>3164</v>
      </c>
      <c r="B2398" s="67" t="s">
        <v>4742</v>
      </c>
    </row>
    <row r="2399" spans="1:2" x14ac:dyDescent="0.2">
      <c r="A2399" s="68" t="s">
        <v>3163</v>
      </c>
      <c r="B2399" s="67" t="s">
        <v>4741</v>
      </c>
    </row>
    <row r="2400" spans="1:2" x14ac:dyDescent="0.2">
      <c r="A2400" s="68" t="s">
        <v>3162</v>
      </c>
      <c r="B2400" s="67" t="s">
        <v>4740</v>
      </c>
    </row>
    <row r="2401" spans="1:2" x14ac:dyDescent="0.2">
      <c r="A2401" s="68" t="s">
        <v>3161</v>
      </c>
      <c r="B2401" s="67" t="s">
        <v>4739</v>
      </c>
    </row>
    <row r="2402" spans="1:2" x14ac:dyDescent="0.2">
      <c r="A2402" s="68" t="s">
        <v>3160</v>
      </c>
      <c r="B2402" s="67" t="s">
        <v>4738</v>
      </c>
    </row>
    <row r="2403" spans="1:2" x14ac:dyDescent="0.2">
      <c r="A2403" s="68" t="s">
        <v>3159</v>
      </c>
      <c r="B2403" s="67" t="s">
        <v>4737</v>
      </c>
    </row>
    <row r="2404" spans="1:2" x14ac:dyDescent="0.2">
      <c r="A2404" s="68" t="s">
        <v>3158</v>
      </c>
      <c r="B2404" s="67" t="s">
        <v>4736</v>
      </c>
    </row>
    <row r="2405" spans="1:2" x14ac:dyDescent="0.2">
      <c r="A2405" s="68" t="s">
        <v>3157</v>
      </c>
      <c r="B2405" s="67" t="s">
        <v>4735</v>
      </c>
    </row>
    <row r="2406" spans="1:2" x14ac:dyDescent="0.2">
      <c r="A2406" s="68" t="s">
        <v>3156</v>
      </c>
      <c r="B2406" s="67" t="s">
        <v>4734</v>
      </c>
    </row>
    <row r="2407" spans="1:2" x14ac:dyDescent="0.2">
      <c r="A2407" s="68" t="s">
        <v>3155</v>
      </c>
      <c r="B2407" s="67" t="s">
        <v>4733</v>
      </c>
    </row>
    <row r="2408" spans="1:2" x14ac:dyDescent="0.2">
      <c r="A2408" s="68" t="s">
        <v>3154</v>
      </c>
      <c r="B2408" s="67" t="s">
        <v>4732</v>
      </c>
    </row>
    <row r="2409" spans="1:2" x14ac:dyDescent="0.2">
      <c r="A2409" s="68" t="s">
        <v>3153</v>
      </c>
      <c r="B2409" s="67" t="s">
        <v>4731</v>
      </c>
    </row>
    <row r="2410" spans="1:2" x14ac:dyDescent="0.2">
      <c r="A2410" s="68" t="s">
        <v>3152</v>
      </c>
      <c r="B2410" s="67" t="s">
        <v>4730</v>
      </c>
    </row>
    <row r="2411" spans="1:2" x14ac:dyDescent="0.2">
      <c r="A2411" s="68" t="s">
        <v>3151</v>
      </c>
      <c r="B2411" s="67" t="s">
        <v>4729</v>
      </c>
    </row>
    <row r="2412" spans="1:2" x14ac:dyDescent="0.2">
      <c r="A2412" s="68" t="s">
        <v>3150</v>
      </c>
      <c r="B2412" s="67" t="s">
        <v>4728</v>
      </c>
    </row>
    <row r="2413" spans="1:2" x14ac:dyDescent="0.2">
      <c r="A2413" s="68" t="s">
        <v>3149</v>
      </c>
      <c r="B2413" s="67" t="s">
        <v>4727</v>
      </c>
    </row>
    <row r="2414" spans="1:2" x14ac:dyDescent="0.2">
      <c r="A2414" s="68" t="s">
        <v>3148</v>
      </c>
      <c r="B2414" s="67" t="s">
        <v>4726</v>
      </c>
    </row>
    <row r="2415" spans="1:2" x14ac:dyDescent="0.2">
      <c r="A2415" s="68" t="s">
        <v>3147</v>
      </c>
      <c r="B2415" s="67" t="s">
        <v>4725</v>
      </c>
    </row>
    <row r="2416" spans="1:2" x14ac:dyDescent="0.2">
      <c r="A2416" s="68" t="s">
        <v>3146</v>
      </c>
      <c r="B2416" s="67" t="s">
        <v>4724</v>
      </c>
    </row>
    <row r="2417" spans="1:2" x14ac:dyDescent="0.2">
      <c r="A2417" s="68" t="s">
        <v>3145</v>
      </c>
      <c r="B2417" s="67" t="s">
        <v>4723</v>
      </c>
    </row>
    <row r="2418" spans="1:2" x14ac:dyDescent="0.2">
      <c r="A2418" s="68" t="s">
        <v>3144</v>
      </c>
      <c r="B2418" s="67" t="s">
        <v>4722</v>
      </c>
    </row>
    <row r="2419" spans="1:2" x14ac:dyDescent="0.2">
      <c r="A2419" s="68" t="s">
        <v>3143</v>
      </c>
      <c r="B2419" s="67" t="s">
        <v>4721</v>
      </c>
    </row>
    <row r="2420" spans="1:2" x14ac:dyDescent="0.2">
      <c r="A2420" s="68" t="s">
        <v>3142</v>
      </c>
      <c r="B2420" s="67" t="s">
        <v>4720</v>
      </c>
    </row>
    <row r="2421" spans="1:2" x14ac:dyDescent="0.2">
      <c r="A2421" s="68" t="s">
        <v>3141</v>
      </c>
      <c r="B2421" s="67" t="s">
        <v>4719</v>
      </c>
    </row>
    <row r="2422" spans="1:2" x14ac:dyDescent="0.2">
      <c r="A2422" s="68" t="s">
        <v>3140</v>
      </c>
      <c r="B2422" s="67" t="s">
        <v>4718</v>
      </c>
    </row>
    <row r="2423" spans="1:2" x14ac:dyDescent="0.2">
      <c r="A2423" s="68" t="s">
        <v>3139</v>
      </c>
      <c r="B2423" s="67" t="s">
        <v>4717</v>
      </c>
    </row>
    <row r="2424" spans="1:2" x14ac:dyDescent="0.2">
      <c r="A2424" s="68" t="s">
        <v>3138</v>
      </c>
      <c r="B2424" s="67" t="s">
        <v>4716</v>
      </c>
    </row>
    <row r="2425" spans="1:2" x14ac:dyDescent="0.2">
      <c r="A2425" s="68" t="s">
        <v>3137</v>
      </c>
      <c r="B2425" s="67" t="s">
        <v>4715</v>
      </c>
    </row>
    <row r="2426" spans="1:2" x14ac:dyDescent="0.2">
      <c r="A2426" s="68" t="s">
        <v>3136</v>
      </c>
      <c r="B2426" s="67" t="s">
        <v>4714</v>
      </c>
    </row>
    <row r="2427" spans="1:2" x14ac:dyDescent="0.2">
      <c r="A2427" s="68" t="s">
        <v>3135</v>
      </c>
      <c r="B2427" s="67" t="s">
        <v>4713</v>
      </c>
    </row>
    <row r="2428" spans="1:2" x14ac:dyDescent="0.2">
      <c r="A2428" s="68" t="s">
        <v>3134</v>
      </c>
      <c r="B2428" s="67" t="s">
        <v>4712</v>
      </c>
    </row>
    <row r="2429" spans="1:2" x14ac:dyDescent="0.2">
      <c r="A2429" s="68" t="s">
        <v>3133</v>
      </c>
      <c r="B2429" s="67" t="s">
        <v>4711</v>
      </c>
    </row>
    <row r="2430" spans="1:2" x14ac:dyDescent="0.2">
      <c r="A2430" s="68" t="s">
        <v>3132</v>
      </c>
      <c r="B2430" s="67" t="s">
        <v>4710</v>
      </c>
    </row>
    <row r="2431" spans="1:2" x14ac:dyDescent="0.2">
      <c r="A2431" s="68" t="s">
        <v>3131</v>
      </c>
      <c r="B2431" s="67" t="s">
        <v>4709</v>
      </c>
    </row>
    <row r="2432" spans="1:2" x14ac:dyDescent="0.2">
      <c r="A2432" s="68" t="s">
        <v>3130</v>
      </c>
      <c r="B2432" s="67" t="s">
        <v>4708</v>
      </c>
    </row>
    <row r="2433" spans="1:2" x14ac:dyDescent="0.2">
      <c r="A2433" s="68" t="s">
        <v>3129</v>
      </c>
      <c r="B2433" s="67" t="s">
        <v>4707</v>
      </c>
    </row>
    <row r="2434" spans="1:2" x14ac:dyDescent="0.2">
      <c r="A2434" s="68" t="s">
        <v>3128</v>
      </c>
      <c r="B2434" s="67" t="s">
        <v>4706</v>
      </c>
    </row>
    <row r="2435" spans="1:2" x14ac:dyDescent="0.2">
      <c r="A2435" s="68" t="s">
        <v>3127</v>
      </c>
      <c r="B2435" s="67" t="s">
        <v>4705</v>
      </c>
    </row>
    <row r="2436" spans="1:2" x14ac:dyDescent="0.2">
      <c r="A2436" s="68" t="s">
        <v>3126</v>
      </c>
      <c r="B2436" s="67" t="s">
        <v>4704</v>
      </c>
    </row>
    <row r="2437" spans="1:2" x14ac:dyDescent="0.2">
      <c r="A2437" s="68" t="s">
        <v>3125</v>
      </c>
      <c r="B2437" s="67" t="s">
        <v>4703</v>
      </c>
    </row>
    <row r="2438" spans="1:2" x14ac:dyDescent="0.2">
      <c r="A2438" s="68" t="s">
        <v>3124</v>
      </c>
      <c r="B2438" s="67" t="s">
        <v>4702</v>
      </c>
    </row>
    <row r="2439" spans="1:2" x14ac:dyDescent="0.2">
      <c r="A2439" s="68" t="s">
        <v>3123</v>
      </c>
      <c r="B2439" s="67" t="s">
        <v>4701</v>
      </c>
    </row>
    <row r="2440" spans="1:2" x14ac:dyDescent="0.2">
      <c r="A2440" s="68" t="s">
        <v>3122</v>
      </c>
      <c r="B2440" s="67" t="s">
        <v>4700</v>
      </c>
    </row>
    <row r="2441" spans="1:2" x14ac:dyDescent="0.2">
      <c r="A2441" s="68" t="s">
        <v>3121</v>
      </c>
      <c r="B2441" s="67" t="s">
        <v>4699</v>
      </c>
    </row>
    <row r="2442" spans="1:2" x14ac:dyDescent="0.2">
      <c r="A2442" s="68" t="s">
        <v>3120</v>
      </c>
      <c r="B2442" s="67" t="s">
        <v>4698</v>
      </c>
    </row>
    <row r="2443" spans="1:2" x14ac:dyDescent="0.2">
      <c r="A2443" s="68" t="s">
        <v>3119</v>
      </c>
      <c r="B2443" s="67" t="s">
        <v>4697</v>
      </c>
    </row>
    <row r="2444" spans="1:2" x14ac:dyDescent="0.2">
      <c r="A2444" s="68" t="s">
        <v>3118</v>
      </c>
      <c r="B2444" s="67" t="s">
        <v>4696</v>
      </c>
    </row>
    <row r="2445" spans="1:2" x14ac:dyDescent="0.2">
      <c r="A2445" s="68" t="s">
        <v>3117</v>
      </c>
      <c r="B2445" s="67" t="s">
        <v>4695</v>
      </c>
    </row>
    <row r="2446" spans="1:2" x14ac:dyDescent="0.2">
      <c r="A2446" s="68" t="s">
        <v>3116</v>
      </c>
      <c r="B2446" s="67" t="s">
        <v>4694</v>
      </c>
    </row>
    <row r="2447" spans="1:2" x14ac:dyDescent="0.2">
      <c r="A2447" s="68" t="s">
        <v>3115</v>
      </c>
      <c r="B2447" s="67" t="s">
        <v>4693</v>
      </c>
    </row>
    <row r="2448" spans="1:2" x14ac:dyDescent="0.2">
      <c r="A2448" s="68" t="s">
        <v>3114</v>
      </c>
      <c r="B2448" s="67" t="s">
        <v>4692</v>
      </c>
    </row>
    <row r="2449" spans="1:2" x14ac:dyDescent="0.2">
      <c r="A2449" s="68" t="s">
        <v>3113</v>
      </c>
      <c r="B2449" s="67" t="s">
        <v>4691</v>
      </c>
    </row>
    <row r="2450" spans="1:2" x14ac:dyDescent="0.2">
      <c r="A2450" s="68" t="s">
        <v>3112</v>
      </c>
      <c r="B2450" s="67" t="s">
        <v>4690</v>
      </c>
    </row>
    <row r="2451" spans="1:2" x14ac:dyDescent="0.2">
      <c r="A2451" s="68" t="s">
        <v>3111</v>
      </c>
      <c r="B2451" s="67" t="s">
        <v>4689</v>
      </c>
    </row>
    <row r="2452" spans="1:2" x14ac:dyDescent="0.2">
      <c r="A2452" s="68" t="s">
        <v>3110</v>
      </c>
      <c r="B2452" s="67" t="s">
        <v>4688</v>
      </c>
    </row>
    <row r="2453" spans="1:2" x14ac:dyDescent="0.2">
      <c r="A2453" s="68" t="s">
        <v>3109</v>
      </c>
      <c r="B2453" s="67" t="s">
        <v>4687</v>
      </c>
    </row>
    <row r="2454" spans="1:2" x14ac:dyDescent="0.2">
      <c r="A2454" s="68" t="s">
        <v>3108</v>
      </c>
      <c r="B2454" s="67" t="s">
        <v>4686</v>
      </c>
    </row>
    <row r="2455" spans="1:2" x14ac:dyDescent="0.2">
      <c r="A2455" s="68" t="s">
        <v>3107</v>
      </c>
      <c r="B2455" s="67" t="s">
        <v>4685</v>
      </c>
    </row>
    <row r="2456" spans="1:2" x14ac:dyDescent="0.2">
      <c r="A2456" s="68" t="s">
        <v>3106</v>
      </c>
      <c r="B2456" s="67" t="s">
        <v>4684</v>
      </c>
    </row>
    <row r="2457" spans="1:2" x14ac:dyDescent="0.2">
      <c r="A2457" s="68" t="s">
        <v>3105</v>
      </c>
      <c r="B2457" s="67" t="s">
        <v>4683</v>
      </c>
    </row>
    <row r="2458" spans="1:2" x14ac:dyDescent="0.2">
      <c r="A2458" s="68" t="s">
        <v>3104</v>
      </c>
      <c r="B2458" s="67" t="s">
        <v>4682</v>
      </c>
    </row>
    <row r="2459" spans="1:2" x14ac:dyDescent="0.2">
      <c r="A2459" s="68" t="s">
        <v>3103</v>
      </c>
      <c r="B2459" s="67" t="s">
        <v>4681</v>
      </c>
    </row>
    <row r="2460" spans="1:2" x14ac:dyDescent="0.2">
      <c r="A2460" s="68" t="s">
        <v>3102</v>
      </c>
      <c r="B2460" s="67" t="s">
        <v>4680</v>
      </c>
    </row>
    <row r="2461" spans="1:2" x14ac:dyDescent="0.2">
      <c r="A2461" s="68" t="s">
        <v>3101</v>
      </c>
      <c r="B2461" s="67" t="s">
        <v>4679</v>
      </c>
    </row>
    <row r="2462" spans="1:2" x14ac:dyDescent="0.2">
      <c r="A2462" s="68" t="s">
        <v>3100</v>
      </c>
      <c r="B2462" s="67" t="s">
        <v>4678</v>
      </c>
    </row>
    <row r="2463" spans="1:2" x14ac:dyDescent="0.2">
      <c r="A2463" s="68" t="s">
        <v>3099</v>
      </c>
      <c r="B2463" s="67" t="s">
        <v>4677</v>
      </c>
    </row>
    <row r="2464" spans="1:2" x14ac:dyDescent="0.2">
      <c r="A2464" s="68" t="s">
        <v>3098</v>
      </c>
      <c r="B2464" s="67" t="s">
        <v>4676</v>
      </c>
    </row>
    <row r="2465" spans="1:2" x14ac:dyDescent="0.2">
      <c r="A2465" s="68" t="s">
        <v>3097</v>
      </c>
      <c r="B2465" s="67" t="s">
        <v>4675</v>
      </c>
    </row>
    <row r="2466" spans="1:2" x14ac:dyDescent="0.2">
      <c r="A2466" s="68" t="s">
        <v>3096</v>
      </c>
      <c r="B2466" s="67" t="s">
        <v>4674</v>
      </c>
    </row>
    <row r="2467" spans="1:2" x14ac:dyDescent="0.2">
      <c r="A2467" s="68" t="s">
        <v>3095</v>
      </c>
      <c r="B2467" s="67" t="s">
        <v>4673</v>
      </c>
    </row>
    <row r="2468" spans="1:2" x14ac:dyDescent="0.2">
      <c r="A2468" s="68" t="s">
        <v>3094</v>
      </c>
      <c r="B2468" s="67" t="s">
        <v>4672</v>
      </c>
    </row>
    <row r="2469" spans="1:2" x14ac:dyDescent="0.2">
      <c r="A2469" s="68" t="s">
        <v>3093</v>
      </c>
      <c r="B2469" s="67" t="s">
        <v>4671</v>
      </c>
    </row>
    <row r="2470" spans="1:2" x14ac:dyDescent="0.2">
      <c r="A2470" s="68" t="s">
        <v>3092</v>
      </c>
      <c r="B2470" s="67" t="s">
        <v>4670</v>
      </c>
    </row>
    <row r="2471" spans="1:2" x14ac:dyDescent="0.2">
      <c r="A2471" s="68" t="s">
        <v>3091</v>
      </c>
      <c r="B2471" s="67" t="s">
        <v>4669</v>
      </c>
    </row>
    <row r="2472" spans="1:2" x14ac:dyDescent="0.2">
      <c r="A2472" s="68" t="s">
        <v>3090</v>
      </c>
      <c r="B2472" s="67" t="s">
        <v>4668</v>
      </c>
    </row>
    <row r="2473" spans="1:2" x14ac:dyDescent="0.2">
      <c r="A2473" s="68" t="s">
        <v>3089</v>
      </c>
      <c r="B2473" s="67" t="s">
        <v>4667</v>
      </c>
    </row>
    <row r="2474" spans="1:2" x14ac:dyDescent="0.2">
      <c r="A2474" s="68" t="s">
        <v>3088</v>
      </c>
      <c r="B2474" s="67" t="s">
        <v>4666</v>
      </c>
    </row>
    <row r="2475" spans="1:2" x14ac:dyDescent="0.2">
      <c r="A2475" s="68" t="s">
        <v>3087</v>
      </c>
      <c r="B2475" s="67" t="s">
        <v>4665</v>
      </c>
    </row>
    <row r="2476" spans="1:2" x14ac:dyDescent="0.2">
      <c r="A2476" s="68" t="s">
        <v>3086</v>
      </c>
      <c r="B2476" s="67" t="s">
        <v>4664</v>
      </c>
    </row>
    <row r="2477" spans="1:2" x14ac:dyDescent="0.2">
      <c r="A2477" s="68" t="s">
        <v>3085</v>
      </c>
      <c r="B2477" s="67" t="s">
        <v>4663</v>
      </c>
    </row>
    <row r="2478" spans="1:2" x14ac:dyDescent="0.2">
      <c r="A2478" s="68" t="s">
        <v>3084</v>
      </c>
      <c r="B2478" s="67" t="s">
        <v>4662</v>
      </c>
    </row>
    <row r="2479" spans="1:2" x14ac:dyDescent="0.2">
      <c r="A2479" s="68" t="s">
        <v>3083</v>
      </c>
      <c r="B2479" s="67" t="s">
        <v>4661</v>
      </c>
    </row>
    <row r="2480" spans="1:2" x14ac:dyDescent="0.2">
      <c r="A2480" s="68" t="s">
        <v>3082</v>
      </c>
      <c r="B2480" s="67" t="s">
        <v>4660</v>
      </c>
    </row>
    <row r="2481" spans="1:2" x14ac:dyDescent="0.2">
      <c r="A2481" s="68" t="s">
        <v>3081</v>
      </c>
      <c r="B2481" s="67" t="s">
        <v>4659</v>
      </c>
    </row>
    <row r="2482" spans="1:2" x14ac:dyDescent="0.2">
      <c r="A2482" s="68" t="s">
        <v>3080</v>
      </c>
      <c r="B2482" s="67" t="s">
        <v>4658</v>
      </c>
    </row>
    <row r="2483" spans="1:2" x14ac:dyDescent="0.2">
      <c r="A2483" s="68" t="s">
        <v>3079</v>
      </c>
      <c r="B2483" s="67" t="s">
        <v>4657</v>
      </c>
    </row>
    <row r="2484" spans="1:2" x14ac:dyDescent="0.2">
      <c r="A2484" s="68" t="s">
        <v>3078</v>
      </c>
      <c r="B2484" s="67" t="s">
        <v>4656</v>
      </c>
    </row>
    <row r="2485" spans="1:2" x14ac:dyDescent="0.2">
      <c r="A2485" s="68" t="s">
        <v>3077</v>
      </c>
      <c r="B2485" s="67" t="s">
        <v>4655</v>
      </c>
    </row>
    <row r="2486" spans="1:2" x14ac:dyDescent="0.2">
      <c r="A2486" s="68" t="s">
        <v>3076</v>
      </c>
      <c r="B2486" s="67" t="s">
        <v>4654</v>
      </c>
    </row>
    <row r="2487" spans="1:2" x14ac:dyDescent="0.2">
      <c r="A2487" s="68" t="s">
        <v>3075</v>
      </c>
      <c r="B2487" s="67" t="s">
        <v>4653</v>
      </c>
    </row>
    <row r="2488" spans="1:2" x14ac:dyDescent="0.2">
      <c r="A2488" s="68" t="s">
        <v>3074</v>
      </c>
      <c r="B2488" s="67" t="s">
        <v>4652</v>
      </c>
    </row>
    <row r="2489" spans="1:2" x14ac:dyDescent="0.2">
      <c r="A2489" s="68" t="s">
        <v>3073</v>
      </c>
      <c r="B2489" s="67" t="s">
        <v>4651</v>
      </c>
    </row>
    <row r="2490" spans="1:2" x14ac:dyDescent="0.2">
      <c r="A2490" s="68" t="s">
        <v>3072</v>
      </c>
      <c r="B2490" s="67" t="s">
        <v>4650</v>
      </c>
    </row>
    <row r="2491" spans="1:2" x14ac:dyDescent="0.2">
      <c r="A2491" s="68" t="s">
        <v>3071</v>
      </c>
      <c r="B2491" s="67" t="s">
        <v>4649</v>
      </c>
    </row>
    <row r="2492" spans="1:2" x14ac:dyDescent="0.2">
      <c r="A2492" s="68" t="s">
        <v>3070</v>
      </c>
      <c r="B2492" s="67" t="s">
        <v>4648</v>
      </c>
    </row>
    <row r="2493" spans="1:2" x14ac:dyDescent="0.2">
      <c r="A2493" s="68" t="s">
        <v>3069</v>
      </c>
      <c r="B2493" s="67" t="s">
        <v>4647</v>
      </c>
    </row>
    <row r="2494" spans="1:2" x14ac:dyDescent="0.2">
      <c r="A2494" s="68" t="s">
        <v>3068</v>
      </c>
      <c r="B2494" s="67" t="s">
        <v>4646</v>
      </c>
    </row>
    <row r="2495" spans="1:2" x14ac:dyDescent="0.2">
      <c r="A2495" s="68" t="s">
        <v>3067</v>
      </c>
      <c r="B2495" s="67" t="s">
        <v>4645</v>
      </c>
    </row>
    <row r="2496" spans="1:2" x14ac:dyDescent="0.2">
      <c r="A2496" s="68" t="s">
        <v>3066</v>
      </c>
      <c r="B2496" s="67" t="s">
        <v>4644</v>
      </c>
    </row>
    <row r="2497" spans="1:2" x14ac:dyDescent="0.2">
      <c r="A2497" s="68" t="s">
        <v>3065</v>
      </c>
      <c r="B2497" s="67" t="s">
        <v>4643</v>
      </c>
    </row>
    <row r="2498" spans="1:2" x14ac:dyDescent="0.2">
      <c r="A2498" s="68" t="s">
        <v>3064</v>
      </c>
      <c r="B2498" s="67" t="s">
        <v>4642</v>
      </c>
    </row>
    <row r="2499" spans="1:2" x14ac:dyDescent="0.2">
      <c r="A2499" s="68" t="s">
        <v>3063</v>
      </c>
      <c r="B2499" s="67" t="s">
        <v>4641</v>
      </c>
    </row>
    <row r="2500" spans="1:2" x14ac:dyDescent="0.2">
      <c r="A2500" s="68" t="s">
        <v>3062</v>
      </c>
      <c r="B2500" s="67" t="s">
        <v>4640</v>
      </c>
    </row>
    <row r="2501" spans="1:2" x14ac:dyDescent="0.2">
      <c r="A2501" s="68" t="s">
        <v>3061</v>
      </c>
      <c r="B2501" s="67" t="s">
        <v>4639</v>
      </c>
    </row>
    <row r="2502" spans="1:2" x14ac:dyDescent="0.2">
      <c r="A2502" s="68" t="s">
        <v>3060</v>
      </c>
      <c r="B2502" s="67" t="s">
        <v>4638</v>
      </c>
    </row>
    <row r="2503" spans="1:2" x14ac:dyDescent="0.2">
      <c r="A2503" s="68" t="s">
        <v>3059</v>
      </c>
      <c r="B2503" s="67" t="s">
        <v>4637</v>
      </c>
    </row>
    <row r="2504" spans="1:2" x14ac:dyDescent="0.2">
      <c r="A2504" s="68" t="s">
        <v>3058</v>
      </c>
      <c r="B2504" s="67" t="s">
        <v>4636</v>
      </c>
    </row>
    <row r="2505" spans="1:2" x14ac:dyDescent="0.2">
      <c r="A2505" s="68" t="s">
        <v>3057</v>
      </c>
      <c r="B2505" s="67" t="s">
        <v>4635</v>
      </c>
    </row>
    <row r="2506" spans="1:2" x14ac:dyDescent="0.2">
      <c r="A2506" s="68" t="s">
        <v>3056</v>
      </c>
      <c r="B2506" s="67" t="s">
        <v>4634</v>
      </c>
    </row>
    <row r="2507" spans="1:2" x14ac:dyDescent="0.2">
      <c r="A2507" s="68" t="s">
        <v>3055</v>
      </c>
      <c r="B2507" s="67" t="s">
        <v>4633</v>
      </c>
    </row>
    <row r="2508" spans="1:2" x14ac:dyDescent="0.2">
      <c r="A2508" s="68" t="s">
        <v>3054</v>
      </c>
      <c r="B2508" s="67" t="s">
        <v>4632</v>
      </c>
    </row>
    <row r="2509" spans="1:2" x14ac:dyDescent="0.2">
      <c r="A2509" s="68" t="s">
        <v>3053</v>
      </c>
      <c r="B2509" s="67" t="s">
        <v>4631</v>
      </c>
    </row>
    <row r="2510" spans="1:2" x14ac:dyDescent="0.2">
      <c r="A2510" s="68" t="s">
        <v>3052</v>
      </c>
      <c r="B2510" s="67" t="s">
        <v>4630</v>
      </c>
    </row>
    <row r="2511" spans="1:2" x14ac:dyDescent="0.2">
      <c r="A2511" s="68" t="s">
        <v>3051</v>
      </c>
      <c r="B2511" s="67" t="s">
        <v>4629</v>
      </c>
    </row>
    <row r="2512" spans="1:2" x14ac:dyDescent="0.2">
      <c r="A2512" s="68" t="s">
        <v>3050</v>
      </c>
      <c r="B2512" s="67" t="s">
        <v>4628</v>
      </c>
    </row>
    <row r="2513" spans="1:2" x14ac:dyDescent="0.2">
      <c r="A2513" s="68" t="s">
        <v>3049</v>
      </c>
      <c r="B2513" s="67" t="s">
        <v>4627</v>
      </c>
    </row>
    <row r="2514" spans="1:2" x14ac:dyDescent="0.2">
      <c r="A2514" s="68" t="s">
        <v>3048</v>
      </c>
      <c r="B2514" s="67" t="s">
        <v>4626</v>
      </c>
    </row>
    <row r="2515" spans="1:2" x14ac:dyDescent="0.2">
      <c r="A2515" s="68" t="s">
        <v>3047</v>
      </c>
      <c r="B2515" s="67" t="s">
        <v>4625</v>
      </c>
    </row>
    <row r="2516" spans="1:2" x14ac:dyDescent="0.2">
      <c r="A2516" s="68" t="s">
        <v>3046</v>
      </c>
      <c r="B2516" s="67" t="s">
        <v>4624</v>
      </c>
    </row>
    <row r="2517" spans="1:2" x14ac:dyDescent="0.2">
      <c r="A2517" s="68" t="s">
        <v>3045</v>
      </c>
      <c r="B2517" s="67" t="s">
        <v>4623</v>
      </c>
    </row>
    <row r="2518" spans="1:2" x14ac:dyDescent="0.2">
      <c r="A2518" s="68" t="s">
        <v>3044</v>
      </c>
      <c r="B2518" s="67" t="s">
        <v>4622</v>
      </c>
    </row>
    <row r="2519" spans="1:2" x14ac:dyDescent="0.2">
      <c r="A2519" s="68" t="s">
        <v>3043</v>
      </c>
      <c r="B2519" s="67" t="s">
        <v>4621</v>
      </c>
    </row>
    <row r="2520" spans="1:2" x14ac:dyDescent="0.2">
      <c r="A2520" s="68" t="s">
        <v>3042</v>
      </c>
      <c r="B2520" s="67" t="s">
        <v>4620</v>
      </c>
    </row>
    <row r="2521" spans="1:2" x14ac:dyDescent="0.2">
      <c r="A2521" s="68" t="s">
        <v>3041</v>
      </c>
      <c r="B2521" s="67" t="s">
        <v>4619</v>
      </c>
    </row>
    <row r="2522" spans="1:2" x14ac:dyDescent="0.2">
      <c r="A2522" s="68" t="s">
        <v>3040</v>
      </c>
      <c r="B2522" s="67" t="s">
        <v>4618</v>
      </c>
    </row>
    <row r="2523" spans="1:2" x14ac:dyDescent="0.2">
      <c r="A2523" s="68" t="s">
        <v>3039</v>
      </c>
      <c r="B2523" s="67" t="s">
        <v>4617</v>
      </c>
    </row>
    <row r="2524" spans="1:2" x14ac:dyDescent="0.2">
      <c r="A2524" s="68" t="s">
        <v>3038</v>
      </c>
      <c r="B2524" s="67" t="s">
        <v>4616</v>
      </c>
    </row>
    <row r="2525" spans="1:2" x14ac:dyDescent="0.2">
      <c r="A2525" s="68" t="s">
        <v>3037</v>
      </c>
      <c r="B2525" s="67" t="s">
        <v>4615</v>
      </c>
    </row>
    <row r="2526" spans="1:2" x14ac:dyDescent="0.2">
      <c r="A2526" s="68" t="s">
        <v>3036</v>
      </c>
      <c r="B2526" s="67" t="s">
        <v>4614</v>
      </c>
    </row>
    <row r="2527" spans="1:2" x14ac:dyDescent="0.2">
      <c r="A2527" s="68" t="s">
        <v>3035</v>
      </c>
      <c r="B2527" s="67" t="s">
        <v>4613</v>
      </c>
    </row>
    <row r="2528" spans="1:2" x14ac:dyDescent="0.2">
      <c r="A2528" s="68" t="s">
        <v>3034</v>
      </c>
      <c r="B2528" s="67" t="s">
        <v>4612</v>
      </c>
    </row>
    <row r="2529" spans="1:2" x14ac:dyDescent="0.2">
      <c r="A2529" s="68" t="s">
        <v>3033</v>
      </c>
      <c r="B2529" s="67" t="s">
        <v>4611</v>
      </c>
    </row>
    <row r="2530" spans="1:2" x14ac:dyDescent="0.2">
      <c r="A2530" s="68" t="s">
        <v>3032</v>
      </c>
      <c r="B2530" s="67" t="s">
        <v>4610</v>
      </c>
    </row>
    <row r="2531" spans="1:2" x14ac:dyDescent="0.2">
      <c r="A2531" s="68" t="s">
        <v>3031</v>
      </c>
      <c r="B2531" s="67" t="s">
        <v>4609</v>
      </c>
    </row>
    <row r="2532" spans="1:2" x14ac:dyDescent="0.2">
      <c r="A2532" s="68" t="s">
        <v>3030</v>
      </c>
      <c r="B2532" s="67" t="s">
        <v>4608</v>
      </c>
    </row>
    <row r="2533" spans="1:2" x14ac:dyDescent="0.2">
      <c r="A2533" s="68" t="s">
        <v>3029</v>
      </c>
      <c r="B2533" s="67" t="s">
        <v>4607</v>
      </c>
    </row>
    <row r="2534" spans="1:2" x14ac:dyDescent="0.2">
      <c r="A2534" s="68" t="s">
        <v>3028</v>
      </c>
      <c r="B2534" s="67" t="s">
        <v>4606</v>
      </c>
    </row>
    <row r="2535" spans="1:2" x14ac:dyDescent="0.2">
      <c r="A2535" s="68" t="s">
        <v>3027</v>
      </c>
      <c r="B2535" s="67" t="s">
        <v>4605</v>
      </c>
    </row>
    <row r="2536" spans="1:2" x14ac:dyDescent="0.2">
      <c r="A2536" s="68" t="s">
        <v>3026</v>
      </c>
      <c r="B2536" s="67" t="s">
        <v>4604</v>
      </c>
    </row>
    <row r="2537" spans="1:2" x14ac:dyDescent="0.2">
      <c r="A2537" s="68" t="s">
        <v>3025</v>
      </c>
      <c r="B2537" s="67" t="s">
        <v>4603</v>
      </c>
    </row>
    <row r="2538" spans="1:2" x14ac:dyDescent="0.2">
      <c r="A2538" s="68" t="s">
        <v>3024</v>
      </c>
      <c r="B2538" s="67" t="s">
        <v>4602</v>
      </c>
    </row>
    <row r="2539" spans="1:2" x14ac:dyDescent="0.2">
      <c r="A2539" s="68" t="s">
        <v>3023</v>
      </c>
      <c r="B2539" s="67" t="s">
        <v>4601</v>
      </c>
    </row>
    <row r="2540" spans="1:2" x14ac:dyDescent="0.2">
      <c r="A2540" s="68" t="s">
        <v>3022</v>
      </c>
      <c r="B2540" s="67" t="s">
        <v>4600</v>
      </c>
    </row>
    <row r="2541" spans="1:2" x14ac:dyDescent="0.2">
      <c r="A2541" s="68" t="s">
        <v>3021</v>
      </c>
      <c r="B2541" s="67" t="s">
        <v>4599</v>
      </c>
    </row>
    <row r="2542" spans="1:2" x14ac:dyDescent="0.2">
      <c r="A2542" s="68" t="s">
        <v>3020</v>
      </c>
      <c r="B2542" s="67" t="s">
        <v>4598</v>
      </c>
    </row>
    <row r="2543" spans="1:2" x14ac:dyDescent="0.2">
      <c r="A2543" s="68" t="s">
        <v>3019</v>
      </c>
      <c r="B2543" s="67" t="s">
        <v>4597</v>
      </c>
    </row>
    <row r="2544" spans="1:2" x14ac:dyDescent="0.2">
      <c r="A2544" s="68" t="s">
        <v>3018</v>
      </c>
      <c r="B2544" s="67" t="s">
        <v>4596</v>
      </c>
    </row>
    <row r="2545" spans="1:2" x14ac:dyDescent="0.2">
      <c r="A2545" s="68" t="s">
        <v>3017</v>
      </c>
      <c r="B2545" s="67" t="s">
        <v>4595</v>
      </c>
    </row>
    <row r="2546" spans="1:2" x14ac:dyDescent="0.2">
      <c r="A2546" s="68" t="s">
        <v>3016</v>
      </c>
      <c r="B2546" s="67" t="s">
        <v>4594</v>
      </c>
    </row>
    <row r="2547" spans="1:2" x14ac:dyDescent="0.2">
      <c r="A2547" s="68" t="s">
        <v>3015</v>
      </c>
      <c r="B2547" s="67" t="s">
        <v>4593</v>
      </c>
    </row>
    <row r="2548" spans="1:2" x14ac:dyDescent="0.2">
      <c r="A2548" s="68" t="s">
        <v>3014</v>
      </c>
      <c r="B2548" s="67" t="s">
        <v>4592</v>
      </c>
    </row>
    <row r="2549" spans="1:2" x14ac:dyDescent="0.2">
      <c r="A2549" s="68" t="s">
        <v>3013</v>
      </c>
      <c r="B2549" s="67" t="s">
        <v>4591</v>
      </c>
    </row>
    <row r="2550" spans="1:2" x14ac:dyDescent="0.2">
      <c r="A2550" s="68" t="s">
        <v>3012</v>
      </c>
      <c r="B2550" s="67" t="s">
        <v>4590</v>
      </c>
    </row>
    <row r="2551" spans="1:2" x14ac:dyDescent="0.2">
      <c r="A2551" s="68" t="s">
        <v>3011</v>
      </c>
      <c r="B2551" s="67" t="s">
        <v>4589</v>
      </c>
    </row>
    <row r="2552" spans="1:2" x14ac:dyDescent="0.2">
      <c r="A2552" s="68" t="s">
        <v>3010</v>
      </c>
      <c r="B2552" s="67" t="s">
        <v>4588</v>
      </c>
    </row>
    <row r="2553" spans="1:2" x14ac:dyDescent="0.2">
      <c r="A2553" s="68" t="s">
        <v>3009</v>
      </c>
      <c r="B2553" s="67" t="s">
        <v>4587</v>
      </c>
    </row>
    <row r="2554" spans="1:2" x14ac:dyDescent="0.2">
      <c r="A2554" s="68" t="s">
        <v>3008</v>
      </c>
      <c r="B2554" s="67" t="s">
        <v>4586</v>
      </c>
    </row>
    <row r="2555" spans="1:2" x14ac:dyDescent="0.2">
      <c r="A2555" s="68" t="s">
        <v>3007</v>
      </c>
      <c r="B2555" s="67" t="s">
        <v>4585</v>
      </c>
    </row>
    <row r="2556" spans="1:2" x14ac:dyDescent="0.2">
      <c r="A2556" s="68" t="s">
        <v>3006</v>
      </c>
      <c r="B2556" s="67" t="s">
        <v>4584</v>
      </c>
    </row>
    <row r="2557" spans="1:2" x14ac:dyDescent="0.2">
      <c r="A2557" s="68" t="s">
        <v>3005</v>
      </c>
      <c r="B2557" s="67" t="s">
        <v>4583</v>
      </c>
    </row>
    <row r="2558" spans="1:2" x14ac:dyDescent="0.2">
      <c r="A2558" s="68" t="s">
        <v>3004</v>
      </c>
      <c r="B2558" s="67" t="s">
        <v>4582</v>
      </c>
    </row>
    <row r="2559" spans="1:2" x14ac:dyDescent="0.2">
      <c r="A2559" s="68" t="s">
        <v>3003</v>
      </c>
      <c r="B2559" s="67" t="s">
        <v>4581</v>
      </c>
    </row>
    <row r="2560" spans="1:2" x14ac:dyDescent="0.2">
      <c r="A2560" s="68" t="s">
        <v>3002</v>
      </c>
      <c r="B2560" s="67" t="s">
        <v>4580</v>
      </c>
    </row>
    <row r="2561" spans="1:2" x14ac:dyDescent="0.2">
      <c r="A2561" s="68" t="s">
        <v>3001</v>
      </c>
      <c r="B2561" s="67" t="s">
        <v>4579</v>
      </c>
    </row>
    <row r="2562" spans="1:2" x14ac:dyDescent="0.2">
      <c r="A2562" s="68" t="s">
        <v>3000</v>
      </c>
      <c r="B2562" s="67" t="s">
        <v>4578</v>
      </c>
    </row>
    <row r="2563" spans="1:2" x14ac:dyDescent="0.2">
      <c r="A2563" s="68" t="s">
        <v>2999</v>
      </c>
      <c r="B2563" s="67" t="s">
        <v>4577</v>
      </c>
    </row>
    <row r="2564" spans="1:2" x14ac:dyDescent="0.2">
      <c r="A2564" s="68" t="s">
        <v>2998</v>
      </c>
      <c r="B2564" s="67" t="s">
        <v>4576</v>
      </c>
    </row>
    <row r="2565" spans="1:2" x14ac:dyDescent="0.2">
      <c r="A2565" s="68" t="s">
        <v>2997</v>
      </c>
      <c r="B2565" s="67" t="s">
        <v>4575</v>
      </c>
    </row>
    <row r="2566" spans="1:2" x14ac:dyDescent="0.2">
      <c r="A2566" s="68" t="s">
        <v>2996</v>
      </c>
      <c r="B2566" s="67" t="s">
        <v>4574</v>
      </c>
    </row>
    <row r="2567" spans="1:2" x14ac:dyDescent="0.2">
      <c r="A2567" s="68" t="s">
        <v>2995</v>
      </c>
      <c r="B2567" s="67" t="s">
        <v>4573</v>
      </c>
    </row>
    <row r="2568" spans="1:2" x14ac:dyDescent="0.2">
      <c r="A2568" s="68" t="s">
        <v>2994</v>
      </c>
      <c r="B2568" s="67" t="s">
        <v>4572</v>
      </c>
    </row>
    <row r="2569" spans="1:2" x14ac:dyDescent="0.2">
      <c r="A2569" s="68" t="s">
        <v>2993</v>
      </c>
      <c r="B2569" s="67" t="s">
        <v>4571</v>
      </c>
    </row>
    <row r="2570" spans="1:2" x14ac:dyDescent="0.2">
      <c r="A2570" s="68" t="s">
        <v>2992</v>
      </c>
      <c r="B2570" s="67" t="s">
        <v>4570</v>
      </c>
    </row>
    <row r="2571" spans="1:2" x14ac:dyDescent="0.2">
      <c r="A2571" s="68" t="s">
        <v>2991</v>
      </c>
      <c r="B2571" s="67" t="s">
        <v>4569</v>
      </c>
    </row>
    <row r="2572" spans="1:2" x14ac:dyDescent="0.2">
      <c r="A2572" s="68" t="s">
        <v>2990</v>
      </c>
      <c r="B2572" s="67" t="s">
        <v>4568</v>
      </c>
    </row>
    <row r="2573" spans="1:2" x14ac:dyDescent="0.2">
      <c r="A2573" s="68" t="s">
        <v>2989</v>
      </c>
      <c r="B2573" s="67" t="s">
        <v>4567</v>
      </c>
    </row>
    <row r="2574" spans="1:2" x14ac:dyDescent="0.2">
      <c r="A2574" s="68" t="s">
        <v>2988</v>
      </c>
      <c r="B2574" s="67" t="s">
        <v>4566</v>
      </c>
    </row>
    <row r="2575" spans="1:2" x14ac:dyDescent="0.2">
      <c r="A2575" s="68" t="s">
        <v>2987</v>
      </c>
      <c r="B2575" s="67" t="s">
        <v>4565</v>
      </c>
    </row>
    <row r="2576" spans="1:2" x14ac:dyDescent="0.2">
      <c r="A2576" s="68" t="s">
        <v>2986</v>
      </c>
      <c r="B2576" s="67" t="s">
        <v>4564</v>
      </c>
    </row>
    <row r="2577" spans="1:2" x14ac:dyDescent="0.2">
      <c r="A2577" s="68" t="s">
        <v>2985</v>
      </c>
      <c r="B2577" s="67" t="s">
        <v>4563</v>
      </c>
    </row>
    <row r="2578" spans="1:2" x14ac:dyDescent="0.2">
      <c r="A2578" s="68" t="s">
        <v>2984</v>
      </c>
      <c r="B2578" s="67" t="s">
        <v>4562</v>
      </c>
    </row>
    <row r="2579" spans="1:2" x14ac:dyDescent="0.2">
      <c r="A2579" s="68" t="s">
        <v>2983</v>
      </c>
      <c r="B2579" s="67" t="s">
        <v>4561</v>
      </c>
    </row>
    <row r="2580" spans="1:2" x14ac:dyDescent="0.2">
      <c r="A2580" s="68" t="s">
        <v>2982</v>
      </c>
      <c r="B2580" s="67" t="s">
        <v>4560</v>
      </c>
    </row>
    <row r="2581" spans="1:2" x14ac:dyDescent="0.2">
      <c r="A2581" s="68" t="s">
        <v>2981</v>
      </c>
      <c r="B2581" s="67" t="s">
        <v>4559</v>
      </c>
    </row>
    <row r="2582" spans="1:2" x14ac:dyDescent="0.2">
      <c r="A2582" s="68" t="s">
        <v>2980</v>
      </c>
      <c r="B2582" s="67" t="s">
        <v>4558</v>
      </c>
    </row>
    <row r="2583" spans="1:2" x14ac:dyDescent="0.2">
      <c r="A2583" s="68" t="s">
        <v>2979</v>
      </c>
      <c r="B2583" s="67" t="s">
        <v>4557</v>
      </c>
    </row>
    <row r="2584" spans="1:2" x14ac:dyDescent="0.2">
      <c r="A2584" s="68" t="s">
        <v>2978</v>
      </c>
      <c r="B2584" s="67" t="s">
        <v>4556</v>
      </c>
    </row>
    <row r="2585" spans="1:2" x14ac:dyDescent="0.2">
      <c r="A2585" s="68" t="s">
        <v>2977</v>
      </c>
      <c r="B2585" s="67" t="s">
        <v>4555</v>
      </c>
    </row>
    <row r="2586" spans="1:2" x14ac:dyDescent="0.2">
      <c r="A2586" s="68" t="s">
        <v>2976</v>
      </c>
      <c r="B2586" s="67" t="s">
        <v>4554</v>
      </c>
    </row>
    <row r="2587" spans="1:2" x14ac:dyDescent="0.2">
      <c r="A2587" s="68" t="s">
        <v>2975</v>
      </c>
      <c r="B2587" s="67" t="s">
        <v>4553</v>
      </c>
    </row>
    <row r="2588" spans="1:2" x14ac:dyDescent="0.2">
      <c r="A2588" s="68" t="s">
        <v>2974</v>
      </c>
      <c r="B2588" s="67" t="s">
        <v>4552</v>
      </c>
    </row>
    <row r="2589" spans="1:2" x14ac:dyDescent="0.2">
      <c r="A2589" s="68" t="s">
        <v>2973</v>
      </c>
      <c r="B2589" s="67" t="s">
        <v>4551</v>
      </c>
    </row>
    <row r="2590" spans="1:2" x14ac:dyDescent="0.2">
      <c r="A2590" s="68" t="s">
        <v>2972</v>
      </c>
      <c r="B2590" s="67" t="s">
        <v>4550</v>
      </c>
    </row>
    <row r="2591" spans="1:2" x14ac:dyDescent="0.2">
      <c r="A2591" s="68" t="s">
        <v>2971</v>
      </c>
      <c r="B2591" s="67" t="s">
        <v>4549</v>
      </c>
    </row>
    <row r="2592" spans="1:2" x14ac:dyDescent="0.2">
      <c r="A2592" s="68" t="s">
        <v>2970</v>
      </c>
      <c r="B2592" s="67" t="s">
        <v>4548</v>
      </c>
    </row>
    <row r="2593" spans="1:2" x14ac:dyDescent="0.2">
      <c r="A2593" s="68" t="s">
        <v>2969</v>
      </c>
      <c r="B2593" s="67" t="s">
        <v>4547</v>
      </c>
    </row>
    <row r="2594" spans="1:2" x14ac:dyDescent="0.2">
      <c r="A2594" s="68" t="s">
        <v>2968</v>
      </c>
      <c r="B2594" s="67" t="s">
        <v>4546</v>
      </c>
    </row>
    <row r="2595" spans="1:2" x14ac:dyDescent="0.2">
      <c r="A2595" s="68" t="s">
        <v>2967</v>
      </c>
      <c r="B2595" s="67" t="s">
        <v>4545</v>
      </c>
    </row>
    <row r="2596" spans="1:2" x14ac:dyDescent="0.2">
      <c r="A2596" s="68" t="s">
        <v>2966</v>
      </c>
      <c r="B2596" s="67" t="s">
        <v>4544</v>
      </c>
    </row>
    <row r="2597" spans="1:2" x14ac:dyDescent="0.2">
      <c r="A2597" s="68" t="s">
        <v>2965</v>
      </c>
      <c r="B2597" s="67" t="s">
        <v>4543</v>
      </c>
    </row>
    <row r="2598" spans="1:2" x14ac:dyDescent="0.2">
      <c r="A2598" s="68" t="s">
        <v>2964</v>
      </c>
      <c r="B2598" s="67" t="s">
        <v>4542</v>
      </c>
    </row>
    <row r="2599" spans="1:2" x14ac:dyDescent="0.2">
      <c r="A2599" s="68" t="s">
        <v>2963</v>
      </c>
      <c r="B2599" s="67" t="s">
        <v>4541</v>
      </c>
    </row>
    <row r="2600" spans="1:2" x14ac:dyDescent="0.2">
      <c r="A2600" s="68" t="s">
        <v>2962</v>
      </c>
      <c r="B2600" s="67" t="s">
        <v>4540</v>
      </c>
    </row>
    <row r="2601" spans="1:2" x14ac:dyDescent="0.2">
      <c r="A2601" s="68" t="s">
        <v>2961</v>
      </c>
      <c r="B2601" s="67" t="s">
        <v>4539</v>
      </c>
    </row>
    <row r="2602" spans="1:2" x14ac:dyDescent="0.2">
      <c r="A2602" s="68" t="s">
        <v>2960</v>
      </c>
      <c r="B2602" s="67" t="s">
        <v>4538</v>
      </c>
    </row>
    <row r="2603" spans="1:2" x14ac:dyDescent="0.2">
      <c r="A2603" s="68" t="s">
        <v>2959</v>
      </c>
      <c r="B2603" s="67" t="s">
        <v>4537</v>
      </c>
    </row>
    <row r="2604" spans="1:2" x14ac:dyDescent="0.2">
      <c r="A2604" s="68" t="s">
        <v>2958</v>
      </c>
      <c r="B2604" s="67" t="s">
        <v>4536</v>
      </c>
    </row>
    <row r="2605" spans="1:2" x14ac:dyDescent="0.2">
      <c r="A2605" s="68" t="s">
        <v>2957</v>
      </c>
      <c r="B2605" s="67" t="s">
        <v>4535</v>
      </c>
    </row>
    <row r="2606" spans="1:2" x14ac:dyDescent="0.2">
      <c r="A2606" s="68" t="s">
        <v>2956</v>
      </c>
      <c r="B2606" s="67" t="s">
        <v>4534</v>
      </c>
    </row>
    <row r="2607" spans="1:2" x14ac:dyDescent="0.2">
      <c r="A2607" s="68" t="s">
        <v>2955</v>
      </c>
      <c r="B2607" s="67" t="s">
        <v>4533</v>
      </c>
    </row>
    <row r="2608" spans="1:2" x14ac:dyDescent="0.2">
      <c r="A2608" s="68" t="s">
        <v>2954</v>
      </c>
      <c r="B2608" s="67" t="s">
        <v>4532</v>
      </c>
    </row>
    <row r="2609" spans="1:2" x14ac:dyDescent="0.2">
      <c r="A2609" s="68" t="s">
        <v>2953</v>
      </c>
      <c r="B2609" s="67" t="s">
        <v>4531</v>
      </c>
    </row>
    <row r="2610" spans="1:2" x14ac:dyDescent="0.2">
      <c r="A2610" s="68" t="s">
        <v>2952</v>
      </c>
      <c r="B2610" s="67" t="s">
        <v>4530</v>
      </c>
    </row>
    <row r="2611" spans="1:2" x14ac:dyDescent="0.2">
      <c r="A2611" s="68" t="s">
        <v>2951</v>
      </c>
      <c r="B2611" s="67" t="s">
        <v>4529</v>
      </c>
    </row>
    <row r="2612" spans="1:2" x14ac:dyDescent="0.2">
      <c r="A2612" s="68" t="s">
        <v>2950</v>
      </c>
      <c r="B2612" s="67" t="s">
        <v>4528</v>
      </c>
    </row>
    <row r="2613" spans="1:2" x14ac:dyDescent="0.2">
      <c r="A2613" s="68" t="s">
        <v>2949</v>
      </c>
      <c r="B2613" s="67" t="s">
        <v>4527</v>
      </c>
    </row>
    <row r="2614" spans="1:2" x14ac:dyDescent="0.2">
      <c r="A2614" s="68" t="s">
        <v>2948</v>
      </c>
      <c r="B2614" s="67" t="s">
        <v>4526</v>
      </c>
    </row>
    <row r="2615" spans="1:2" x14ac:dyDescent="0.2">
      <c r="A2615" s="68" t="s">
        <v>2947</v>
      </c>
      <c r="B2615" s="67" t="s">
        <v>4525</v>
      </c>
    </row>
    <row r="2616" spans="1:2" x14ac:dyDescent="0.2">
      <c r="A2616" s="68" t="s">
        <v>2946</v>
      </c>
      <c r="B2616" s="67" t="s">
        <v>4524</v>
      </c>
    </row>
    <row r="2617" spans="1:2" x14ac:dyDescent="0.2">
      <c r="A2617" s="68" t="s">
        <v>2945</v>
      </c>
      <c r="B2617" s="67" t="s">
        <v>4523</v>
      </c>
    </row>
    <row r="2618" spans="1:2" x14ac:dyDescent="0.2">
      <c r="A2618" s="68" t="s">
        <v>2944</v>
      </c>
      <c r="B2618" s="67" t="s">
        <v>4522</v>
      </c>
    </row>
    <row r="2619" spans="1:2" x14ac:dyDescent="0.2">
      <c r="A2619" s="68" t="s">
        <v>2943</v>
      </c>
      <c r="B2619" s="67" t="s">
        <v>4521</v>
      </c>
    </row>
    <row r="2620" spans="1:2" x14ac:dyDescent="0.2">
      <c r="A2620" s="68" t="s">
        <v>2942</v>
      </c>
      <c r="B2620" s="67" t="s">
        <v>4520</v>
      </c>
    </row>
    <row r="2621" spans="1:2" x14ac:dyDescent="0.2">
      <c r="A2621" s="68" t="s">
        <v>2941</v>
      </c>
      <c r="B2621" s="67" t="s">
        <v>4519</v>
      </c>
    </row>
    <row r="2622" spans="1:2" x14ac:dyDescent="0.2">
      <c r="A2622" s="68" t="s">
        <v>2940</v>
      </c>
      <c r="B2622" s="67" t="s">
        <v>4518</v>
      </c>
    </row>
    <row r="2623" spans="1:2" x14ac:dyDescent="0.2">
      <c r="A2623" s="68" t="s">
        <v>2939</v>
      </c>
      <c r="B2623" s="67" t="s">
        <v>4517</v>
      </c>
    </row>
    <row r="2624" spans="1:2" x14ac:dyDescent="0.2">
      <c r="A2624" s="68" t="s">
        <v>2938</v>
      </c>
      <c r="B2624" s="67" t="s">
        <v>4516</v>
      </c>
    </row>
    <row r="2625" spans="1:2" x14ac:dyDescent="0.2">
      <c r="A2625" s="68" t="s">
        <v>2937</v>
      </c>
      <c r="B2625" s="67" t="s">
        <v>4515</v>
      </c>
    </row>
    <row r="2626" spans="1:2" x14ac:dyDescent="0.2">
      <c r="A2626" s="68" t="s">
        <v>2936</v>
      </c>
      <c r="B2626" s="67" t="s">
        <v>4514</v>
      </c>
    </row>
    <row r="2627" spans="1:2" x14ac:dyDescent="0.2">
      <c r="A2627" s="68" t="s">
        <v>2935</v>
      </c>
      <c r="B2627" s="67" t="s">
        <v>4513</v>
      </c>
    </row>
    <row r="2628" spans="1:2" x14ac:dyDescent="0.2">
      <c r="A2628" s="68" t="s">
        <v>2934</v>
      </c>
      <c r="B2628" s="67" t="s">
        <v>4512</v>
      </c>
    </row>
    <row r="2629" spans="1:2" x14ac:dyDescent="0.2">
      <c r="A2629" s="68" t="s">
        <v>2933</v>
      </c>
      <c r="B2629" s="67" t="s">
        <v>4511</v>
      </c>
    </row>
    <row r="2630" spans="1:2" x14ac:dyDescent="0.2">
      <c r="A2630" s="68" t="s">
        <v>2932</v>
      </c>
      <c r="B2630" s="67" t="s">
        <v>4510</v>
      </c>
    </row>
    <row r="2631" spans="1:2" x14ac:dyDescent="0.2">
      <c r="A2631" s="68" t="s">
        <v>2931</v>
      </c>
      <c r="B2631" s="67" t="s">
        <v>4509</v>
      </c>
    </row>
    <row r="2632" spans="1:2" x14ac:dyDescent="0.2">
      <c r="A2632" s="68" t="s">
        <v>2930</v>
      </c>
      <c r="B2632" s="67" t="s">
        <v>4508</v>
      </c>
    </row>
    <row r="2633" spans="1:2" x14ac:dyDescent="0.2">
      <c r="A2633" s="68" t="s">
        <v>2929</v>
      </c>
      <c r="B2633" s="67" t="s">
        <v>4507</v>
      </c>
    </row>
    <row r="2634" spans="1:2" x14ac:dyDescent="0.2">
      <c r="A2634" s="68" t="s">
        <v>2928</v>
      </c>
      <c r="B2634" s="67" t="s">
        <v>4506</v>
      </c>
    </row>
    <row r="2635" spans="1:2" x14ac:dyDescent="0.2">
      <c r="A2635" s="68" t="s">
        <v>2927</v>
      </c>
      <c r="B2635" s="67" t="s">
        <v>4505</v>
      </c>
    </row>
    <row r="2636" spans="1:2" x14ac:dyDescent="0.2">
      <c r="A2636" s="68" t="s">
        <v>2926</v>
      </c>
      <c r="B2636" s="67" t="s">
        <v>4504</v>
      </c>
    </row>
    <row r="2637" spans="1:2" x14ac:dyDescent="0.2">
      <c r="A2637" s="68" t="s">
        <v>2925</v>
      </c>
      <c r="B2637" s="67" t="s">
        <v>4503</v>
      </c>
    </row>
    <row r="2638" spans="1:2" x14ac:dyDescent="0.2">
      <c r="A2638" s="68" t="s">
        <v>2924</v>
      </c>
      <c r="B2638" s="67" t="s">
        <v>4502</v>
      </c>
    </row>
    <row r="2639" spans="1:2" x14ac:dyDescent="0.2">
      <c r="A2639" s="68" t="s">
        <v>2923</v>
      </c>
      <c r="B2639" s="67" t="s">
        <v>4501</v>
      </c>
    </row>
    <row r="2640" spans="1:2" x14ac:dyDescent="0.2">
      <c r="A2640" s="68" t="s">
        <v>2922</v>
      </c>
      <c r="B2640" s="67" t="s">
        <v>4500</v>
      </c>
    </row>
    <row r="2641" spans="1:2" x14ac:dyDescent="0.2">
      <c r="A2641" s="68" t="s">
        <v>2921</v>
      </c>
      <c r="B2641" s="67" t="s">
        <v>4499</v>
      </c>
    </row>
    <row r="2642" spans="1:2" x14ac:dyDescent="0.2">
      <c r="A2642" s="68" t="s">
        <v>2920</v>
      </c>
      <c r="B2642" s="67" t="s">
        <v>4498</v>
      </c>
    </row>
    <row r="2643" spans="1:2" x14ac:dyDescent="0.2">
      <c r="A2643" s="68" t="s">
        <v>2919</v>
      </c>
      <c r="B2643" s="67" t="s">
        <v>4497</v>
      </c>
    </row>
    <row r="2644" spans="1:2" x14ac:dyDescent="0.2">
      <c r="A2644" s="68" t="s">
        <v>2918</v>
      </c>
      <c r="B2644" s="67" t="s">
        <v>4496</v>
      </c>
    </row>
    <row r="2645" spans="1:2" x14ac:dyDescent="0.2">
      <c r="A2645" s="68" t="s">
        <v>2917</v>
      </c>
      <c r="B2645" s="67" t="s">
        <v>4495</v>
      </c>
    </row>
    <row r="2646" spans="1:2" x14ac:dyDescent="0.2">
      <c r="A2646" s="68" t="s">
        <v>2916</v>
      </c>
      <c r="B2646" s="67" t="s">
        <v>4494</v>
      </c>
    </row>
    <row r="2647" spans="1:2" x14ac:dyDescent="0.2">
      <c r="A2647" s="68" t="s">
        <v>2915</v>
      </c>
      <c r="B2647" s="67" t="s">
        <v>4493</v>
      </c>
    </row>
    <row r="2648" spans="1:2" x14ac:dyDescent="0.2">
      <c r="A2648" s="68" t="s">
        <v>2914</v>
      </c>
      <c r="B2648" s="67" t="s">
        <v>4492</v>
      </c>
    </row>
    <row r="2649" spans="1:2" x14ac:dyDescent="0.2">
      <c r="A2649" s="68" t="s">
        <v>2913</v>
      </c>
      <c r="B2649" s="67" t="s">
        <v>4491</v>
      </c>
    </row>
    <row r="2650" spans="1:2" x14ac:dyDescent="0.2">
      <c r="A2650" s="68" t="s">
        <v>2912</v>
      </c>
      <c r="B2650" s="67" t="s">
        <v>4490</v>
      </c>
    </row>
    <row r="2651" spans="1:2" x14ac:dyDescent="0.2">
      <c r="A2651" s="68" t="s">
        <v>2911</v>
      </c>
      <c r="B2651" s="67" t="s">
        <v>4489</v>
      </c>
    </row>
    <row r="2652" spans="1:2" x14ac:dyDescent="0.2">
      <c r="A2652" s="68" t="s">
        <v>2910</v>
      </c>
      <c r="B2652" s="67" t="s">
        <v>4488</v>
      </c>
    </row>
    <row r="2653" spans="1:2" x14ac:dyDescent="0.2">
      <c r="A2653" s="68" t="s">
        <v>2909</v>
      </c>
      <c r="B2653" s="67" t="s">
        <v>4487</v>
      </c>
    </row>
    <row r="2654" spans="1:2" x14ac:dyDescent="0.2">
      <c r="A2654" s="68" t="s">
        <v>2908</v>
      </c>
      <c r="B2654" s="67" t="s">
        <v>4486</v>
      </c>
    </row>
    <row r="2655" spans="1:2" x14ac:dyDescent="0.2">
      <c r="A2655" s="68" t="s">
        <v>2907</v>
      </c>
      <c r="B2655" s="67" t="s">
        <v>4485</v>
      </c>
    </row>
    <row r="2656" spans="1:2" x14ac:dyDescent="0.2">
      <c r="A2656" s="68" t="s">
        <v>2906</v>
      </c>
      <c r="B2656" s="67" t="s">
        <v>4484</v>
      </c>
    </row>
    <row r="2657" spans="1:2" x14ac:dyDescent="0.2">
      <c r="A2657" s="68" t="s">
        <v>2905</v>
      </c>
      <c r="B2657" s="67" t="s">
        <v>4483</v>
      </c>
    </row>
    <row r="2658" spans="1:2" x14ac:dyDescent="0.2">
      <c r="A2658" s="68" t="s">
        <v>2904</v>
      </c>
      <c r="B2658" s="67" t="s">
        <v>4482</v>
      </c>
    </row>
    <row r="2659" spans="1:2" x14ac:dyDescent="0.2">
      <c r="A2659" s="68" t="s">
        <v>2903</v>
      </c>
      <c r="B2659" s="67" t="s">
        <v>4481</v>
      </c>
    </row>
    <row r="2660" spans="1:2" x14ac:dyDescent="0.2">
      <c r="A2660" s="68" t="s">
        <v>2902</v>
      </c>
      <c r="B2660" s="67" t="s">
        <v>4480</v>
      </c>
    </row>
    <row r="2661" spans="1:2" x14ac:dyDescent="0.2">
      <c r="A2661" s="68" t="s">
        <v>2901</v>
      </c>
      <c r="B2661" s="67" t="s">
        <v>4479</v>
      </c>
    </row>
    <row r="2662" spans="1:2" x14ac:dyDescent="0.2">
      <c r="A2662" s="68" t="s">
        <v>2900</v>
      </c>
      <c r="B2662" s="67" t="s">
        <v>4478</v>
      </c>
    </row>
    <row r="2663" spans="1:2" x14ac:dyDescent="0.2">
      <c r="A2663" s="68" t="s">
        <v>2899</v>
      </c>
      <c r="B2663" s="67" t="s">
        <v>4477</v>
      </c>
    </row>
    <row r="2664" spans="1:2" x14ac:dyDescent="0.2">
      <c r="A2664" s="68" t="s">
        <v>2898</v>
      </c>
      <c r="B2664" s="67" t="s">
        <v>4476</v>
      </c>
    </row>
    <row r="2665" spans="1:2" x14ac:dyDescent="0.2">
      <c r="A2665" s="68" t="s">
        <v>2897</v>
      </c>
      <c r="B2665" s="67" t="s">
        <v>4475</v>
      </c>
    </row>
    <row r="2666" spans="1:2" x14ac:dyDescent="0.2">
      <c r="A2666" s="68" t="s">
        <v>2896</v>
      </c>
      <c r="B2666" s="67" t="s">
        <v>4474</v>
      </c>
    </row>
    <row r="2667" spans="1:2" x14ac:dyDescent="0.2">
      <c r="A2667" s="68" t="s">
        <v>2895</v>
      </c>
      <c r="B2667" s="67" t="s">
        <v>4473</v>
      </c>
    </row>
    <row r="2668" spans="1:2" x14ac:dyDescent="0.2">
      <c r="A2668" s="68" t="s">
        <v>2894</v>
      </c>
      <c r="B2668" s="67" t="s">
        <v>4472</v>
      </c>
    </row>
    <row r="2669" spans="1:2" x14ac:dyDescent="0.2">
      <c r="A2669" s="68" t="s">
        <v>2893</v>
      </c>
      <c r="B2669" s="67" t="s">
        <v>4471</v>
      </c>
    </row>
    <row r="2670" spans="1:2" x14ac:dyDescent="0.2">
      <c r="A2670" s="68" t="s">
        <v>2892</v>
      </c>
      <c r="B2670" s="67" t="s">
        <v>4470</v>
      </c>
    </row>
    <row r="2671" spans="1:2" x14ac:dyDescent="0.2">
      <c r="A2671" s="68" t="s">
        <v>2891</v>
      </c>
      <c r="B2671" s="67" t="s">
        <v>4469</v>
      </c>
    </row>
    <row r="2672" spans="1:2" x14ac:dyDescent="0.2">
      <c r="A2672" s="68" t="s">
        <v>2890</v>
      </c>
      <c r="B2672" s="67" t="s">
        <v>4468</v>
      </c>
    </row>
    <row r="2673" spans="1:2" x14ac:dyDescent="0.2">
      <c r="A2673" s="68" t="s">
        <v>2889</v>
      </c>
      <c r="B2673" s="67" t="s">
        <v>4467</v>
      </c>
    </row>
    <row r="2674" spans="1:2" x14ac:dyDescent="0.2">
      <c r="A2674" s="68" t="s">
        <v>2888</v>
      </c>
      <c r="B2674" s="67" t="s">
        <v>4466</v>
      </c>
    </row>
    <row r="2675" spans="1:2" x14ac:dyDescent="0.2">
      <c r="A2675" s="68" t="s">
        <v>2887</v>
      </c>
      <c r="B2675" s="67" t="s">
        <v>4465</v>
      </c>
    </row>
    <row r="2676" spans="1:2" x14ac:dyDescent="0.2">
      <c r="A2676" s="68" t="s">
        <v>2886</v>
      </c>
      <c r="B2676" s="67" t="s">
        <v>4464</v>
      </c>
    </row>
    <row r="2677" spans="1:2" x14ac:dyDescent="0.2">
      <c r="A2677" s="68" t="s">
        <v>2885</v>
      </c>
      <c r="B2677" s="67" t="s">
        <v>4463</v>
      </c>
    </row>
    <row r="2678" spans="1:2" x14ac:dyDescent="0.2">
      <c r="A2678" s="68" t="s">
        <v>2884</v>
      </c>
      <c r="B2678" s="67" t="s">
        <v>4462</v>
      </c>
    </row>
    <row r="2679" spans="1:2" x14ac:dyDescent="0.2">
      <c r="A2679" s="68" t="s">
        <v>2883</v>
      </c>
      <c r="B2679" s="67" t="s">
        <v>4461</v>
      </c>
    </row>
    <row r="2680" spans="1:2" x14ac:dyDescent="0.2">
      <c r="A2680" s="68" t="s">
        <v>2882</v>
      </c>
      <c r="B2680" s="67" t="s">
        <v>4460</v>
      </c>
    </row>
    <row r="2681" spans="1:2" x14ac:dyDescent="0.2">
      <c r="A2681" s="68" t="s">
        <v>2881</v>
      </c>
      <c r="B2681" s="67" t="s">
        <v>4459</v>
      </c>
    </row>
    <row r="2682" spans="1:2" x14ac:dyDescent="0.2">
      <c r="A2682" s="68" t="s">
        <v>2880</v>
      </c>
      <c r="B2682" s="67" t="s">
        <v>4458</v>
      </c>
    </row>
    <row r="2683" spans="1:2" x14ac:dyDescent="0.2">
      <c r="A2683" s="68" t="s">
        <v>2879</v>
      </c>
      <c r="B2683" s="67" t="s">
        <v>4457</v>
      </c>
    </row>
    <row r="2684" spans="1:2" x14ac:dyDescent="0.2">
      <c r="A2684" s="68" t="s">
        <v>2878</v>
      </c>
      <c r="B2684" s="67" t="s">
        <v>4456</v>
      </c>
    </row>
    <row r="2685" spans="1:2" x14ac:dyDescent="0.2">
      <c r="A2685" s="68" t="s">
        <v>2877</v>
      </c>
      <c r="B2685" s="67" t="s">
        <v>4455</v>
      </c>
    </row>
    <row r="2686" spans="1:2" x14ac:dyDescent="0.2">
      <c r="A2686" s="68" t="s">
        <v>2876</v>
      </c>
      <c r="B2686" s="67" t="s">
        <v>4454</v>
      </c>
    </row>
    <row r="2687" spans="1:2" x14ac:dyDescent="0.2">
      <c r="A2687" s="68" t="s">
        <v>2875</v>
      </c>
      <c r="B2687" s="67" t="s">
        <v>4453</v>
      </c>
    </row>
    <row r="2688" spans="1:2" x14ac:dyDescent="0.2">
      <c r="A2688" s="68" t="s">
        <v>2874</v>
      </c>
      <c r="B2688" s="67" t="s">
        <v>4452</v>
      </c>
    </row>
    <row r="2689" spans="1:2" x14ac:dyDescent="0.2">
      <c r="A2689" s="68" t="s">
        <v>2873</v>
      </c>
      <c r="B2689" s="67" t="s">
        <v>4451</v>
      </c>
    </row>
    <row r="2690" spans="1:2" x14ac:dyDescent="0.2">
      <c r="A2690" s="68" t="s">
        <v>2872</v>
      </c>
      <c r="B2690" s="67" t="s">
        <v>4450</v>
      </c>
    </row>
    <row r="2691" spans="1:2" x14ac:dyDescent="0.2">
      <c r="A2691" s="68" t="s">
        <v>2871</v>
      </c>
      <c r="B2691" s="67" t="s">
        <v>4449</v>
      </c>
    </row>
    <row r="2692" spans="1:2" x14ac:dyDescent="0.2">
      <c r="A2692" s="68" t="s">
        <v>2870</v>
      </c>
      <c r="B2692" s="67" t="s">
        <v>4448</v>
      </c>
    </row>
    <row r="2693" spans="1:2" x14ac:dyDescent="0.2">
      <c r="A2693" s="68" t="s">
        <v>2869</v>
      </c>
      <c r="B2693" s="67" t="s">
        <v>4447</v>
      </c>
    </row>
    <row r="2694" spans="1:2" x14ac:dyDescent="0.2">
      <c r="A2694" s="68" t="s">
        <v>2868</v>
      </c>
      <c r="B2694" s="67" t="s">
        <v>4446</v>
      </c>
    </row>
    <row r="2695" spans="1:2" x14ac:dyDescent="0.2">
      <c r="A2695" s="68" t="s">
        <v>2867</v>
      </c>
      <c r="B2695" s="67" t="s">
        <v>4445</v>
      </c>
    </row>
    <row r="2696" spans="1:2" x14ac:dyDescent="0.2">
      <c r="A2696" s="68" t="s">
        <v>2866</v>
      </c>
      <c r="B2696" s="67" t="s">
        <v>4444</v>
      </c>
    </row>
    <row r="2697" spans="1:2" x14ac:dyDescent="0.2">
      <c r="A2697" s="68" t="s">
        <v>2865</v>
      </c>
      <c r="B2697" s="67" t="s">
        <v>4443</v>
      </c>
    </row>
    <row r="2698" spans="1:2" x14ac:dyDescent="0.2">
      <c r="A2698" s="68" t="s">
        <v>2864</v>
      </c>
      <c r="B2698" s="67" t="s">
        <v>4442</v>
      </c>
    </row>
    <row r="2699" spans="1:2" x14ac:dyDescent="0.2">
      <c r="A2699" s="68" t="s">
        <v>2863</v>
      </c>
      <c r="B2699" s="67" t="s">
        <v>4441</v>
      </c>
    </row>
    <row r="2700" spans="1:2" x14ac:dyDescent="0.2">
      <c r="A2700" s="68" t="s">
        <v>2862</v>
      </c>
      <c r="B2700" s="67" t="s">
        <v>4440</v>
      </c>
    </row>
    <row r="2701" spans="1:2" x14ac:dyDescent="0.2">
      <c r="A2701" s="68" t="s">
        <v>2861</v>
      </c>
      <c r="B2701" s="67" t="s">
        <v>4439</v>
      </c>
    </row>
    <row r="2702" spans="1:2" x14ac:dyDescent="0.2">
      <c r="A2702" s="68" t="s">
        <v>2860</v>
      </c>
      <c r="B2702" s="67" t="s">
        <v>4438</v>
      </c>
    </row>
    <row r="2703" spans="1:2" x14ac:dyDescent="0.2">
      <c r="A2703" s="68" t="s">
        <v>2859</v>
      </c>
      <c r="B2703" s="67" t="s">
        <v>4437</v>
      </c>
    </row>
    <row r="2704" spans="1:2" x14ac:dyDescent="0.2">
      <c r="A2704" s="68" t="s">
        <v>2858</v>
      </c>
      <c r="B2704" s="67" t="s">
        <v>4436</v>
      </c>
    </row>
    <row r="2705" spans="1:2" x14ac:dyDescent="0.2">
      <c r="A2705" s="68" t="s">
        <v>2857</v>
      </c>
      <c r="B2705" s="67" t="s">
        <v>4435</v>
      </c>
    </row>
    <row r="2706" spans="1:2" x14ac:dyDescent="0.2">
      <c r="A2706" s="68" t="s">
        <v>2856</v>
      </c>
      <c r="B2706" s="67" t="s">
        <v>4434</v>
      </c>
    </row>
    <row r="2707" spans="1:2" x14ac:dyDescent="0.2">
      <c r="A2707" s="68" t="s">
        <v>2855</v>
      </c>
      <c r="B2707" s="67" t="s">
        <v>4433</v>
      </c>
    </row>
    <row r="2708" spans="1:2" x14ac:dyDescent="0.2">
      <c r="A2708" s="68" t="s">
        <v>2854</v>
      </c>
      <c r="B2708" s="67" t="s">
        <v>4432</v>
      </c>
    </row>
    <row r="2709" spans="1:2" x14ac:dyDescent="0.2">
      <c r="A2709" s="68" t="s">
        <v>2853</v>
      </c>
      <c r="B2709" s="67" t="s">
        <v>4431</v>
      </c>
    </row>
    <row r="2710" spans="1:2" x14ac:dyDescent="0.2">
      <c r="A2710" s="68" t="s">
        <v>2852</v>
      </c>
      <c r="B2710" s="67" t="s">
        <v>4430</v>
      </c>
    </row>
    <row r="2711" spans="1:2" x14ac:dyDescent="0.2">
      <c r="A2711" s="68" t="s">
        <v>2851</v>
      </c>
      <c r="B2711" s="67" t="s">
        <v>4429</v>
      </c>
    </row>
    <row r="2712" spans="1:2" x14ac:dyDescent="0.2">
      <c r="A2712" s="68" t="s">
        <v>2850</v>
      </c>
      <c r="B2712" s="67" t="s">
        <v>4428</v>
      </c>
    </row>
    <row r="2713" spans="1:2" x14ac:dyDescent="0.2">
      <c r="A2713" s="68" t="s">
        <v>2849</v>
      </c>
      <c r="B2713" s="67" t="s">
        <v>4427</v>
      </c>
    </row>
    <row r="2714" spans="1:2" x14ac:dyDescent="0.2">
      <c r="A2714" s="68" t="s">
        <v>2848</v>
      </c>
      <c r="B2714" s="67" t="s">
        <v>4426</v>
      </c>
    </row>
    <row r="2715" spans="1:2" x14ac:dyDescent="0.2">
      <c r="A2715" s="68" t="s">
        <v>2847</v>
      </c>
      <c r="B2715" s="67" t="s">
        <v>4425</v>
      </c>
    </row>
    <row r="2716" spans="1:2" x14ac:dyDescent="0.2">
      <c r="A2716" s="68" t="s">
        <v>2846</v>
      </c>
      <c r="B2716" s="67" t="s">
        <v>4424</v>
      </c>
    </row>
    <row r="2717" spans="1:2" x14ac:dyDescent="0.2">
      <c r="A2717" s="68" t="s">
        <v>2845</v>
      </c>
      <c r="B2717" s="67" t="s">
        <v>4423</v>
      </c>
    </row>
    <row r="2718" spans="1:2" x14ac:dyDescent="0.2">
      <c r="A2718" s="68" t="s">
        <v>2844</v>
      </c>
      <c r="B2718" s="67" t="s">
        <v>4422</v>
      </c>
    </row>
    <row r="2719" spans="1:2" x14ac:dyDescent="0.2">
      <c r="A2719" s="68" t="s">
        <v>2843</v>
      </c>
      <c r="B2719" s="67" t="s">
        <v>4421</v>
      </c>
    </row>
    <row r="2720" spans="1:2" x14ac:dyDescent="0.2">
      <c r="A2720" s="68" t="s">
        <v>2842</v>
      </c>
      <c r="B2720" s="67" t="s">
        <v>4420</v>
      </c>
    </row>
    <row r="2721" spans="1:2" x14ac:dyDescent="0.2">
      <c r="A2721" s="68" t="s">
        <v>2841</v>
      </c>
      <c r="B2721" s="67" t="s">
        <v>4419</v>
      </c>
    </row>
    <row r="2722" spans="1:2" x14ac:dyDescent="0.2">
      <c r="A2722" s="68" t="s">
        <v>2840</v>
      </c>
      <c r="B2722" s="67" t="s">
        <v>4418</v>
      </c>
    </row>
    <row r="2723" spans="1:2" x14ac:dyDescent="0.2">
      <c r="A2723" s="68" t="s">
        <v>2839</v>
      </c>
      <c r="B2723" s="67" t="s">
        <v>4417</v>
      </c>
    </row>
    <row r="2724" spans="1:2" x14ac:dyDescent="0.2">
      <c r="A2724" s="68" t="s">
        <v>2838</v>
      </c>
      <c r="B2724" s="67" t="s">
        <v>4416</v>
      </c>
    </row>
    <row r="2725" spans="1:2" x14ac:dyDescent="0.2">
      <c r="A2725" s="68" t="s">
        <v>2837</v>
      </c>
      <c r="B2725" s="67" t="s">
        <v>4415</v>
      </c>
    </row>
    <row r="2726" spans="1:2" x14ac:dyDescent="0.2">
      <c r="A2726" s="68" t="s">
        <v>2836</v>
      </c>
      <c r="B2726" s="67" t="s">
        <v>4414</v>
      </c>
    </row>
    <row r="2727" spans="1:2" x14ac:dyDescent="0.2">
      <c r="A2727" s="68" t="s">
        <v>2835</v>
      </c>
      <c r="B2727" s="67" t="s">
        <v>4413</v>
      </c>
    </row>
    <row r="2728" spans="1:2" x14ac:dyDescent="0.2">
      <c r="A2728" s="68" t="s">
        <v>2834</v>
      </c>
      <c r="B2728" s="67" t="s">
        <v>4412</v>
      </c>
    </row>
    <row r="2729" spans="1:2" x14ac:dyDescent="0.2">
      <c r="A2729" s="68" t="s">
        <v>2833</v>
      </c>
      <c r="B2729" s="67" t="s">
        <v>4411</v>
      </c>
    </row>
    <row r="2730" spans="1:2" x14ac:dyDescent="0.2">
      <c r="A2730" s="68" t="s">
        <v>2832</v>
      </c>
      <c r="B2730" s="67" t="s">
        <v>4410</v>
      </c>
    </row>
    <row r="2731" spans="1:2" x14ac:dyDescent="0.2">
      <c r="A2731" s="68" t="s">
        <v>2831</v>
      </c>
      <c r="B2731" s="67" t="s">
        <v>4409</v>
      </c>
    </row>
    <row r="2732" spans="1:2" x14ac:dyDescent="0.2">
      <c r="A2732" s="68" t="s">
        <v>2830</v>
      </c>
      <c r="B2732" s="67" t="s">
        <v>4408</v>
      </c>
    </row>
    <row r="2733" spans="1:2" x14ac:dyDescent="0.2">
      <c r="A2733" s="68" t="s">
        <v>2829</v>
      </c>
      <c r="B2733" s="67" t="s">
        <v>4407</v>
      </c>
    </row>
    <row r="2734" spans="1:2" x14ac:dyDescent="0.2">
      <c r="A2734" s="68" t="s">
        <v>2828</v>
      </c>
      <c r="B2734" s="67" t="s">
        <v>4406</v>
      </c>
    </row>
    <row r="2735" spans="1:2" x14ac:dyDescent="0.2">
      <c r="A2735" s="68" t="s">
        <v>2827</v>
      </c>
      <c r="B2735" s="67" t="s">
        <v>4405</v>
      </c>
    </row>
    <row r="2736" spans="1:2" x14ac:dyDescent="0.2">
      <c r="A2736" s="68" t="s">
        <v>2826</v>
      </c>
      <c r="B2736" s="67" t="s">
        <v>4404</v>
      </c>
    </row>
    <row r="2737" spans="1:2" x14ac:dyDescent="0.2">
      <c r="A2737" s="68" t="s">
        <v>2825</v>
      </c>
      <c r="B2737" s="67" t="s">
        <v>4403</v>
      </c>
    </row>
    <row r="2738" spans="1:2" x14ac:dyDescent="0.2">
      <c r="A2738" s="68" t="s">
        <v>2824</v>
      </c>
      <c r="B2738" s="67" t="s">
        <v>4402</v>
      </c>
    </row>
    <row r="2739" spans="1:2" x14ac:dyDescent="0.2">
      <c r="A2739" s="68" t="s">
        <v>2823</v>
      </c>
      <c r="B2739" s="67" t="s">
        <v>4401</v>
      </c>
    </row>
    <row r="2740" spans="1:2" x14ac:dyDescent="0.2">
      <c r="A2740" s="68" t="s">
        <v>2822</v>
      </c>
      <c r="B2740" s="67" t="s">
        <v>4400</v>
      </c>
    </row>
    <row r="2741" spans="1:2" x14ac:dyDescent="0.2">
      <c r="A2741" s="68" t="s">
        <v>2821</v>
      </c>
      <c r="B2741" s="67" t="s">
        <v>4399</v>
      </c>
    </row>
    <row r="2742" spans="1:2" x14ac:dyDescent="0.2">
      <c r="A2742" s="68" t="s">
        <v>2820</v>
      </c>
      <c r="B2742" s="67" t="s">
        <v>4398</v>
      </c>
    </row>
    <row r="2743" spans="1:2" x14ac:dyDescent="0.2">
      <c r="A2743" s="68" t="s">
        <v>2819</v>
      </c>
      <c r="B2743" s="67" t="s">
        <v>4397</v>
      </c>
    </row>
    <row r="2744" spans="1:2" x14ac:dyDescent="0.2">
      <c r="A2744" s="68" t="s">
        <v>2818</v>
      </c>
      <c r="B2744" s="67" t="s">
        <v>4396</v>
      </c>
    </row>
    <row r="2745" spans="1:2" x14ac:dyDescent="0.2">
      <c r="A2745" s="68" t="s">
        <v>2817</v>
      </c>
      <c r="B2745" s="67" t="s">
        <v>4395</v>
      </c>
    </row>
    <row r="2746" spans="1:2" x14ac:dyDescent="0.2">
      <c r="A2746" s="68" t="s">
        <v>2816</v>
      </c>
      <c r="B2746" s="67" t="s">
        <v>4394</v>
      </c>
    </row>
    <row r="2747" spans="1:2" x14ac:dyDescent="0.2">
      <c r="A2747" s="68" t="s">
        <v>2815</v>
      </c>
      <c r="B2747" s="67" t="s">
        <v>4393</v>
      </c>
    </row>
    <row r="2748" spans="1:2" x14ac:dyDescent="0.2">
      <c r="A2748" s="68" t="s">
        <v>2814</v>
      </c>
      <c r="B2748" s="67" t="s">
        <v>4392</v>
      </c>
    </row>
    <row r="2749" spans="1:2" x14ac:dyDescent="0.2">
      <c r="A2749" s="68" t="s">
        <v>2813</v>
      </c>
      <c r="B2749" s="67" t="s">
        <v>4391</v>
      </c>
    </row>
    <row r="2750" spans="1:2" x14ac:dyDescent="0.2">
      <c r="A2750" s="68" t="s">
        <v>2812</v>
      </c>
      <c r="B2750" s="67" t="s">
        <v>4390</v>
      </c>
    </row>
    <row r="2751" spans="1:2" x14ac:dyDescent="0.2">
      <c r="A2751" s="68" t="s">
        <v>2811</v>
      </c>
      <c r="B2751" s="67" t="s">
        <v>4389</v>
      </c>
    </row>
    <row r="2752" spans="1:2" x14ac:dyDescent="0.2">
      <c r="A2752" s="68" t="s">
        <v>2810</v>
      </c>
      <c r="B2752" s="67" t="s">
        <v>4388</v>
      </c>
    </row>
    <row r="2753" spans="1:2" x14ac:dyDescent="0.2">
      <c r="A2753" s="68" t="s">
        <v>2809</v>
      </c>
      <c r="B2753" s="67" t="s">
        <v>4387</v>
      </c>
    </row>
    <row r="2754" spans="1:2" x14ac:dyDescent="0.2">
      <c r="A2754" s="68" t="s">
        <v>2808</v>
      </c>
      <c r="B2754" s="67" t="s">
        <v>4386</v>
      </c>
    </row>
    <row r="2755" spans="1:2" x14ac:dyDescent="0.2">
      <c r="A2755" s="68" t="s">
        <v>2807</v>
      </c>
      <c r="B2755" s="67" t="s">
        <v>4385</v>
      </c>
    </row>
    <row r="2756" spans="1:2" x14ac:dyDescent="0.2">
      <c r="A2756" s="68" t="s">
        <v>2806</v>
      </c>
      <c r="B2756" s="67" t="s">
        <v>4384</v>
      </c>
    </row>
    <row r="2757" spans="1:2" x14ac:dyDescent="0.2">
      <c r="A2757" s="68" t="s">
        <v>2805</v>
      </c>
      <c r="B2757" s="67" t="s">
        <v>4383</v>
      </c>
    </row>
    <row r="2758" spans="1:2" x14ac:dyDescent="0.2">
      <c r="A2758" s="68" t="s">
        <v>2804</v>
      </c>
      <c r="B2758" s="67" t="s">
        <v>4382</v>
      </c>
    </row>
    <row r="2759" spans="1:2" x14ac:dyDescent="0.2">
      <c r="A2759" s="68" t="s">
        <v>2803</v>
      </c>
      <c r="B2759" s="67" t="s">
        <v>4381</v>
      </c>
    </row>
    <row r="2760" spans="1:2" x14ac:dyDescent="0.2">
      <c r="A2760" s="68" t="s">
        <v>2802</v>
      </c>
      <c r="B2760" s="67" t="s">
        <v>4380</v>
      </c>
    </row>
    <row r="2761" spans="1:2" x14ac:dyDescent="0.2">
      <c r="A2761" s="68" t="s">
        <v>2801</v>
      </c>
      <c r="B2761" s="67" t="s">
        <v>4379</v>
      </c>
    </row>
    <row r="2762" spans="1:2" x14ac:dyDescent="0.2">
      <c r="A2762" s="68" t="s">
        <v>2800</v>
      </c>
      <c r="B2762" s="67" t="s">
        <v>4378</v>
      </c>
    </row>
    <row r="2763" spans="1:2" x14ac:dyDescent="0.2">
      <c r="A2763" s="68" t="s">
        <v>2799</v>
      </c>
      <c r="B2763" s="67" t="s">
        <v>4377</v>
      </c>
    </row>
    <row r="2764" spans="1:2" x14ac:dyDescent="0.2">
      <c r="A2764" s="68" t="s">
        <v>2798</v>
      </c>
      <c r="B2764" s="67" t="s">
        <v>4376</v>
      </c>
    </row>
    <row r="2765" spans="1:2" x14ac:dyDescent="0.2">
      <c r="A2765" s="68" t="s">
        <v>2797</v>
      </c>
      <c r="B2765" s="67" t="s">
        <v>4375</v>
      </c>
    </row>
    <row r="2766" spans="1:2" x14ac:dyDescent="0.2">
      <c r="A2766" s="68" t="s">
        <v>2796</v>
      </c>
      <c r="B2766" s="67" t="s">
        <v>4374</v>
      </c>
    </row>
    <row r="2767" spans="1:2" x14ac:dyDescent="0.2">
      <c r="A2767" s="68" t="s">
        <v>2795</v>
      </c>
      <c r="B2767" s="67" t="s">
        <v>4373</v>
      </c>
    </row>
    <row r="2768" spans="1:2" x14ac:dyDescent="0.2">
      <c r="A2768" s="68" t="s">
        <v>2794</v>
      </c>
      <c r="B2768" s="67" t="s">
        <v>4372</v>
      </c>
    </row>
    <row r="2769" spans="1:2" x14ac:dyDescent="0.2">
      <c r="A2769" s="68" t="s">
        <v>2793</v>
      </c>
      <c r="B2769" s="67" t="s">
        <v>4371</v>
      </c>
    </row>
    <row r="2770" spans="1:2" x14ac:dyDescent="0.2">
      <c r="A2770" s="68" t="s">
        <v>2792</v>
      </c>
      <c r="B2770" s="67" t="s">
        <v>4370</v>
      </c>
    </row>
    <row r="2771" spans="1:2" x14ac:dyDescent="0.2">
      <c r="A2771" s="68" t="s">
        <v>2791</v>
      </c>
      <c r="B2771" s="67" t="s">
        <v>4369</v>
      </c>
    </row>
    <row r="2772" spans="1:2" x14ac:dyDescent="0.2">
      <c r="A2772" s="68" t="s">
        <v>2790</v>
      </c>
      <c r="B2772" s="67" t="s">
        <v>4368</v>
      </c>
    </row>
    <row r="2773" spans="1:2" x14ac:dyDescent="0.2">
      <c r="A2773" s="68" t="s">
        <v>2789</v>
      </c>
      <c r="B2773" s="67" t="s">
        <v>4367</v>
      </c>
    </row>
    <row r="2774" spans="1:2" x14ac:dyDescent="0.2">
      <c r="A2774" s="68" t="s">
        <v>2788</v>
      </c>
      <c r="B2774" s="67" t="s">
        <v>4366</v>
      </c>
    </row>
    <row r="2775" spans="1:2" x14ac:dyDescent="0.2">
      <c r="A2775" s="68" t="s">
        <v>2787</v>
      </c>
      <c r="B2775" s="67" t="s">
        <v>4365</v>
      </c>
    </row>
    <row r="2776" spans="1:2" x14ac:dyDescent="0.2">
      <c r="A2776" s="68" t="s">
        <v>2786</v>
      </c>
      <c r="B2776" s="67" t="s">
        <v>4364</v>
      </c>
    </row>
    <row r="2777" spans="1:2" x14ac:dyDescent="0.2">
      <c r="A2777" s="68" t="s">
        <v>2785</v>
      </c>
      <c r="B2777" s="67" t="s">
        <v>4363</v>
      </c>
    </row>
    <row r="2778" spans="1:2" x14ac:dyDescent="0.2">
      <c r="A2778" s="68" t="s">
        <v>2784</v>
      </c>
      <c r="B2778" s="67" t="s">
        <v>4362</v>
      </c>
    </row>
    <row r="2779" spans="1:2" x14ac:dyDescent="0.2">
      <c r="A2779" s="68" t="s">
        <v>2783</v>
      </c>
      <c r="B2779" s="67" t="s">
        <v>4361</v>
      </c>
    </row>
    <row r="2780" spans="1:2" x14ac:dyDescent="0.2">
      <c r="A2780" s="68" t="s">
        <v>2782</v>
      </c>
      <c r="B2780" s="67" t="s">
        <v>4360</v>
      </c>
    </row>
    <row r="2781" spans="1:2" x14ac:dyDescent="0.2">
      <c r="A2781" s="68" t="s">
        <v>2781</v>
      </c>
      <c r="B2781" s="67" t="s">
        <v>4359</v>
      </c>
    </row>
    <row r="2782" spans="1:2" x14ac:dyDescent="0.2">
      <c r="A2782" s="68" t="s">
        <v>2780</v>
      </c>
      <c r="B2782" s="67" t="s">
        <v>4358</v>
      </c>
    </row>
    <row r="2783" spans="1:2" x14ac:dyDescent="0.2">
      <c r="A2783" s="68" t="s">
        <v>2779</v>
      </c>
      <c r="B2783" s="67" t="s">
        <v>4357</v>
      </c>
    </row>
    <row r="2784" spans="1:2" x14ac:dyDescent="0.2">
      <c r="A2784" s="68" t="s">
        <v>2778</v>
      </c>
      <c r="B2784" s="67" t="s">
        <v>4356</v>
      </c>
    </row>
    <row r="2785" spans="1:2" x14ac:dyDescent="0.2">
      <c r="A2785" s="68" t="s">
        <v>2777</v>
      </c>
      <c r="B2785" s="67" t="s">
        <v>4355</v>
      </c>
    </row>
    <row r="2786" spans="1:2" x14ac:dyDescent="0.2">
      <c r="A2786" s="68" t="s">
        <v>2776</v>
      </c>
      <c r="B2786" s="67" t="s">
        <v>4354</v>
      </c>
    </row>
    <row r="2787" spans="1:2" x14ac:dyDescent="0.2">
      <c r="A2787" s="68" t="s">
        <v>2775</v>
      </c>
      <c r="B2787" s="67" t="s">
        <v>4353</v>
      </c>
    </row>
    <row r="2788" spans="1:2" x14ac:dyDescent="0.2">
      <c r="A2788" s="68" t="s">
        <v>2774</v>
      </c>
      <c r="B2788" s="67" t="s">
        <v>4352</v>
      </c>
    </row>
    <row r="2789" spans="1:2" x14ac:dyDescent="0.2">
      <c r="A2789" s="68" t="s">
        <v>2773</v>
      </c>
      <c r="B2789" s="67" t="s">
        <v>4351</v>
      </c>
    </row>
    <row r="2790" spans="1:2" x14ac:dyDescent="0.2">
      <c r="A2790" s="68" t="s">
        <v>2772</v>
      </c>
      <c r="B2790" s="67" t="s">
        <v>4350</v>
      </c>
    </row>
    <row r="2791" spans="1:2" x14ac:dyDescent="0.2">
      <c r="A2791" s="68" t="s">
        <v>2771</v>
      </c>
      <c r="B2791" s="67" t="s">
        <v>4349</v>
      </c>
    </row>
    <row r="2792" spans="1:2" x14ac:dyDescent="0.2">
      <c r="A2792" s="68" t="s">
        <v>2770</v>
      </c>
      <c r="B2792" s="67" t="s">
        <v>4348</v>
      </c>
    </row>
    <row r="2793" spans="1:2" x14ac:dyDescent="0.2">
      <c r="A2793" s="68" t="s">
        <v>2769</v>
      </c>
      <c r="B2793" s="67" t="s">
        <v>4347</v>
      </c>
    </row>
    <row r="2794" spans="1:2" x14ac:dyDescent="0.2">
      <c r="A2794" s="68" t="s">
        <v>2768</v>
      </c>
      <c r="B2794" s="67" t="s">
        <v>4346</v>
      </c>
    </row>
    <row r="2795" spans="1:2" x14ac:dyDescent="0.2">
      <c r="A2795" s="68" t="s">
        <v>2767</v>
      </c>
      <c r="B2795" s="67" t="s">
        <v>4345</v>
      </c>
    </row>
    <row r="2796" spans="1:2" x14ac:dyDescent="0.2">
      <c r="A2796" s="68" t="s">
        <v>2766</v>
      </c>
      <c r="B2796" s="67" t="s">
        <v>4344</v>
      </c>
    </row>
    <row r="2797" spans="1:2" x14ac:dyDescent="0.2">
      <c r="A2797" s="68" t="s">
        <v>2765</v>
      </c>
      <c r="B2797" s="67" t="s">
        <v>4343</v>
      </c>
    </row>
    <row r="2798" spans="1:2" x14ac:dyDescent="0.2">
      <c r="A2798" s="68" t="s">
        <v>2764</v>
      </c>
      <c r="B2798" s="67" t="s">
        <v>4342</v>
      </c>
    </row>
    <row r="2799" spans="1:2" x14ac:dyDescent="0.2">
      <c r="A2799" s="68" t="s">
        <v>2763</v>
      </c>
      <c r="B2799" s="67" t="s">
        <v>4341</v>
      </c>
    </row>
    <row r="2800" spans="1:2" x14ac:dyDescent="0.2">
      <c r="A2800" s="68" t="s">
        <v>2762</v>
      </c>
      <c r="B2800" s="67" t="s">
        <v>4340</v>
      </c>
    </row>
    <row r="2801" spans="1:2" x14ac:dyDescent="0.2">
      <c r="A2801" s="68" t="s">
        <v>2761</v>
      </c>
      <c r="B2801" s="67" t="s">
        <v>4339</v>
      </c>
    </row>
    <row r="2802" spans="1:2" x14ac:dyDescent="0.2">
      <c r="A2802" s="68" t="s">
        <v>2760</v>
      </c>
      <c r="B2802" s="67" t="s">
        <v>4338</v>
      </c>
    </row>
    <row r="2803" spans="1:2" x14ac:dyDescent="0.2">
      <c r="A2803" s="68" t="s">
        <v>2759</v>
      </c>
      <c r="B2803" s="67" t="s">
        <v>4337</v>
      </c>
    </row>
    <row r="2804" spans="1:2" x14ac:dyDescent="0.2">
      <c r="A2804" s="68" t="s">
        <v>2758</v>
      </c>
      <c r="B2804" s="67" t="s">
        <v>4336</v>
      </c>
    </row>
    <row r="2805" spans="1:2" x14ac:dyDescent="0.2">
      <c r="A2805" s="68" t="s">
        <v>2757</v>
      </c>
      <c r="B2805" s="67" t="s">
        <v>4335</v>
      </c>
    </row>
    <row r="2806" spans="1:2" x14ac:dyDescent="0.2">
      <c r="A2806" s="68" t="s">
        <v>2756</v>
      </c>
      <c r="B2806" s="67" t="s">
        <v>4334</v>
      </c>
    </row>
    <row r="2807" spans="1:2" x14ac:dyDescent="0.2">
      <c r="A2807" s="68" t="s">
        <v>2755</v>
      </c>
      <c r="B2807" s="67" t="s">
        <v>4333</v>
      </c>
    </row>
    <row r="2808" spans="1:2" x14ac:dyDescent="0.2">
      <c r="A2808" s="68" t="s">
        <v>2754</v>
      </c>
      <c r="B2808" s="67" t="s">
        <v>4332</v>
      </c>
    </row>
    <row r="2809" spans="1:2" x14ac:dyDescent="0.2">
      <c r="A2809" s="68" t="s">
        <v>2753</v>
      </c>
      <c r="B2809" s="67" t="s">
        <v>4331</v>
      </c>
    </row>
    <row r="2810" spans="1:2" x14ac:dyDescent="0.2">
      <c r="A2810" s="68" t="s">
        <v>2752</v>
      </c>
      <c r="B2810" s="67" t="s">
        <v>4330</v>
      </c>
    </row>
    <row r="2811" spans="1:2" x14ac:dyDescent="0.2">
      <c r="A2811" s="68" t="s">
        <v>2751</v>
      </c>
      <c r="B2811" s="67" t="s">
        <v>4329</v>
      </c>
    </row>
    <row r="2812" spans="1:2" x14ac:dyDescent="0.2">
      <c r="A2812" s="68" t="s">
        <v>2750</v>
      </c>
      <c r="B2812" s="67" t="s">
        <v>4328</v>
      </c>
    </row>
    <row r="2813" spans="1:2" x14ac:dyDescent="0.2">
      <c r="A2813" s="68" t="s">
        <v>2749</v>
      </c>
      <c r="B2813" s="67" t="s">
        <v>4327</v>
      </c>
    </row>
    <row r="2814" spans="1:2" x14ac:dyDescent="0.2">
      <c r="A2814" s="68" t="s">
        <v>2748</v>
      </c>
      <c r="B2814" s="67" t="s">
        <v>4326</v>
      </c>
    </row>
    <row r="2815" spans="1:2" x14ac:dyDescent="0.2">
      <c r="A2815" s="68" t="s">
        <v>2747</v>
      </c>
      <c r="B2815" s="67" t="s">
        <v>4325</v>
      </c>
    </row>
    <row r="2816" spans="1:2" x14ac:dyDescent="0.2">
      <c r="A2816" s="68" t="s">
        <v>2746</v>
      </c>
      <c r="B2816" s="67" t="s">
        <v>4324</v>
      </c>
    </row>
    <row r="2817" spans="1:2" x14ac:dyDescent="0.2">
      <c r="A2817" s="68" t="s">
        <v>2745</v>
      </c>
      <c r="B2817" s="67" t="s">
        <v>4323</v>
      </c>
    </row>
    <row r="2818" spans="1:2" x14ac:dyDescent="0.2">
      <c r="A2818" s="68" t="s">
        <v>2744</v>
      </c>
      <c r="B2818" s="67" t="s">
        <v>4322</v>
      </c>
    </row>
    <row r="2819" spans="1:2" x14ac:dyDescent="0.2">
      <c r="A2819" s="68" t="s">
        <v>2743</v>
      </c>
      <c r="B2819" s="67" t="s">
        <v>4321</v>
      </c>
    </row>
    <row r="2820" spans="1:2" x14ac:dyDescent="0.2">
      <c r="A2820" s="68" t="s">
        <v>2742</v>
      </c>
      <c r="B2820" s="67" t="s">
        <v>4320</v>
      </c>
    </row>
    <row r="2821" spans="1:2" x14ac:dyDescent="0.2">
      <c r="A2821" s="68" t="s">
        <v>2741</v>
      </c>
      <c r="B2821" s="67" t="s">
        <v>4319</v>
      </c>
    </row>
    <row r="2822" spans="1:2" x14ac:dyDescent="0.2">
      <c r="A2822" s="68" t="s">
        <v>2740</v>
      </c>
      <c r="B2822" s="67" t="s">
        <v>4318</v>
      </c>
    </row>
    <row r="2823" spans="1:2" x14ac:dyDescent="0.2">
      <c r="A2823" s="68" t="s">
        <v>2739</v>
      </c>
      <c r="B2823" s="67" t="s">
        <v>4317</v>
      </c>
    </row>
    <row r="2824" spans="1:2" x14ac:dyDescent="0.2">
      <c r="A2824" s="68" t="s">
        <v>2738</v>
      </c>
      <c r="B2824" s="67" t="s">
        <v>4316</v>
      </c>
    </row>
    <row r="2825" spans="1:2" x14ac:dyDescent="0.2">
      <c r="A2825" s="68" t="s">
        <v>2737</v>
      </c>
      <c r="B2825" s="67" t="s">
        <v>4315</v>
      </c>
    </row>
    <row r="2826" spans="1:2" x14ac:dyDescent="0.2">
      <c r="A2826" s="68" t="s">
        <v>2736</v>
      </c>
      <c r="B2826" s="67" t="s">
        <v>4314</v>
      </c>
    </row>
    <row r="2827" spans="1:2" x14ac:dyDescent="0.2">
      <c r="A2827" s="68" t="s">
        <v>2735</v>
      </c>
      <c r="B2827" s="67" t="s">
        <v>4313</v>
      </c>
    </row>
    <row r="2828" spans="1:2" x14ac:dyDescent="0.2">
      <c r="A2828" s="68" t="s">
        <v>2734</v>
      </c>
      <c r="B2828" s="67" t="s">
        <v>4312</v>
      </c>
    </row>
    <row r="2829" spans="1:2" x14ac:dyDescent="0.2">
      <c r="A2829" s="68" t="s">
        <v>2733</v>
      </c>
      <c r="B2829" s="67" t="s">
        <v>4311</v>
      </c>
    </row>
    <row r="2830" spans="1:2" x14ac:dyDescent="0.2">
      <c r="A2830" s="68" t="s">
        <v>2732</v>
      </c>
      <c r="B2830" s="67" t="s">
        <v>4310</v>
      </c>
    </row>
    <row r="2831" spans="1:2" x14ac:dyDescent="0.2">
      <c r="A2831" s="68" t="s">
        <v>2731</v>
      </c>
      <c r="B2831" s="67" t="s">
        <v>4309</v>
      </c>
    </row>
    <row r="2832" spans="1:2" x14ac:dyDescent="0.2">
      <c r="A2832" s="68" t="s">
        <v>2730</v>
      </c>
      <c r="B2832" s="67" t="s">
        <v>4308</v>
      </c>
    </row>
    <row r="2833" spans="1:2" x14ac:dyDescent="0.2">
      <c r="A2833" s="68" t="s">
        <v>2729</v>
      </c>
      <c r="B2833" s="67" t="s">
        <v>4307</v>
      </c>
    </row>
    <row r="2834" spans="1:2" x14ac:dyDescent="0.2">
      <c r="A2834" s="68" t="s">
        <v>2728</v>
      </c>
      <c r="B2834" s="67" t="s">
        <v>4306</v>
      </c>
    </row>
    <row r="2835" spans="1:2" x14ac:dyDescent="0.2">
      <c r="A2835" s="68" t="s">
        <v>2727</v>
      </c>
      <c r="B2835" s="67" t="s">
        <v>4305</v>
      </c>
    </row>
    <row r="2836" spans="1:2" x14ac:dyDescent="0.2">
      <c r="A2836" s="68" t="s">
        <v>2726</v>
      </c>
      <c r="B2836" s="67" t="s">
        <v>4304</v>
      </c>
    </row>
    <row r="2837" spans="1:2" x14ac:dyDescent="0.2">
      <c r="A2837" s="68" t="s">
        <v>2725</v>
      </c>
      <c r="B2837" s="67" t="s">
        <v>4303</v>
      </c>
    </row>
    <row r="2838" spans="1:2" x14ac:dyDescent="0.2">
      <c r="A2838" s="68" t="s">
        <v>2724</v>
      </c>
      <c r="B2838" s="67" t="s">
        <v>4302</v>
      </c>
    </row>
    <row r="2839" spans="1:2" x14ac:dyDescent="0.2">
      <c r="A2839" s="68" t="s">
        <v>2723</v>
      </c>
      <c r="B2839" s="67" t="s">
        <v>4301</v>
      </c>
    </row>
    <row r="2840" spans="1:2" x14ac:dyDescent="0.2">
      <c r="A2840" s="68" t="s">
        <v>2722</v>
      </c>
      <c r="B2840" s="67" t="s">
        <v>4300</v>
      </c>
    </row>
    <row r="2841" spans="1:2" x14ac:dyDescent="0.2">
      <c r="A2841" s="68" t="s">
        <v>2721</v>
      </c>
      <c r="B2841" s="67" t="s">
        <v>4299</v>
      </c>
    </row>
    <row r="2842" spans="1:2" x14ac:dyDescent="0.2">
      <c r="A2842" s="68" t="s">
        <v>2720</v>
      </c>
      <c r="B2842" s="67" t="s">
        <v>4298</v>
      </c>
    </row>
    <row r="2843" spans="1:2" x14ac:dyDescent="0.2">
      <c r="A2843" s="68" t="s">
        <v>2719</v>
      </c>
      <c r="B2843" s="67" t="s">
        <v>4297</v>
      </c>
    </row>
    <row r="2844" spans="1:2" x14ac:dyDescent="0.2">
      <c r="A2844" s="68" t="s">
        <v>2718</v>
      </c>
      <c r="B2844" s="67" t="s">
        <v>4296</v>
      </c>
    </row>
    <row r="2845" spans="1:2" x14ac:dyDescent="0.2">
      <c r="A2845" s="68" t="s">
        <v>2717</v>
      </c>
      <c r="B2845" s="67" t="s">
        <v>4295</v>
      </c>
    </row>
    <row r="2846" spans="1:2" x14ac:dyDescent="0.2">
      <c r="A2846" s="68" t="s">
        <v>2716</v>
      </c>
      <c r="B2846" s="67" t="s">
        <v>4294</v>
      </c>
    </row>
    <row r="2847" spans="1:2" x14ac:dyDescent="0.2">
      <c r="A2847" s="68" t="s">
        <v>2715</v>
      </c>
      <c r="B2847" s="67" t="s">
        <v>4293</v>
      </c>
    </row>
    <row r="2848" spans="1:2" x14ac:dyDescent="0.2">
      <c r="A2848" s="68" t="s">
        <v>2714</v>
      </c>
      <c r="B2848" s="67" t="s">
        <v>4292</v>
      </c>
    </row>
    <row r="2849" spans="1:2" x14ac:dyDescent="0.2">
      <c r="A2849" s="68" t="s">
        <v>2713</v>
      </c>
      <c r="B2849" s="67" t="s">
        <v>4291</v>
      </c>
    </row>
    <row r="2850" spans="1:2" x14ac:dyDescent="0.2">
      <c r="A2850" s="68" t="s">
        <v>2712</v>
      </c>
      <c r="B2850" s="67" t="s">
        <v>4290</v>
      </c>
    </row>
    <row r="2851" spans="1:2" x14ac:dyDescent="0.2">
      <c r="A2851" s="68" t="s">
        <v>2711</v>
      </c>
      <c r="B2851" s="67" t="s">
        <v>4289</v>
      </c>
    </row>
    <row r="2852" spans="1:2" x14ac:dyDescent="0.2">
      <c r="A2852" s="68" t="s">
        <v>2710</v>
      </c>
      <c r="B2852" s="67" t="s">
        <v>4288</v>
      </c>
    </row>
    <row r="2853" spans="1:2" x14ac:dyDescent="0.2">
      <c r="A2853" s="68" t="s">
        <v>2709</v>
      </c>
      <c r="B2853" s="67" t="s">
        <v>4287</v>
      </c>
    </row>
    <row r="2854" spans="1:2" x14ac:dyDescent="0.2">
      <c r="A2854" s="68" t="s">
        <v>2708</v>
      </c>
      <c r="B2854" s="67" t="s">
        <v>4286</v>
      </c>
    </row>
    <row r="2855" spans="1:2" x14ac:dyDescent="0.2">
      <c r="A2855" s="68" t="s">
        <v>2707</v>
      </c>
      <c r="B2855" s="67" t="s">
        <v>4285</v>
      </c>
    </row>
    <row r="2856" spans="1:2" x14ac:dyDescent="0.2">
      <c r="A2856" s="68" t="s">
        <v>2706</v>
      </c>
      <c r="B2856" s="67" t="s">
        <v>4284</v>
      </c>
    </row>
    <row r="2857" spans="1:2" x14ac:dyDescent="0.2">
      <c r="A2857" s="68" t="s">
        <v>2705</v>
      </c>
      <c r="B2857" s="67" t="s">
        <v>4283</v>
      </c>
    </row>
    <row r="2858" spans="1:2" x14ac:dyDescent="0.2">
      <c r="A2858" s="68" t="s">
        <v>2704</v>
      </c>
      <c r="B2858" s="67" t="s">
        <v>4282</v>
      </c>
    </row>
    <row r="2859" spans="1:2" x14ac:dyDescent="0.2">
      <c r="A2859" s="68" t="s">
        <v>2703</v>
      </c>
      <c r="B2859" s="67" t="s">
        <v>4281</v>
      </c>
    </row>
    <row r="2860" spans="1:2" x14ac:dyDescent="0.2">
      <c r="A2860" s="68" t="s">
        <v>2702</v>
      </c>
      <c r="B2860" s="67" t="s">
        <v>4280</v>
      </c>
    </row>
    <row r="2861" spans="1:2" x14ac:dyDescent="0.2">
      <c r="A2861" s="68" t="s">
        <v>2701</v>
      </c>
      <c r="B2861" s="67" t="s">
        <v>4279</v>
      </c>
    </row>
    <row r="2862" spans="1:2" x14ac:dyDescent="0.2">
      <c r="A2862" s="68" t="s">
        <v>2700</v>
      </c>
      <c r="B2862" s="67" t="s">
        <v>4278</v>
      </c>
    </row>
    <row r="2863" spans="1:2" x14ac:dyDescent="0.2">
      <c r="A2863" s="68" t="s">
        <v>2699</v>
      </c>
      <c r="B2863" s="67" t="s">
        <v>4277</v>
      </c>
    </row>
    <row r="2864" spans="1:2" x14ac:dyDescent="0.2">
      <c r="A2864" s="68" t="s">
        <v>2698</v>
      </c>
      <c r="B2864" s="67" t="s">
        <v>4276</v>
      </c>
    </row>
    <row r="2865" spans="1:2" x14ac:dyDescent="0.2">
      <c r="A2865" s="68" t="s">
        <v>2697</v>
      </c>
      <c r="B2865" s="67" t="s">
        <v>4275</v>
      </c>
    </row>
    <row r="2866" spans="1:2" x14ac:dyDescent="0.2">
      <c r="A2866" s="68" t="s">
        <v>2696</v>
      </c>
      <c r="B2866" s="67" t="s">
        <v>4274</v>
      </c>
    </row>
    <row r="2867" spans="1:2" x14ac:dyDescent="0.2">
      <c r="A2867" s="68" t="s">
        <v>2695</v>
      </c>
      <c r="B2867" s="67" t="s">
        <v>4273</v>
      </c>
    </row>
    <row r="2868" spans="1:2" x14ac:dyDescent="0.2">
      <c r="A2868" s="68" t="s">
        <v>2694</v>
      </c>
      <c r="B2868" s="67" t="s">
        <v>4272</v>
      </c>
    </row>
    <row r="2869" spans="1:2" x14ac:dyDescent="0.2">
      <c r="A2869" s="68" t="s">
        <v>2693</v>
      </c>
      <c r="B2869" s="67" t="s">
        <v>4271</v>
      </c>
    </row>
    <row r="2870" spans="1:2" x14ac:dyDescent="0.2">
      <c r="A2870" s="68" t="s">
        <v>2692</v>
      </c>
      <c r="B2870" s="67" t="s">
        <v>4270</v>
      </c>
    </row>
    <row r="2871" spans="1:2" x14ac:dyDescent="0.2">
      <c r="A2871" s="68" t="s">
        <v>2691</v>
      </c>
      <c r="B2871" s="67" t="s">
        <v>4269</v>
      </c>
    </row>
    <row r="2872" spans="1:2" x14ac:dyDescent="0.2">
      <c r="A2872" s="68" t="s">
        <v>2690</v>
      </c>
      <c r="B2872" s="67" t="s">
        <v>4268</v>
      </c>
    </row>
    <row r="2873" spans="1:2" x14ac:dyDescent="0.2">
      <c r="A2873" s="68" t="s">
        <v>2689</v>
      </c>
      <c r="B2873" s="67" t="s">
        <v>4267</v>
      </c>
    </row>
    <row r="2874" spans="1:2" x14ac:dyDescent="0.2">
      <c r="A2874" s="68" t="s">
        <v>2688</v>
      </c>
      <c r="B2874" s="67" t="s">
        <v>4266</v>
      </c>
    </row>
    <row r="2875" spans="1:2" x14ac:dyDescent="0.2">
      <c r="A2875" s="68" t="s">
        <v>2687</v>
      </c>
      <c r="B2875" s="67" t="s">
        <v>4265</v>
      </c>
    </row>
    <row r="2876" spans="1:2" x14ac:dyDescent="0.2">
      <c r="A2876" s="68" t="s">
        <v>2686</v>
      </c>
      <c r="B2876" s="67" t="s">
        <v>4264</v>
      </c>
    </row>
    <row r="2877" spans="1:2" x14ac:dyDescent="0.2">
      <c r="A2877" s="68" t="s">
        <v>2685</v>
      </c>
      <c r="B2877" s="67" t="s">
        <v>4263</v>
      </c>
    </row>
    <row r="2878" spans="1:2" x14ac:dyDescent="0.2">
      <c r="A2878" s="68" t="s">
        <v>2684</v>
      </c>
      <c r="B2878" s="67" t="s">
        <v>4262</v>
      </c>
    </row>
    <row r="2879" spans="1:2" x14ac:dyDescent="0.2">
      <c r="A2879" s="68" t="s">
        <v>2683</v>
      </c>
      <c r="B2879" s="67" t="s">
        <v>4261</v>
      </c>
    </row>
    <row r="2880" spans="1:2" x14ac:dyDescent="0.2">
      <c r="A2880" s="68" t="s">
        <v>2682</v>
      </c>
      <c r="B2880" s="67" t="s">
        <v>4260</v>
      </c>
    </row>
    <row r="2881" spans="1:2" x14ac:dyDescent="0.2">
      <c r="A2881" s="68" t="s">
        <v>2681</v>
      </c>
      <c r="B2881" s="67" t="s">
        <v>4259</v>
      </c>
    </row>
    <row r="2882" spans="1:2" x14ac:dyDescent="0.2">
      <c r="A2882" s="68" t="s">
        <v>2680</v>
      </c>
      <c r="B2882" s="67" t="s">
        <v>4258</v>
      </c>
    </row>
    <row r="2883" spans="1:2" x14ac:dyDescent="0.2">
      <c r="A2883" s="68" t="s">
        <v>2679</v>
      </c>
      <c r="B2883" s="67" t="s">
        <v>4257</v>
      </c>
    </row>
    <row r="2884" spans="1:2" x14ac:dyDescent="0.2">
      <c r="A2884" s="68" t="s">
        <v>2678</v>
      </c>
      <c r="B2884" s="67" t="s">
        <v>4256</v>
      </c>
    </row>
    <row r="2885" spans="1:2" x14ac:dyDescent="0.2">
      <c r="A2885" s="68" t="s">
        <v>2677</v>
      </c>
      <c r="B2885" s="67" t="s">
        <v>4255</v>
      </c>
    </row>
    <row r="2886" spans="1:2" x14ac:dyDescent="0.2">
      <c r="A2886" s="68" t="s">
        <v>2676</v>
      </c>
      <c r="B2886" s="67" t="s">
        <v>4254</v>
      </c>
    </row>
    <row r="2887" spans="1:2" x14ac:dyDescent="0.2">
      <c r="A2887" s="68" t="s">
        <v>2675</v>
      </c>
      <c r="B2887" s="67" t="s">
        <v>4253</v>
      </c>
    </row>
    <row r="2888" spans="1:2" x14ac:dyDescent="0.2">
      <c r="A2888" s="68" t="s">
        <v>2674</v>
      </c>
      <c r="B2888" s="67" t="s">
        <v>4252</v>
      </c>
    </row>
    <row r="2889" spans="1:2" x14ac:dyDescent="0.2">
      <c r="A2889" s="68" t="s">
        <v>2673</v>
      </c>
      <c r="B2889" s="67" t="s">
        <v>4251</v>
      </c>
    </row>
    <row r="2890" spans="1:2" x14ac:dyDescent="0.2">
      <c r="A2890" s="68" t="s">
        <v>2672</v>
      </c>
      <c r="B2890" s="67" t="s">
        <v>4250</v>
      </c>
    </row>
    <row r="2891" spans="1:2" x14ac:dyDescent="0.2">
      <c r="A2891" s="68" t="s">
        <v>2671</v>
      </c>
      <c r="B2891" s="67" t="s">
        <v>4249</v>
      </c>
    </row>
    <row r="2892" spans="1:2" x14ac:dyDescent="0.2">
      <c r="A2892" s="68" t="s">
        <v>2670</v>
      </c>
      <c r="B2892" s="67" t="s">
        <v>4248</v>
      </c>
    </row>
    <row r="2893" spans="1:2" x14ac:dyDescent="0.2">
      <c r="A2893" s="68" t="s">
        <v>2669</v>
      </c>
      <c r="B2893" s="67" t="s">
        <v>4247</v>
      </c>
    </row>
    <row r="2894" spans="1:2" x14ac:dyDescent="0.2">
      <c r="A2894" s="68" t="s">
        <v>2668</v>
      </c>
      <c r="B2894" s="67" t="s">
        <v>4246</v>
      </c>
    </row>
    <row r="2895" spans="1:2" x14ac:dyDescent="0.2">
      <c r="A2895" s="68" t="s">
        <v>2667</v>
      </c>
      <c r="B2895" s="67" t="s">
        <v>4245</v>
      </c>
    </row>
    <row r="2896" spans="1:2" x14ac:dyDescent="0.2">
      <c r="A2896" s="68" t="s">
        <v>2666</v>
      </c>
      <c r="B2896" s="67" t="s">
        <v>4244</v>
      </c>
    </row>
    <row r="2897" spans="1:2" x14ac:dyDescent="0.2">
      <c r="A2897" s="68" t="s">
        <v>2665</v>
      </c>
      <c r="B2897" s="67" t="s">
        <v>4243</v>
      </c>
    </row>
    <row r="2898" spans="1:2" x14ac:dyDescent="0.2">
      <c r="A2898" s="68" t="s">
        <v>2664</v>
      </c>
      <c r="B2898" s="67" t="s">
        <v>4242</v>
      </c>
    </row>
    <row r="2899" spans="1:2" x14ac:dyDescent="0.2">
      <c r="A2899" s="68" t="s">
        <v>2663</v>
      </c>
      <c r="B2899" s="67" t="s">
        <v>4241</v>
      </c>
    </row>
    <row r="2900" spans="1:2" x14ac:dyDescent="0.2">
      <c r="A2900" s="68" t="s">
        <v>2662</v>
      </c>
      <c r="B2900" s="67" t="s">
        <v>4240</v>
      </c>
    </row>
    <row r="2901" spans="1:2" x14ac:dyDescent="0.2">
      <c r="A2901" s="68" t="s">
        <v>2661</v>
      </c>
      <c r="B2901" s="67" t="s">
        <v>4239</v>
      </c>
    </row>
    <row r="2902" spans="1:2" x14ac:dyDescent="0.2">
      <c r="A2902" s="68" t="s">
        <v>2660</v>
      </c>
      <c r="B2902" s="67" t="s">
        <v>4238</v>
      </c>
    </row>
    <row r="2903" spans="1:2" x14ac:dyDescent="0.2">
      <c r="A2903" s="68" t="s">
        <v>2659</v>
      </c>
      <c r="B2903" s="67" t="s">
        <v>4237</v>
      </c>
    </row>
    <row r="2904" spans="1:2" x14ac:dyDescent="0.2">
      <c r="A2904" s="68" t="s">
        <v>2658</v>
      </c>
      <c r="B2904" s="67" t="s">
        <v>4236</v>
      </c>
    </row>
    <row r="2905" spans="1:2" x14ac:dyDescent="0.2">
      <c r="A2905" s="68" t="s">
        <v>2657</v>
      </c>
      <c r="B2905" s="67" t="s">
        <v>4235</v>
      </c>
    </row>
    <row r="2906" spans="1:2" x14ac:dyDescent="0.2">
      <c r="A2906" s="68" t="s">
        <v>2656</v>
      </c>
      <c r="B2906" s="67" t="s">
        <v>4234</v>
      </c>
    </row>
    <row r="2907" spans="1:2" x14ac:dyDescent="0.2">
      <c r="A2907" s="68" t="s">
        <v>2655</v>
      </c>
      <c r="B2907" s="67" t="s">
        <v>4233</v>
      </c>
    </row>
    <row r="2908" spans="1:2" x14ac:dyDescent="0.2">
      <c r="A2908" s="68" t="s">
        <v>2654</v>
      </c>
      <c r="B2908" s="67" t="s">
        <v>4232</v>
      </c>
    </row>
    <row r="2909" spans="1:2" x14ac:dyDescent="0.2">
      <c r="A2909" s="68" t="s">
        <v>2653</v>
      </c>
      <c r="B2909" s="67" t="s">
        <v>4231</v>
      </c>
    </row>
    <row r="2910" spans="1:2" x14ac:dyDescent="0.2">
      <c r="A2910" s="68" t="s">
        <v>2652</v>
      </c>
      <c r="B2910" s="67" t="s">
        <v>4230</v>
      </c>
    </row>
    <row r="2911" spans="1:2" x14ac:dyDescent="0.2">
      <c r="A2911" s="68" t="s">
        <v>2651</v>
      </c>
      <c r="B2911" s="67" t="s">
        <v>4229</v>
      </c>
    </row>
    <row r="2912" spans="1:2" x14ac:dyDescent="0.2">
      <c r="A2912" s="68" t="s">
        <v>2650</v>
      </c>
      <c r="B2912" s="67" t="s">
        <v>4228</v>
      </c>
    </row>
    <row r="2913" spans="1:2" x14ac:dyDescent="0.2">
      <c r="A2913" s="68" t="s">
        <v>2649</v>
      </c>
      <c r="B2913" s="67" t="s">
        <v>4227</v>
      </c>
    </row>
    <row r="2914" spans="1:2" x14ac:dyDescent="0.2">
      <c r="A2914" s="68" t="s">
        <v>2648</v>
      </c>
      <c r="B2914" s="67" t="s">
        <v>4226</v>
      </c>
    </row>
    <row r="2915" spans="1:2" x14ac:dyDescent="0.2">
      <c r="A2915" s="68" t="s">
        <v>2647</v>
      </c>
      <c r="B2915" s="67" t="s">
        <v>4225</v>
      </c>
    </row>
    <row r="2916" spans="1:2" x14ac:dyDescent="0.2">
      <c r="A2916" s="68" t="s">
        <v>2646</v>
      </c>
      <c r="B2916" s="67" t="s">
        <v>4224</v>
      </c>
    </row>
    <row r="2917" spans="1:2" x14ac:dyDescent="0.2">
      <c r="A2917" s="68" t="s">
        <v>2645</v>
      </c>
      <c r="B2917" s="67" t="s">
        <v>4223</v>
      </c>
    </row>
    <row r="2918" spans="1:2" x14ac:dyDescent="0.2">
      <c r="A2918" s="68" t="s">
        <v>2644</v>
      </c>
      <c r="B2918" s="67" t="s">
        <v>4222</v>
      </c>
    </row>
    <row r="2919" spans="1:2" x14ac:dyDescent="0.2">
      <c r="A2919" s="68" t="s">
        <v>2643</v>
      </c>
      <c r="B2919" s="67" t="s">
        <v>4221</v>
      </c>
    </row>
    <row r="2920" spans="1:2" x14ac:dyDescent="0.2">
      <c r="A2920" s="68" t="s">
        <v>2642</v>
      </c>
      <c r="B2920" s="67" t="s">
        <v>4220</v>
      </c>
    </row>
    <row r="2921" spans="1:2" x14ac:dyDescent="0.2">
      <c r="A2921" s="68" t="s">
        <v>2641</v>
      </c>
      <c r="B2921" s="67" t="s">
        <v>4219</v>
      </c>
    </row>
    <row r="2922" spans="1:2" x14ac:dyDescent="0.2">
      <c r="A2922" s="68" t="s">
        <v>2640</v>
      </c>
      <c r="B2922" s="67" t="s">
        <v>4218</v>
      </c>
    </row>
    <row r="2923" spans="1:2" x14ac:dyDescent="0.2">
      <c r="A2923" s="68" t="s">
        <v>2639</v>
      </c>
      <c r="B2923" s="67" t="s">
        <v>4217</v>
      </c>
    </row>
    <row r="2924" spans="1:2" x14ac:dyDescent="0.2">
      <c r="A2924" s="68" t="s">
        <v>2638</v>
      </c>
      <c r="B2924" s="67" t="s">
        <v>4216</v>
      </c>
    </row>
    <row r="2925" spans="1:2" x14ac:dyDescent="0.2">
      <c r="A2925" s="68" t="s">
        <v>2637</v>
      </c>
      <c r="B2925" s="67" t="s">
        <v>4215</v>
      </c>
    </row>
    <row r="2926" spans="1:2" x14ac:dyDescent="0.2">
      <c r="A2926" s="68" t="s">
        <v>2636</v>
      </c>
      <c r="B2926" s="67" t="s">
        <v>4214</v>
      </c>
    </row>
    <row r="2927" spans="1:2" x14ac:dyDescent="0.2">
      <c r="A2927" s="68" t="s">
        <v>2635</v>
      </c>
      <c r="B2927" s="67" t="s">
        <v>4213</v>
      </c>
    </row>
    <row r="2928" spans="1:2" x14ac:dyDescent="0.2">
      <c r="A2928" s="68" t="s">
        <v>2634</v>
      </c>
      <c r="B2928" s="67" t="s">
        <v>4212</v>
      </c>
    </row>
    <row r="2929" spans="1:2" x14ac:dyDescent="0.2">
      <c r="A2929" s="68" t="s">
        <v>2633</v>
      </c>
      <c r="B2929" s="67" t="s">
        <v>4211</v>
      </c>
    </row>
    <row r="2930" spans="1:2" x14ac:dyDescent="0.2">
      <c r="A2930" s="68" t="s">
        <v>2632</v>
      </c>
      <c r="B2930" s="67" t="s">
        <v>4210</v>
      </c>
    </row>
    <row r="2931" spans="1:2" x14ac:dyDescent="0.2">
      <c r="A2931" s="68" t="s">
        <v>2631</v>
      </c>
      <c r="B2931" s="67" t="s">
        <v>4209</v>
      </c>
    </row>
    <row r="2932" spans="1:2" x14ac:dyDescent="0.2">
      <c r="A2932" s="68" t="s">
        <v>2630</v>
      </c>
      <c r="B2932" s="67" t="s">
        <v>4208</v>
      </c>
    </row>
    <row r="2933" spans="1:2" x14ac:dyDescent="0.2">
      <c r="A2933" s="68" t="s">
        <v>2629</v>
      </c>
      <c r="B2933" s="67" t="s">
        <v>4207</v>
      </c>
    </row>
    <row r="2934" spans="1:2" x14ac:dyDescent="0.2">
      <c r="A2934" s="68" t="s">
        <v>2628</v>
      </c>
      <c r="B2934" s="67" t="s">
        <v>4206</v>
      </c>
    </row>
    <row r="2935" spans="1:2" x14ac:dyDescent="0.2">
      <c r="A2935" s="68" t="s">
        <v>2627</v>
      </c>
      <c r="B2935" s="67" t="s">
        <v>4205</v>
      </c>
    </row>
    <row r="2936" spans="1:2" x14ac:dyDescent="0.2">
      <c r="A2936" s="68" t="s">
        <v>2626</v>
      </c>
      <c r="B2936" s="67" t="s">
        <v>4204</v>
      </c>
    </row>
    <row r="2937" spans="1:2" x14ac:dyDescent="0.2">
      <c r="A2937" s="68" t="s">
        <v>2625</v>
      </c>
      <c r="B2937" s="67" t="s">
        <v>4203</v>
      </c>
    </row>
    <row r="2938" spans="1:2" x14ac:dyDescent="0.2">
      <c r="A2938" s="68" t="s">
        <v>2624</v>
      </c>
      <c r="B2938" s="67" t="s">
        <v>4202</v>
      </c>
    </row>
    <row r="2939" spans="1:2" x14ac:dyDescent="0.2">
      <c r="A2939" s="68" t="s">
        <v>2623</v>
      </c>
      <c r="B2939" s="67" t="s">
        <v>4201</v>
      </c>
    </row>
    <row r="2940" spans="1:2" x14ac:dyDescent="0.2">
      <c r="A2940" s="68" t="s">
        <v>2622</v>
      </c>
      <c r="B2940" s="67" t="s">
        <v>4200</v>
      </c>
    </row>
    <row r="2941" spans="1:2" x14ac:dyDescent="0.2">
      <c r="A2941" s="68" t="s">
        <v>2621</v>
      </c>
      <c r="B2941" s="67" t="s">
        <v>4199</v>
      </c>
    </row>
    <row r="2942" spans="1:2" x14ac:dyDescent="0.2">
      <c r="A2942" s="68" t="s">
        <v>2620</v>
      </c>
      <c r="B2942" s="67" t="s">
        <v>4198</v>
      </c>
    </row>
    <row r="2943" spans="1:2" x14ac:dyDescent="0.2">
      <c r="A2943" s="68" t="s">
        <v>2619</v>
      </c>
      <c r="B2943" s="67" t="s">
        <v>4197</v>
      </c>
    </row>
    <row r="2944" spans="1:2" x14ac:dyDescent="0.2">
      <c r="A2944" s="68" t="s">
        <v>2618</v>
      </c>
      <c r="B2944" s="67" t="s">
        <v>4196</v>
      </c>
    </row>
    <row r="2945" spans="1:2" x14ac:dyDescent="0.2">
      <c r="A2945" s="68" t="s">
        <v>2617</v>
      </c>
      <c r="B2945" s="67" t="s">
        <v>4195</v>
      </c>
    </row>
    <row r="2946" spans="1:2" x14ac:dyDescent="0.2">
      <c r="A2946" s="68" t="s">
        <v>2616</v>
      </c>
      <c r="B2946" s="67" t="s">
        <v>4194</v>
      </c>
    </row>
    <row r="2947" spans="1:2" x14ac:dyDescent="0.2">
      <c r="A2947" s="68" t="s">
        <v>2615</v>
      </c>
      <c r="B2947" s="67" t="s">
        <v>4193</v>
      </c>
    </row>
    <row r="2948" spans="1:2" x14ac:dyDescent="0.2">
      <c r="A2948" s="68" t="s">
        <v>2614</v>
      </c>
      <c r="B2948" s="67" t="s">
        <v>4192</v>
      </c>
    </row>
    <row r="2949" spans="1:2" x14ac:dyDescent="0.2">
      <c r="A2949" s="68" t="s">
        <v>2613</v>
      </c>
      <c r="B2949" s="67" t="s">
        <v>4191</v>
      </c>
    </row>
    <row r="2950" spans="1:2" x14ac:dyDescent="0.2">
      <c r="A2950" s="68" t="s">
        <v>2612</v>
      </c>
      <c r="B2950" s="67" t="s">
        <v>4190</v>
      </c>
    </row>
    <row r="2951" spans="1:2" x14ac:dyDescent="0.2">
      <c r="A2951" s="68" t="s">
        <v>2611</v>
      </c>
      <c r="B2951" s="67" t="s">
        <v>4189</v>
      </c>
    </row>
    <row r="2952" spans="1:2" x14ac:dyDescent="0.2">
      <c r="A2952" s="68" t="s">
        <v>2610</v>
      </c>
      <c r="B2952" s="67" t="s">
        <v>4188</v>
      </c>
    </row>
    <row r="2953" spans="1:2" x14ac:dyDescent="0.2">
      <c r="A2953" s="68" t="s">
        <v>2609</v>
      </c>
      <c r="B2953" s="67" t="s">
        <v>4187</v>
      </c>
    </row>
    <row r="2954" spans="1:2" x14ac:dyDescent="0.2">
      <c r="A2954" s="68" t="s">
        <v>2608</v>
      </c>
      <c r="B2954" s="67" t="s">
        <v>4186</v>
      </c>
    </row>
    <row r="2955" spans="1:2" x14ac:dyDescent="0.2">
      <c r="A2955" s="68" t="s">
        <v>2607</v>
      </c>
      <c r="B2955" s="67" t="s">
        <v>4185</v>
      </c>
    </row>
    <row r="2956" spans="1:2" x14ac:dyDescent="0.2">
      <c r="A2956" s="68" t="s">
        <v>2606</v>
      </c>
      <c r="B2956" s="67" t="s">
        <v>4184</v>
      </c>
    </row>
    <row r="2957" spans="1:2" x14ac:dyDescent="0.2">
      <c r="A2957" s="68" t="s">
        <v>2605</v>
      </c>
      <c r="B2957" s="67" t="s">
        <v>4183</v>
      </c>
    </row>
    <row r="2958" spans="1:2" x14ac:dyDescent="0.2">
      <c r="A2958" s="68" t="s">
        <v>2604</v>
      </c>
      <c r="B2958" s="67" t="s">
        <v>4182</v>
      </c>
    </row>
    <row r="2959" spans="1:2" x14ac:dyDescent="0.2">
      <c r="A2959" s="68" t="s">
        <v>2603</v>
      </c>
      <c r="B2959" s="67" t="s">
        <v>4181</v>
      </c>
    </row>
    <row r="2960" spans="1:2" x14ac:dyDescent="0.2">
      <c r="A2960" s="68" t="s">
        <v>2602</v>
      </c>
      <c r="B2960" s="67" t="s">
        <v>4180</v>
      </c>
    </row>
    <row r="2961" spans="1:2" x14ac:dyDescent="0.2">
      <c r="A2961" s="68" t="s">
        <v>2601</v>
      </c>
      <c r="B2961" s="67" t="s">
        <v>4179</v>
      </c>
    </row>
    <row r="2962" spans="1:2" x14ac:dyDescent="0.2">
      <c r="A2962" s="68" t="s">
        <v>2600</v>
      </c>
      <c r="B2962" s="67" t="s">
        <v>4178</v>
      </c>
    </row>
    <row r="2963" spans="1:2" x14ac:dyDescent="0.2">
      <c r="A2963" s="68" t="s">
        <v>2599</v>
      </c>
      <c r="B2963" s="67" t="s">
        <v>4177</v>
      </c>
    </row>
    <row r="2964" spans="1:2" x14ac:dyDescent="0.2">
      <c r="A2964" s="68" t="s">
        <v>2598</v>
      </c>
      <c r="B2964" s="67" t="s">
        <v>4176</v>
      </c>
    </row>
    <row r="2965" spans="1:2" x14ac:dyDescent="0.2">
      <c r="A2965" s="68" t="s">
        <v>2597</v>
      </c>
      <c r="B2965" s="67" t="s">
        <v>4175</v>
      </c>
    </row>
    <row r="2966" spans="1:2" x14ac:dyDescent="0.2">
      <c r="A2966" s="68" t="s">
        <v>2596</v>
      </c>
      <c r="B2966" s="67" t="s">
        <v>4174</v>
      </c>
    </row>
    <row r="2967" spans="1:2" x14ac:dyDescent="0.2">
      <c r="A2967" s="68" t="s">
        <v>2595</v>
      </c>
      <c r="B2967" s="67" t="s">
        <v>4173</v>
      </c>
    </row>
    <row r="2968" spans="1:2" x14ac:dyDescent="0.2">
      <c r="A2968" s="68" t="s">
        <v>2594</v>
      </c>
      <c r="B2968" s="67" t="s">
        <v>4172</v>
      </c>
    </row>
    <row r="2969" spans="1:2" x14ac:dyDescent="0.2">
      <c r="A2969" s="68" t="s">
        <v>2593</v>
      </c>
      <c r="B2969" s="67"/>
    </row>
    <row r="2970" spans="1:2" x14ac:dyDescent="0.2">
      <c r="A2970" s="68" t="s">
        <v>2592</v>
      </c>
      <c r="B2970" s="67" t="s">
        <v>4171</v>
      </c>
    </row>
    <row r="2971" spans="1:2" x14ac:dyDescent="0.2">
      <c r="A2971" s="68" t="s">
        <v>2591</v>
      </c>
      <c r="B2971" s="67" t="s">
        <v>4170</v>
      </c>
    </row>
    <row r="2972" spans="1:2" x14ac:dyDescent="0.2">
      <c r="A2972" s="68" t="s">
        <v>2590</v>
      </c>
      <c r="B2972" s="67" t="s">
        <v>4169</v>
      </c>
    </row>
    <row r="2973" spans="1:2" x14ac:dyDescent="0.2">
      <c r="A2973" s="68" t="s">
        <v>2589</v>
      </c>
      <c r="B2973" s="67" t="s">
        <v>4168</v>
      </c>
    </row>
    <row r="2974" spans="1:2" x14ac:dyDescent="0.2">
      <c r="A2974" s="68" t="s">
        <v>2588</v>
      </c>
      <c r="B2974" s="67" t="s">
        <v>4167</v>
      </c>
    </row>
    <row r="2975" spans="1:2" x14ac:dyDescent="0.2">
      <c r="A2975" s="68" t="s">
        <v>2587</v>
      </c>
      <c r="B2975" s="67" t="s">
        <v>4166</v>
      </c>
    </row>
    <row r="2976" spans="1:2" x14ac:dyDescent="0.2">
      <c r="A2976" s="68" t="s">
        <v>2586</v>
      </c>
      <c r="B2976" s="67" t="s">
        <v>4165</v>
      </c>
    </row>
    <row r="2977" spans="1:2" x14ac:dyDescent="0.2">
      <c r="A2977" s="68" t="s">
        <v>2585</v>
      </c>
      <c r="B2977" s="67" t="s">
        <v>4164</v>
      </c>
    </row>
    <row r="2978" spans="1:2" x14ac:dyDescent="0.2">
      <c r="A2978" s="68" t="s">
        <v>2584</v>
      </c>
      <c r="B2978" s="67" t="s">
        <v>4163</v>
      </c>
    </row>
    <row r="2979" spans="1:2" x14ac:dyDescent="0.2">
      <c r="A2979" s="68" t="s">
        <v>2583</v>
      </c>
      <c r="B2979" s="67" t="s">
        <v>4162</v>
      </c>
    </row>
    <row r="2980" spans="1:2" x14ac:dyDescent="0.2">
      <c r="A2980" s="68" t="s">
        <v>2582</v>
      </c>
      <c r="B2980" s="67" t="s">
        <v>4161</v>
      </c>
    </row>
    <row r="2981" spans="1:2" x14ac:dyDescent="0.2">
      <c r="A2981" s="68" t="s">
        <v>2581</v>
      </c>
      <c r="B2981" s="67" t="s">
        <v>4160</v>
      </c>
    </row>
    <row r="2982" spans="1:2" x14ac:dyDescent="0.2">
      <c r="A2982" s="68" t="s">
        <v>2580</v>
      </c>
      <c r="B2982" s="67" t="s">
        <v>4159</v>
      </c>
    </row>
    <row r="2983" spans="1:2" x14ac:dyDescent="0.2">
      <c r="A2983" s="68" t="s">
        <v>2579</v>
      </c>
      <c r="B2983" s="67" t="s">
        <v>4158</v>
      </c>
    </row>
    <row r="2984" spans="1:2" x14ac:dyDescent="0.2">
      <c r="A2984" s="68" t="s">
        <v>2578</v>
      </c>
      <c r="B2984" s="67" t="s">
        <v>4157</v>
      </c>
    </row>
    <row r="2985" spans="1:2" x14ac:dyDescent="0.2">
      <c r="A2985" s="68" t="s">
        <v>2577</v>
      </c>
      <c r="B2985" s="67" t="s">
        <v>4156</v>
      </c>
    </row>
    <row r="2986" spans="1:2" x14ac:dyDescent="0.2">
      <c r="A2986" s="68" t="s">
        <v>2576</v>
      </c>
      <c r="B2986" s="67" t="s">
        <v>4155</v>
      </c>
    </row>
    <row r="2987" spans="1:2" x14ac:dyDescent="0.2">
      <c r="A2987" s="68" t="s">
        <v>2575</v>
      </c>
      <c r="B2987" s="67" t="s">
        <v>4154</v>
      </c>
    </row>
    <row r="2988" spans="1:2" x14ac:dyDescent="0.2">
      <c r="A2988" s="68" t="s">
        <v>2574</v>
      </c>
      <c r="B2988" s="67" t="s">
        <v>4153</v>
      </c>
    </row>
    <row r="2989" spans="1:2" x14ac:dyDescent="0.2">
      <c r="A2989" s="68" t="s">
        <v>2573</v>
      </c>
      <c r="B2989" s="67" t="s">
        <v>4152</v>
      </c>
    </row>
    <row r="2990" spans="1:2" x14ac:dyDescent="0.2">
      <c r="A2990" s="68" t="s">
        <v>2572</v>
      </c>
      <c r="B2990" s="67" t="s">
        <v>4151</v>
      </c>
    </row>
    <row r="2991" spans="1:2" x14ac:dyDescent="0.2">
      <c r="A2991" s="68" t="s">
        <v>2571</v>
      </c>
      <c r="B2991" s="67" t="s">
        <v>4150</v>
      </c>
    </row>
    <row r="2992" spans="1:2" x14ac:dyDescent="0.2">
      <c r="A2992" s="68" t="s">
        <v>2570</v>
      </c>
      <c r="B2992" s="67" t="s">
        <v>4149</v>
      </c>
    </row>
    <row r="2993" spans="1:2" x14ac:dyDescent="0.2">
      <c r="A2993" s="68" t="s">
        <v>2569</v>
      </c>
      <c r="B2993" s="67" t="s">
        <v>4148</v>
      </c>
    </row>
    <row r="2994" spans="1:2" x14ac:dyDescent="0.2">
      <c r="A2994" s="68" t="s">
        <v>2568</v>
      </c>
      <c r="B2994" s="67" t="s">
        <v>4147</v>
      </c>
    </row>
    <row r="2995" spans="1:2" x14ac:dyDescent="0.2">
      <c r="A2995" s="68" t="s">
        <v>2567</v>
      </c>
      <c r="B2995" s="67" t="s">
        <v>4146</v>
      </c>
    </row>
    <row r="2996" spans="1:2" x14ac:dyDescent="0.2">
      <c r="A2996" s="68" t="s">
        <v>2566</v>
      </c>
      <c r="B2996" s="67" t="s">
        <v>4145</v>
      </c>
    </row>
    <row r="2997" spans="1:2" x14ac:dyDescent="0.2">
      <c r="A2997" s="68" t="s">
        <v>2565</v>
      </c>
      <c r="B2997" s="67" t="s">
        <v>4144</v>
      </c>
    </row>
    <row r="2998" spans="1:2" x14ac:dyDescent="0.2">
      <c r="A2998" s="68" t="s">
        <v>2564</v>
      </c>
      <c r="B2998" s="67" t="s">
        <v>4143</v>
      </c>
    </row>
    <row r="2999" spans="1:2" x14ac:dyDescent="0.2">
      <c r="A2999" s="68" t="s">
        <v>2563</v>
      </c>
      <c r="B2999" s="67" t="s">
        <v>4142</v>
      </c>
    </row>
    <row r="3000" spans="1:2" x14ac:dyDescent="0.2">
      <c r="A3000" s="68" t="s">
        <v>2562</v>
      </c>
      <c r="B3000" s="67" t="s">
        <v>4141</v>
      </c>
    </row>
    <row r="3001" spans="1:2" x14ac:dyDescent="0.2">
      <c r="A3001" s="68" t="s">
        <v>2561</v>
      </c>
      <c r="B3001" s="67" t="s">
        <v>4140</v>
      </c>
    </row>
    <row r="3002" spans="1:2" x14ac:dyDescent="0.2">
      <c r="A3002" s="68" t="s">
        <v>2560</v>
      </c>
      <c r="B3002" s="67" t="s">
        <v>4139</v>
      </c>
    </row>
    <row r="3003" spans="1:2" x14ac:dyDescent="0.2">
      <c r="A3003" s="68" t="s">
        <v>2559</v>
      </c>
      <c r="B3003" s="67" t="s">
        <v>4138</v>
      </c>
    </row>
    <row r="3004" spans="1:2" x14ac:dyDescent="0.2">
      <c r="A3004" s="68" t="s">
        <v>2558</v>
      </c>
      <c r="B3004" s="67" t="s">
        <v>4137</v>
      </c>
    </row>
    <row r="3005" spans="1:2" x14ac:dyDescent="0.2">
      <c r="A3005" s="68" t="s">
        <v>2557</v>
      </c>
      <c r="B3005" s="67" t="s">
        <v>4136</v>
      </c>
    </row>
    <row r="3006" spans="1:2" x14ac:dyDescent="0.2">
      <c r="A3006" s="68" t="s">
        <v>2556</v>
      </c>
      <c r="B3006" s="67" t="s">
        <v>4135</v>
      </c>
    </row>
    <row r="3007" spans="1:2" x14ac:dyDescent="0.2">
      <c r="A3007" s="68" t="s">
        <v>2555</v>
      </c>
      <c r="B3007" s="67" t="s">
        <v>4134</v>
      </c>
    </row>
    <row r="3008" spans="1:2" x14ac:dyDescent="0.2">
      <c r="A3008" s="68" t="s">
        <v>2554</v>
      </c>
      <c r="B3008" s="67" t="s">
        <v>4133</v>
      </c>
    </row>
    <row r="3009" spans="1:2" x14ac:dyDescent="0.2">
      <c r="A3009" s="68" t="s">
        <v>2553</v>
      </c>
      <c r="B3009" s="67" t="s">
        <v>4132</v>
      </c>
    </row>
    <row r="3010" spans="1:2" x14ac:dyDescent="0.2">
      <c r="A3010" s="68" t="s">
        <v>2552</v>
      </c>
      <c r="B3010" s="67" t="s">
        <v>4131</v>
      </c>
    </row>
    <row r="3011" spans="1:2" x14ac:dyDescent="0.2">
      <c r="A3011" s="68" t="s">
        <v>2551</v>
      </c>
      <c r="B3011" s="67" t="s">
        <v>4130</v>
      </c>
    </row>
    <row r="3012" spans="1:2" x14ac:dyDescent="0.2">
      <c r="A3012" s="68" t="s">
        <v>2550</v>
      </c>
      <c r="B3012" s="67" t="s">
        <v>4129</v>
      </c>
    </row>
    <row r="3013" spans="1:2" x14ac:dyDescent="0.2">
      <c r="A3013" s="68" t="s">
        <v>2549</v>
      </c>
      <c r="B3013" s="67" t="s">
        <v>4128</v>
      </c>
    </row>
    <row r="3014" spans="1:2" x14ac:dyDescent="0.2">
      <c r="A3014" s="68" t="s">
        <v>2548</v>
      </c>
      <c r="B3014" s="67" t="s">
        <v>4127</v>
      </c>
    </row>
    <row r="3015" spans="1:2" x14ac:dyDescent="0.2">
      <c r="A3015" s="68" t="s">
        <v>2547</v>
      </c>
      <c r="B3015" s="67" t="s">
        <v>4126</v>
      </c>
    </row>
    <row r="3016" spans="1:2" x14ac:dyDescent="0.2">
      <c r="A3016" s="68" t="s">
        <v>2546</v>
      </c>
      <c r="B3016" s="67" t="s">
        <v>4125</v>
      </c>
    </row>
    <row r="3017" spans="1:2" x14ac:dyDescent="0.2">
      <c r="A3017" s="68" t="s">
        <v>2545</v>
      </c>
      <c r="B3017" s="67" t="s">
        <v>4124</v>
      </c>
    </row>
    <row r="3018" spans="1:2" x14ac:dyDescent="0.2">
      <c r="A3018" s="68" t="s">
        <v>2544</v>
      </c>
      <c r="B3018" s="67" t="s">
        <v>4123</v>
      </c>
    </row>
    <row r="3019" spans="1:2" x14ac:dyDescent="0.2">
      <c r="A3019" s="68" t="s">
        <v>2543</v>
      </c>
      <c r="B3019" s="67" t="s">
        <v>4122</v>
      </c>
    </row>
    <row r="3020" spans="1:2" x14ac:dyDescent="0.2">
      <c r="A3020" s="68" t="s">
        <v>2542</v>
      </c>
      <c r="B3020" s="67" t="s">
        <v>4121</v>
      </c>
    </row>
    <row r="3021" spans="1:2" x14ac:dyDescent="0.2">
      <c r="A3021" s="68" t="s">
        <v>2541</v>
      </c>
      <c r="B3021" s="67" t="s">
        <v>4120</v>
      </c>
    </row>
    <row r="3022" spans="1:2" x14ac:dyDescent="0.2">
      <c r="A3022" s="68" t="s">
        <v>2540</v>
      </c>
      <c r="B3022" s="67" t="s">
        <v>4119</v>
      </c>
    </row>
    <row r="3023" spans="1:2" x14ac:dyDescent="0.2">
      <c r="A3023" s="68" t="s">
        <v>2539</v>
      </c>
      <c r="B3023" s="67" t="s">
        <v>4118</v>
      </c>
    </row>
    <row r="3024" spans="1:2" x14ac:dyDescent="0.2">
      <c r="A3024" s="68" t="s">
        <v>2538</v>
      </c>
      <c r="B3024" s="67" t="s">
        <v>4117</v>
      </c>
    </row>
    <row r="3025" spans="1:2" x14ac:dyDescent="0.2">
      <c r="A3025" s="68" t="s">
        <v>2537</v>
      </c>
      <c r="B3025" s="67" t="s">
        <v>4116</v>
      </c>
    </row>
    <row r="3026" spans="1:2" x14ac:dyDescent="0.2">
      <c r="A3026" s="68" t="s">
        <v>2536</v>
      </c>
      <c r="B3026" s="67" t="s">
        <v>4115</v>
      </c>
    </row>
    <row r="3027" spans="1:2" x14ac:dyDescent="0.2">
      <c r="A3027" s="68" t="s">
        <v>2535</v>
      </c>
      <c r="B3027" s="67" t="s">
        <v>4114</v>
      </c>
    </row>
    <row r="3028" spans="1:2" x14ac:dyDescent="0.2">
      <c r="A3028" s="68" t="s">
        <v>2534</v>
      </c>
      <c r="B3028" s="67" t="s">
        <v>4113</v>
      </c>
    </row>
    <row r="3029" spans="1:2" x14ac:dyDescent="0.2">
      <c r="A3029" s="68" t="s">
        <v>2533</v>
      </c>
      <c r="B3029" s="67" t="s">
        <v>4112</v>
      </c>
    </row>
    <row r="3030" spans="1:2" x14ac:dyDescent="0.2">
      <c r="A3030" s="68" t="s">
        <v>2532</v>
      </c>
      <c r="B3030" s="67" t="s">
        <v>4111</v>
      </c>
    </row>
    <row r="3031" spans="1:2" x14ac:dyDescent="0.2">
      <c r="A3031" s="68" t="s">
        <v>2531</v>
      </c>
      <c r="B3031" s="67" t="s">
        <v>4110</v>
      </c>
    </row>
    <row r="3032" spans="1:2" x14ac:dyDescent="0.2">
      <c r="A3032" s="68" t="s">
        <v>2530</v>
      </c>
      <c r="B3032" s="67" t="s">
        <v>4109</v>
      </c>
    </row>
    <row r="3033" spans="1:2" x14ac:dyDescent="0.2">
      <c r="A3033" s="68" t="s">
        <v>2529</v>
      </c>
      <c r="B3033" s="67" t="s">
        <v>4108</v>
      </c>
    </row>
    <row r="3034" spans="1:2" x14ac:dyDescent="0.2">
      <c r="A3034" s="68" t="s">
        <v>2528</v>
      </c>
      <c r="B3034" s="67" t="s">
        <v>4107</v>
      </c>
    </row>
    <row r="3035" spans="1:2" x14ac:dyDescent="0.2">
      <c r="A3035" s="68" t="s">
        <v>2527</v>
      </c>
      <c r="B3035" s="67" t="s">
        <v>4106</v>
      </c>
    </row>
    <row r="3036" spans="1:2" x14ac:dyDescent="0.2">
      <c r="A3036" s="68" t="s">
        <v>2526</v>
      </c>
      <c r="B3036" s="67" t="s">
        <v>4105</v>
      </c>
    </row>
    <row r="3037" spans="1:2" x14ac:dyDescent="0.2">
      <c r="A3037" s="68" t="s">
        <v>2525</v>
      </c>
      <c r="B3037" s="67" t="s">
        <v>4104</v>
      </c>
    </row>
    <row r="3038" spans="1:2" x14ac:dyDescent="0.2">
      <c r="A3038" s="68" t="s">
        <v>2524</v>
      </c>
      <c r="B3038" s="67" t="s">
        <v>4103</v>
      </c>
    </row>
    <row r="3039" spans="1:2" x14ac:dyDescent="0.2">
      <c r="A3039" s="68" t="s">
        <v>2523</v>
      </c>
      <c r="B3039" s="67" t="s">
        <v>4102</v>
      </c>
    </row>
    <row r="3040" spans="1:2" x14ac:dyDescent="0.2">
      <c r="A3040" s="68" t="s">
        <v>2522</v>
      </c>
      <c r="B3040" s="67" t="s">
        <v>4101</v>
      </c>
    </row>
    <row r="3041" spans="1:2" x14ac:dyDescent="0.2">
      <c r="A3041" s="68" t="s">
        <v>2521</v>
      </c>
      <c r="B3041" s="67" t="s">
        <v>4100</v>
      </c>
    </row>
    <row r="3042" spans="1:2" x14ac:dyDescent="0.2">
      <c r="A3042" s="68" t="s">
        <v>2520</v>
      </c>
      <c r="B3042" s="67" t="s">
        <v>4099</v>
      </c>
    </row>
    <row r="3043" spans="1:2" x14ac:dyDescent="0.2">
      <c r="A3043" s="68" t="s">
        <v>2519</v>
      </c>
      <c r="B3043" s="67" t="s">
        <v>4098</v>
      </c>
    </row>
    <row r="3044" spans="1:2" x14ac:dyDescent="0.2">
      <c r="A3044" s="68" t="s">
        <v>2518</v>
      </c>
      <c r="B3044" s="67" t="s">
        <v>4097</v>
      </c>
    </row>
    <row r="3045" spans="1:2" x14ac:dyDescent="0.2">
      <c r="A3045" s="68" t="s">
        <v>2517</v>
      </c>
      <c r="B3045" s="67" t="s">
        <v>4096</v>
      </c>
    </row>
    <row r="3046" spans="1:2" x14ac:dyDescent="0.2">
      <c r="A3046" s="68" t="s">
        <v>2516</v>
      </c>
      <c r="B3046" s="67" t="s">
        <v>4095</v>
      </c>
    </row>
    <row r="3047" spans="1:2" x14ac:dyDescent="0.2">
      <c r="A3047" s="68" t="s">
        <v>2515</v>
      </c>
      <c r="B3047" s="67" t="s">
        <v>4094</v>
      </c>
    </row>
    <row r="3048" spans="1:2" x14ac:dyDescent="0.2">
      <c r="A3048" s="68" t="s">
        <v>2514</v>
      </c>
      <c r="B3048" s="67" t="s">
        <v>4093</v>
      </c>
    </row>
    <row r="3049" spans="1:2" x14ac:dyDescent="0.2">
      <c r="A3049" s="68" t="s">
        <v>2513</v>
      </c>
      <c r="B3049" s="67" t="s">
        <v>4092</v>
      </c>
    </row>
    <row r="3050" spans="1:2" x14ac:dyDescent="0.2">
      <c r="A3050" s="68" t="s">
        <v>2512</v>
      </c>
      <c r="B3050" s="67" t="s">
        <v>4091</v>
      </c>
    </row>
    <row r="3051" spans="1:2" x14ac:dyDescent="0.2">
      <c r="A3051" s="68" t="s">
        <v>2511</v>
      </c>
      <c r="B3051" s="67" t="s">
        <v>4090</v>
      </c>
    </row>
    <row r="3052" spans="1:2" x14ac:dyDescent="0.2">
      <c r="A3052" s="68" t="s">
        <v>2510</v>
      </c>
      <c r="B3052" s="67" t="s">
        <v>4089</v>
      </c>
    </row>
    <row r="3053" spans="1:2" x14ac:dyDescent="0.2">
      <c r="A3053" s="68" t="s">
        <v>2509</v>
      </c>
      <c r="B3053" s="67" t="s">
        <v>4088</v>
      </c>
    </row>
    <row r="3054" spans="1:2" x14ac:dyDescent="0.2">
      <c r="A3054" s="68" t="s">
        <v>2508</v>
      </c>
      <c r="B3054" s="67" t="s">
        <v>4087</v>
      </c>
    </row>
    <row r="3055" spans="1:2" x14ac:dyDescent="0.2">
      <c r="A3055" s="68" t="s">
        <v>2507</v>
      </c>
      <c r="B3055" s="67" t="s">
        <v>4086</v>
      </c>
    </row>
    <row r="3056" spans="1:2" x14ac:dyDescent="0.2">
      <c r="A3056" s="68" t="s">
        <v>2506</v>
      </c>
      <c r="B3056" s="67" t="s">
        <v>4085</v>
      </c>
    </row>
    <row r="3057" spans="1:2" x14ac:dyDescent="0.2">
      <c r="A3057" s="68" t="s">
        <v>2505</v>
      </c>
      <c r="B3057" s="67" t="s">
        <v>4084</v>
      </c>
    </row>
    <row r="3058" spans="1:2" x14ac:dyDescent="0.2">
      <c r="A3058" s="68" t="s">
        <v>2504</v>
      </c>
      <c r="B3058" s="67" t="s">
        <v>4083</v>
      </c>
    </row>
    <row r="3059" spans="1:2" x14ac:dyDescent="0.2">
      <c r="A3059" s="68" t="s">
        <v>2503</v>
      </c>
      <c r="B3059" s="67" t="s">
        <v>4082</v>
      </c>
    </row>
    <row r="3060" spans="1:2" x14ac:dyDescent="0.2">
      <c r="A3060" s="68" t="s">
        <v>2502</v>
      </c>
      <c r="B3060" s="67" t="s">
        <v>4081</v>
      </c>
    </row>
    <row r="3061" spans="1:2" x14ac:dyDescent="0.2">
      <c r="A3061" s="68" t="s">
        <v>2501</v>
      </c>
      <c r="B3061" s="67" t="s">
        <v>4080</v>
      </c>
    </row>
    <row r="3062" spans="1:2" x14ac:dyDescent="0.2">
      <c r="A3062" s="68" t="s">
        <v>2500</v>
      </c>
      <c r="B3062" s="67" t="s">
        <v>4079</v>
      </c>
    </row>
    <row r="3063" spans="1:2" x14ac:dyDescent="0.2">
      <c r="A3063" s="68" t="s">
        <v>2499</v>
      </c>
      <c r="B3063" s="67" t="s">
        <v>4078</v>
      </c>
    </row>
    <row r="3064" spans="1:2" x14ac:dyDescent="0.2">
      <c r="A3064" s="68" t="s">
        <v>2498</v>
      </c>
      <c r="B3064" s="67" t="s">
        <v>4077</v>
      </c>
    </row>
    <row r="3065" spans="1:2" x14ac:dyDescent="0.2">
      <c r="A3065" s="68" t="s">
        <v>2497</v>
      </c>
      <c r="B3065" s="67" t="s">
        <v>4076</v>
      </c>
    </row>
    <row r="3066" spans="1:2" x14ac:dyDescent="0.2">
      <c r="A3066" s="68" t="s">
        <v>2496</v>
      </c>
      <c r="B3066" s="67" t="s">
        <v>4075</v>
      </c>
    </row>
    <row r="3067" spans="1:2" x14ac:dyDescent="0.2">
      <c r="A3067" s="68" t="s">
        <v>2495</v>
      </c>
      <c r="B3067" s="67" t="s">
        <v>4074</v>
      </c>
    </row>
    <row r="3068" spans="1:2" x14ac:dyDescent="0.2">
      <c r="A3068" s="68" t="s">
        <v>2494</v>
      </c>
      <c r="B3068" s="67" t="s">
        <v>4073</v>
      </c>
    </row>
    <row r="3069" spans="1:2" x14ac:dyDescent="0.2">
      <c r="A3069" s="68" t="s">
        <v>2493</v>
      </c>
      <c r="B3069" s="67" t="s">
        <v>4072</v>
      </c>
    </row>
    <row r="3070" spans="1:2" x14ac:dyDescent="0.2">
      <c r="A3070" s="68" t="s">
        <v>2492</v>
      </c>
      <c r="B3070" s="67" t="s">
        <v>4071</v>
      </c>
    </row>
    <row r="3071" spans="1:2" x14ac:dyDescent="0.2">
      <c r="A3071" s="68" t="s">
        <v>2491</v>
      </c>
      <c r="B3071" s="67" t="s">
        <v>4070</v>
      </c>
    </row>
    <row r="3072" spans="1:2" x14ac:dyDescent="0.2">
      <c r="A3072" s="68" t="s">
        <v>2490</v>
      </c>
      <c r="B3072" s="67" t="s">
        <v>4069</v>
      </c>
    </row>
    <row r="3073" spans="1:2" x14ac:dyDescent="0.2">
      <c r="A3073" s="68" t="s">
        <v>2489</v>
      </c>
      <c r="B3073" s="67" t="s">
        <v>4068</v>
      </c>
    </row>
    <row r="3074" spans="1:2" x14ac:dyDescent="0.2">
      <c r="A3074" s="68" t="s">
        <v>2488</v>
      </c>
      <c r="B3074" s="67" t="s">
        <v>4067</v>
      </c>
    </row>
    <row r="3075" spans="1:2" x14ac:dyDescent="0.2">
      <c r="A3075" s="68" t="s">
        <v>2487</v>
      </c>
      <c r="B3075" s="67" t="s">
        <v>4066</v>
      </c>
    </row>
    <row r="3076" spans="1:2" x14ac:dyDescent="0.2">
      <c r="A3076" s="68" t="s">
        <v>2486</v>
      </c>
      <c r="B3076" s="67" t="s">
        <v>4065</v>
      </c>
    </row>
    <row r="3077" spans="1:2" x14ac:dyDescent="0.2">
      <c r="A3077" s="68" t="s">
        <v>2485</v>
      </c>
      <c r="B3077" s="67" t="s">
        <v>4064</v>
      </c>
    </row>
    <row r="3078" spans="1:2" x14ac:dyDescent="0.2">
      <c r="A3078" s="68" t="s">
        <v>2484</v>
      </c>
      <c r="B3078" s="67" t="s">
        <v>4063</v>
      </c>
    </row>
    <row r="3079" spans="1:2" x14ac:dyDescent="0.2">
      <c r="A3079" s="68" t="s">
        <v>2483</v>
      </c>
      <c r="B3079" s="67" t="s">
        <v>4062</v>
      </c>
    </row>
    <row r="3080" spans="1:2" x14ac:dyDescent="0.2">
      <c r="A3080" s="68" t="s">
        <v>2482</v>
      </c>
      <c r="B3080" s="67" t="s">
        <v>4061</v>
      </c>
    </row>
    <row r="3081" spans="1:2" x14ac:dyDescent="0.2">
      <c r="A3081" s="68" t="s">
        <v>2481</v>
      </c>
      <c r="B3081" s="67" t="s">
        <v>4060</v>
      </c>
    </row>
    <row r="3082" spans="1:2" x14ac:dyDescent="0.2">
      <c r="A3082" s="68" t="s">
        <v>2480</v>
      </c>
      <c r="B3082" s="67" t="s">
        <v>4059</v>
      </c>
    </row>
    <row r="3083" spans="1:2" x14ac:dyDescent="0.2">
      <c r="A3083" s="68" t="s">
        <v>2479</v>
      </c>
      <c r="B3083" s="67" t="s">
        <v>4058</v>
      </c>
    </row>
    <row r="3084" spans="1:2" x14ac:dyDescent="0.2">
      <c r="A3084" s="68" t="s">
        <v>2478</v>
      </c>
      <c r="B3084" s="67" t="s">
        <v>4057</v>
      </c>
    </row>
    <row r="3085" spans="1:2" x14ac:dyDescent="0.2">
      <c r="A3085" s="68" t="s">
        <v>2477</v>
      </c>
      <c r="B3085" s="67" t="s">
        <v>4056</v>
      </c>
    </row>
    <row r="3086" spans="1:2" x14ac:dyDescent="0.2">
      <c r="A3086" s="68" t="s">
        <v>2476</v>
      </c>
      <c r="B3086" s="67" t="s">
        <v>4055</v>
      </c>
    </row>
    <row r="3087" spans="1:2" x14ac:dyDescent="0.2">
      <c r="A3087" s="68" t="s">
        <v>2475</v>
      </c>
      <c r="B3087" s="67" t="s">
        <v>4054</v>
      </c>
    </row>
    <row r="3088" spans="1:2" x14ac:dyDescent="0.2">
      <c r="A3088" s="68" t="s">
        <v>2474</v>
      </c>
      <c r="B3088" s="67" t="s">
        <v>4053</v>
      </c>
    </row>
    <row r="3089" spans="1:2" x14ac:dyDescent="0.2">
      <c r="A3089" s="68" t="s">
        <v>2473</v>
      </c>
      <c r="B3089" s="67" t="s">
        <v>4052</v>
      </c>
    </row>
    <row r="3090" spans="1:2" x14ac:dyDescent="0.2">
      <c r="A3090" s="68" t="s">
        <v>2472</v>
      </c>
      <c r="B3090" s="67" t="s">
        <v>4051</v>
      </c>
    </row>
    <row r="3091" spans="1:2" x14ac:dyDescent="0.2">
      <c r="A3091" s="68" t="s">
        <v>2471</v>
      </c>
      <c r="B3091" s="67" t="s">
        <v>4050</v>
      </c>
    </row>
    <row r="3092" spans="1:2" x14ac:dyDescent="0.2">
      <c r="A3092" s="68" t="s">
        <v>2470</v>
      </c>
      <c r="B3092" s="67" t="s">
        <v>4049</v>
      </c>
    </row>
    <row r="3093" spans="1:2" x14ac:dyDescent="0.2">
      <c r="A3093" s="68" t="s">
        <v>2469</v>
      </c>
      <c r="B3093" s="67" t="s">
        <v>4048</v>
      </c>
    </row>
    <row r="3094" spans="1:2" x14ac:dyDescent="0.2">
      <c r="A3094" s="68" t="s">
        <v>2468</v>
      </c>
      <c r="B3094" s="67" t="s">
        <v>4047</v>
      </c>
    </row>
    <row r="3095" spans="1:2" x14ac:dyDescent="0.2">
      <c r="A3095" s="68" t="s">
        <v>2467</v>
      </c>
      <c r="B3095" s="67" t="s">
        <v>4046</v>
      </c>
    </row>
    <row r="3096" spans="1:2" x14ac:dyDescent="0.2">
      <c r="A3096" s="68" t="s">
        <v>2466</v>
      </c>
      <c r="B3096" s="67" t="s">
        <v>4045</v>
      </c>
    </row>
    <row r="3097" spans="1:2" x14ac:dyDescent="0.2">
      <c r="A3097" s="68" t="s">
        <v>2465</v>
      </c>
      <c r="B3097" s="67" t="s">
        <v>4044</v>
      </c>
    </row>
    <row r="3098" spans="1:2" x14ac:dyDescent="0.2">
      <c r="A3098" s="68" t="s">
        <v>2464</v>
      </c>
      <c r="B3098" s="67" t="s">
        <v>4043</v>
      </c>
    </row>
    <row r="3099" spans="1:2" x14ac:dyDescent="0.2">
      <c r="A3099" s="68" t="s">
        <v>2463</v>
      </c>
      <c r="B3099" s="67" t="s">
        <v>4042</v>
      </c>
    </row>
    <row r="3100" spans="1:2" x14ac:dyDescent="0.2">
      <c r="A3100" s="68" t="s">
        <v>2462</v>
      </c>
      <c r="B3100" s="67" t="s">
        <v>4041</v>
      </c>
    </row>
    <row r="3101" spans="1:2" x14ac:dyDescent="0.2">
      <c r="A3101" s="68" t="s">
        <v>2461</v>
      </c>
      <c r="B3101" s="67" t="s">
        <v>4040</v>
      </c>
    </row>
    <row r="3102" spans="1:2" x14ac:dyDescent="0.2">
      <c r="A3102" s="68" t="s">
        <v>2460</v>
      </c>
      <c r="B3102" s="67" t="s">
        <v>4039</v>
      </c>
    </row>
    <row r="3103" spans="1:2" x14ac:dyDescent="0.2">
      <c r="A3103" s="68" t="s">
        <v>2459</v>
      </c>
      <c r="B3103" s="67" t="s">
        <v>4038</v>
      </c>
    </row>
    <row r="3104" spans="1:2" x14ac:dyDescent="0.2">
      <c r="A3104" s="68" t="s">
        <v>2458</v>
      </c>
      <c r="B3104" s="67" t="s">
        <v>4037</v>
      </c>
    </row>
    <row r="3105" spans="1:2" x14ac:dyDescent="0.2">
      <c r="A3105" s="68" t="s">
        <v>2457</v>
      </c>
      <c r="B3105" s="67" t="s">
        <v>4036</v>
      </c>
    </row>
    <row r="3106" spans="1:2" x14ac:dyDescent="0.2">
      <c r="A3106" s="68" t="s">
        <v>2456</v>
      </c>
      <c r="B3106" s="67" t="s">
        <v>4035</v>
      </c>
    </row>
    <row r="3107" spans="1:2" x14ac:dyDescent="0.2">
      <c r="A3107" s="68" t="s">
        <v>2455</v>
      </c>
      <c r="B3107" s="67" t="s">
        <v>4034</v>
      </c>
    </row>
    <row r="3108" spans="1:2" x14ac:dyDescent="0.2">
      <c r="A3108" s="68" t="s">
        <v>2454</v>
      </c>
      <c r="B3108" s="67" t="s">
        <v>4033</v>
      </c>
    </row>
    <row r="3109" spans="1:2" x14ac:dyDescent="0.2">
      <c r="A3109" s="68" t="s">
        <v>2453</v>
      </c>
      <c r="B3109" s="67" t="s">
        <v>4032</v>
      </c>
    </row>
    <row r="3110" spans="1:2" x14ac:dyDescent="0.2">
      <c r="A3110" s="68" t="s">
        <v>2452</v>
      </c>
      <c r="B3110" s="67" t="s">
        <v>4031</v>
      </c>
    </row>
    <row r="3111" spans="1:2" x14ac:dyDescent="0.2">
      <c r="A3111" s="68" t="s">
        <v>2451</v>
      </c>
      <c r="B3111" s="67" t="s">
        <v>4030</v>
      </c>
    </row>
    <row r="3112" spans="1:2" x14ac:dyDescent="0.2">
      <c r="A3112" s="68" t="s">
        <v>2450</v>
      </c>
      <c r="B3112" s="67" t="s">
        <v>4029</v>
      </c>
    </row>
    <row r="3113" spans="1:2" x14ac:dyDescent="0.2">
      <c r="A3113" s="68" t="s">
        <v>2449</v>
      </c>
      <c r="B3113" s="67" t="s">
        <v>4028</v>
      </c>
    </row>
    <row r="3114" spans="1:2" x14ac:dyDescent="0.2">
      <c r="A3114" s="68" t="s">
        <v>2448</v>
      </c>
      <c r="B3114" s="67" t="s">
        <v>4027</v>
      </c>
    </row>
    <row r="3115" spans="1:2" x14ac:dyDescent="0.2">
      <c r="A3115" s="68" t="s">
        <v>2447</v>
      </c>
      <c r="B3115" s="67" t="s">
        <v>4026</v>
      </c>
    </row>
    <row r="3116" spans="1:2" x14ac:dyDescent="0.2">
      <c r="A3116" s="68" t="s">
        <v>2446</v>
      </c>
      <c r="B3116" s="67" t="s">
        <v>4025</v>
      </c>
    </row>
    <row r="3117" spans="1:2" x14ac:dyDescent="0.2">
      <c r="A3117" s="68" t="s">
        <v>2445</v>
      </c>
      <c r="B3117" s="67"/>
    </row>
    <row r="3118" spans="1:2" x14ac:dyDescent="0.2">
      <c r="A3118" s="68" t="s">
        <v>2444</v>
      </c>
      <c r="B3118" s="67" t="s">
        <v>4024</v>
      </c>
    </row>
    <row r="3119" spans="1:2" x14ac:dyDescent="0.2">
      <c r="A3119" s="68" t="s">
        <v>2443</v>
      </c>
      <c r="B3119" s="67" t="s">
        <v>4023</v>
      </c>
    </row>
    <row r="3120" spans="1:2" x14ac:dyDescent="0.2">
      <c r="A3120" s="68" t="s">
        <v>2442</v>
      </c>
      <c r="B3120" s="67" t="s">
        <v>4022</v>
      </c>
    </row>
    <row r="3121" spans="1:2" x14ac:dyDescent="0.2">
      <c r="A3121" s="68" t="s">
        <v>2441</v>
      </c>
      <c r="B3121" s="67" t="s">
        <v>4021</v>
      </c>
    </row>
    <row r="3122" spans="1:2" x14ac:dyDescent="0.2">
      <c r="A3122" s="68" t="s">
        <v>2440</v>
      </c>
      <c r="B3122" s="67" t="s">
        <v>4020</v>
      </c>
    </row>
    <row r="3123" spans="1:2" x14ac:dyDescent="0.2">
      <c r="A3123" s="68" t="s">
        <v>2439</v>
      </c>
      <c r="B3123" s="67" t="s">
        <v>4019</v>
      </c>
    </row>
    <row r="3124" spans="1:2" x14ac:dyDescent="0.2">
      <c r="A3124" s="68" t="s">
        <v>2438</v>
      </c>
      <c r="B3124" s="67" t="s">
        <v>4018</v>
      </c>
    </row>
    <row r="3125" spans="1:2" x14ac:dyDescent="0.2">
      <c r="A3125" s="68" t="s">
        <v>2437</v>
      </c>
      <c r="B3125" s="67" t="s">
        <v>4017</v>
      </c>
    </row>
    <row r="3126" spans="1:2" x14ac:dyDescent="0.2">
      <c r="A3126" s="68" t="s">
        <v>2436</v>
      </c>
      <c r="B3126" s="67" t="s">
        <v>4016</v>
      </c>
    </row>
    <row r="3127" spans="1:2" x14ac:dyDescent="0.2">
      <c r="A3127" s="68" t="s">
        <v>2435</v>
      </c>
      <c r="B3127" s="67" t="s">
        <v>4015</v>
      </c>
    </row>
    <row r="3128" spans="1:2" x14ac:dyDescent="0.2">
      <c r="A3128" s="68" t="s">
        <v>2434</v>
      </c>
      <c r="B3128" s="67" t="s">
        <v>4014</v>
      </c>
    </row>
    <row r="3129" spans="1:2" x14ac:dyDescent="0.2">
      <c r="A3129" s="68" t="s">
        <v>2433</v>
      </c>
      <c r="B3129" s="67" t="s">
        <v>4013</v>
      </c>
    </row>
    <row r="3130" spans="1:2" x14ac:dyDescent="0.2">
      <c r="A3130" s="68" t="s">
        <v>2432</v>
      </c>
      <c r="B3130" s="67" t="s">
        <v>4012</v>
      </c>
    </row>
    <row r="3131" spans="1:2" x14ac:dyDescent="0.2">
      <c r="A3131" s="68" t="s">
        <v>2431</v>
      </c>
      <c r="B3131" s="67" t="s">
        <v>4011</v>
      </c>
    </row>
    <row r="3132" spans="1:2" x14ac:dyDescent="0.2">
      <c r="A3132" s="68" t="s">
        <v>2430</v>
      </c>
      <c r="B3132" s="67" t="s">
        <v>4010</v>
      </c>
    </row>
    <row r="3133" spans="1:2" x14ac:dyDescent="0.2">
      <c r="A3133" s="68" t="s">
        <v>2429</v>
      </c>
      <c r="B3133" s="67" t="s">
        <v>4009</v>
      </c>
    </row>
    <row r="3134" spans="1:2" x14ac:dyDescent="0.2">
      <c r="A3134" s="68" t="s">
        <v>2428</v>
      </c>
      <c r="B3134" s="67" t="s">
        <v>4008</v>
      </c>
    </row>
    <row r="3135" spans="1:2" x14ac:dyDescent="0.2">
      <c r="A3135" s="68" t="s">
        <v>2427</v>
      </c>
      <c r="B3135" s="67" t="s">
        <v>4007</v>
      </c>
    </row>
    <row r="3136" spans="1:2" x14ac:dyDescent="0.2">
      <c r="A3136" s="68" t="s">
        <v>2426</v>
      </c>
      <c r="B3136" s="67" t="s">
        <v>4006</v>
      </c>
    </row>
    <row r="3137" spans="1:2" x14ac:dyDescent="0.2">
      <c r="A3137" s="68" t="s">
        <v>2425</v>
      </c>
      <c r="B3137" s="67" t="s">
        <v>4005</v>
      </c>
    </row>
    <row r="3138" spans="1:2" x14ac:dyDescent="0.2">
      <c r="A3138" s="68" t="s">
        <v>2424</v>
      </c>
      <c r="B3138" s="67" t="s">
        <v>4004</v>
      </c>
    </row>
    <row r="3139" spans="1:2" x14ac:dyDescent="0.2">
      <c r="A3139" s="68" t="s">
        <v>2423</v>
      </c>
      <c r="B3139" s="67" t="s">
        <v>4003</v>
      </c>
    </row>
    <row r="3140" spans="1:2" x14ac:dyDescent="0.2">
      <c r="A3140" s="68" t="s">
        <v>2422</v>
      </c>
      <c r="B3140" s="67" t="s">
        <v>4002</v>
      </c>
    </row>
    <row r="3141" spans="1:2" x14ac:dyDescent="0.2">
      <c r="A3141" s="68" t="s">
        <v>2421</v>
      </c>
      <c r="B3141" s="67" t="s">
        <v>4001</v>
      </c>
    </row>
    <row r="3142" spans="1:2" x14ac:dyDescent="0.2">
      <c r="A3142" s="68" t="s">
        <v>2420</v>
      </c>
      <c r="B3142" s="67" t="s">
        <v>4000</v>
      </c>
    </row>
    <row r="3143" spans="1:2" x14ac:dyDescent="0.2">
      <c r="A3143" s="68" t="s">
        <v>2419</v>
      </c>
      <c r="B3143" s="67" t="s">
        <v>3999</v>
      </c>
    </row>
    <row r="3144" spans="1:2" x14ac:dyDescent="0.2">
      <c r="A3144" s="68" t="s">
        <v>2418</v>
      </c>
      <c r="B3144" s="67" t="s">
        <v>3998</v>
      </c>
    </row>
    <row r="3145" spans="1:2" x14ac:dyDescent="0.2">
      <c r="A3145" s="68" t="s">
        <v>2417</v>
      </c>
      <c r="B3145" s="67" t="s">
        <v>3997</v>
      </c>
    </row>
    <row r="3146" spans="1:2" x14ac:dyDescent="0.2">
      <c r="A3146" s="68" t="s">
        <v>2416</v>
      </c>
      <c r="B3146" s="67" t="s">
        <v>3996</v>
      </c>
    </row>
    <row r="3147" spans="1:2" x14ac:dyDescent="0.2">
      <c r="A3147" s="68" t="s">
        <v>2415</v>
      </c>
      <c r="B3147" s="67" t="s">
        <v>3995</v>
      </c>
    </row>
    <row r="3148" spans="1:2" x14ac:dyDescent="0.2">
      <c r="A3148" s="68" t="s">
        <v>2414</v>
      </c>
      <c r="B3148" s="67" t="s">
        <v>3994</v>
      </c>
    </row>
    <row r="3149" spans="1:2" x14ac:dyDescent="0.2">
      <c r="A3149" s="68" t="s">
        <v>2413</v>
      </c>
      <c r="B3149" s="67" t="s">
        <v>3993</v>
      </c>
    </row>
    <row r="3150" spans="1:2" x14ac:dyDescent="0.2">
      <c r="A3150" s="68" t="s">
        <v>2412</v>
      </c>
      <c r="B3150" s="67" t="s">
        <v>3992</v>
      </c>
    </row>
    <row r="3151" spans="1:2" x14ac:dyDescent="0.2">
      <c r="A3151" s="68" t="s">
        <v>2411</v>
      </c>
      <c r="B3151" s="67" t="s">
        <v>3991</v>
      </c>
    </row>
    <row r="3152" spans="1:2" x14ac:dyDescent="0.2">
      <c r="A3152" s="68" t="s">
        <v>2410</v>
      </c>
      <c r="B3152" s="67" t="s">
        <v>3990</v>
      </c>
    </row>
    <row r="3153" spans="1:2" x14ac:dyDescent="0.2">
      <c r="A3153" s="68" t="s">
        <v>2409</v>
      </c>
      <c r="B3153" s="67" t="s">
        <v>3989</v>
      </c>
    </row>
    <row r="3154" spans="1:2" x14ac:dyDescent="0.2">
      <c r="A3154" s="68" t="s">
        <v>2408</v>
      </c>
      <c r="B3154" s="67" t="s">
        <v>3988</v>
      </c>
    </row>
    <row r="3155" spans="1:2" x14ac:dyDescent="0.2">
      <c r="A3155" s="68" t="s">
        <v>2407</v>
      </c>
      <c r="B3155" s="67" t="s">
        <v>3987</v>
      </c>
    </row>
    <row r="3156" spans="1:2" x14ac:dyDescent="0.2">
      <c r="A3156" s="68" t="s">
        <v>2406</v>
      </c>
      <c r="B3156" s="67" t="s">
        <v>3986</v>
      </c>
    </row>
    <row r="3157" spans="1:2" x14ac:dyDescent="0.2">
      <c r="A3157" s="68" t="s">
        <v>2405</v>
      </c>
      <c r="B3157" s="67" t="s">
        <v>3985</v>
      </c>
    </row>
    <row r="3158" spans="1:2" x14ac:dyDescent="0.2">
      <c r="A3158" s="68" t="s">
        <v>2404</v>
      </c>
      <c r="B3158" s="67" t="s">
        <v>3984</v>
      </c>
    </row>
    <row r="3159" spans="1:2" x14ac:dyDescent="0.2">
      <c r="A3159" s="68" t="s">
        <v>2403</v>
      </c>
      <c r="B3159" s="67" t="s">
        <v>3983</v>
      </c>
    </row>
    <row r="3160" spans="1:2" x14ac:dyDescent="0.2">
      <c r="A3160" s="68" t="s">
        <v>2402</v>
      </c>
      <c r="B3160" s="67" t="s">
        <v>3982</v>
      </c>
    </row>
    <row r="3161" spans="1:2" x14ac:dyDescent="0.2">
      <c r="A3161" s="68" t="s">
        <v>2401</v>
      </c>
      <c r="B3161" s="67" t="s">
        <v>3981</v>
      </c>
    </row>
    <row r="3162" spans="1:2" x14ac:dyDescent="0.2">
      <c r="A3162" s="68" t="s">
        <v>2400</v>
      </c>
      <c r="B3162" s="67" t="s">
        <v>3980</v>
      </c>
    </row>
    <row r="3163" spans="1:2" x14ac:dyDescent="0.2">
      <c r="A3163" s="68" t="s">
        <v>2399</v>
      </c>
      <c r="B3163" s="67" t="s">
        <v>3979</v>
      </c>
    </row>
    <row r="3164" spans="1:2" x14ac:dyDescent="0.2">
      <c r="A3164" s="68" t="s">
        <v>2398</v>
      </c>
      <c r="B3164" s="67" t="s">
        <v>3978</v>
      </c>
    </row>
    <row r="3165" spans="1:2" x14ac:dyDescent="0.2">
      <c r="A3165" s="68" t="s">
        <v>2397</v>
      </c>
      <c r="B3165" s="67" t="s">
        <v>3977</v>
      </c>
    </row>
    <row r="3166" spans="1:2" x14ac:dyDescent="0.2">
      <c r="A3166" s="68" t="s">
        <v>2396</v>
      </c>
      <c r="B3166" s="67" t="s">
        <v>3976</v>
      </c>
    </row>
    <row r="3167" spans="1:2" x14ac:dyDescent="0.2">
      <c r="A3167" s="68" t="s">
        <v>2395</v>
      </c>
      <c r="B3167" s="67" t="s">
        <v>3975</v>
      </c>
    </row>
    <row r="3168" spans="1:2" x14ac:dyDescent="0.2">
      <c r="A3168" s="68" t="s">
        <v>2394</v>
      </c>
      <c r="B3168" s="67" t="s">
        <v>3974</v>
      </c>
    </row>
    <row r="3169" spans="1:2" x14ac:dyDescent="0.2">
      <c r="A3169" s="68" t="s">
        <v>2393</v>
      </c>
      <c r="B3169" s="67" t="s">
        <v>3973</v>
      </c>
    </row>
    <row r="3170" spans="1:2" x14ac:dyDescent="0.2">
      <c r="A3170" s="68" t="s">
        <v>2392</v>
      </c>
      <c r="B3170" s="67" t="s">
        <v>3972</v>
      </c>
    </row>
    <row r="3171" spans="1:2" x14ac:dyDescent="0.2">
      <c r="A3171" s="68" t="s">
        <v>2391</v>
      </c>
      <c r="B3171" s="67" t="s">
        <v>3971</v>
      </c>
    </row>
    <row r="3172" spans="1:2" x14ac:dyDescent="0.2">
      <c r="A3172" s="68" t="s">
        <v>2390</v>
      </c>
      <c r="B3172" s="67" t="s">
        <v>3970</v>
      </c>
    </row>
    <row r="3173" spans="1:2" x14ac:dyDescent="0.2">
      <c r="A3173" s="68" t="s">
        <v>2389</v>
      </c>
      <c r="B3173" s="67" t="s">
        <v>3969</v>
      </c>
    </row>
    <row r="3174" spans="1:2" x14ac:dyDescent="0.2">
      <c r="A3174" s="68" t="s">
        <v>2388</v>
      </c>
      <c r="B3174" s="67" t="s">
        <v>3968</v>
      </c>
    </row>
    <row r="3175" spans="1:2" x14ac:dyDescent="0.2">
      <c r="A3175" s="68" t="s">
        <v>2387</v>
      </c>
      <c r="B3175" s="67" t="s">
        <v>3967</v>
      </c>
    </row>
    <row r="3176" spans="1:2" x14ac:dyDescent="0.2">
      <c r="A3176" s="68" t="s">
        <v>2386</v>
      </c>
      <c r="B3176" s="67" t="s">
        <v>3966</v>
      </c>
    </row>
    <row r="3177" spans="1:2" x14ac:dyDescent="0.2">
      <c r="A3177" s="68" t="s">
        <v>2385</v>
      </c>
      <c r="B3177" s="67" t="s">
        <v>3965</v>
      </c>
    </row>
    <row r="3178" spans="1:2" x14ac:dyDescent="0.2">
      <c r="A3178" s="68" t="s">
        <v>2384</v>
      </c>
      <c r="B3178" s="67" t="s">
        <v>3964</v>
      </c>
    </row>
    <row r="3179" spans="1:2" x14ac:dyDescent="0.2">
      <c r="A3179" s="68" t="s">
        <v>2383</v>
      </c>
      <c r="B3179" s="67" t="s">
        <v>3963</v>
      </c>
    </row>
    <row r="3180" spans="1:2" x14ac:dyDescent="0.2">
      <c r="A3180" s="68" t="s">
        <v>2382</v>
      </c>
      <c r="B3180" s="67" t="s">
        <v>3962</v>
      </c>
    </row>
    <row r="3181" spans="1:2" x14ac:dyDescent="0.2">
      <c r="A3181" s="68" t="s">
        <v>2381</v>
      </c>
      <c r="B3181" s="67" t="s">
        <v>3961</v>
      </c>
    </row>
    <row r="3182" spans="1:2" x14ac:dyDescent="0.2">
      <c r="A3182" s="68" t="s">
        <v>2380</v>
      </c>
      <c r="B3182" s="67" t="s">
        <v>3960</v>
      </c>
    </row>
    <row r="3183" spans="1:2" x14ac:dyDescent="0.2">
      <c r="A3183" s="68" t="s">
        <v>2379</v>
      </c>
      <c r="B3183" s="67" t="s">
        <v>3959</v>
      </c>
    </row>
    <row r="3184" spans="1:2" x14ac:dyDescent="0.2">
      <c r="A3184" s="68" t="s">
        <v>2378</v>
      </c>
      <c r="B3184" s="67" t="s">
        <v>3958</v>
      </c>
    </row>
    <row r="3185" spans="1:2" x14ac:dyDescent="0.2">
      <c r="A3185" s="68" t="s">
        <v>2377</v>
      </c>
      <c r="B3185" s="67" t="s">
        <v>3957</v>
      </c>
    </row>
    <row r="3186" spans="1:2" x14ac:dyDescent="0.2">
      <c r="A3186" s="68" t="s">
        <v>2376</v>
      </c>
      <c r="B3186" s="67" t="s">
        <v>3956</v>
      </c>
    </row>
    <row r="3187" spans="1:2" x14ac:dyDescent="0.2">
      <c r="A3187" s="68" t="s">
        <v>2375</v>
      </c>
      <c r="B3187" s="67" t="s">
        <v>3955</v>
      </c>
    </row>
    <row r="3188" spans="1:2" x14ac:dyDescent="0.2">
      <c r="A3188" s="68" t="s">
        <v>2374</v>
      </c>
      <c r="B3188" s="67" t="s">
        <v>3954</v>
      </c>
    </row>
    <row r="3189" spans="1:2" x14ac:dyDescent="0.2">
      <c r="A3189" s="68" t="s">
        <v>2373</v>
      </c>
      <c r="B3189" s="67" t="s">
        <v>3953</v>
      </c>
    </row>
    <row r="3190" spans="1:2" x14ac:dyDescent="0.2">
      <c r="A3190" s="68" t="s">
        <v>2372</v>
      </c>
      <c r="B3190" s="67" t="s">
        <v>3952</v>
      </c>
    </row>
    <row r="3191" spans="1:2" x14ac:dyDescent="0.2">
      <c r="A3191" s="68" t="s">
        <v>2371</v>
      </c>
      <c r="B3191" s="67" t="s">
        <v>3951</v>
      </c>
    </row>
    <row r="3192" spans="1:2" x14ac:dyDescent="0.2">
      <c r="A3192" s="68" t="s">
        <v>2370</v>
      </c>
      <c r="B3192" s="67" t="s">
        <v>3950</v>
      </c>
    </row>
    <row r="3193" spans="1:2" x14ac:dyDescent="0.2">
      <c r="A3193" s="68" t="s">
        <v>2369</v>
      </c>
      <c r="B3193" s="67" t="s">
        <v>3949</v>
      </c>
    </row>
    <row r="3194" spans="1:2" x14ac:dyDescent="0.2">
      <c r="A3194" s="68" t="s">
        <v>2368</v>
      </c>
      <c r="B3194" s="67" t="s">
        <v>3948</v>
      </c>
    </row>
    <row r="3195" spans="1:2" x14ac:dyDescent="0.2">
      <c r="A3195" s="68" t="s">
        <v>2367</v>
      </c>
      <c r="B3195" s="67" t="s">
        <v>3947</v>
      </c>
    </row>
    <row r="3196" spans="1:2" x14ac:dyDescent="0.2">
      <c r="A3196" s="68" t="s">
        <v>2366</v>
      </c>
      <c r="B3196" s="67" t="s">
        <v>3946</v>
      </c>
    </row>
    <row r="3197" spans="1:2" x14ac:dyDescent="0.2">
      <c r="A3197" s="68" t="s">
        <v>2365</v>
      </c>
      <c r="B3197" s="67" t="s">
        <v>3945</v>
      </c>
    </row>
    <row r="3198" spans="1:2" x14ac:dyDescent="0.2">
      <c r="A3198" s="68" t="s">
        <v>2364</v>
      </c>
      <c r="B3198" s="67" t="s">
        <v>3944</v>
      </c>
    </row>
    <row r="3199" spans="1:2" x14ac:dyDescent="0.2">
      <c r="A3199" s="68" t="s">
        <v>2363</v>
      </c>
      <c r="B3199" s="67" t="s">
        <v>3943</v>
      </c>
    </row>
    <row r="3200" spans="1:2" x14ac:dyDescent="0.2">
      <c r="A3200" s="68" t="s">
        <v>2362</v>
      </c>
      <c r="B3200" s="67" t="s">
        <v>3942</v>
      </c>
    </row>
    <row r="3201" spans="1:2" x14ac:dyDescent="0.2">
      <c r="A3201" s="68" t="s">
        <v>2361</v>
      </c>
      <c r="B3201" s="67" t="s">
        <v>3941</v>
      </c>
    </row>
    <row r="3202" spans="1:2" x14ac:dyDescent="0.2">
      <c r="A3202" s="68" t="s">
        <v>2360</v>
      </c>
      <c r="B3202" s="67" t="s">
        <v>3940</v>
      </c>
    </row>
    <row r="3203" spans="1:2" x14ac:dyDescent="0.2">
      <c r="A3203" s="68" t="s">
        <v>2359</v>
      </c>
      <c r="B3203" s="67" t="s">
        <v>3939</v>
      </c>
    </row>
    <row r="3204" spans="1:2" x14ac:dyDescent="0.2">
      <c r="A3204" s="68" t="s">
        <v>2358</v>
      </c>
      <c r="B3204" s="67" t="s">
        <v>3938</v>
      </c>
    </row>
    <row r="3205" spans="1:2" x14ac:dyDescent="0.2">
      <c r="A3205" s="68" t="s">
        <v>2357</v>
      </c>
      <c r="B3205" s="67" t="s">
        <v>3937</v>
      </c>
    </row>
    <row r="3206" spans="1:2" x14ac:dyDescent="0.2">
      <c r="A3206" s="68" t="s">
        <v>2356</v>
      </c>
      <c r="B3206" s="67" t="s">
        <v>3936</v>
      </c>
    </row>
    <row r="3207" spans="1:2" x14ac:dyDescent="0.2">
      <c r="A3207" s="68" t="s">
        <v>2355</v>
      </c>
      <c r="B3207" s="67" t="s">
        <v>3935</v>
      </c>
    </row>
    <row r="3208" spans="1:2" x14ac:dyDescent="0.2">
      <c r="A3208" s="68" t="s">
        <v>2354</v>
      </c>
      <c r="B3208" s="67" t="s">
        <v>3934</v>
      </c>
    </row>
    <row r="3209" spans="1:2" x14ac:dyDescent="0.2">
      <c r="A3209" s="68" t="s">
        <v>2353</v>
      </c>
      <c r="B3209" s="67" t="s">
        <v>3933</v>
      </c>
    </row>
    <row r="3210" spans="1:2" x14ac:dyDescent="0.2">
      <c r="A3210" s="68" t="s">
        <v>2352</v>
      </c>
      <c r="B3210" s="67"/>
    </row>
    <row r="3211" spans="1:2" x14ac:dyDescent="0.2">
      <c r="A3211" s="68" t="s">
        <v>2351</v>
      </c>
      <c r="B3211" s="67"/>
    </row>
    <row r="3212" spans="1:2" x14ac:dyDescent="0.2">
      <c r="A3212" s="68" t="s">
        <v>2350</v>
      </c>
      <c r="B3212" s="67"/>
    </row>
    <row r="3213" spans="1:2" x14ac:dyDescent="0.2">
      <c r="A3213" s="68" t="s">
        <v>2349</v>
      </c>
      <c r="B3213" s="67"/>
    </row>
    <row r="3214" spans="1:2" x14ac:dyDescent="0.2">
      <c r="A3214" s="68" t="s">
        <v>2348</v>
      </c>
      <c r="B3214" s="67"/>
    </row>
    <row r="3215" spans="1:2" x14ac:dyDescent="0.2">
      <c r="A3215" s="68" t="s">
        <v>2347</v>
      </c>
      <c r="B3215" s="67"/>
    </row>
    <row r="3216" spans="1:2" x14ac:dyDescent="0.2">
      <c r="A3216" s="68" t="s">
        <v>2346</v>
      </c>
      <c r="B3216" s="67"/>
    </row>
    <row r="3217" spans="1:2" x14ac:dyDescent="0.2">
      <c r="A3217" s="68" t="s">
        <v>2345</v>
      </c>
      <c r="B3217" s="67"/>
    </row>
    <row r="3218" spans="1:2" x14ac:dyDescent="0.2">
      <c r="A3218" s="68" t="s">
        <v>2344</v>
      </c>
      <c r="B3218" s="67"/>
    </row>
    <row r="3219" spans="1:2" x14ac:dyDescent="0.2">
      <c r="A3219" s="68" t="s">
        <v>2343</v>
      </c>
      <c r="B3219" s="67"/>
    </row>
    <row r="3220" spans="1:2" x14ac:dyDescent="0.2">
      <c r="A3220" s="68" t="s">
        <v>2342</v>
      </c>
      <c r="B3220" s="67"/>
    </row>
    <row r="3221" spans="1:2" x14ac:dyDescent="0.2">
      <c r="A3221" s="68" t="s">
        <v>2341</v>
      </c>
      <c r="B3221" s="67"/>
    </row>
    <row r="3222" spans="1:2" x14ac:dyDescent="0.2">
      <c r="A3222" s="68" t="s">
        <v>2340</v>
      </c>
      <c r="B3222" s="67"/>
    </row>
    <row r="3223" spans="1:2" x14ac:dyDescent="0.2">
      <c r="A3223" s="68" t="s">
        <v>2339</v>
      </c>
      <c r="B3223" s="67"/>
    </row>
    <row r="3224" spans="1:2" x14ac:dyDescent="0.2">
      <c r="A3224" s="68" t="s">
        <v>2338</v>
      </c>
      <c r="B3224" s="67"/>
    </row>
    <row r="3225" spans="1:2" x14ac:dyDescent="0.2">
      <c r="A3225" s="68" t="s">
        <v>2337</v>
      </c>
      <c r="B3225" s="67"/>
    </row>
    <row r="3226" spans="1:2" x14ac:dyDescent="0.2">
      <c r="A3226" s="68" t="s">
        <v>2336</v>
      </c>
      <c r="B3226" s="67"/>
    </row>
    <row r="3227" spans="1:2" x14ac:dyDescent="0.2">
      <c r="A3227" s="68" t="s">
        <v>2335</v>
      </c>
      <c r="B3227" s="67"/>
    </row>
    <row r="3228" spans="1:2" x14ac:dyDescent="0.2">
      <c r="A3228" s="68" t="s">
        <v>2334</v>
      </c>
      <c r="B3228" s="67"/>
    </row>
    <row r="3229" spans="1:2" x14ac:dyDescent="0.2">
      <c r="A3229" s="68" t="s">
        <v>2333</v>
      </c>
      <c r="B3229" s="67"/>
    </row>
    <row r="3230" spans="1:2" x14ac:dyDescent="0.2">
      <c r="A3230" s="68" t="s">
        <v>2332</v>
      </c>
      <c r="B3230" s="67"/>
    </row>
    <row r="3231" spans="1:2" x14ac:dyDescent="0.2">
      <c r="A3231" s="68" t="s">
        <v>2331</v>
      </c>
      <c r="B3231" s="67"/>
    </row>
    <row r="3232" spans="1:2" x14ac:dyDescent="0.2">
      <c r="A3232" s="68" t="s">
        <v>2330</v>
      </c>
      <c r="B3232" s="67"/>
    </row>
    <row r="3233" spans="1:2" x14ac:dyDescent="0.2">
      <c r="A3233" s="68" t="s">
        <v>2329</v>
      </c>
      <c r="B3233" s="67"/>
    </row>
    <row r="3234" spans="1:2" x14ac:dyDescent="0.2">
      <c r="A3234" s="68" t="s">
        <v>2328</v>
      </c>
      <c r="B3234" s="67"/>
    </row>
    <row r="3235" spans="1:2" x14ac:dyDescent="0.2">
      <c r="A3235" s="68" t="s">
        <v>2327</v>
      </c>
      <c r="B3235" s="67"/>
    </row>
    <row r="3236" spans="1:2" x14ac:dyDescent="0.2">
      <c r="A3236" s="68" t="s">
        <v>2326</v>
      </c>
      <c r="B3236" s="67"/>
    </row>
    <row r="3237" spans="1:2" x14ac:dyDescent="0.2">
      <c r="A3237" s="68" t="s">
        <v>2325</v>
      </c>
      <c r="B3237" s="67"/>
    </row>
    <row r="3238" spans="1:2" x14ac:dyDescent="0.2">
      <c r="A3238" s="68" t="s">
        <v>2324</v>
      </c>
      <c r="B3238" s="67"/>
    </row>
    <row r="3239" spans="1:2" x14ac:dyDescent="0.2">
      <c r="A3239" s="68" t="s">
        <v>2323</v>
      </c>
      <c r="B3239" s="67"/>
    </row>
    <row r="3240" spans="1:2" x14ac:dyDescent="0.2">
      <c r="A3240" s="68" t="s">
        <v>2322</v>
      </c>
      <c r="B3240" s="67"/>
    </row>
    <row r="3241" spans="1:2" x14ac:dyDescent="0.2">
      <c r="A3241" s="68" t="s">
        <v>2321</v>
      </c>
      <c r="B3241" s="67"/>
    </row>
    <row r="3242" spans="1:2" x14ac:dyDescent="0.2">
      <c r="A3242" s="68" t="s">
        <v>2320</v>
      </c>
      <c r="B3242" s="67"/>
    </row>
    <row r="3243" spans="1:2" x14ac:dyDescent="0.2">
      <c r="A3243" s="68" t="s">
        <v>2319</v>
      </c>
      <c r="B3243" s="67"/>
    </row>
    <row r="3244" spans="1:2" x14ac:dyDescent="0.2">
      <c r="A3244" s="68" t="s">
        <v>2318</v>
      </c>
      <c r="B3244" s="67"/>
    </row>
    <row r="3245" spans="1:2" x14ac:dyDescent="0.2">
      <c r="A3245" s="68" t="s">
        <v>2317</v>
      </c>
      <c r="B3245" s="67"/>
    </row>
    <row r="3246" spans="1:2" x14ac:dyDescent="0.2">
      <c r="A3246" s="68" t="s">
        <v>2316</v>
      </c>
      <c r="B3246" s="67"/>
    </row>
    <row r="3247" spans="1:2" x14ac:dyDescent="0.2">
      <c r="A3247" s="68" t="s">
        <v>2315</v>
      </c>
      <c r="B3247" s="67"/>
    </row>
    <row r="3248" spans="1:2" x14ac:dyDescent="0.2">
      <c r="A3248" s="68" t="s">
        <v>2314</v>
      </c>
      <c r="B3248" s="67"/>
    </row>
    <row r="3249" spans="1:2" x14ac:dyDescent="0.2">
      <c r="A3249" s="68" t="s">
        <v>2313</v>
      </c>
      <c r="B3249" s="67"/>
    </row>
    <row r="3250" spans="1:2" x14ac:dyDescent="0.2">
      <c r="A3250" s="68" t="s">
        <v>2312</v>
      </c>
      <c r="B3250" s="67"/>
    </row>
    <row r="3251" spans="1:2" x14ac:dyDescent="0.2">
      <c r="A3251" s="68" t="s">
        <v>2311</v>
      </c>
      <c r="B3251" s="67"/>
    </row>
    <row r="3252" spans="1:2" x14ac:dyDescent="0.2">
      <c r="A3252" s="68" t="s">
        <v>2310</v>
      </c>
      <c r="B3252" s="67"/>
    </row>
    <row r="3253" spans="1:2" x14ac:dyDescent="0.2">
      <c r="A3253" s="68" t="s">
        <v>2309</v>
      </c>
      <c r="B3253" s="67"/>
    </row>
    <row r="3254" spans="1:2" x14ac:dyDescent="0.2">
      <c r="A3254" s="68" t="s">
        <v>2308</v>
      </c>
      <c r="B3254" s="67"/>
    </row>
    <row r="3255" spans="1:2" x14ac:dyDescent="0.2">
      <c r="A3255" s="68" t="s">
        <v>2307</v>
      </c>
      <c r="B3255" s="67"/>
    </row>
    <row r="3256" spans="1:2" x14ac:dyDescent="0.2">
      <c r="A3256" s="68" t="s">
        <v>2306</v>
      </c>
      <c r="B3256" s="67"/>
    </row>
    <row r="3257" spans="1:2" x14ac:dyDescent="0.2">
      <c r="A3257" s="68" t="s">
        <v>2305</v>
      </c>
      <c r="B3257" s="67"/>
    </row>
    <row r="3258" spans="1:2" x14ac:dyDescent="0.2">
      <c r="A3258" s="68" t="s">
        <v>2304</v>
      </c>
      <c r="B3258" s="67"/>
    </row>
    <row r="3259" spans="1:2" x14ac:dyDescent="0.2">
      <c r="A3259" s="68" t="s">
        <v>2303</v>
      </c>
      <c r="B3259" s="67"/>
    </row>
    <row r="3260" spans="1:2" x14ac:dyDescent="0.2">
      <c r="A3260" s="68" t="s">
        <v>2302</v>
      </c>
      <c r="B3260" s="67"/>
    </row>
    <row r="3261" spans="1:2" x14ac:dyDescent="0.2">
      <c r="A3261" s="68" t="s">
        <v>2301</v>
      </c>
      <c r="B3261" s="67"/>
    </row>
    <row r="3262" spans="1:2" x14ac:dyDescent="0.2">
      <c r="A3262" s="68" t="s">
        <v>2300</v>
      </c>
      <c r="B3262" s="67"/>
    </row>
    <row r="3263" spans="1:2" x14ac:dyDescent="0.2">
      <c r="A3263" s="68" t="s">
        <v>2299</v>
      </c>
      <c r="B3263" s="67"/>
    </row>
    <row r="3264" spans="1:2" x14ac:dyDescent="0.2">
      <c r="A3264" s="68" t="s">
        <v>2298</v>
      </c>
      <c r="B3264" s="67"/>
    </row>
    <row r="3265" spans="1:2" x14ac:dyDescent="0.2">
      <c r="A3265" s="68" t="s">
        <v>2297</v>
      </c>
      <c r="B3265" s="67"/>
    </row>
    <row r="3266" spans="1:2" x14ac:dyDescent="0.2">
      <c r="A3266" s="68" t="s">
        <v>2296</v>
      </c>
      <c r="B3266" s="67"/>
    </row>
    <row r="3267" spans="1:2" x14ac:dyDescent="0.2">
      <c r="A3267" s="68" t="s">
        <v>2295</v>
      </c>
      <c r="B3267" s="67"/>
    </row>
    <row r="3268" spans="1:2" x14ac:dyDescent="0.2">
      <c r="A3268" s="68" t="s">
        <v>2294</v>
      </c>
      <c r="B3268" s="67"/>
    </row>
    <row r="3269" spans="1:2" x14ac:dyDescent="0.2">
      <c r="A3269" s="68" t="s">
        <v>2293</v>
      </c>
      <c r="B3269" s="67"/>
    </row>
    <row r="3270" spans="1:2" x14ac:dyDescent="0.2">
      <c r="A3270" s="68" t="s">
        <v>2292</v>
      </c>
      <c r="B3270" s="67"/>
    </row>
    <row r="3271" spans="1:2" x14ac:dyDescent="0.2">
      <c r="A3271" s="68" t="s">
        <v>2291</v>
      </c>
      <c r="B3271" s="67"/>
    </row>
    <row r="3272" spans="1:2" x14ac:dyDescent="0.2">
      <c r="A3272" s="68" t="s">
        <v>2290</v>
      </c>
      <c r="B3272" s="67"/>
    </row>
    <row r="3273" spans="1:2" x14ac:dyDescent="0.2">
      <c r="A3273" s="68" t="s">
        <v>2289</v>
      </c>
      <c r="B3273" s="67"/>
    </row>
    <row r="3274" spans="1:2" x14ac:dyDescent="0.2">
      <c r="A3274" s="68" t="s">
        <v>2288</v>
      </c>
      <c r="B3274" s="67"/>
    </row>
    <row r="3275" spans="1:2" x14ac:dyDescent="0.2">
      <c r="A3275" s="68" t="s">
        <v>2287</v>
      </c>
      <c r="B3275" s="67"/>
    </row>
    <row r="3276" spans="1:2" x14ac:dyDescent="0.2">
      <c r="A3276" s="68" t="s">
        <v>2286</v>
      </c>
      <c r="B3276" s="67"/>
    </row>
    <row r="3277" spans="1:2" x14ac:dyDescent="0.2">
      <c r="A3277" s="68" t="s">
        <v>2285</v>
      </c>
      <c r="B3277" s="67"/>
    </row>
    <row r="3278" spans="1:2" x14ac:dyDescent="0.2">
      <c r="A3278" s="68" t="s">
        <v>2284</v>
      </c>
      <c r="B3278" s="67"/>
    </row>
    <row r="3279" spans="1:2" x14ac:dyDescent="0.2">
      <c r="A3279" s="68" t="s">
        <v>2283</v>
      </c>
      <c r="B3279" s="67"/>
    </row>
    <row r="3280" spans="1:2" x14ac:dyDescent="0.2">
      <c r="A3280" s="68" t="s">
        <v>2282</v>
      </c>
      <c r="B3280" s="67"/>
    </row>
    <row r="3281" spans="1:2" x14ac:dyDescent="0.2">
      <c r="A3281" s="68" t="s">
        <v>2281</v>
      </c>
      <c r="B3281" s="67"/>
    </row>
    <row r="3282" spans="1:2" x14ac:dyDescent="0.2">
      <c r="A3282" s="68" t="s">
        <v>2280</v>
      </c>
      <c r="B3282" s="67"/>
    </row>
    <row r="3283" spans="1:2" x14ac:dyDescent="0.2">
      <c r="A3283" s="68" t="s">
        <v>2279</v>
      </c>
      <c r="B3283" s="67"/>
    </row>
    <row r="3284" spans="1:2" x14ac:dyDescent="0.2">
      <c r="A3284" s="68" t="s">
        <v>2278</v>
      </c>
      <c r="B3284" s="67"/>
    </row>
    <row r="3285" spans="1:2" x14ac:dyDescent="0.2">
      <c r="A3285" s="68" t="s">
        <v>2277</v>
      </c>
      <c r="B3285" s="67"/>
    </row>
    <row r="3286" spans="1:2" x14ac:dyDescent="0.2">
      <c r="A3286" s="68" t="s">
        <v>2276</v>
      </c>
      <c r="B3286" s="67"/>
    </row>
    <row r="3287" spans="1:2" x14ac:dyDescent="0.2">
      <c r="A3287" s="68" t="s">
        <v>2275</v>
      </c>
      <c r="B3287" s="67"/>
    </row>
    <row r="3288" spans="1:2" x14ac:dyDescent="0.2">
      <c r="A3288" s="68" t="s">
        <v>2274</v>
      </c>
      <c r="B3288" s="67"/>
    </row>
    <row r="3289" spans="1:2" x14ac:dyDescent="0.2">
      <c r="A3289" s="68" t="s">
        <v>2273</v>
      </c>
      <c r="B3289" s="67"/>
    </row>
    <row r="3290" spans="1:2" x14ac:dyDescent="0.2">
      <c r="A3290" s="68" t="s">
        <v>2272</v>
      </c>
      <c r="B3290" s="67"/>
    </row>
    <row r="3291" spans="1:2" x14ac:dyDescent="0.2">
      <c r="A3291" s="68" t="s">
        <v>2271</v>
      </c>
      <c r="B3291" s="67"/>
    </row>
    <row r="3292" spans="1:2" x14ac:dyDescent="0.2">
      <c r="A3292" s="68" t="s">
        <v>2270</v>
      </c>
      <c r="B3292" s="67"/>
    </row>
    <row r="3293" spans="1:2" x14ac:dyDescent="0.2">
      <c r="A3293" s="68" t="s">
        <v>2269</v>
      </c>
      <c r="B3293" s="67"/>
    </row>
    <row r="3294" spans="1:2" x14ac:dyDescent="0.2">
      <c r="A3294" s="68" t="s">
        <v>2268</v>
      </c>
      <c r="B3294" s="67"/>
    </row>
    <row r="3295" spans="1:2" x14ac:dyDescent="0.2">
      <c r="A3295" s="68" t="s">
        <v>2267</v>
      </c>
      <c r="B3295" s="67"/>
    </row>
    <row r="3296" spans="1:2" x14ac:dyDescent="0.2">
      <c r="A3296" s="68" t="s">
        <v>2266</v>
      </c>
      <c r="B3296" s="67"/>
    </row>
    <row r="3297" spans="1:2" x14ac:dyDescent="0.2">
      <c r="A3297" s="68" t="s">
        <v>2265</v>
      </c>
      <c r="B3297" s="67"/>
    </row>
    <row r="3298" spans="1:2" x14ac:dyDescent="0.2">
      <c r="A3298" s="68" t="s">
        <v>2264</v>
      </c>
      <c r="B3298" s="67"/>
    </row>
    <row r="3299" spans="1:2" x14ac:dyDescent="0.2">
      <c r="A3299" s="68" t="s">
        <v>2263</v>
      </c>
      <c r="B3299" s="67"/>
    </row>
    <row r="3300" spans="1:2" x14ac:dyDescent="0.2">
      <c r="A3300" s="68" t="s">
        <v>2262</v>
      </c>
      <c r="B3300" s="67"/>
    </row>
    <row r="3301" spans="1:2" x14ac:dyDescent="0.2">
      <c r="A3301" s="68" t="s">
        <v>2261</v>
      </c>
      <c r="B3301" s="67"/>
    </row>
    <row r="3302" spans="1:2" x14ac:dyDescent="0.2">
      <c r="A3302" s="68" t="s">
        <v>2260</v>
      </c>
      <c r="B3302" s="67"/>
    </row>
    <row r="3303" spans="1:2" x14ac:dyDescent="0.2">
      <c r="A3303" s="68" t="s">
        <v>2259</v>
      </c>
      <c r="B3303" s="67"/>
    </row>
    <row r="3304" spans="1:2" x14ac:dyDescent="0.2">
      <c r="A3304" s="68" t="s">
        <v>2258</v>
      </c>
      <c r="B3304" s="67"/>
    </row>
    <row r="3305" spans="1:2" x14ac:dyDescent="0.2">
      <c r="A3305" s="68" t="s">
        <v>2257</v>
      </c>
      <c r="B3305" s="67"/>
    </row>
    <row r="3306" spans="1:2" x14ac:dyDescent="0.2">
      <c r="A3306" s="68" t="s">
        <v>2256</v>
      </c>
      <c r="B3306" s="67"/>
    </row>
    <row r="3307" spans="1:2" x14ac:dyDescent="0.2">
      <c r="A3307" s="68" t="s">
        <v>2255</v>
      </c>
      <c r="B3307" s="67"/>
    </row>
    <row r="3308" spans="1:2" x14ac:dyDescent="0.2">
      <c r="A3308" s="68" t="s">
        <v>2254</v>
      </c>
      <c r="B3308" s="67"/>
    </row>
    <row r="3309" spans="1:2" x14ac:dyDescent="0.2">
      <c r="A3309" s="68" t="s">
        <v>2253</v>
      </c>
      <c r="B3309" s="67"/>
    </row>
    <row r="3310" spans="1:2" x14ac:dyDescent="0.2">
      <c r="A3310" s="68" t="s">
        <v>2252</v>
      </c>
      <c r="B3310" s="67"/>
    </row>
    <row r="3311" spans="1:2" x14ac:dyDescent="0.2">
      <c r="A3311" s="68" t="s">
        <v>2251</v>
      </c>
      <c r="B3311" s="67"/>
    </row>
    <row r="3312" spans="1:2" x14ac:dyDescent="0.2">
      <c r="A3312" s="68" t="s">
        <v>2250</v>
      </c>
      <c r="B3312" s="67"/>
    </row>
    <row r="3313" spans="1:2" x14ac:dyDescent="0.2">
      <c r="A3313" s="68" t="s">
        <v>2249</v>
      </c>
      <c r="B3313" s="67"/>
    </row>
    <row r="3314" spans="1:2" x14ac:dyDescent="0.2">
      <c r="A3314" s="68" t="s">
        <v>2248</v>
      </c>
      <c r="B3314" s="67"/>
    </row>
    <row r="3315" spans="1:2" x14ac:dyDescent="0.2">
      <c r="A3315" s="68" t="s">
        <v>2247</v>
      </c>
      <c r="B3315" s="67"/>
    </row>
    <row r="3316" spans="1:2" x14ac:dyDescent="0.2">
      <c r="A3316" s="68" t="s">
        <v>2246</v>
      </c>
      <c r="B3316" s="67"/>
    </row>
    <row r="3317" spans="1:2" x14ac:dyDescent="0.2">
      <c r="A3317" s="68" t="s">
        <v>2245</v>
      </c>
      <c r="B3317" s="67"/>
    </row>
    <row r="3318" spans="1:2" x14ac:dyDescent="0.2">
      <c r="A3318" s="68" t="s">
        <v>2244</v>
      </c>
      <c r="B3318" s="67"/>
    </row>
    <row r="3319" spans="1:2" x14ac:dyDescent="0.2">
      <c r="A3319" s="68" t="s">
        <v>2243</v>
      </c>
      <c r="B3319" s="67"/>
    </row>
    <row r="3320" spans="1:2" x14ac:dyDescent="0.2">
      <c r="A3320" s="68" t="s">
        <v>2242</v>
      </c>
      <c r="B3320" s="67"/>
    </row>
    <row r="3321" spans="1:2" x14ac:dyDescent="0.2">
      <c r="A3321" s="68" t="s">
        <v>2241</v>
      </c>
      <c r="B3321" s="67"/>
    </row>
    <row r="3322" spans="1:2" x14ac:dyDescent="0.2">
      <c r="A3322" s="68" t="s">
        <v>2240</v>
      </c>
      <c r="B3322" s="67"/>
    </row>
    <row r="3323" spans="1:2" x14ac:dyDescent="0.2">
      <c r="A3323" s="68" t="s">
        <v>2239</v>
      </c>
      <c r="B3323" s="67"/>
    </row>
    <row r="3324" spans="1:2" x14ac:dyDescent="0.2">
      <c r="A3324" s="68" t="s">
        <v>2238</v>
      </c>
      <c r="B3324" s="67"/>
    </row>
    <row r="3325" spans="1:2" x14ac:dyDescent="0.2">
      <c r="A3325" s="68" t="s">
        <v>2237</v>
      </c>
      <c r="B3325" s="67"/>
    </row>
    <row r="3326" spans="1:2" x14ac:dyDescent="0.2">
      <c r="A3326" s="68" t="s">
        <v>2236</v>
      </c>
      <c r="B3326" s="67"/>
    </row>
    <row r="3327" spans="1:2" x14ac:dyDescent="0.2">
      <c r="A3327" s="68" t="s">
        <v>2235</v>
      </c>
      <c r="B3327" s="67"/>
    </row>
    <row r="3328" spans="1:2" x14ac:dyDescent="0.2">
      <c r="A3328" s="68" t="s">
        <v>2234</v>
      </c>
      <c r="B3328" s="67"/>
    </row>
    <row r="3329" spans="1:2" x14ac:dyDescent="0.2">
      <c r="A3329" s="68" t="s">
        <v>2233</v>
      </c>
      <c r="B3329" s="67"/>
    </row>
    <row r="3330" spans="1:2" x14ac:dyDescent="0.2">
      <c r="A3330" s="68" t="s">
        <v>2232</v>
      </c>
      <c r="B3330" s="67"/>
    </row>
    <row r="3331" spans="1:2" x14ac:dyDescent="0.2">
      <c r="A3331" s="68" t="s">
        <v>2231</v>
      </c>
      <c r="B3331" s="67"/>
    </row>
    <row r="3332" spans="1:2" x14ac:dyDescent="0.2">
      <c r="A3332" s="68" t="s">
        <v>2230</v>
      </c>
      <c r="B3332" s="67"/>
    </row>
    <row r="3333" spans="1:2" x14ac:dyDescent="0.2">
      <c r="A3333" s="68" t="s">
        <v>2229</v>
      </c>
      <c r="B3333" s="67"/>
    </row>
    <row r="3334" spans="1:2" x14ac:dyDescent="0.2">
      <c r="A3334" s="68" t="s">
        <v>2228</v>
      </c>
      <c r="B3334" s="67"/>
    </row>
    <row r="3335" spans="1:2" x14ac:dyDescent="0.2">
      <c r="A3335" s="68" t="s">
        <v>2227</v>
      </c>
      <c r="B3335" s="67"/>
    </row>
    <row r="3336" spans="1:2" x14ac:dyDescent="0.2">
      <c r="A3336" s="68" t="s">
        <v>2226</v>
      </c>
      <c r="B3336" s="67"/>
    </row>
    <row r="3337" spans="1:2" x14ac:dyDescent="0.2">
      <c r="A3337" s="68" t="s">
        <v>2225</v>
      </c>
      <c r="B3337" s="67"/>
    </row>
    <row r="3338" spans="1:2" x14ac:dyDescent="0.2">
      <c r="A3338" s="68" t="s">
        <v>2224</v>
      </c>
      <c r="B3338" s="67"/>
    </row>
    <row r="3339" spans="1:2" x14ac:dyDescent="0.2">
      <c r="A3339" s="68" t="s">
        <v>2223</v>
      </c>
      <c r="B3339" s="67"/>
    </row>
    <row r="3340" spans="1:2" x14ac:dyDescent="0.2">
      <c r="A3340" s="68" t="s">
        <v>2222</v>
      </c>
      <c r="B3340" s="67"/>
    </row>
    <row r="3341" spans="1:2" x14ac:dyDescent="0.2">
      <c r="A3341" s="68" t="s">
        <v>2221</v>
      </c>
      <c r="B3341" s="67"/>
    </row>
    <row r="3342" spans="1:2" x14ac:dyDescent="0.2">
      <c r="A3342" s="68" t="s">
        <v>2220</v>
      </c>
      <c r="B3342" s="67"/>
    </row>
    <row r="3343" spans="1:2" x14ac:dyDescent="0.2">
      <c r="A3343" s="68" t="s">
        <v>2219</v>
      </c>
      <c r="B3343" s="67"/>
    </row>
    <row r="3344" spans="1:2" x14ac:dyDescent="0.2">
      <c r="A3344" s="68" t="s">
        <v>2218</v>
      </c>
      <c r="B3344" s="67"/>
    </row>
    <row r="3345" spans="1:2" x14ac:dyDescent="0.2">
      <c r="A3345" s="68" t="s">
        <v>2217</v>
      </c>
      <c r="B3345" s="67"/>
    </row>
    <row r="3346" spans="1:2" x14ac:dyDescent="0.2">
      <c r="A3346" s="68" t="s">
        <v>2216</v>
      </c>
      <c r="B3346" s="67"/>
    </row>
    <row r="3347" spans="1:2" x14ac:dyDescent="0.2">
      <c r="A3347" s="68" t="s">
        <v>2215</v>
      </c>
      <c r="B3347" s="67"/>
    </row>
    <row r="3348" spans="1:2" x14ac:dyDescent="0.2">
      <c r="A3348" s="68" t="s">
        <v>2214</v>
      </c>
      <c r="B3348" s="67"/>
    </row>
    <row r="3349" spans="1:2" x14ac:dyDescent="0.2">
      <c r="A3349" s="68" t="s">
        <v>2213</v>
      </c>
      <c r="B3349" s="67"/>
    </row>
    <row r="3350" spans="1:2" x14ac:dyDescent="0.2">
      <c r="A3350" s="68" t="s">
        <v>2212</v>
      </c>
      <c r="B3350" s="67"/>
    </row>
    <row r="3351" spans="1:2" x14ac:dyDescent="0.2">
      <c r="A3351" s="68" t="s">
        <v>2211</v>
      </c>
      <c r="B3351" s="67"/>
    </row>
    <row r="3352" spans="1:2" x14ac:dyDescent="0.2">
      <c r="A3352" s="68" t="s">
        <v>2210</v>
      </c>
      <c r="B3352" s="67"/>
    </row>
    <row r="3353" spans="1:2" x14ac:dyDescent="0.2">
      <c r="A3353" s="68" t="s">
        <v>2209</v>
      </c>
      <c r="B3353" s="67"/>
    </row>
    <row r="3354" spans="1:2" x14ac:dyDescent="0.2">
      <c r="A3354" s="68" t="s">
        <v>2208</v>
      </c>
      <c r="B3354" s="67"/>
    </row>
    <row r="3355" spans="1:2" x14ac:dyDescent="0.2">
      <c r="A3355" s="68" t="s">
        <v>2207</v>
      </c>
      <c r="B3355" s="67"/>
    </row>
    <row r="3356" spans="1:2" x14ac:dyDescent="0.2">
      <c r="A3356" s="68" t="s">
        <v>2206</v>
      </c>
      <c r="B3356" s="67"/>
    </row>
    <row r="3357" spans="1:2" x14ac:dyDescent="0.2">
      <c r="A3357" s="68" t="s">
        <v>2205</v>
      </c>
      <c r="B3357" s="67"/>
    </row>
    <row r="3358" spans="1:2" x14ac:dyDescent="0.2">
      <c r="A3358" s="68" t="s">
        <v>2204</v>
      </c>
      <c r="B3358" s="67"/>
    </row>
    <row r="3359" spans="1:2" x14ac:dyDescent="0.2">
      <c r="A3359" s="68" t="s">
        <v>2203</v>
      </c>
      <c r="B3359" s="67"/>
    </row>
    <row r="3360" spans="1:2" x14ac:dyDescent="0.2">
      <c r="A3360" s="68" t="s">
        <v>2202</v>
      </c>
      <c r="B3360" s="67"/>
    </row>
    <row r="3361" spans="1:2" x14ac:dyDescent="0.2">
      <c r="A3361" s="68" t="s">
        <v>2201</v>
      </c>
      <c r="B3361" s="67"/>
    </row>
    <row r="3362" spans="1:2" x14ac:dyDescent="0.2">
      <c r="A3362" s="68" t="s">
        <v>2200</v>
      </c>
      <c r="B3362" s="67"/>
    </row>
    <row r="3363" spans="1:2" x14ac:dyDescent="0.2">
      <c r="A3363" s="68" t="s">
        <v>2199</v>
      </c>
      <c r="B3363" s="67"/>
    </row>
    <row r="3364" spans="1:2" x14ac:dyDescent="0.2">
      <c r="A3364" s="68" t="s">
        <v>2198</v>
      </c>
      <c r="B3364" s="67"/>
    </row>
    <row r="3365" spans="1:2" x14ac:dyDescent="0.2">
      <c r="A3365" s="68" t="s">
        <v>2197</v>
      </c>
      <c r="B3365" s="67"/>
    </row>
    <row r="3366" spans="1:2" x14ac:dyDescent="0.2">
      <c r="A3366" s="68" t="s">
        <v>2196</v>
      </c>
      <c r="B3366" s="67"/>
    </row>
    <row r="3367" spans="1:2" x14ac:dyDescent="0.2">
      <c r="A3367" s="68" t="s">
        <v>2195</v>
      </c>
      <c r="B3367" s="67"/>
    </row>
    <row r="3368" spans="1:2" x14ac:dyDescent="0.2">
      <c r="A3368" s="68" t="s">
        <v>2194</v>
      </c>
      <c r="B3368" s="67"/>
    </row>
    <row r="3369" spans="1:2" x14ac:dyDescent="0.2">
      <c r="A3369" s="68" t="s">
        <v>2193</v>
      </c>
      <c r="B3369" s="67"/>
    </row>
    <row r="3370" spans="1:2" x14ac:dyDescent="0.2">
      <c r="A3370" s="68" t="s">
        <v>2192</v>
      </c>
      <c r="B3370" s="67"/>
    </row>
    <row r="3371" spans="1:2" x14ac:dyDescent="0.2">
      <c r="A3371" s="68" t="s">
        <v>2191</v>
      </c>
      <c r="B3371" s="67"/>
    </row>
    <row r="3372" spans="1:2" x14ac:dyDescent="0.2">
      <c r="A3372" s="68" t="s">
        <v>2190</v>
      </c>
      <c r="B3372" s="67"/>
    </row>
    <row r="3373" spans="1:2" x14ac:dyDescent="0.2">
      <c r="A3373" s="68" t="s">
        <v>2189</v>
      </c>
      <c r="B3373" s="67"/>
    </row>
    <row r="3374" spans="1:2" x14ac:dyDescent="0.2">
      <c r="A3374" s="68" t="s">
        <v>2188</v>
      </c>
      <c r="B3374" s="67"/>
    </row>
    <row r="3375" spans="1:2" x14ac:dyDescent="0.2">
      <c r="A3375" s="68" t="s">
        <v>2187</v>
      </c>
      <c r="B3375" s="67"/>
    </row>
    <row r="3376" spans="1:2" x14ac:dyDescent="0.2">
      <c r="A3376" s="68" t="s">
        <v>2186</v>
      </c>
      <c r="B3376" s="67"/>
    </row>
    <row r="3377" spans="1:2" x14ac:dyDescent="0.2">
      <c r="A3377" s="68" t="s">
        <v>2185</v>
      </c>
      <c r="B3377" s="67"/>
    </row>
    <row r="3378" spans="1:2" x14ac:dyDescent="0.2">
      <c r="A3378" s="68" t="s">
        <v>2184</v>
      </c>
      <c r="B3378" s="67"/>
    </row>
    <row r="3379" spans="1:2" x14ac:dyDescent="0.2">
      <c r="A3379" s="68" t="s">
        <v>2183</v>
      </c>
      <c r="B3379" s="67"/>
    </row>
    <row r="3380" spans="1:2" x14ac:dyDescent="0.2">
      <c r="A3380" s="68" t="s">
        <v>2182</v>
      </c>
      <c r="B3380" s="67"/>
    </row>
    <row r="3381" spans="1:2" x14ac:dyDescent="0.2">
      <c r="A3381" s="68" t="s">
        <v>2181</v>
      </c>
      <c r="B3381" s="67"/>
    </row>
    <row r="3382" spans="1:2" x14ac:dyDescent="0.2">
      <c r="A3382" s="68" t="s">
        <v>2180</v>
      </c>
      <c r="B3382" s="67"/>
    </row>
    <row r="3383" spans="1:2" x14ac:dyDescent="0.2">
      <c r="A3383" s="68" t="s">
        <v>2179</v>
      </c>
      <c r="B3383" s="67"/>
    </row>
    <row r="3384" spans="1:2" x14ac:dyDescent="0.2">
      <c r="A3384" s="68" t="s">
        <v>2178</v>
      </c>
      <c r="B3384" s="67"/>
    </row>
    <row r="3385" spans="1:2" x14ac:dyDescent="0.2">
      <c r="A3385" s="68" t="s">
        <v>2177</v>
      </c>
      <c r="B3385" s="67"/>
    </row>
    <row r="3386" spans="1:2" x14ac:dyDescent="0.2">
      <c r="A3386" s="68" t="s">
        <v>2176</v>
      </c>
      <c r="B3386" s="67"/>
    </row>
    <row r="3387" spans="1:2" x14ac:dyDescent="0.2">
      <c r="A3387" s="68" t="s">
        <v>2175</v>
      </c>
      <c r="B3387" s="67"/>
    </row>
    <row r="3388" spans="1:2" x14ac:dyDescent="0.2">
      <c r="A3388" s="68" t="s">
        <v>2174</v>
      </c>
      <c r="B3388" s="67"/>
    </row>
    <row r="3389" spans="1:2" x14ac:dyDescent="0.2">
      <c r="A3389" s="68" t="s">
        <v>2173</v>
      </c>
      <c r="B3389" s="67"/>
    </row>
    <row r="3390" spans="1:2" x14ac:dyDescent="0.2">
      <c r="A3390" s="68" t="s">
        <v>2172</v>
      </c>
      <c r="B3390" s="67"/>
    </row>
    <row r="3391" spans="1:2" x14ac:dyDescent="0.2">
      <c r="A3391" s="68" t="s">
        <v>2171</v>
      </c>
      <c r="B3391" s="67"/>
    </row>
    <row r="3392" spans="1:2" x14ac:dyDescent="0.2">
      <c r="A3392" s="68" t="s">
        <v>2170</v>
      </c>
      <c r="B3392" s="67"/>
    </row>
    <row r="3393" spans="1:2" x14ac:dyDescent="0.2">
      <c r="A3393" s="68" t="s">
        <v>2169</v>
      </c>
      <c r="B3393" s="67"/>
    </row>
    <row r="3394" spans="1:2" x14ac:dyDescent="0.2">
      <c r="A3394" s="68" t="s">
        <v>2168</v>
      </c>
      <c r="B3394" s="67"/>
    </row>
    <row r="3395" spans="1:2" x14ac:dyDescent="0.2">
      <c r="A3395" s="68" t="s">
        <v>2167</v>
      </c>
      <c r="B3395" s="67"/>
    </row>
    <row r="3396" spans="1:2" x14ac:dyDescent="0.2">
      <c r="A3396" s="68" t="s">
        <v>2166</v>
      </c>
      <c r="B3396" s="67"/>
    </row>
    <row r="3397" spans="1:2" x14ac:dyDescent="0.2">
      <c r="A3397" s="68" t="s">
        <v>2165</v>
      </c>
      <c r="B3397" s="67"/>
    </row>
    <row r="3398" spans="1:2" x14ac:dyDescent="0.2">
      <c r="A3398" s="68" t="s">
        <v>2164</v>
      </c>
      <c r="B3398" s="67"/>
    </row>
    <row r="3399" spans="1:2" x14ac:dyDescent="0.2">
      <c r="A3399" s="68" t="s">
        <v>2163</v>
      </c>
      <c r="B3399" s="67"/>
    </row>
    <row r="3400" spans="1:2" x14ac:dyDescent="0.2">
      <c r="A3400" s="68" t="s">
        <v>2162</v>
      </c>
      <c r="B3400" s="67"/>
    </row>
    <row r="3401" spans="1:2" x14ac:dyDescent="0.2">
      <c r="A3401" s="68" t="s">
        <v>2161</v>
      </c>
      <c r="B3401" s="67"/>
    </row>
    <row r="3402" spans="1:2" x14ac:dyDescent="0.2">
      <c r="A3402" s="68" t="s">
        <v>2160</v>
      </c>
      <c r="B3402" s="67"/>
    </row>
    <row r="3403" spans="1:2" x14ac:dyDescent="0.2">
      <c r="A3403" s="68" t="s">
        <v>2159</v>
      </c>
      <c r="B3403" s="67"/>
    </row>
    <row r="3404" spans="1:2" x14ac:dyDescent="0.2">
      <c r="A3404" s="68" t="s">
        <v>2158</v>
      </c>
      <c r="B3404" s="67"/>
    </row>
    <row r="3405" spans="1:2" x14ac:dyDescent="0.2">
      <c r="A3405" s="68" t="s">
        <v>2157</v>
      </c>
      <c r="B3405" s="67"/>
    </row>
    <row r="3406" spans="1:2" x14ac:dyDescent="0.2">
      <c r="A3406" s="68" t="s">
        <v>2156</v>
      </c>
      <c r="B3406" s="67"/>
    </row>
    <row r="3407" spans="1:2" x14ac:dyDescent="0.2">
      <c r="A3407" s="68" t="s">
        <v>2155</v>
      </c>
      <c r="B3407" s="67"/>
    </row>
    <row r="3408" spans="1:2" x14ac:dyDescent="0.2">
      <c r="A3408" s="68" t="s">
        <v>2154</v>
      </c>
      <c r="B3408" s="67"/>
    </row>
    <row r="3409" spans="1:2" x14ac:dyDescent="0.2">
      <c r="A3409" s="68" t="s">
        <v>2153</v>
      </c>
      <c r="B3409" s="67"/>
    </row>
    <row r="3410" spans="1:2" x14ac:dyDescent="0.2">
      <c r="A3410" s="68" t="s">
        <v>2152</v>
      </c>
      <c r="B3410" s="67"/>
    </row>
    <row r="3411" spans="1:2" x14ac:dyDescent="0.2">
      <c r="A3411" s="68" t="s">
        <v>2151</v>
      </c>
      <c r="B3411" s="67"/>
    </row>
    <row r="3412" spans="1:2" x14ac:dyDescent="0.2">
      <c r="A3412" s="68" t="s">
        <v>2150</v>
      </c>
      <c r="B3412" s="67"/>
    </row>
    <row r="3413" spans="1:2" x14ac:dyDescent="0.2">
      <c r="A3413" s="68" t="s">
        <v>2149</v>
      </c>
      <c r="B3413" s="67"/>
    </row>
    <row r="3414" spans="1:2" x14ac:dyDescent="0.2">
      <c r="A3414" s="68" t="s">
        <v>2148</v>
      </c>
      <c r="B3414" s="67"/>
    </row>
    <row r="3415" spans="1:2" x14ac:dyDescent="0.2">
      <c r="A3415" s="68" t="s">
        <v>2147</v>
      </c>
      <c r="B3415" s="67"/>
    </row>
    <row r="3416" spans="1:2" x14ac:dyDescent="0.2">
      <c r="A3416" s="68" t="s">
        <v>2146</v>
      </c>
      <c r="B3416" s="67"/>
    </row>
    <row r="3417" spans="1:2" x14ac:dyDescent="0.2">
      <c r="A3417" s="68" t="s">
        <v>2145</v>
      </c>
      <c r="B3417" s="67"/>
    </row>
    <row r="3418" spans="1:2" x14ac:dyDescent="0.2">
      <c r="A3418" s="68" t="s">
        <v>2144</v>
      </c>
      <c r="B3418" s="67"/>
    </row>
    <row r="3419" spans="1:2" x14ac:dyDescent="0.2">
      <c r="A3419" s="68" t="s">
        <v>2143</v>
      </c>
      <c r="B3419" s="67"/>
    </row>
    <row r="3420" spans="1:2" x14ac:dyDescent="0.2">
      <c r="A3420" s="68" t="s">
        <v>2142</v>
      </c>
      <c r="B3420" s="67"/>
    </row>
    <row r="3421" spans="1:2" x14ac:dyDescent="0.2">
      <c r="A3421" s="68" t="s">
        <v>2141</v>
      </c>
      <c r="B3421" s="67"/>
    </row>
    <row r="3422" spans="1:2" x14ac:dyDescent="0.2">
      <c r="A3422" s="68" t="s">
        <v>2140</v>
      </c>
      <c r="B3422" s="67"/>
    </row>
    <row r="3423" spans="1:2" x14ac:dyDescent="0.2">
      <c r="A3423" s="68" t="s">
        <v>2139</v>
      </c>
      <c r="B3423" s="67"/>
    </row>
    <row r="3424" spans="1:2" x14ac:dyDescent="0.2">
      <c r="A3424" s="68" t="s">
        <v>2138</v>
      </c>
      <c r="B3424" s="67"/>
    </row>
    <row r="3425" spans="1:2" x14ac:dyDescent="0.2">
      <c r="A3425" s="68" t="s">
        <v>2137</v>
      </c>
      <c r="B3425" s="67"/>
    </row>
    <row r="3426" spans="1:2" x14ac:dyDescent="0.2">
      <c r="A3426" s="68" t="s">
        <v>2136</v>
      </c>
      <c r="B3426" s="67"/>
    </row>
    <row r="3427" spans="1:2" x14ac:dyDescent="0.2">
      <c r="A3427" s="68" t="s">
        <v>2135</v>
      </c>
      <c r="B3427" s="67"/>
    </row>
    <row r="3428" spans="1:2" x14ac:dyDescent="0.2">
      <c r="A3428" s="68" t="s">
        <v>2134</v>
      </c>
      <c r="B3428" s="67"/>
    </row>
    <row r="3429" spans="1:2" x14ac:dyDescent="0.2">
      <c r="A3429" s="68" t="s">
        <v>2133</v>
      </c>
      <c r="B3429" s="67"/>
    </row>
    <row r="3430" spans="1:2" x14ac:dyDescent="0.2">
      <c r="A3430" s="68" t="s">
        <v>2132</v>
      </c>
      <c r="B3430" s="67"/>
    </row>
    <row r="3431" spans="1:2" x14ac:dyDescent="0.2">
      <c r="A3431" s="68" t="s">
        <v>2131</v>
      </c>
      <c r="B3431" s="67"/>
    </row>
    <row r="3432" spans="1:2" x14ac:dyDescent="0.2">
      <c r="A3432" s="68" t="s">
        <v>2130</v>
      </c>
      <c r="B3432" s="67"/>
    </row>
    <row r="3433" spans="1:2" x14ac:dyDescent="0.2">
      <c r="A3433" s="68" t="s">
        <v>2129</v>
      </c>
      <c r="B3433" s="67"/>
    </row>
    <row r="3434" spans="1:2" x14ac:dyDescent="0.2">
      <c r="A3434" s="68" t="s">
        <v>2128</v>
      </c>
      <c r="B3434" s="67"/>
    </row>
    <row r="3435" spans="1:2" x14ac:dyDescent="0.2">
      <c r="A3435" s="68" t="s">
        <v>2127</v>
      </c>
      <c r="B3435" s="67"/>
    </row>
    <row r="3436" spans="1:2" x14ac:dyDescent="0.2">
      <c r="A3436" s="68" t="s">
        <v>2126</v>
      </c>
      <c r="B3436" s="67"/>
    </row>
    <row r="3437" spans="1:2" x14ac:dyDescent="0.2">
      <c r="A3437" s="68" t="s">
        <v>2125</v>
      </c>
      <c r="B3437" s="67"/>
    </row>
    <row r="3438" spans="1:2" x14ac:dyDescent="0.2">
      <c r="A3438" s="68" t="s">
        <v>2124</v>
      </c>
      <c r="B3438" s="67"/>
    </row>
    <row r="3439" spans="1:2" x14ac:dyDescent="0.2">
      <c r="A3439" s="68" t="s">
        <v>2123</v>
      </c>
      <c r="B3439" s="67"/>
    </row>
    <row r="3440" spans="1:2" x14ac:dyDescent="0.2">
      <c r="A3440" s="68" t="s">
        <v>2122</v>
      </c>
      <c r="B3440" s="67"/>
    </row>
    <row r="3441" spans="1:2" x14ac:dyDescent="0.2">
      <c r="A3441" s="68" t="s">
        <v>2121</v>
      </c>
      <c r="B3441" s="67"/>
    </row>
    <row r="3442" spans="1:2" x14ac:dyDescent="0.2">
      <c r="A3442" s="68" t="s">
        <v>2120</v>
      </c>
      <c r="B3442" s="67"/>
    </row>
    <row r="3443" spans="1:2" x14ac:dyDescent="0.2">
      <c r="A3443" s="68" t="s">
        <v>2119</v>
      </c>
      <c r="B3443" s="67"/>
    </row>
    <row r="3444" spans="1:2" x14ac:dyDescent="0.2">
      <c r="A3444" s="68" t="s">
        <v>2118</v>
      </c>
      <c r="B3444" s="67"/>
    </row>
    <row r="3445" spans="1:2" x14ac:dyDescent="0.2">
      <c r="A3445" s="68" t="s">
        <v>2117</v>
      </c>
      <c r="B3445" s="67"/>
    </row>
    <row r="3446" spans="1:2" x14ac:dyDescent="0.2">
      <c r="A3446" s="68" t="s">
        <v>2116</v>
      </c>
      <c r="B3446" s="67"/>
    </row>
    <row r="3447" spans="1:2" x14ac:dyDescent="0.2">
      <c r="A3447" s="68" t="s">
        <v>2115</v>
      </c>
      <c r="B3447" s="67"/>
    </row>
    <row r="3448" spans="1:2" x14ac:dyDescent="0.2">
      <c r="A3448" s="68" t="s">
        <v>2114</v>
      </c>
      <c r="B3448" s="67"/>
    </row>
    <row r="3449" spans="1:2" x14ac:dyDescent="0.2">
      <c r="A3449" s="68" t="s">
        <v>2113</v>
      </c>
      <c r="B3449" s="67"/>
    </row>
    <row r="3450" spans="1:2" x14ac:dyDescent="0.2">
      <c r="A3450" s="68" t="s">
        <v>2112</v>
      </c>
      <c r="B3450" s="67"/>
    </row>
    <row r="3451" spans="1:2" x14ac:dyDescent="0.2">
      <c r="A3451" s="68" t="s">
        <v>2111</v>
      </c>
      <c r="B3451" s="67"/>
    </row>
    <row r="3452" spans="1:2" x14ac:dyDescent="0.2">
      <c r="A3452" s="68" t="s">
        <v>2110</v>
      </c>
      <c r="B3452" s="67"/>
    </row>
    <row r="3453" spans="1:2" x14ac:dyDescent="0.2">
      <c r="A3453" s="68" t="s">
        <v>2109</v>
      </c>
      <c r="B3453" s="67"/>
    </row>
    <row r="3454" spans="1:2" x14ac:dyDescent="0.2">
      <c r="A3454" s="68" t="s">
        <v>2108</v>
      </c>
      <c r="B3454" s="67"/>
    </row>
    <row r="3455" spans="1:2" x14ac:dyDescent="0.2">
      <c r="A3455" s="68" t="s">
        <v>2107</v>
      </c>
      <c r="B3455" s="67"/>
    </row>
    <row r="3456" spans="1:2" x14ac:dyDescent="0.2">
      <c r="A3456" s="68" t="s">
        <v>2106</v>
      </c>
      <c r="B3456" s="67"/>
    </row>
    <row r="3457" spans="1:2" x14ac:dyDescent="0.2">
      <c r="A3457" s="68" t="s">
        <v>2105</v>
      </c>
      <c r="B3457" s="67"/>
    </row>
    <row r="3458" spans="1:2" x14ac:dyDescent="0.2">
      <c r="A3458" s="68" t="s">
        <v>2104</v>
      </c>
      <c r="B3458" s="67"/>
    </row>
    <row r="3459" spans="1:2" x14ac:dyDescent="0.2">
      <c r="A3459" s="68" t="s">
        <v>2103</v>
      </c>
      <c r="B3459" s="67"/>
    </row>
    <row r="3460" spans="1:2" x14ac:dyDescent="0.2">
      <c r="A3460" s="68" t="s">
        <v>2102</v>
      </c>
      <c r="B3460" s="67"/>
    </row>
    <row r="3461" spans="1:2" x14ac:dyDescent="0.2">
      <c r="A3461" s="68" t="s">
        <v>2101</v>
      </c>
      <c r="B3461" s="67"/>
    </row>
    <row r="3462" spans="1:2" x14ac:dyDescent="0.2">
      <c r="A3462" s="68" t="s">
        <v>2100</v>
      </c>
      <c r="B3462" s="67"/>
    </row>
    <row r="3463" spans="1:2" x14ac:dyDescent="0.2">
      <c r="A3463" s="68" t="s">
        <v>2099</v>
      </c>
      <c r="B3463" s="67"/>
    </row>
    <row r="3464" spans="1:2" x14ac:dyDescent="0.2">
      <c r="A3464" s="68" t="s">
        <v>2098</v>
      </c>
      <c r="B3464" s="67"/>
    </row>
    <row r="3465" spans="1:2" x14ac:dyDescent="0.2">
      <c r="A3465" s="68" t="s">
        <v>2097</v>
      </c>
      <c r="B3465" s="67"/>
    </row>
    <row r="3466" spans="1:2" x14ac:dyDescent="0.2">
      <c r="A3466" s="68" t="s">
        <v>2096</v>
      </c>
      <c r="B3466" s="67"/>
    </row>
    <row r="3467" spans="1:2" x14ac:dyDescent="0.2">
      <c r="A3467" s="68" t="s">
        <v>2095</v>
      </c>
      <c r="B3467" s="67"/>
    </row>
    <row r="3468" spans="1:2" x14ac:dyDescent="0.2">
      <c r="A3468" s="68" t="s">
        <v>2094</v>
      </c>
      <c r="B3468" s="67"/>
    </row>
    <row r="3469" spans="1:2" x14ac:dyDescent="0.2">
      <c r="A3469" s="68" t="s">
        <v>2093</v>
      </c>
      <c r="B3469" s="67"/>
    </row>
    <row r="3470" spans="1:2" x14ac:dyDescent="0.2">
      <c r="A3470" s="68" t="s">
        <v>2092</v>
      </c>
      <c r="B3470" s="67"/>
    </row>
    <row r="3471" spans="1:2" x14ac:dyDescent="0.2">
      <c r="A3471" s="68" t="s">
        <v>2091</v>
      </c>
      <c r="B3471" s="67"/>
    </row>
    <row r="3472" spans="1:2" x14ac:dyDescent="0.2">
      <c r="A3472" s="68" t="s">
        <v>2090</v>
      </c>
      <c r="B3472" s="67"/>
    </row>
    <row r="3473" spans="1:2" x14ac:dyDescent="0.2">
      <c r="A3473" s="68" t="s">
        <v>2089</v>
      </c>
      <c r="B3473" s="67"/>
    </row>
    <row r="3474" spans="1:2" x14ac:dyDescent="0.2">
      <c r="A3474" s="68" t="s">
        <v>2088</v>
      </c>
      <c r="B3474" s="67"/>
    </row>
    <row r="3475" spans="1:2" x14ac:dyDescent="0.2">
      <c r="A3475" s="68" t="s">
        <v>2087</v>
      </c>
      <c r="B3475" s="67"/>
    </row>
    <row r="3476" spans="1:2" x14ac:dyDescent="0.2">
      <c r="A3476" s="68" t="s">
        <v>2086</v>
      </c>
      <c r="B3476" s="67"/>
    </row>
    <row r="3477" spans="1:2" x14ac:dyDescent="0.2">
      <c r="A3477" s="68" t="s">
        <v>2085</v>
      </c>
      <c r="B3477" s="67"/>
    </row>
    <row r="3478" spans="1:2" x14ac:dyDescent="0.2">
      <c r="A3478" s="68" t="s">
        <v>2084</v>
      </c>
      <c r="B3478" s="67"/>
    </row>
    <row r="3479" spans="1:2" x14ac:dyDescent="0.2">
      <c r="A3479" s="68" t="s">
        <v>2083</v>
      </c>
      <c r="B3479" s="67"/>
    </row>
    <row r="3480" spans="1:2" x14ac:dyDescent="0.2">
      <c r="A3480" s="68" t="s">
        <v>2082</v>
      </c>
      <c r="B3480" s="67"/>
    </row>
    <row r="3481" spans="1:2" x14ac:dyDescent="0.2">
      <c r="A3481" s="68" t="s">
        <v>2081</v>
      </c>
      <c r="B3481" s="67"/>
    </row>
    <row r="3482" spans="1:2" x14ac:dyDescent="0.2">
      <c r="A3482" s="68" t="s">
        <v>2080</v>
      </c>
      <c r="B3482" s="67"/>
    </row>
    <row r="3483" spans="1:2" x14ac:dyDescent="0.2">
      <c r="A3483" s="68" t="s">
        <v>2079</v>
      </c>
      <c r="B3483" s="67"/>
    </row>
    <row r="3484" spans="1:2" x14ac:dyDescent="0.2">
      <c r="A3484" s="68" t="s">
        <v>2078</v>
      </c>
      <c r="B3484" s="67"/>
    </row>
    <row r="3485" spans="1:2" x14ac:dyDescent="0.2">
      <c r="A3485" s="68" t="s">
        <v>2077</v>
      </c>
      <c r="B3485" s="67"/>
    </row>
    <row r="3486" spans="1:2" x14ac:dyDescent="0.2">
      <c r="A3486" s="68" t="s">
        <v>2076</v>
      </c>
      <c r="B3486" s="67"/>
    </row>
    <row r="3487" spans="1:2" x14ac:dyDescent="0.2">
      <c r="A3487" s="68" t="s">
        <v>2075</v>
      </c>
      <c r="B3487" s="67"/>
    </row>
    <row r="3488" spans="1:2" x14ac:dyDescent="0.2">
      <c r="A3488" s="68" t="s">
        <v>2074</v>
      </c>
      <c r="B3488" s="67"/>
    </row>
    <row r="3489" spans="1:2" x14ac:dyDescent="0.2">
      <c r="A3489" s="68" t="s">
        <v>2073</v>
      </c>
      <c r="B3489" s="67"/>
    </row>
    <row r="3490" spans="1:2" x14ac:dyDescent="0.2">
      <c r="A3490" s="68" t="s">
        <v>2072</v>
      </c>
      <c r="B3490" s="67"/>
    </row>
    <row r="3491" spans="1:2" x14ac:dyDescent="0.2">
      <c r="A3491" s="68" t="s">
        <v>2071</v>
      </c>
      <c r="B3491" s="67"/>
    </row>
    <row r="3492" spans="1:2" x14ac:dyDescent="0.2">
      <c r="A3492" s="68" t="s">
        <v>2070</v>
      </c>
      <c r="B3492" s="67"/>
    </row>
    <row r="3493" spans="1:2" x14ac:dyDescent="0.2">
      <c r="A3493" s="68" t="s">
        <v>2069</v>
      </c>
      <c r="B3493" s="67"/>
    </row>
    <row r="3494" spans="1:2" x14ac:dyDescent="0.2">
      <c r="A3494" s="68" t="s">
        <v>2068</v>
      </c>
      <c r="B3494" s="67"/>
    </row>
    <row r="3495" spans="1:2" x14ac:dyDescent="0.2">
      <c r="A3495" s="68" t="s">
        <v>2067</v>
      </c>
      <c r="B3495" s="67"/>
    </row>
    <row r="3496" spans="1:2" x14ac:dyDescent="0.2">
      <c r="A3496" s="68" t="s">
        <v>2066</v>
      </c>
      <c r="B3496" s="67"/>
    </row>
    <row r="3497" spans="1:2" x14ac:dyDescent="0.2">
      <c r="A3497" s="68" t="s">
        <v>2065</v>
      </c>
      <c r="B3497" s="67"/>
    </row>
    <row r="3498" spans="1:2" x14ac:dyDescent="0.2">
      <c r="A3498" s="68" t="s">
        <v>2064</v>
      </c>
      <c r="B3498" s="67"/>
    </row>
    <row r="3499" spans="1:2" x14ac:dyDescent="0.2">
      <c r="A3499" s="68" t="s">
        <v>2063</v>
      </c>
      <c r="B3499" s="67"/>
    </row>
    <row r="3500" spans="1:2" x14ac:dyDescent="0.2">
      <c r="A3500" s="68" t="s">
        <v>2062</v>
      </c>
      <c r="B3500" s="67"/>
    </row>
    <row r="3501" spans="1:2" x14ac:dyDescent="0.2">
      <c r="A3501" s="68" t="s">
        <v>2061</v>
      </c>
      <c r="B3501" s="67"/>
    </row>
    <row r="3502" spans="1:2" x14ac:dyDescent="0.2">
      <c r="A3502" s="68" t="s">
        <v>2060</v>
      </c>
      <c r="B3502" s="67"/>
    </row>
    <row r="3503" spans="1:2" x14ac:dyDescent="0.2">
      <c r="A3503" s="68" t="s">
        <v>2059</v>
      </c>
      <c r="B3503" s="67"/>
    </row>
    <row r="3504" spans="1:2" x14ac:dyDescent="0.2">
      <c r="A3504" s="68" t="s">
        <v>2058</v>
      </c>
      <c r="B3504" s="67"/>
    </row>
    <row r="3505" spans="1:2" x14ac:dyDescent="0.2">
      <c r="A3505" s="68" t="s">
        <v>2057</v>
      </c>
      <c r="B3505" s="67"/>
    </row>
    <row r="3506" spans="1:2" x14ac:dyDescent="0.2">
      <c r="A3506" s="68" t="s">
        <v>2056</v>
      </c>
      <c r="B3506" s="67"/>
    </row>
    <row r="3507" spans="1:2" x14ac:dyDescent="0.2">
      <c r="A3507" s="68" t="s">
        <v>2055</v>
      </c>
      <c r="B3507" s="67"/>
    </row>
    <row r="3508" spans="1:2" x14ac:dyDescent="0.2">
      <c r="A3508" s="68" t="s">
        <v>2054</v>
      </c>
      <c r="B3508" s="67"/>
    </row>
    <row r="3509" spans="1:2" x14ac:dyDescent="0.2">
      <c r="A3509" s="68" t="s">
        <v>2053</v>
      </c>
      <c r="B3509" s="67"/>
    </row>
    <row r="3510" spans="1:2" x14ac:dyDescent="0.2">
      <c r="A3510" s="68" t="s">
        <v>2052</v>
      </c>
      <c r="B3510" s="67"/>
    </row>
    <row r="3511" spans="1:2" x14ac:dyDescent="0.2">
      <c r="A3511" s="68" t="s">
        <v>2051</v>
      </c>
      <c r="B3511" s="67"/>
    </row>
    <row r="3512" spans="1:2" x14ac:dyDescent="0.2">
      <c r="A3512" s="68" t="s">
        <v>2050</v>
      </c>
      <c r="B3512" s="67"/>
    </row>
    <row r="3513" spans="1:2" x14ac:dyDescent="0.2">
      <c r="A3513" s="68" t="s">
        <v>2049</v>
      </c>
      <c r="B3513" s="67"/>
    </row>
    <row r="3514" spans="1:2" x14ac:dyDescent="0.2">
      <c r="A3514" s="68" t="s">
        <v>2048</v>
      </c>
      <c r="B3514" s="67"/>
    </row>
    <row r="3515" spans="1:2" x14ac:dyDescent="0.2">
      <c r="A3515" s="68" t="s">
        <v>2047</v>
      </c>
      <c r="B3515" s="67"/>
    </row>
    <row r="3516" spans="1:2" x14ac:dyDescent="0.2">
      <c r="A3516" s="68" t="s">
        <v>2046</v>
      </c>
      <c r="B3516" s="67"/>
    </row>
    <row r="3517" spans="1:2" x14ac:dyDescent="0.2">
      <c r="A3517" s="68" t="s">
        <v>2045</v>
      </c>
      <c r="B3517" s="67"/>
    </row>
    <row r="3518" spans="1:2" x14ac:dyDescent="0.2">
      <c r="A3518" s="68" t="s">
        <v>2044</v>
      </c>
      <c r="B3518" s="67"/>
    </row>
    <row r="3519" spans="1:2" x14ac:dyDescent="0.2">
      <c r="A3519" s="68" t="s">
        <v>2043</v>
      </c>
      <c r="B3519" s="67"/>
    </row>
    <row r="3520" spans="1:2" x14ac:dyDescent="0.2">
      <c r="A3520" s="68" t="s">
        <v>2042</v>
      </c>
      <c r="B3520" s="67"/>
    </row>
    <row r="3521" spans="1:2" x14ac:dyDescent="0.2">
      <c r="A3521" s="68" t="s">
        <v>2041</v>
      </c>
      <c r="B3521" s="67"/>
    </row>
    <row r="3522" spans="1:2" x14ac:dyDescent="0.2">
      <c r="A3522" s="68" t="s">
        <v>2040</v>
      </c>
      <c r="B3522" s="67"/>
    </row>
    <row r="3523" spans="1:2" x14ac:dyDescent="0.2">
      <c r="A3523" s="68" t="s">
        <v>2039</v>
      </c>
      <c r="B3523" s="67"/>
    </row>
    <row r="3524" spans="1:2" x14ac:dyDescent="0.2">
      <c r="A3524" s="68" t="s">
        <v>2038</v>
      </c>
      <c r="B3524" s="67"/>
    </row>
    <row r="3525" spans="1:2" x14ac:dyDescent="0.2">
      <c r="A3525" s="68" t="s">
        <v>2037</v>
      </c>
      <c r="B3525" s="67"/>
    </row>
    <row r="3526" spans="1:2" x14ac:dyDescent="0.2">
      <c r="A3526" s="68" t="s">
        <v>2036</v>
      </c>
      <c r="B3526" s="67"/>
    </row>
    <row r="3527" spans="1:2" x14ac:dyDescent="0.2">
      <c r="A3527" s="68" t="s">
        <v>2035</v>
      </c>
      <c r="B3527" s="67"/>
    </row>
    <row r="3528" spans="1:2" x14ac:dyDescent="0.2">
      <c r="A3528" s="68" t="s">
        <v>2034</v>
      </c>
      <c r="B3528" s="67"/>
    </row>
    <row r="3529" spans="1:2" x14ac:dyDescent="0.2">
      <c r="A3529" s="68" t="s">
        <v>2033</v>
      </c>
      <c r="B3529" s="67" t="s">
        <v>3932</v>
      </c>
    </row>
    <row r="3530" spans="1:2" x14ac:dyDescent="0.2">
      <c r="A3530" s="68" t="s">
        <v>2032</v>
      </c>
      <c r="B3530" s="67" t="s">
        <v>3931</v>
      </c>
    </row>
    <row r="3531" spans="1:2" x14ac:dyDescent="0.2">
      <c r="A3531" s="68" t="s">
        <v>2031</v>
      </c>
      <c r="B3531" s="67" t="s">
        <v>3930</v>
      </c>
    </row>
    <row r="3532" spans="1:2" x14ac:dyDescent="0.2">
      <c r="A3532" s="68" t="s">
        <v>2030</v>
      </c>
      <c r="B3532" s="67" t="s">
        <v>3929</v>
      </c>
    </row>
    <row r="3533" spans="1:2" x14ac:dyDescent="0.2">
      <c r="A3533" s="68" t="s">
        <v>2029</v>
      </c>
      <c r="B3533" s="67" t="s">
        <v>3928</v>
      </c>
    </row>
    <row r="3534" spans="1:2" x14ac:dyDescent="0.2">
      <c r="A3534" s="68" t="s">
        <v>2028</v>
      </c>
      <c r="B3534" s="67" t="s">
        <v>3927</v>
      </c>
    </row>
    <row r="3535" spans="1:2" x14ac:dyDescent="0.2">
      <c r="A3535" s="68" t="s">
        <v>2027</v>
      </c>
      <c r="B3535" s="67" t="s">
        <v>3926</v>
      </c>
    </row>
    <row r="3536" spans="1:2" x14ac:dyDescent="0.2">
      <c r="A3536" s="68" t="s">
        <v>2026</v>
      </c>
      <c r="B3536" s="67" t="s">
        <v>3925</v>
      </c>
    </row>
    <row r="3537" spans="1:2" x14ac:dyDescent="0.2">
      <c r="A3537" s="68" t="s">
        <v>2025</v>
      </c>
      <c r="B3537" s="67" t="s">
        <v>3924</v>
      </c>
    </row>
    <row r="3538" spans="1:2" x14ac:dyDescent="0.2">
      <c r="A3538" s="68" t="s">
        <v>2024</v>
      </c>
      <c r="B3538" s="67" t="s">
        <v>3923</v>
      </c>
    </row>
    <row r="3539" spans="1:2" x14ac:dyDescent="0.2">
      <c r="A3539" s="68" t="s">
        <v>2023</v>
      </c>
      <c r="B3539" s="67" t="s">
        <v>3922</v>
      </c>
    </row>
    <row r="3540" spans="1:2" x14ac:dyDescent="0.2">
      <c r="A3540" s="68" t="s">
        <v>2022</v>
      </c>
      <c r="B3540" s="67" t="s">
        <v>3921</v>
      </c>
    </row>
    <row r="3541" spans="1:2" x14ac:dyDescent="0.2">
      <c r="A3541" s="68" t="s">
        <v>2021</v>
      </c>
      <c r="B3541" s="67" t="s">
        <v>3920</v>
      </c>
    </row>
    <row r="3542" spans="1:2" x14ac:dyDescent="0.2">
      <c r="A3542" s="68" t="s">
        <v>2020</v>
      </c>
      <c r="B3542" s="67" t="s">
        <v>3919</v>
      </c>
    </row>
    <row r="3543" spans="1:2" x14ac:dyDescent="0.2">
      <c r="A3543" s="68" t="s">
        <v>2019</v>
      </c>
      <c r="B3543" s="67" t="s">
        <v>3918</v>
      </c>
    </row>
    <row r="3544" spans="1:2" x14ac:dyDescent="0.2">
      <c r="A3544" s="68" t="s">
        <v>2018</v>
      </c>
      <c r="B3544" s="67" t="s">
        <v>3917</v>
      </c>
    </row>
    <row r="3545" spans="1:2" x14ac:dyDescent="0.2">
      <c r="A3545" s="68" t="s">
        <v>2017</v>
      </c>
      <c r="B3545" s="67" t="s">
        <v>3916</v>
      </c>
    </row>
    <row r="3546" spans="1:2" x14ac:dyDescent="0.2">
      <c r="A3546" s="68" t="s">
        <v>2016</v>
      </c>
      <c r="B3546" s="67" t="s">
        <v>3915</v>
      </c>
    </row>
    <row r="3547" spans="1:2" x14ac:dyDescent="0.2">
      <c r="A3547" s="68" t="s">
        <v>2015</v>
      </c>
      <c r="B3547" s="67" t="s">
        <v>3914</v>
      </c>
    </row>
    <row r="3548" spans="1:2" x14ac:dyDescent="0.2">
      <c r="A3548" s="68" t="s">
        <v>2014</v>
      </c>
      <c r="B3548" s="67" t="s">
        <v>3913</v>
      </c>
    </row>
    <row r="3549" spans="1:2" x14ac:dyDescent="0.2">
      <c r="A3549" s="68" t="s">
        <v>2013</v>
      </c>
      <c r="B3549" s="67" t="s">
        <v>3912</v>
      </c>
    </row>
    <row r="3550" spans="1:2" x14ac:dyDescent="0.2">
      <c r="A3550" s="68" t="s">
        <v>2012</v>
      </c>
      <c r="B3550" s="67" t="s">
        <v>3911</v>
      </c>
    </row>
    <row r="3551" spans="1:2" x14ac:dyDescent="0.2">
      <c r="A3551" s="68" t="s">
        <v>2011</v>
      </c>
      <c r="B3551" s="67" t="s">
        <v>3910</v>
      </c>
    </row>
    <row r="3552" spans="1:2" x14ac:dyDescent="0.2">
      <c r="A3552" s="68" t="s">
        <v>2010</v>
      </c>
      <c r="B3552" s="67" t="s">
        <v>3909</v>
      </c>
    </row>
    <row r="3553" spans="1:2" x14ac:dyDescent="0.2">
      <c r="A3553" s="68" t="s">
        <v>2009</v>
      </c>
      <c r="B3553" s="67" t="s">
        <v>3908</v>
      </c>
    </row>
    <row r="3554" spans="1:2" x14ac:dyDescent="0.2">
      <c r="A3554" s="68" t="s">
        <v>2008</v>
      </c>
      <c r="B3554" s="67" t="s">
        <v>3907</v>
      </c>
    </row>
    <row r="3555" spans="1:2" x14ac:dyDescent="0.2">
      <c r="A3555" s="68" t="s">
        <v>2007</v>
      </c>
      <c r="B3555" s="67" t="s">
        <v>3906</v>
      </c>
    </row>
    <row r="3556" spans="1:2" x14ac:dyDescent="0.2">
      <c r="A3556" s="68" t="s">
        <v>2006</v>
      </c>
      <c r="B3556" s="67" t="s">
        <v>3905</v>
      </c>
    </row>
    <row r="3557" spans="1:2" x14ac:dyDescent="0.2">
      <c r="A3557" s="68" t="s">
        <v>2005</v>
      </c>
      <c r="B3557" s="67" t="s">
        <v>3904</v>
      </c>
    </row>
    <row r="3558" spans="1:2" x14ac:dyDescent="0.2">
      <c r="A3558" s="68" t="s">
        <v>2004</v>
      </c>
      <c r="B3558" s="67" t="s">
        <v>3903</v>
      </c>
    </row>
    <row r="3559" spans="1:2" x14ac:dyDescent="0.2">
      <c r="A3559" s="68" t="s">
        <v>2003</v>
      </c>
      <c r="B3559" s="67" t="s">
        <v>3902</v>
      </c>
    </row>
    <row r="3560" spans="1:2" x14ac:dyDescent="0.2">
      <c r="A3560" s="68" t="s">
        <v>2002</v>
      </c>
      <c r="B3560" s="67" t="s">
        <v>3901</v>
      </c>
    </row>
    <row r="3561" spans="1:2" x14ac:dyDescent="0.2">
      <c r="A3561" s="68" t="s">
        <v>2001</v>
      </c>
      <c r="B3561" s="67" t="s">
        <v>3900</v>
      </c>
    </row>
    <row r="3562" spans="1:2" x14ac:dyDescent="0.2">
      <c r="A3562" s="68" t="s">
        <v>2000</v>
      </c>
      <c r="B3562" s="67" t="s">
        <v>3899</v>
      </c>
    </row>
    <row r="3563" spans="1:2" x14ac:dyDescent="0.2">
      <c r="A3563" s="68" t="s">
        <v>1999</v>
      </c>
      <c r="B3563" s="67"/>
    </row>
    <row r="3564" spans="1:2" x14ac:dyDescent="0.2">
      <c r="A3564" s="68" t="s">
        <v>1998</v>
      </c>
      <c r="B3564" s="67"/>
    </row>
    <row r="3565" spans="1:2" x14ac:dyDescent="0.2">
      <c r="A3565" s="68" t="s">
        <v>1997</v>
      </c>
      <c r="B3565" s="67" t="s">
        <v>3898</v>
      </c>
    </row>
    <row r="3566" spans="1:2" x14ac:dyDescent="0.2">
      <c r="A3566" s="68" t="s">
        <v>1996</v>
      </c>
      <c r="B3566" s="67"/>
    </row>
    <row r="3567" spans="1:2" x14ac:dyDescent="0.2">
      <c r="A3567" s="68" t="s">
        <v>1995</v>
      </c>
      <c r="B3567" s="67" t="s">
        <v>3897</v>
      </c>
    </row>
    <row r="3568" spans="1:2" x14ac:dyDescent="0.2">
      <c r="A3568" s="68" t="s">
        <v>1994</v>
      </c>
      <c r="B3568" s="67" t="s">
        <v>3896</v>
      </c>
    </row>
    <row r="3569" spans="1:2" x14ac:dyDescent="0.2">
      <c r="A3569" s="68" t="s">
        <v>1993</v>
      </c>
      <c r="B3569" s="67" t="s">
        <v>3895</v>
      </c>
    </row>
    <row r="3570" spans="1:2" x14ac:dyDescent="0.2">
      <c r="A3570" s="68" t="s">
        <v>1992</v>
      </c>
      <c r="B3570" s="67" t="s">
        <v>3894</v>
      </c>
    </row>
    <row r="3571" spans="1:2" x14ac:dyDescent="0.2">
      <c r="A3571" s="68" t="s">
        <v>1991</v>
      </c>
      <c r="B3571" s="67" t="s">
        <v>3893</v>
      </c>
    </row>
    <row r="3572" spans="1:2" x14ac:dyDescent="0.2">
      <c r="A3572" s="68" t="s">
        <v>1990</v>
      </c>
      <c r="B3572" s="67" t="s">
        <v>3892</v>
      </c>
    </row>
    <row r="3573" spans="1:2" x14ac:dyDescent="0.2">
      <c r="A3573" s="68" t="s">
        <v>1989</v>
      </c>
      <c r="B3573" s="67" t="s">
        <v>3891</v>
      </c>
    </row>
    <row r="3574" spans="1:2" x14ac:dyDescent="0.2">
      <c r="A3574" s="68" t="s">
        <v>1988</v>
      </c>
      <c r="B3574" s="67" t="s">
        <v>3890</v>
      </c>
    </row>
    <row r="3575" spans="1:2" x14ac:dyDescent="0.2">
      <c r="A3575" s="68" t="s">
        <v>1987</v>
      </c>
      <c r="B3575" s="67" t="s">
        <v>3889</v>
      </c>
    </row>
    <row r="3576" spans="1:2" x14ac:dyDescent="0.2">
      <c r="A3576" s="68" t="s">
        <v>1986</v>
      </c>
      <c r="B3576" s="67" t="s">
        <v>3888</v>
      </c>
    </row>
    <row r="3577" spans="1:2" x14ac:dyDescent="0.2">
      <c r="A3577" s="68" t="s">
        <v>1985</v>
      </c>
      <c r="B3577" s="67" t="s">
        <v>3887</v>
      </c>
    </row>
    <row r="3578" spans="1:2" x14ac:dyDescent="0.2">
      <c r="A3578" s="68" t="s">
        <v>1984</v>
      </c>
      <c r="B3578" s="67" t="s">
        <v>3886</v>
      </c>
    </row>
    <row r="3579" spans="1:2" x14ac:dyDescent="0.2">
      <c r="A3579" s="68" t="s">
        <v>1983</v>
      </c>
      <c r="B3579" s="67" t="s">
        <v>3885</v>
      </c>
    </row>
    <row r="3580" spans="1:2" x14ac:dyDescent="0.2">
      <c r="A3580" s="68" t="s">
        <v>1982</v>
      </c>
      <c r="B3580" s="67" t="s">
        <v>3884</v>
      </c>
    </row>
    <row r="3581" spans="1:2" x14ac:dyDescent="0.2">
      <c r="A3581" s="68" t="s">
        <v>1981</v>
      </c>
      <c r="B3581" s="67" t="s">
        <v>3883</v>
      </c>
    </row>
    <row r="3582" spans="1:2" x14ac:dyDescent="0.2">
      <c r="A3582" s="68" t="s">
        <v>1980</v>
      </c>
      <c r="B3582" s="67" t="s">
        <v>3882</v>
      </c>
    </row>
    <row r="3583" spans="1:2" x14ac:dyDescent="0.2">
      <c r="A3583" s="68" t="s">
        <v>1979</v>
      </c>
      <c r="B3583" s="67" t="s">
        <v>3881</v>
      </c>
    </row>
    <row r="3584" spans="1:2" x14ac:dyDescent="0.2">
      <c r="A3584" s="68" t="s">
        <v>1978</v>
      </c>
      <c r="B3584" s="67" t="s">
        <v>3880</v>
      </c>
    </row>
    <row r="3585" spans="1:2" x14ac:dyDescent="0.2">
      <c r="A3585" s="68" t="s">
        <v>1977</v>
      </c>
      <c r="B3585" s="67" t="s">
        <v>3879</v>
      </c>
    </row>
    <row r="3586" spans="1:2" x14ac:dyDescent="0.2">
      <c r="A3586" s="68" t="s">
        <v>1976</v>
      </c>
      <c r="B3586" s="67" t="s">
        <v>3878</v>
      </c>
    </row>
    <row r="3587" spans="1:2" x14ac:dyDescent="0.2">
      <c r="A3587" s="68" t="s">
        <v>1975</v>
      </c>
      <c r="B3587" s="67" t="s">
        <v>3877</v>
      </c>
    </row>
    <row r="3588" spans="1:2" x14ac:dyDescent="0.2">
      <c r="A3588" s="68" t="s">
        <v>1974</v>
      </c>
      <c r="B3588" s="67" t="s">
        <v>3876</v>
      </c>
    </row>
    <row r="3589" spans="1:2" x14ac:dyDescent="0.2">
      <c r="A3589" s="68" t="s">
        <v>1973</v>
      </c>
      <c r="B3589" s="67" t="s">
        <v>3875</v>
      </c>
    </row>
    <row r="3590" spans="1:2" x14ac:dyDescent="0.2">
      <c r="A3590" s="68" t="s">
        <v>1972</v>
      </c>
      <c r="B3590" s="67" t="s">
        <v>3874</v>
      </c>
    </row>
    <row r="3591" spans="1:2" x14ac:dyDescent="0.2">
      <c r="A3591" s="68" t="s">
        <v>1971</v>
      </c>
      <c r="B3591" s="67" t="s">
        <v>3873</v>
      </c>
    </row>
    <row r="3592" spans="1:2" x14ac:dyDescent="0.2">
      <c r="A3592" s="68" t="s">
        <v>1970</v>
      </c>
      <c r="B3592" s="67" t="s">
        <v>3872</v>
      </c>
    </row>
    <row r="3593" spans="1:2" x14ac:dyDescent="0.2">
      <c r="A3593" s="68" t="s">
        <v>1969</v>
      </c>
      <c r="B3593" s="67" t="s">
        <v>3871</v>
      </c>
    </row>
    <row r="3594" spans="1:2" x14ac:dyDescent="0.2">
      <c r="A3594" s="68" t="s">
        <v>1968</v>
      </c>
      <c r="B3594" s="67" t="s">
        <v>3870</v>
      </c>
    </row>
    <row r="3595" spans="1:2" x14ac:dyDescent="0.2">
      <c r="A3595" s="68" t="s">
        <v>9923</v>
      </c>
      <c r="B3595" s="68"/>
    </row>
    <row r="3596" spans="1:2" x14ac:dyDescent="0.2">
      <c r="A3596" s="68" t="s">
        <v>9924</v>
      </c>
      <c r="B3596" s="68" t="s">
        <v>9077</v>
      </c>
    </row>
    <row r="3597" spans="1:2" x14ac:dyDescent="0.2">
      <c r="A3597" s="68" t="s">
        <v>9925</v>
      </c>
      <c r="B3597" s="68" t="s">
        <v>9078</v>
      </c>
    </row>
    <row r="3598" spans="1:2" x14ac:dyDescent="0.2">
      <c r="A3598" s="68" t="s">
        <v>9926</v>
      </c>
      <c r="B3598" s="68" t="s">
        <v>9079</v>
      </c>
    </row>
    <row r="3599" spans="1:2" x14ac:dyDescent="0.2">
      <c r="A3599" s="68" t="s">
        <v>9927</v>
      </c>
      <c r="B3599" s="68" t="s">
        <v>9080</v>
      </c>
    </row>
    <row r="3600" spans="1:2" x14ac:dyDescent="0.2">
      <c r="A3600" s="68" t="s">
        <v>9928</v>
      </c>
      <c r="B3600" s="68" t="s">
        <v>9081</v>
      </c>
    </row>
    <row r="3601" spans="1:2" x14ac:dyDescent="0.2">
      <c r="A3601" s="68" t="s">
        <v>9929</v>
      </c>
      <c r="B3601" s="68" t="s">
        <v>9082</v>
      </c>
    </row>
    <row r="3602" spans="1:2" x14ac:dyDescent="0.2">
      <c r="A3602" s="68" t="s">
        <v>9930</v>
      </c>
      <c r="B3602" s="68" t="s">
        <v>9083</v>
      </c>
    </row>
    <row r="3603" spans="1:2" x14ac:dyDescent="0.2">
      <c r="A3603" s="68" t="s">
        <v>9931</v>
      </c>
      <c r="B3603" s="68" t="s">
        <v>9084</v>
      </c>
    </row>
    <row r="3604" spans="1:2" x14ac:dyDescent="0.2">
      <c r="A3604" s="68" t="s">
        <v>9932</v>
      </c>
      <c r="B3604" s="68" t="s">
        <v>9085</v>
      </c>
    </row>
    <row r="3605" spans="1:2" x14ac:dyDescent="0.2">
      <c r="A3605" s="68" t="s">
        <v>9933</v>
      </c>
      <c r="B3605" s="68" t="s">
        <v>9086</v>
      </c>
    </row>
    <row r="3606" spans="1:2" x14ac:dyDescent="0.2">
      <c r="A3606" s="68" t="s">
        <v>9934</v>
      </c>
      <c r="B3606" s="68" t="s">
        <v>9087</v>
      </c>
    </row>
  </sheetData>
  <autoFilter ref="A1:B3594"/>
  <pageMargins left="0.7" right="0.7" top="0.75" bottom="0.75"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enableFormatConditionsCalculation="0"/>
  <dimension ref="A1:N25"/>
  <sheetViews>
    <sheetView zoomScale="90" zoomScaleNormal="90" zoomScalePageLayoutView="90" workbookViewId="0">
      <selection activeCell="H1" sqref="H1:M1"/>
    </sheetView>
  </sheetViews>
  <sheetFormatPr baseColWidth="10" defaultRowHeight="15" x14ac:dyDescent="0.2"/>
  <cols>
    <col min="1" max="1" customWidth="true" style="3" width="3.83203125" collapsed="true"/>
    <col min="2" max="2" customWidth="true" style="3" width="17.6640625" collapsed="true"/>
    <col min="3" max="3" style="3" width="10.83203125" collapsed="true"/>
    <col min="4" max="4" customWidth="true" style="3" width="17.6640625" collapsed="true"/>
    <col min="5" max="7" style="3" width="10.83203125" collapsed="true"/>
    <col min="8" max="8" customWidth="true" style="3" width="3.5" collapsed="true"/>
    <col min="9" max="9" customWidth="true" style="3" width="18.83203125" collapsed="true"/>
    <col min="10" max="10" style="3" width="10.83203125" collapsed="true"/>
    <col min="11" max="11" customWidth="true" style="3" width="17.33203125" collapsed="true"/>
    <col min="12" max="16384" style="3" width="10.83203125" collapsed="true"/>
  </cols>
  <sheetData>
    <row r="1" spans="1:14" ht="19" x14ac:dyDescent="0.2">
      <c r="A1" s="156" t="s">
        <v>7135</v>
      </c>
      <c r="B1" s="156"/>
      <c r="C1" s="156"/>
      <c r="D1" s="156"/>
      <c r="E1" s="156"/>
      <c r="F1" s="156"/>
      <c r="G1" s="77"/>
      <c r="H1" s="180" t="s">
        <v>7136</v>
      </c>
      <c r="I1" s="180"/>
      <c r="J1" s="180"/>
      <c r="K1" s="180"/>
      <c r="L1" s="180"/>
      <c r="M1" s="180"/>
      <c r="N1" s="114"/>
    </row>
    <row r="2" spans="1:14" x14ac:dyDescent="0.2">
      <c r="A2" s="102"/>
      <c r="B2" s="102"/>
      <c r="C2" s="102"/>
      <c r="D2" s="104"/>
      <c r="E2" s="104"/>
      <c r="F2" s="105"/>
      <c r="G2" s="102"/>
      <c r="H2" s="114"/>
      <c r="I2" s="114"/>
      <c r="J2" s="114"/>
      <c r="K2" s="115"/>
      <c r="L2" s="115"/>
      <c r="M2" s="116"/>
      <c r="N2" s="114"/>
    </row>
    <row r="3" spans="1:14" x14ac:dyDescent="0.2">
      <c r="A3" s="102"/>
      <c r="B3" s="106" t="s">
        <v>511</v>
      </c>
      <c r="C3" s="176">
        <v>6.2</v>
      </c>
      <c r="D3" s="177"/>
      <c r="E3" s="177"/>
      <c r="F3" s="148"/>
      <c r="G3" s="107"/>
      <c r="H3" s="114"/>
      <c r="I3" s="117" t="s">
        <v>511</v>
      </c>
      <c r="J3" s="181">
        <f>MAX('Output Data'!D:D)</f>
        <v>0</v>
      </c>
      <c r="K3" s="182"/>
      <c r="L3" s="182"/>
      <c r="M3" s="116"/>
      <c r="N3" s="114"/>
    </row>
    <row r="4" spans="1:14" x14ac:dyDescent="0.2">
      <c r="A4" s="102"/>
      <c r="B4" s="142" t="s">
        <v>512</v>
      </c>
      <c r="C4" s="176"/>
      <c r="D4" s="177"/>
      <c r="E4" s="177"/>
      <c r="F4" s="148"/>
      <c r="G4" s="107"/>
      <c r="H4" s="114"/>
      <c r="I4" s="143" t="s">
        <v>512</v>
      </c>
      <c r="J4" s="181"/>
      <c r="K4" s="182"/>
      <c r="L4" s="182"/>
      <c r="M4" s="116"/>
      <c r="N4" s="114"/>
    </row>
    <row r="5" spans="1:14" ht="12.75" customHeight="1" x14ac:dyDescent="0.2">
      <c r="A5" s="102"/>
      <c r="B5" s="102"/>
      <c r="C5" s="102"/>
      <c r="D5" s="102"/>
      <c r="E5" s="102"/>
      <c r="F5" s="148"/>
      <c r="G5" s="102"/>
      <c r="H5" s="114"/>
      <c r="I5" s="114"/>
      <c r="J5" s="114"/>
      <c r="K5" s="114"/>
      <c r="L5" s="114"/>
      <c r="M5" s="114"/>
      <c r="N5" s="114"/>
    </row>
    <row r="6" spans="1:14" ht="11.25" customHeight="1" x14ac:dyDescent="0.2">
      <c r="A6" s="102"/>
      <c r="B6" s="102"/>
      <c r="C6" s="102"/>
      <c r="D6" s="102"/>
      <c r="E6" s="102"/>
      <c r="F6" s="102"/>
      <c r="G6" s="102"/>
      <c r="H6" s="114"/>
      <c r="I6" s="114"/>
      <c r="J6" s="114"/>
      <c r="K6" s="114"/>
      <c r="L6" s="114"/>
      <c r="M6" s="114"/>
      <c r="N6" s="114"/>
    </row>
    <row r="7" spans="1:14" x14ac:dyDescent="0.2">
      <c r="A7" s="102"/>
      <c r="B7" s="175" t="s">
        <v>7141</v>
      </c>
      <c r="C7" s="175"/>
      <c r="D7" s="175"/>
      <c r="E7" s="176">
        <v>7</v>
      </c>
      <c r="F7" s="122"/>
      <c r="G7" s="108"/>
      <c r="H7" s="114"/>
      <c r="I7" s="183" t="s">
        <v>7141</v>
      </c>
      <c r="J7" s="183"/>
      <c r="K7" s="183"/>
      <c r="L7" s="181" t="e">
        <f>AVERAGE('Output Data'!I:I)*2</f>
        <v>#DIV/0!</v>
      </c>
      <c r="M7" s="114"/>
      <c r="N7" s="114"/>
    </row>
    <row r="8" spans="1:14" x14ac:dyDescent="0.2">
      <c r="A8" s="102"/>
      <c r="B8" s="175"/>
      <c r="C8" s="175"/>
      <c r="D8" s="175"/>
      <c r="E8" s="176"/>
      <c r="F8" s="123"/>
      <c r="G8" s="108"/>
      <c r="H8" s="114"/>
      <c r="I8" s="183"/>
      <c r="J8" s="183"/>
      <c r="K8" s="183"/>
      <c r="L8" s="181"/>
      <c r="M8" s="114"/>
      <c r="N8" s="114"/>
    </row>
    <row r="9" spans="1:14" x14ac:dyDescent="0.2">
      <c r="A9" s="102"/>
      <c r="B9" s="175" t="s">
        <v>1118</v>
      </c>
      <c r="C9" s="175"/>
      <c r="D9" s="175"/>
      <c r="E9" s="176">
        <f>SUMPRODUCT(Input!$B$12:$B$15,Input!$J$12:$J$15)</f>
        <v>997</v>
      </c>
      <c r="F9" s="124"/>
      <c r="G9" s="109"/>
      <c r="H9" s="114"/>
      <c r="I9" s="183" t="s">
        <v>514</v>
      </c>
      <c r="J9" s="183"/>
      <c r="K9" s="183"/>
      <c r="L9" s="181">
        <f>SUMPRODUCT(Input!$B$12:$B$15,Input!$J$12:$J$15)</f>
        <v>997</v>
      </c>
      <c r="M9" s="114"/>
      <c r="N9" s="114"/>
    </row>
    <row r="10" spans="1:14" x14ac:dyDescent="0.2">
      <c r="A10" s="102"/>
      <c r="B10" s="175"/>
      <c r="C10" s="175"/>
      <c r="D10" s="175"/>
      <c r="E10" s="176"/>
      <c r="F10" s="124"/>
      <c r="G10" s="109"/>
      <c r="H10" s="114"/>
      <c r="I10" s="183"/>
      <c r="J10" s="183"/>
      <c r="K10" s="183"/>
      <c r="L10" s="181"/>
      <c r="M10" s="114"/>
      <c r="N10" s="114"/>
    </row>
    <row r="11" spans="1:14" ht="15" customHeight="1" x14ac:dyDescent="0.2">
      <c r="A11" s="102"/>
      <c r="B11" s="175" t="s">
        <v>1119</v>
      </c>
      <c r="C11" s="175"/>
      <c r="D11" s="175"/>
      <c r="E11" s="176">
        <f>$E$7*20.4</f>
        <v>142.79999999999998</v>
      </c>
      <c r="F11" s="122"/>
      <c r="G11" s="108"/>
      <c r="H11" s="114"/>
      <c r="I11" s="183" t="s">
        <v>1119</v>
      </c>
      <c r="J11" s="183"/>
      <c r="K11" s="183"/>
      <c r="L11" s="181" t="e">
        <f>L7*20.4</f>
        <v>#DIV/0!</v>
      </c>
      <c r="M11" s="114"/>
      <c r="N11" s="114"/>
    </row>
    <row r="12" spans="1:14" x14ac:dyDescent="0.2">
      <c r="A12" s="102"/>
      <c r="B12" s="175"/>
      <c r="C12" s="175"/>
      <c r="D12" s="175"/>
      <c r="E12" s="176"/>
      <c r="F12" s="123"/>
      <c r="G12" s="108"/>
      <c r="H12" s="114"/>
      <c r="I12" s="183"/>
      <c r="J12" s="183"/>
      <c r="K12" s="183"/>
      <c r="L12" s="181"/>
      <c r="M12" s="114"/>
      <c r="N12" s="114"/>
    </row>
    <row r="13" spans="1:14" x14ac:dyDescent="0.2">
      <c r="A13" s="102"/>
      <c r="B13" s="102"/>
      <c r="C13" s="102"/>
      <c r="D13" s="102"/>
      <c r="E13" s="104"/>
      <c r="F13" s="102"/>
      <c r="G13" s="102"/>
      <c r="H13" s="114"/>
      <c r="I13" s="114"/>
      <c r="J13" s="114"/>
      <c r="K13" s="114"/>
      <c r="L13" s="115"/>
      <c r="M13" s="114"/>
      <c r="N13" s="114"/>
    </row>
    <row r="14" spans="1:14" x14ac:dyDescent="0.2">
      <c r="A14" s="102"/>
      <c r="B14" s="175" t="s">
        <v>1117</v>
      </c>
      <c r="C14" s="175"/>
      <c r="D14" s="178"/>
      <c r="E14" s="176">
        <f>Tareas!L25</f>
        <v>25.14666771579196</v>
      </c>
      <c r="F14" s="125"/>
      <c r="G14" s="103"/>
      <c r="H14" s="114"/>
      <c r="I14" s="183" t="s">
        <v>1117</v>
      </c>
      <c r="J14" s="183"/>
      <c r="K14" s="183"/>
      <c r="L14" s="181">
        <f>Tareas!L25</f>
        <v>25.14666771579196</v>
      </c>
      <c r="M14" s="114"/>
      <c r="N14" s="114"/>
    </row>
    <row r="15" spans="1:14" x14ac:dyDescent="0.2">
      <c r="A15" s="102"/>
      <c r="B15" s="175"/>
      <c r="C15" s="175"/>
      <c r="D15" s="178"/>
      <c r="E15" s="176"/>
      <c r="F15" s="125"/>
      <c r="G15" s="103"/>
      <c r="H15" s="114"/>
      <c r="I15" s="183"/>
      <c r="J15" s="183"/>
      <c r="K15" s="183"/>
      <c r="L15" s="181"/>
      <c r="M15" s="114"/>
      <c r="N15" s="114"/>
    </row>
    <row r="16" spans="1:14" x14ac:dyDescent="0.2">
      <c r="A16" s="102"/>
      <c r="B16" s="110"/>
      <c r="C16" s="102"/>
      <c r="D16" s="102"/>
      <c r="E16" s="111"/>
      <c r="F16" s="102"/>
      <c r="G16" s="102"/>
      <c r="H16" s="114"/>
      <c r="I16" s="118"/>
      <c r="J16" s="114"/>
      <c r="K16" s="114"/>
      <c r="L16" s="119"/>
      <c r="M16" s="114"/>
      <c r="N16" s="114"/>
    </row>
    <row r="17" spans="1:14" x14ac:dyDescent="0.2">
      <c r="A17" s="102"/>
      <c r="B17" s="175" t="s">
        <v>7137</v>
      </c>
      <c r="C17" s="175"/>
      <c r="D17" s="175"/>
      <c r="E17" s="179">
        <v>6820</v>
      </c>
      <c r="F17" s="123"/>
      <c r="G17" s="108"/>
      <c r="H17" s="114"/>
      <c r="I17" s="183" t="s">
        <v>7137</v>
      </c>
      <c r="J17" s="183"/>
      <c r="K17" s="184"/>
      <c r="L17" s="185">
        <f>(L19/60)*Input!H4</f>
        <v>0</v>
      </c>
      <c r="M17" s="114"/>
      <c r="N17" s="114"/>
    </row>
    <row r="18" spans="1:14" x14ac:dyDescent="0.2">
      <c r="A18" s="102"/>
      <c r="B18" s="175"/>
      <c r="C18" s="175"/>
      <c r="D18" s="175"/>
      <c r="E18" s="179"/>
      <c r="F18" s="123"/>
      <c r="G18" s="108"/>
      <c r="H18" s="114"/>
      <c r="I18" s="183"/>
      <c r="J18" s="183"/>
      <c r="K18" s="184"/>
      <c r="L18" s="185"/>
      <c r="M18" s="114"/>
      <c r="N18" s="114"/>
    </row>
    <row r="19" spans="1:14" x14ac:dyDescent="0.2">
      <c r="A19" s="102"/>
      <c r="B19" s="175" t="s">
        <v>7138</v>
      </c>
      <c r="C19" s="175"/>
      <c r="D19" s="175"/>
      <c r="E19" s="179">
        <v>13640</v>
      </c>
      <c r="F19" s="123"/>
      <c r="G19" s="108"/>
      <c r="H19" s="114"/>
      <c r="I19" s="183" t="s">
        <v>7138</v>
      </c>
      <c r="J19" s="183"/>
      <c r="K19" s="184"/>
      <c r="L19" s="185">
        <f>SUM('Output Data'!G:G)</f>
        <v>0</v>
      </c>
      <c r="M19" s="114"/>
      <c r="N19" s="114"/>
    </row>
    <row r="20" spans="1:14" x14ac:dyDescent="0.2">
      <c r="A20" s="102"/>
      <c r="B20" s="175"/>
      <c r="C20" s="175"/>
      <c r="D20" s="175"/>
      <c r="E20" s="179"/>
      <c r="F20" s="123"/>
      <c r="G20" s="108"/>
      <c r="H20" s="114"/>
      <c r="I20" s="183"/>
      <c r="J20" s="183"/>
      <c r="K20" s="184"/>
      <c r="L20" s="185"/>
      <c r="M20" s="114"/>
      <c r="N20" s="114"/>
    </row>
    <row r="21" spans="1:14" x14ac:dyDescent="0.2">
      <c r="A21" s="102"/>
      <c r="B21" s="110"/>
      <c r="C21" s="110"/>
      <c r="D21" s="112"/>
      <c r="E21" s="113"/>
      <c r="F21" s="102"/>
      <c r="G21" s="102"/>
      <c r="H21" s="114"/>
      <c r="I21" s="118"/>
      <c r="J21" s="118"/>
      <c r="K21" s="120"/>
      <c r="L21" s="121"/>
      <c r="M21" s="114"/>
      <c r="N21" s="114"/>
    </row>
    <row r="22" spans="1:14" x14ac:dyDescent="0.2">
      <c r="A22" s="102"/>
      <c r="B22" s="175" t="s">
        <v>7139</v>
      </c>
      <c r="C22" s="175"/>
      <c r="D22" s="175"/>
      <c r="E22" s="176">
        <v>54</v>
      </c>
      <c r="F22" s="125"/>
      <c r="G22" s="103"/>
      <c r="H22" s="114"/>
      <c r="I22" s="183" t="s">
        <v>7139</v>
      </c>
      <c r="J22" s="183"/>
      <c r="K22" s="183"/>
      <c r="L22" s="181" t="e">
        <f>L17/COUNT('Output Data'!I:I)*2</f>
        <v>#DIV/0!</v>
      </c>
      <c r="M22" s="114"/>
      <c r="N22" s="114"/>
    </row>
    <row r="23" spans="1:14" x14ac:dyDescent="0.2">
      <c r="A23" s="102"/>
      <c r="B23" s="175"/>
      <c r="C23" s="175"/>
      <c r="D23" s="175"/>
      <c r="E23" s="176"/>
      <c r="F23" s="125"/>
      <c r="G23" s="103"/>
      <c r="H23" s="114"/>
      <c r="I23" s="183"/>
      <c r="J23" s="183"/>
      <c r="K23" s="183"/>
      <c r="L23" s="181"/>
      <c r="M23" s="114"/>
      <c r="N23" s="114"/>
    </row>
    <row r="24" spans="1:14" x14ac:dyDescent="0.2">
      <c r="A24" s="102"/>
      <c r="B24" s="175" t="s">
        <v>7140</v>
      </c>
      <c r="C24" s="175"/>
      <c r="D24" s="178"/>
      <c r="E24" s="176">
        <v>108</v>
      </c>
      <c r="F24" s="102"/>
      <c r="G24" s="102"/>
      <c r="H24" s="114"/>
      <c r="I24" s="183" t="s">
        <v>7140</v>
      </c>
      <c r="J24" s="183"/>
      <c r="K24" s="183"/>
      <c r="L24" s="181" t="e">
        <f>L19/COUNT('Output Data'!I:I)*2</f>
        <v>#DIV/0!</v>
      </c>
      <c r="M24" s="114"/>
      <c r="N24" s="114"/>
    </row>
    <row r="25" spans="1:14" x14ac:dyDescent="0.2">
      <c r="A25" s="102"/>
      <c r="B25" s="175"/>
      <c r="C25" s="175"/>
      <c r="D25" s="178"/>
      <c r="E25" s="176"/>
      <c r="F25" s="102"/>
      <c r="G25" s="102"/>
      <c r="H25" s="114"/>
      <c r="I25" s="183"/>
      <c r="J25" s="183"/>
      <c r="K25" s="183"/>
      <c r="L25" s="181"/>
      <c r="M25" s="114"/>
      <c r="N25" s="114"/>
    </row>
  </sheetData>
  <sheetProtection selectLockedCells="1"/>
  <mergeCells count="40">
    <mergeCell ref="I9:K10"/>
    <mergeCell ref="L9:L10"/>
    <mergeCell ref="L19:L20"/>
    <mergeCell ref="I11:K12"/>
    <mergeCell ref="L11:L12"/>
    <mergeCell ref="L14:L15"/>
    <mergeCell ref="L17:L18"/>
    <mergeCell ref="I14:K15"/>
    <mergeCell ref="E14:E15"/>
    <mergeCell ref="B24:D25"/>
    <mergeCell ref="E19:E20"/>
    <mergeCell ref="B19:D20"/>
    <mergeCell ref="H1:M1"/>
    <mergeCell ref="J3:J4"/>
    <mergeCell ref="K3:L3"/>
    <mergeCell ref="K4:L4"/>
    <mergeCell ref="I7:K8"/>
    <mergeCell ref="L7:L8"/>
    <mergeCell ref="I22:K23"/>
    <mergeCell ref="L22:L23"/>
    <mergeCell ref="I24:K25"/>
    <mergeCell ref="L24:L25"/>
    <mergeCell ref="I19:K20"/>
    <mergeCell ref="I17:K18"/>
    <mergeCell ref="B17:D18"/>
    <mergeCell ref="A1:F1"/>
    <mergeCell ref="B22:D23"/>
    <mergeCell ref="E22:E23"/>
    <mergeCell ref="E24:E25"/>
    <mergeCell ref="C3:C4"/>
    <mergeCell ref="D3:E3"/>
    <mergeCell ref="D4:E4"/>
    <mergeCell ref="B7:D8"/>
    <mergeCell ref="E7:E8"/>
    <mergeCell ref="B9:D10"/>
    <mergeCell ref="E9:E10"/>
    <mergeCell ref="B14:D15"/>
    <mergeCell ref="E17:E18"/>
    <mergeCell ref="B11:D12"/>
    <mergeCell ref="E11:E12"/>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1" enableFormatConditionsCalculation="0"/>
  <dimension ref="A1:B6"/>
  <sheetViews>
    <sheetView workbookViewId="0">
      <selection activeCell="B5" sqref="B5"/>
    </sheetView>
  </sheetViews>
  <sheetFormatPr baseColWidth="10" defaultRowHeight="15" x14ac:dyDescent="0.2"/>
  <cols>
    <col min="1" max="16384" style="2" width="10.83203125" collapsed="true"/>
  </cols>
  <sheetData>
    <row r="1" spans="1:2" x14ac:dyDescent="0.2">
      <c r="A1" s="155" t="s">
        <v>9092</v>
      </c>
      <c r="B1" s="155" t="s">
        <v>9093</v>
      </c>
    </row>
    <row r="2" spans="1:2" x14ac:dyDescent="0.2">
      <c r="A2" s="155" t="s">
        <v>11</v>
      </c>
      <c r="B2" s="155">
        <v>3</v>
      </c>
    </row>
    <row r="3" spans="1:2" x14ac:dyDescent="0.2">
      <c r="A3" s="155" t="s">
        <v>12</v>
      </c>
      <c r="B3" s="155">
        <v>1</v>
      </c>
    </row>
    <row r="4" spans="1:2" x14ac:dyDescent="0.2">
      <c r="A4" s="155" t="s">
        <v>14</v>
      </c>
      <c r="B4" s="155">
        <v>1</v>
      </c>
    </row>
    <row r="5" spans="1:2" x14ac:dyDescent="0.2">
      <c r="A5" s="155" t="s">
        <v>10</v>
      </c>
      <c r="B5" s="155">
        <v>2</v>
      </c>
    </row>
    <row r="6" spans="1:2" x14ac:dyDescent="0.2">
      <c r="A6" s="155" t="s">
        <v>17</v>
      </c>
      <c r="B6" s="155">
        <v>2</v>
      </c>
    </row>
  </sheetData>
  <pageMargins left="0.7" right="0.7" top="0.75" bottom="0.75" header="0.3" footer="0.3"/>
</worksheet>
</file>

<file path=xl/worksheets/sheet19.xml><?xml version="1.0" encoding="utf-8"?>
<worksheet xmlns="http://schemas.openxmlformats.org/spreadsheetml/2006/main">
  <dimension ref="A1"/>
  <sheetViews>
    <sheetView workbookViewId="0"/>
  </sheetViews>
  <sheetFormatPr defaultRowHeight="15.0"/>
  <sheetData>
    <row r="1">
      <c r="A1"/>
      <c r="B1" t="s">
        <v>9094</v>
      </c>
      <c r="C1" t="s">
        <v>1964</v>
      </c>
      <c r="D1" t="s">
        <v>1965</v>
      </c>
      <c r="E1" t="s">
        <v>1966</v>
      </c>
      <c r="F1" t="s">
        <v>9095</v>
      </c>
      <c r="G1" t="s">
        <v>9096</v>
      </c>
      <c r="H1" t="s">
        <v>9097</v>
      </c>
      <c r="I1" t="s">
        <v>9098</v>
      </c>
      <c r="J1" t="s">
        <v>9099</v>
      </c>
      <c r="K1" t="s">
        <v>1963</v>
      </c>
      <c r="L1" t="s">
        <v>3869</v>
      </c>
    </row>
    <row r="2">
      <c r="A2" t="s">
        <v>9276</v>
      </c>
      <c r="B2" t="n">
        <v>4.0</v>
      </c>
      <c r="C2" t="n">
        <v>1.0</v>
      </c>
      <c r="D2" t="s">
        <v>9305</v>
      </c>
      <c r="E2" t="n">
        <v>1.0</v>
      </c>
      <c r="F2" t="s">
        <v>9307</v>
      </c>
      <c r="G2" t="n">
        <v>88.68333333333334</v>
      </c>
      <c r="H2" t="n">
        <v>125.5</v>
      </c>
      <c r="I2" t="n">
        <v>5.0</v>
      </c>
      <c r="J2" t="n">
        <v>10.816666666666663</v>
      </c>
      <c r="K2" t="s">
        <v>9512</v>
      </c>
      <c r="L2" t="s">
        <v>9935</v>
      </c>
    </row>
    <row r="3">
      <c r="A3" t="s">
        <v>9263</v>
      </c>
      <c r="B3" t="n">
        <v>5.0</v>
      </c>
      <c r="C3" t="n">
        <v>1.0</v>
      </c>
      <c r="D3" t="s">
        <v>9305</v>
      </c>
      <c r="E3" t="n">
        <v>1.0</v>
      </c>
      <c r="F3" t="s">
        <v>9308</v>
      </c>
      <c r="G3" t="n">
        <v>65.2</v>
      </c>
      <c r="H3" t="n">
        <v>125.5</v>
      </c>
      <c r="I3" t="n">
        <v>5.0</v>
      </c>
      <c r="J3" t="n">
        <v>34.30000000000001</v>
      </c>
      <c r="K3" t="s">
        <v>9513</v>
      </c>
      <c r="L3" t="s">
        <v>9936</v>
      </c>
    </row>
    <row r="4">
      <c r="A4" t="s">
        <v>9223</v>
      </c>
      <c r="B4" t="n">
        <v>2.0</v>
      </c>
      <c r="C4" t="n">
        <v>1.0</v>
      </c>
      <c r="D4" t="s">
        <v>9305</v>
      </c>
      <c r="E4" t="n">
        <v>1.0</v>
      </c>
      <c r="F4" t="s">
        <v>9309</v>
      </c>
      <c r="G4" t="n">
        <v>67.38333333333334</v>
      </c>
      <c r="H4" t="n">
        <v>125.5</v>
      </c>
      <c r="I4" t="n">
        <v>5.0</v>
      </c>
      <c r="J4" t="n">
        <v>32.116666666666674</v>
      </c>
      <c r="K4" t="s">
        <v>9514</v>
      </c>
      <c r="L4" t="s">
        <v>9937</v>
      </c>
    </row>
    <row r="5">
      <c r="A5" t="s">
        <v>9173</v>
      </c>
      <c r="B5" t="n">
        <v>3.0</v>
      </c>
      <c r="C5" t="n">
        <v>1.0</v>
      </c>
      <c r="D5" t="s">
        <v>9305</v>
      </c>
      <c r="E5" t="n">
        <v>1.0</v>
      </c>
      <c r="F5" t="s">
        <v>9310</v>
      </c>
      <c r="G5" t="n">
        <v>76.38333333333333</v>
      </c>
      <c r="H5" t="n">
        <v>75.30000000000001</v>
      </c>
      <c r="I5" t="n">
        <v>3.0</v>
      </c>
      <c r="J5" t="n">
        <v>73.31666666666666</v>
      </c>
      <c r="K5" t="s">
        <v>9515</v>
      </c>
      <c r="L5" t="s">
        <v>9938</v>
      </c>
    </row>
    <row r="6">
      <c r="A6" t="s">
        <v>9180</v>
      </c>
      <c r="B6" t="n">
        <v>1.0</v>
      </c>
      <c r="C6" t="n">
        <v>1.0</v>
      </c>
      <c r="D6" t="s">
        <v>9305</v>
      </c>
      <c r="E6" t="n">
        <v>1.0</v>
      </c>
      <c r="F6" t="s">
        <v>9311</v>
      </c>
      <c r="G6" t="n">
        <v>34.833333333333336</v>
      </c>
      <c r="H6" t="n">
        <v>50.2</v>
      </c>
      <c r="I6" t="n">
        <v>2.0</v>
      </c>
      <c r="J6" t="n">
        <v>139.96666666666664</v>
      </c>
      <c r="K6" t="s">
        <v>9516</v>
      </c>
      <c r="L6" t="s">
        <v>9939</v>
      </c>
    </row>
    <row r="7">
      <c r="A7" t="s">
        <v>9137</v>
      </c>
      <c r="B7" t="n">
        <v>5.0</v>
      </c>
      <c r="C7" t="n">
        <v>1.0</v>
      </c>
      <c r="D7" t="s">
        <v>9306</v>
      </c>
      <c r="E7" t="n">
        <v>2.0</v>
      </c>
      <c r="F7" t="s">
        <v>9312</v>
      </c>
      <c r="G7" t="n">
        <v>50.0</v>
      </c>
      <c r="H7" t="n">
        <v>125.5</v>
      </c>
      <c r="I7" t="n">
        <v>5.0</v>
      </c>
      <c r="J7" t="n">
        <v>49.5</v>
      </c>
      <c r="K7" t="s">
        <v>9517</v>
      </c>
      <c r="L7" t="s">
        <v>9940</v>
      </c>
    </row>
    <row r="8">
      <c r="A8" t="s">
        <v>9198</v>
      </c>
      <c r="B8" t="n">
        <v>1.0</v>
      </c>
      <c r="C8" t="n">
        <v>1.0</v>
      </c>
      <c r="D8" t="s">
        <v>9306</v>
      </c>
      <c r="E8" t="n">
        <v>2.0</v>
      </c>
      <c r="F8" t="s">
        <v>9313</v>
      </c>
      <c r="G8" t="n">
        <v>84.05</v>
      </c>
      <c r="H8" t="n">
        <v>100.4</v>
      </c>
      <c r="I8" t="n">
        <v>4.0</v>
      </c>
      <c r="J8" t="n">
        <v>40.54999999999998</v>
      </c>
      <c r="K8" t="s">
        <v>9518</v>
      </c>
      <c r="L8" t="s">
        <v>9941</v>
      </c>
    </row>
    <row r="9">
      <c r="A9" t="s">
        <v>9265</v>
      </c>
      <c r="B9" t="n">
        <v>4.0</v>
      </c>
      <c r="C9" t="n">
        <v>1.0</v>
      </c>
      <c r="D9" t="s">
        <v>9306</v>
      </c>
      <c r="E9" t="n">
        <v>2.0</v>
      </c>
      <c r="F9" t="s">
        <v>9314</v>
      </c>
      <c r="G9" t="n">
        <v>60.599999999999994</v>
      </c>
      <c r="H9" t="n">
        <v>150.60000000000002</v>
      </c>
      <c r="I9" t="n">
        <v>6.0</v>
      </c>
      <c r="J9" t="n">
        <v>13.799999999999983</v>
      </c>
      <c r="K9" t="s">
        <v>9519</v>
      </c>
      <c r="L9" t="s">
        <v>9942</v>
      </c>
    </row>
    <row r="10">
      <c r="A10" t="s">
        <v>9270</v>
      </c>
      <c r="B10" t="n">
        <v>2.0</v>
      </c>
      <c r="C10" t="n">
        <v>1.0</v>
      </c>
      <c r="D10" t="s">
        <v>9306</v>
      </c>
      <c r="E10" t="n">
        <v>2.0</v>
      </c>
      <c r="F10" t="s">
        <v>9315</v>
      </c>
      <c r="G10" t="n">
        <v>85.3</v>
      </c>
      <c r="H10" t="n">
        <v>100.4</v>
      </c>
      <c r="I10" t="n">
        <v>4.0</v>
      </c>
      <c r="J10" t="n">
        <v>39.29999999999998</v>
      </c>
      <c r="K10" t="s">
        <v>9520</v>
      </c>
      <c r="L10" t="s">
        <v>9943</v>
      </c>
    </row>
    <row r="11">
      <c r="A11" t="s">
        <v>9279</v>
      </c>
      <c r="B11" t="n">
        <v>3.0</v>
      </c>
      <c r="C11" t="n">
        <v>1.0</v>
      </c>
      <c r="D11" t="s">
        <v>9306</v>
      </c>
      <c r="E11" t="n">
        <v>2.0</v>
      </c>
      <c r="F11" t="s">
        <v>9316</v>
      </c>
      <c r="G11" t="n">
        <v>84.43333333333334</v>
      </c>
      <c r="H11" t="n">
        <v>75.30000000000001</v>
      </c>
      <c r="I11" t="n">
        <v>3.0</v>
      </c>
      <c r="J11" t="n">
        <v>65.26666666666665</v>
      </c>
      <c r="K11" t="s">
        <v>9521</v>
      </c>
      <c r="L11" t="s">
        <v>9944</v>
      </c>
    </row>
    <row r="12">
      <c r="A12" t="s">
        <v>9253</v>
      </c>
      <c r="B12" t="n">
        <v>4.0</v>
      </c>
      <c r="C12" t="n">
        <v>2.0</v>
      </c>
      <c r="D12" t="s">
        <v>9305</v>
      </c>
      <c r="E12" t="n">
        <v>3.0</v>
      </c>
      <c r="F12" t="s">
        <v>9317</v>
      </c>
      <c r="G12" t="n">
        <v>88.5</v>
      </c>
      <c r="H12" t="n">
        <v>125.5</v>
      </c>
      <c r="I12" t="n">
        <v>5.0</v>
      </c>
      <c r="J12" t="n">
        <v>11.0</v>
      </c>
      <c r="K12" t="s">
        <v>9522</v>
      </c>
      <c r="L12" t="s">
        <v>9945</v>
      </c>
    </row>
    <row r="13">
      <c r="A13" t="s">
        <v>9239</v>
      </c>
      <c r="B13" t="n">
        <v>1.0</v>
      </c>
      <c r="C13" t="n">
        <v>2.0</v>
      </c>
      <c r="D13" t="s">
        <v>9305</v>
      </c>
      <c r="E13" t="n">
        <v>3.0</v>
      </c>
      <c r="F13" t="s">
        <v>9318</v>
      </c>
      <c r="G13" t="n">
        <v>44.13333333333333</v>
      </c>
      <c r="H13" t="n">
        <v>175.70000000000002</v>
      </c>
      <c r="I13" t="n">
        <v>7.0</v>
      </c>
      <c r="J13" t="n">
        <v>5.166666666666657</v>
      </c>
      <c r="K13" t="s">
        <v>9523</v>
      </c>
      <c r="L13" t="s">
        <v>9946</v>
      </c>
    </row>
    <row r="14">
      <c r="A14" t="s">
        <v>9220</v>
      </c>
      <c r="B14" t="n">
        <v>2.0</v>
      </c>
      <c r="C14" t="n">
        <v>2.0</v>
      </c>
      <c r="D14" t="s">
        <v>9305</v>
      </c>
      <c r="E14" t="n">
        <v>3.0</v>
      </c>
      <c r="F14" t="s">
        <v>9319</v>
      </c>
      <c r="G14" t="n">
        <v>72.98333333333333</v>
      </c>
      <c r="H14" t="n">
        <v>150.60000000000002</v>
      </c>
      <c r="I14" t="n">
        <v>6.0</v>
      </c>
      <c r="J14" t="n">
        <v>1.4166666666666288</v>
      </c>
      <c r="K14" t="s">
        <v>9524</v>
      </c>
      <c r="L14" t="s">
        <v>9947</v>
      </c>
    </row>
    <row r="15">
      <c r="A15" t="s">
        <v>9283</v>
      </c>
      <c r="B15" t="n">
        <v>5.0</v>
      </c>
      <c r="C15" t="n">
        <v>2.0</v>
      </c>
      <c r="D15" t="s">
        <v>9305</v>
      </c>
      <c r="E15" t="n">
        <v>3.0</v>
      </c>
      <c r="F15" t="s">
        <v>9320</v>
      </c>
      <c r="G15" t="n">
        <v>72.73333333333333</v>
      </c>
      <c r="H15" t="n">
        <v>150.60000000000002</v>
      </c>
      <c r="I15" t="n">
        <v>6.0</v>
      </c>
      <c r="J15" t="n">
        <v>1.6666666666666288</v>
      </c>
      <c r="K15" t="s">
        <v>9525</v>
      </c>
      <c r="L15" t="s">
        <v>9948</v>
      </c>
    </row>
    <row r="16">
      <c r="A16" t="s">
        <v>9117</v>
      </c>
      <c r="B16" t="n">
        <v>3.0</v>
      </c>
      <c r="C16" t="n">
        <v>2.0</v>
      </c>
      <c r="D16" t="s">
        <v>9305</v>
      </c>
      <c r="E16" t="n">
        <v>3.0</v>
      </c>
      <c r="F16" t="s">
        <v>9321</v>
      </c>
      <c r="G16" t="n">
        <v>50.73333333333333</v>
      </c>
      <c r="H16" t="n">
        <v>50.2</v>
      </c>
      <c r="I16" t="n">
        <v>2.0</v>
      </c>
      <c r="J16" t="n">
        <v>124.06666666666668</v>
      </c>
      <c r="K16" t="s">
        <v>9526</v>
      </c>
      <c r="L16" t="s">
        <v>9949</v>
      </c>
    </row>
    <row r="17">
      <c r="A17" t="s">
        <v>9271</v>
      </c>
      <c r="B17" t="n">
        <v>1.0</v>
      </c>
      <c r="C17" t="n">
        <v>2.0</v>
      </c>
      <c r="D17" t="s">
        <v>9306</v>
      </c>
      <c r="E17" t="n">
        <v>4.0</v>
      </c>
      <c r="F17" t="s">
        <v>9322</v>
      </c>
      <c r="G17" t="n">
        <v>77.35000000000001</v>
      </c>
      <c r="H17" t="n">
        <v>125.5</v>
      </c>
      <c r="I17" t="n">
        <v>5.0</v>
      </c>
      <c r="J17" t="n">
        <v>22.149999999999977</v>
      </c>
      <c r="K17" t="s">
        <v>9527</v>
      </c>
      <c r="L17" t="s">
        <v>9950</v>
      </c>
    </row>
    <row r="18">
      <c r="A18" t="s">
        <v>9109</v>
      </c>
      <c r="B18" t="n">
        <v>3.0</v>
      </c>
      <c r="C18" t="n">
        <v>2.0</v>
      </c>
      <c r="D18" t="s">
        <v>9306</v>
      </c>
      <c r="E18" t="n">
        <v>4.0</v>
      </c>
      <c r="F18" t="s">
        <v>9323</v>
      </c>
      <c r="G18" t="n">
        <v>59.43333333333334</v>
      </c>
      <c r="H18" t="n">
        <v>150.60000000000002</v>
      </c>
      <c r="I18" t="n">
        <v>6.0</v>
      </c>
      <c r="J18" t="n">
        <v>14.96666666666664</v>
      </c>
      <c r="K18" t="s">
        <v>9528</v>
      </c>
      <c r="L18" t="s">
        <v>9951</v>
      </c>
    </row>
    <row r="19">
      <c r="A19" t="s">
        <v>9295</v>
      </c>
      <c r="B19" t="n">
        <v>2.0</v>
      </c>
      <c r="C19" t="n">
        <v>2.0</v>
      </c>
      <c r="D19" t="s">
        <v>9306</v>
      </c>
      <c r="E19" t="n">
        <v>4.0</v>
      </c>
      <c r="F19" t="s">
        <v>9324</v>
      </c>
      <c r="G19" t="n">
        <v>62.43333333333333</v>
      </c>
      <c r="H19" t="n">
        <v>100.4</v>
      </c>
      <c r="I19" t="n">
        <v>4.0</v>
      </c>
      <c r="J19" t="n">
        <v>62.16666666666666</v>
      </c>
      <c r="K19" t="s">
        <v>9529</v>
      </c>
      <c r="L19" t="s">
        <v>9952</v>
      </c>
    </row>
    <row r="20">
      <c r="A20" t="s">
        <v>9147</v>
      </c>
      <c r="B20" t="n">
        <v>5.0</v>
      </c>
      <c r="C20" t="n">
        <v>2.0</v>
      </c>
      <c r="D20" t="s">
        <v>9306</v>
      </c>
      <c r="E20" t="n">
        <v>4.0</v>
      </c>
      <c r="F20" t="s">
        <v>9325</v>
      </c>
      <c r="G20" t="n">
        <v>108.58333333333333</v>
      </c>
      <c r="H20" t="n">
        <v>100.4</v>
      </c>
      <c r="I20" t="n">
        <v>4.0</v>
      </c>
      <c r="J20" t="n">
        <v>16.016666666666666</v>
      </c>
      <c r="K20" t="s">
        <v>9530</v>
      </c>
      <c r="L20" t="s">
        <v>9953</v>
      </c>
    </row>
    <row r="21">
      <c r="A21" t="s">
        <v>9139</v>
      </c>
      <c r="B21" t="n">
        <v>4.0</v>
      </c>
      <c r="C21" t="n">
        <v>2.0</v>
      </c>
      <c r="D21" t="s">
        <v>9306</v>
      </c>
      <c r="E21" t="n">
        <v>4.0</v>
      </c>
      <c r="F21" t="s">
        <v>9326</v>
      </c>
      <c r="G21" t="n">
        <v>60.4</v>
      </c>
      <c r="H21" t="n">
        <v>75.30000000000001</v>
      </c>
      <c r="I21" t="n">
        <v>3.0</v>
      </c>
      <c r="J21" t="n">
        <v>89.29999999999998</v>
      </c>
      <c r="K21" t="s">
        <v>9531</v>
      </c>
      <c r="L21" t="s">
        <v>9954</v>
      </c>
    </row>
    <row r="22">
      <c r="A22" t="s">
        <v>9100</v>
      </c>
      <c r="B22" t="n">
        <v>2.0</v>
      </c>
      <c r="C22" t="n">
        <v>3.0</v>
      </c>
      <c r="D22" t="s">
        <v>9305</v>
      </c>
      <c r="E22" t="n">
        <v>5.0</v>
      </c>
      <c r="F22" t="s">
        <v>9327</v>
      </c>
      <c r="G22" t="n">
        <v>55.43333333333333</v>
      </c>
      <c r="H22" t="n">
        <v>150.60000000000002</v>
      </c>
      <c r="I22" t="n">
        <v>6.0</v>
      </c>
      <c r="J22" t="n">
        <v>18.96666666666664</v>
      </c>
      <c r="K22" t="s">
        <v>9532</v>
      </c>
      <c r="L22" t="s">
        <v>9955</v>
      </c>
    </row>
    <row r="23">
      <c r="A23" t="s">
        <v>9128</v>
      </c>
      <c r="B23" t="n">
        <v>1.0</v>
      </c>
      <c r="C23" t="n">
        <v>3.0</v>
      </c>
      <c r="D23" t="s">
        <v>9305</v>
      </c>
      <c r="E23" t="n">
        <v>5.0</v>
      </c>
      <c r="F23" t="s">
        <v>9328</v>
      </c>
      <c r="G23" t="n">
        <v>55.4</v>
      </c>
      <c r="H23" t="n">
        <v>125.5</v>
      </c>
      <c r="I23" t="n">
        <v>5.0</v>
      </c>
      <c r="J23" t="n">
        <v>44.099999999999994</v>
      </c>
      <c r="K23" t="s">
        <v>9533</v>
      </c>
      <c r="L23" t="s">
        <v>9956</v>
      </c>
    </row>
    <row r="24">
      <c r="A24" t="s">
        <v>9122</v>
      </c>
      <c r="B24" t="n">
        <v>3.0</v>
      </c>
      <c r="C24" t="n">
        <v>3.0</v>
      </c>
      <c r="D24" t="s">
        <v>9305</v>
      </c>
      <c r="E24" t="n">
        <v>5.0</v>
      </c>
      <c r="F24" t="s">
        <v>9329</v>
      </c>
      <c r="G24" t="n">
        <v>46.36666666666667</v>
      </c>
      <c r="H24" t="n">
        <v>75.30000000000001</v>
      </c>
      <c r="I24" t="n">
        <v>3.0</v>
      </c>
      <c r="J24" t="n">
        <v>103.33333333333331</v>
      </c>
      <c r="K24" t="s">
        <v>9534</v>
      </c>
      <c r="L24" t="s">
        <v>9957</v>
      </c>
    </row>
    <row r="25">
      <c r="A25" t="s">
        <v>9172</v>
      </c>
      <c r="B25" t="n">
        <v>4.0</v>
      </c>
      <c r="C25" t="n">
        <v>3.0</v>
      </c>
      <c r="D25" t="s">
        <v>9305</v>
      </c>
      <c r="E25" t="n">
        <v>5.0</v>
      </c>
      <c r="F25" t="s">
        <v>9330</v>
      </c>
      <c r="G25" t="n">
        <v>71.26666666666667</v>
      </c>
      <c r="H25" t="n">
        <v>125.5</v>
      </c>
      <c r="I25" t="n">
        <v>5.0</v>
      </c>
      <c r="J25" t="n">
        <v>28.23333333333335</v>
      </c>
      <c r="K25" t="s">
        <v>9535</v>
      </c>
      <c r="L25" t="s">
        <v>9958</v>
      </c>
    </row>
    <row r="26">
      <c r="A26" t="s">
        <v>9284</v>
      </c>
      <c r="B26" t="n">
        <v>5.0</v>
      </c>
      <c r="C26" t="n">
        <v>3.0</v>
      </c>
      <c r="D26" t="s">
        <v>9305</v>
      </c>
      <c r="E26" t="n">
        <v>5.0</v>
      </c>
      <c r="F26" t="s">
        <v>9331</v>
      </c>
      <c r="G26" t="n">
        <v>54.733333333333334</v>
      </c>
      <c r="H26" t="n">
        <v>150.60000000000002</v>
      </c>
      <c r="I26" t="n">
        <v>6.0</v>
      </c>
      <c r="J26" t="n">
        <v>19.66666666666663</v>
      </c>
      <c r="K26" t="s">
        <v>9536</v>
      </c>
      <c r="L26" t="s">
        <v>9959</v>
      </c>
    </row>
    <row r="27">
      <c r="A27" t="s">
        <v>9280</v>
      </c>
      <c r="B27" t="n">
        <v>1.0</v>
      </c>
      <c r="C27" t="n">
        <v>3.0</v>
      </c>
      <c r="D27" t="s">
        <v>9306</v>
      </c>
      <c r="E27" t="n">
        <v>6.0</v>
      </c>
      <c r="F27" t="s">
        <v>9332</v>
      </c>
      <c r="G27" t="n">
        <v>47.9</v>
      </c>
      <c r="H27" t="n">
        <v>100.4</v>
      </c>
      <c r="I27" t="n">
        <v>4.0</v>
      </c>
      <c r="J27" t="n">
        <v>76.69999999999999</v>
      </c>
      <c r="K27" t="s">
        <v>9537</v>
      </c>
      <c r="L27" t="s">
        <v>9960</v>
      </c>
    </row>
    <row r="28">
      <c r="A28" t="s">
        <v>9107</v>
      </c>
      <c r="B28" t="n">
        <v>5.0</v>
      </c>
      <c r="C28" t="n">
        <v>3.0</v>
      </c>
      <c r="D28" t="s">
        <v>9306</v>
      </c>
      <c r="E28" t="n">
        <v>6.0</v>
      </c>
      <c r="F28" t="s">
        <v>9333</v>
      </c>
      <c r="G28" t="n">
        <v>70.08333333333334</v>
      </c>
      <c r="H28" t="n">
        <v>150.60000000000002</v>
      </c>
      <c r="I28" t="n">
        <v>6.0</v>
      </c>
      <c r="J28" t="n">
        <v>4.3166666666666345</v>
      </c>
      <c r="K28" t="s">
        <v>9538</v>
      </c>
      <c r="L28" t="s">
        <v>9961</v>
      </c>
    </row>
    <row r="29">
      <c r="A29" t="s">
        <v>9282</v>
      </c>
      <c r="B29" t="n">
        <v>4.0</v>
      </c>
      <c r="C29" t="n">
        <v>3.0</v>
      </c>
      <c r="D29" t="s">
        <v>9306</v>
      </c>
      <c r="E29" t="n">
        <v>6.0</v>
      </c>
      <c r="F29" t="s">
        <v>9334</v>
      </c>
      <c r="G29" t="n">
        <v>84.76666666666667</v>
      </c>
      <c r="H29" t="n">
        <v>100.4</v>
      </c>
      <c r="I29" t="n">
        <v>4.0</v>
      </c>
      <c r="J29" t="n">
        <v>39.83333333333334</v>
      </c>
      <c r="K29" t="s">
        <v>9539</v>
      </c>
      <c r="L29" t="s">
        <v>9962</v>
      </c>
    </row>
    <row r="30">
      <c r="A30" t="s">
        <v>9304</v>
      </c>
      <c r="B30" t="n">
        <v>3.0</v>
      </c>
      <c r="C30" t="n">
        <v>3.0</v>
      </c>
      <c r="D30" t="s">
        <v>9306</v>
      </c>
      <c r="E30" t="n">
        <v>6.0</v>
      </c>
      <c r="F30" t="s">
        <v>9335</v>
      </c>
      <c r="G30" t="n">
        <v>61.86666666666667</v>
      </c>
      <c r="H30" t="n">
        <v>125.5</v>
      </c>
      <c r="I30" t="n">
        <v>5.0</v>
      </c>
      <c r="J30" t="n">
        <v>37.633333333333326</v>
      </c>
      <c r="K30" t="s">
        <v>9540</v>
      </c>
      <c r="L30" t="s">
        <v>9963</v>
      </c>
    </row>
    <row r="31">
      <c r="A31" t="s">
        <v>9104</v>
      </c>
      <c r="B31" t="n">
        <v>2.0</v>
      </c>
      <c r="C31" t="n">
        <v>3.0</v>
      </c>
      <c r="D31" t="s">
        <v>9306</v>
      </c>
      <c r="E31" t="n">
        <v>6.0</v>
      </c>
      <c r="F31" t="s">
        <v>9336</v>
      </c>
      <c r="G31" t="n">
        <v>58.266666666666666</v>
      </c>
      <c r="H31" t="n">
        <v>75.30000000000001</v>
      </c>
      <c r="I31" t="n">
        <v>3.0</v>
      </c>
      <c r="J31" t="n">
        <v>91.43333333333334</v>
      </c>
      <c r="K31" t="s">
        <v>9541</v>
      </c>
      <c r="L31" t="s">
        <v>9964</v>
      </c>
    </row>
    <row r="32">
      <c r="A32" t="s">
        <v>9227</v>
      </c>
      <c r="B32" t="n">
        <v>1.0</v>
      </c>
      <c r="C32" t="n">
        <v>4.0</v>
      </c>
      <c r="D32" t="s">
        <v>9305</v>
      </c>
      <c r="E32" t="n">
        <v>7.0</v>
      </c>
      <c r="F32" t="s">
        <v>9337</v>
      </c>
      <c r="G32" t="n">
        <v>89.3</v>
      </c>
      <c r="H32" t="n">
        <v>125.5</v>
      </c>
      <c r="I32" t="n">
        <v>5.0</v>
      </c>
      <c r="J32" t="n">
        <v>10.199999999999989</v>
      </c>
      <c r="K32" t="s">
        <v>9542</v>
      </c>
      <c r="L32" t="s">
        <v>9965</v>
      </c>
    </row>
    <row r="33">
      <c r="A33" t="s">
        <v>9302</v>
      </c>
      <c r="B33" t="n">
        <v>5.0</v>
      </c>
      <c r="C33" t="n">
        <v>4.0</v>
      </c>
      <c r="D33" t="s">
        <v>9305</v>
      </c>
      <c r="E33" t="n">
        <v>7.0</v>
      </c>
      <c r="F33" t="s">
        <v>9338</v>
      </c>
      <c r="G33" t="n">
        <v>16.9</v>
      </c>
      <c r="H33" t="n">
        <v>50.2</v>
      </c>
      <c r="I33" t="n">
        <v>2.0</v>
      </c>
      <c r="J33" t="n">
        <v>157.89999999999998</v>
      </c>
      <c r="K33" t="s">
        <v>9543</v>
      </c>
      <c r="L33" t="s">
        <v>9966</v>
      </c>
    </row>
    <row r="34">
      <c r="A34" t="s">
        <v>9250</v>
      </c>
      <c r="B34" t="n">
        <v>4.0</v>
      </c>
      <c r="C34" t="n">
        <v>4.0</v>
      </c>
      <c r="D34" t="s">
        <v>9305</v>
      </c>
      <c r="E34" t="n">
        <v>7.0</v>
      </c>
      <c r="F34" t="s">
        <v>9339</v>
      </c>
      <c r="G34" t="n">
        <v>99.13333333333333</v>
      </c>
      <c r="H34" t="n">
        <v>125.5</v>
      </c>
      <c r="I34" t="n">
        <v>5.0</v>
      </c>
      <c r="J34" t="n">
        <v>0.36666666666667425</v>
      </c>
      <c r="K34" t="s">
        <v>9544</v>
      </c>
      <c r="L34" t="s">
        <v>9967</v>
      </c>
    </row>
    <row r="35">
      <c r="A35" t="s">
        <v>9248</v>
      </c>
      <c r="B35" t="n">
        <v>2.0</v>
      </c>
      <c r="C35" t="n">
        <v>4.0</v>
      </c>
      <c r="D35" t="s">
        <v>9305</v>
      </c>
      <c r="E35" t="n">
        <v>7.0</v>
      </c>
      <c r="F35" t="s">
        <v>9340</v>
      </c>
      <c r="G35" t="n">
        <v>96.75</v>
      </c>
      <c r="H35" t="n">
        <v>125.5</v>
      </c>
      <c r="I35" t="n">
        <v>5.0</v>
      </c>
      <c r="J35" t="n">
        <v>2.75</v>
      </c>
      <c r="K35" t="s">
        <v>9545</v>
      </c>
      <c r="L35" t="s">
        <v>9968</v>
      </c>
    </row>
    <row r="36">
      <c r="A36" t="s">
        <v>9221</v>
      </c>
      <c r="B36" t="n">
        <v>3.0</v>
      </c>
      <c r="C36" t="n">
        <v>4.0</v>
      </c>
      <c r="D36" t="s">
        <v>9305</v>
      </c>
      <c r="E36" t="n">
        <v>7.0</v>
      </c>
      <c r="F36" t="s">
        <v>9341</v>
      </c>
      <c r="G36" t="n">
        <v>72.08333333333333</v>
      </c>
      <c r="H36" t="n">
        <v>125.5</v>
      </c>
      <c r="I36" t="n">
        <v>5.0</v>
      </c>
      <c r="J36" t="n">
        <v>27.416666666666686</v>
      </c>
      <c r="K36" t="s">
        <v>9546</v>
      </c>
      <c r="L36" t="s">
        <v>9969</v>
      </c>
    </row>
    <row r="37">
      <c r="A37" t="s">
        <v>9199</v>
      </c>
      <c r="B37" t="n">
        <v>1.0</v>
      </c>
      <c r="C37" t="n">
        <v>4.0</v>
      </c>
      <c r="D37" t="s">
        <v>9306</v>
      </c>
      <c r="E37" t="n">
        <v>8.0</v>
      </c>
      <c r="F37" t="s">
        <v>9342</v>
      </c>
      <c r="G37" t="n">
        <v>58.46666666666667</v>
      </c>
      <c r="H37" t="n">
        <v>150.60000000000002</v>
      </c>
      <c r="I37" t="n">
        <v>6.0</v>
      </c>
      <c r="J37" t="n">
        <v>15.933333333333309</v>
      </c>
      <c r="K37" t="s">
        <v>9547</v>
      </c>
      <c r="L37" t="s">
        <v>9970</v>
      </c>
    </row>
    <row r="38">
      <c r="A38" t="s">
        <v>9296</v>
      </c>
      <c r="B38" t="n">
        <v>5.0</v>
      </c>
      <c r="C38" t="n">
        <v>4.0</v>
      </c>
      <c r="D38" t="s">
        <v>9306</v>
      </c>
      <c r="E38" t="n">
        <v>8.0</v>
      </c>
      <c r="F38" t="s">
        <v>9343</v>
      </c>
      <c r="G38" t="n">
        <v>73.13333333333334</v>
      </c>
      <c r="H38" t="n">
        <v>125.5</v>
      </c>
      <c r="I38" t="n">
        <v>5.0</v>
      </c>
      <c r="J38" t="n">
        <v>26.366666666666674</v>
      </c>
      <c r="K38" t="s">
        <v>9548</v>
      </c>
      <c r="L38" t="s">
        <v>9971</v>
      </c>
    </row>
    <row r="39">
      <c r="A39" t="s">
        <v>9228</v>
      </c>
      <c r="B39" t="n">
        <v>2.0</v>
      </c>
      <c r="C39" t="n">
        <v>4.0</v>
      </c>
      <c r="D39" t="s">
        <v>9306</v>
      </c>
      <c r="E39" t="n">
        <v>8.0</v>
      </c>
      <c r="F39" t="s">
        <v>9344</v>
      </c>
      <c r="G39" t="n">
        <v>120.88333333333334</v>
      </c>
      <c r="H39" t="n">
        <v>100.4</v>
      </c>
      <c r="I39" t="n">
        <v>4.0</v>
      </c>
      <c r="J39" t="n">
        <v>3.7166666666666544</v>
      </c>
      <c r="K39" t="s">
        <v>9549</v>
      </c>
      <c r="L39" t="s">
        <v>9972</v>
      </c>
    </row>
    <row r="40">
      <c r="A40" t="s">
        <v>9275</v>
      </c>
      <c r="B40" t="n">
        <v>4.0</v>
      </c>
      <c r="C40" t="n">
        <v>4.0</v>
      </c>
      <c r="D40" t="s">
        <v>9306</v>
      </c>
      <c r="E40" t="n">
        <v>8.0</v>
      </c>
      <c r="F40" t="s">
        <v>9345</v>
      </c>
      <c r="G40" t="n">
        <v>39.36666666666667</v>
      </c>
      <c r="H40" t="n">
        <v>100.4</v>
      </c>
      <c r="I40" t="n">
        <v>4.0</v>
      </c>
      <c r="J40" t="n">
        <v>85.23333333333332</v>
      </c>
      <c r="K40" t="s">
        <v>9550</v>
      </c>
      <c r="L40" t="s">
        <v>9973</v>
      </c>
    </row>
    <row r="41">
      <c r="A41" t="s">
        <v>9105</v>
      </c>
      <c r="B41" t="n">
        <v>3.0</v>
      </c>
      <c r="C41" t="n">
        <v>4.0</v>
      </c>
      <c r="D41" t="s">
        <v>9306</v>
      </c>
      <c r="E41" t="n">
        <v>8.0</v>
      </c>
      <c r="F41" t="s">
        <v>9346</v>
      </c>
      <c r="G41" t="n">
        <v>40.583333333333336</v>
      </c>
      <c r="H41" t="n">
        <v>50.2</v>
      </c>
      <c r="I41" t="n">
        <v>2.0</v>
      </c>
      <c r="J41" t="n">
        <v>134.21666666666664</v>
      </c>
      <c r="K41" t="s">
        <v>9551</v>
      </c>
      <c r="L41" t="s">
        <v>9974</v>
      </c>
    </row>
    <row r="42">
      <c r="A42" t="s">
        <v>9142</v>
      </c>
      <c r="B42" t="n">
        <v>1.0</v>
      </c>
      <c r="C42" t="n">
        <v>5.0</v>
      </c>
      <c r="D42" t="s">
        <v>9305</v>
      </c>
      <c r="E42" t="n">
        <v>9.0</v>
      </c>
      <c r="F42" t="s">
        <v>9347</v>
      </c>
      <c r="G42" t="n">
        <v>68.43333333333334</v>
      </c>
      <c r="H42" t="n">
        <v>125.5</v>
      </c>
      <c r="I42" t="n">
        <v>5.0</v>
      </c>
      <c r="J42" t="n">
        <v>31.066666666666663</v>
      </c>
      <c r="K42" t="s">
        <v>9552</v>
      </c>
      <c r="L42" t="s">
        <v>9975</v>
      </c>
    </row>
    <row r="43">
      <c r="A43" t="s">
        <v>9235</v>
      </c>
      <c r="B43" t="n">
        <v>3.0</v>
      </c>
      <c r="C43" t="n">
        <v>5.0</v>
      </c>
      <c r="D43" t="s">
        <v>9305</v>
      </c>
      <c r="E43" t="n">
        <v>9.0</v>
      </c>
      <c r="F43" t="s">
        <v>9348</v>
      </c>
      <c r="G43" t="n">
        <v>70.18333333333334</v>
      </c>
      <c r="H43" t="n">
        <v>125.5</v>
      </c>
      <c r="I43" t="n">
        <v>5.0</v>
      </c>
      <c r="J43" t="n">
        <v>29.316666666666663</v>
      </c>
      <c r="K43" t="s">
        <v>9553</v>
      </c>
      <c r="L43" t="s">
        <v>9976</v>
      </c>
    </row>
    <row r="44">
      <c r="A44" t="s">
        <v>9205</v>
      </c>
      <c r="B44" t="n">
        <v>2.0</v>
      </c>
      <c r="C44" t="n">
        <v>5.0</v>
      </c>
      <c r="D44" t="s">
        <v>9305</v>
      </c>
      <c r="E44" t="n">
        <v>9.0</v>
      </c>
      <c r="F44" t="s">
        <v>9349</v>
      </c>
      <c r="G44" t="n">
        <v>99.33333333333333</v>
      </c>
      <c r="H44" t="n">
        <v>125.5</v>
      </c>
      <c r="I44" t="n">
        <v>5.0</v>
      </c>
      <c r="J44" t="n">
        <v>0.1666666666666714</v>
      </c>
      <c r="K44" t="s">
        <v>9554</v>
      </c>
      <c r="L44" t="s">
        <v>9977</v>
      </c>
    </row>
    <row r="45">
      <c r="A45" t="s">
        <v>9231</v>
      </c>
      <c r="B45" t="n">
        <v>5.0</v>
      </c>
      <c r="C45" t="n">
        <v>5.0</v>
      </c>
      <c r="D45" t="s">
        <v>9305</v>
      </c>
      <c r="E45" t="n">
        <v>9.0</v>
      </c>
      <c r="F45" t="s">
        <v>9350</v>
      </c>
      <c r="G45" t="n">
        <v>77.2</v>
      </c>
      <c r="H45" t="n">
        <v>100.4</v>
      </c>
      <c r="I45" t="n">
        <v>4.0</v>
      </c>
      <c r="J45" t="n">
        <v>47.400000000000006</v>
      </c>
      <c r="K45" t="s">
        <v>9555</v>
      </c>
      <c r="L45" t="s">
        <v>9978</v>
      </c>
    </row>
    <row r="46">
      <c r="A46" t="s">
        <v>9106</v>
      </c>
      <c r="B46" t="n">
        <v>4.0</v>
      </c>
      <c r="C46" t="n">
        <v>5.0</v>
      </c>
      <c r="D46" t="s">
        <v>9305</v>
      </c>
      <c r="E46" t="n">
        <v>9.0</v>
      </c>
      <c r="F46" t="s">
        <v>9351</v>
      </c>
      <c r="G46" t="n">
        <v>66.36666666666667</v>
      </c>
      <c r="H46" t="n">
        <v>50.2</v>
      </c>
      <c r="I46" t="n">
        <v>2.0</v>
      </c>
      <c r="J46" t="n">
        <v>108.43333333333332</v>
      </c>
      <c r="K46" t="s">
        <v>9556</v>
      </c>
      <c r="L46" t="s">
        <v>9979</v>
      </c>
    </row>
    <row r="47">
      <c r="A47" t="s">
        <v>9206</v>
      </c>
      <c r="B47" t="n">
        <v>2.0</v>
      </c>
      <c r="C47" t="n">
        <v>5.0</v>
      </c>
      <c r="D47" t="s">
        <v>9306</v>
      </c>
      <c r="E47" t="n">
        <v>10.0</v>
      </c>
      <c r="F47" t="s">
        <v>9352</v>
      </c>
      <c r="G47" t="n">
        <v>69.1</v>
      </c>
      <c r="H47" t="n">
        <v>125.5</v>
      </c>
      <c r="I47" t="n">
        <v>5.0</v>
      </c>
      <c r="J47" t="n">
        <v>30.400000000000006</v>
      </c>
      <c r="K47" t="s">
        <v>9557</v>
      </c>
      <c r="L47" t="s">
        <v>9980</v>
      </c>
    </row>
    <row r="48">
      <c r="A48" t="s">
        <v>9150</v>
      </c>
      <c r="B48" t="n">
        <v>5.0</v>
      </c>
      <c r="C48" t="n">
        <v>5.0</v>
      </c>
      <c r="D48" t="s">
        <v>9306</v>
      </c>
      <c r="E48" t="n">
        <v>10.0</v>
      </c>
      <c r="F48" t="s">
        <v>9353</v>
      </c>
      <c r="G48" t="n">
        <v>58.9</v>
      </c>
      <c r="H48" t="n">
        <v>125.5</v>
      </c>
      <c r="I48" t="n">
        <v>5.0</v>
      </c>
      <c r="J48" t="n">
        <v>40.599999999999994</v>
      </c>
      <c r="K48" t="s">
        <v>9558</v>
      </c>
      <c r="L48" t="s">
        <v>9981</v>
      </c>
    </row>
    <row r="49">
      <c r="A49" t="s">
        <v>9241</v>
      </c>
      <c r="B49" t="n">
        <v>1.0</v>
      </c>
      <c r="C49" t="n">
        <v>5.0</v>
      </c>
      <c r="D49" t="s">
        <v>9306</v>
      </c>
      <c r="E49" t="n">
        <v>10.0</v>
      </c>
      <c r="F49" t="s">
        <v>9354</v>
      </c>
      <c r="G49" t="n">
        <v>30.633333333333333</v>
      </c>
      <c r="H49" t="n">
        <v>150.60000000000002</v>
      </c>
      <c r="I49" t="n">
        <v>6.0</v>
      </c>
      <c r="J49" t="n">
        <v>43.76666666666665</v>
      </c>
      <c r="K49" t="s">
        <v>9559</v>
      </c>
      <c r="L49" t="s">
        <v>9982</v>
      </c>
    </row>
    <row r="50">
      <c r="A50" t="s">
        <v>9222</v>
      </c>
      <c r="B50" t="n">
        <v>3.0</v>
      </c>
      <c r="C50" t="n">
        <v>5.0</v>
      </c>
      <c r="D50" t="s">
        <v>9306</v>
      </c>
      <c r="E50" t="n">
        <v>10.0</v>
      </c>
      <c r="F50" t="s">
        <v>9355</v>
      </c>
      <c r="G50" t="n">
        <v>71.58333333333333</v>
      </c>
      <c r="H50" t="n">
        <v>150.60000000000002</v>
      </c>
      <c r="I50" t="n">
        <v>6.0</v>
      </c>
      <c r="J50" t="n">
        <v>2.816666666666663</v>
      </c>
      <c r="K50" t="s">
        <v>9560</v>
      </c>
      <c r="L50" t="s">
        <v>9983</v>
      </c>
    </row>
    <row r="51">
      <c r="A51" t="s">
        <v>9111</v>
      </c>
      <c r="B51" t="n">
        <v>4.0</v>
      </c>
      <c r="C51" t="n">
        <v>5.0</v>
      </c>
      <c r="D51" t="s">
        <v>9306</v>
      </c>
      <c r="E51" t="n">
        <v>10.0</v>
      </c>
      <c r="F51" t="s">
        <v>9356</v>
      </c>
      <c r="G51" t="n">
        <v>70.9</v>
      </c>
      <c r="H51" t="n">
        <v>100.4</v>
      </c>
      <c r="I51" t="n">
        <v>4.0</v>
      </c>
      <c r="J51" t="n">
        <v>53.69999999999999</v>
      </c>
      <c r="K51" t="s">
        <v>9561</v>
      </c>
      <c r="L51" t="s">
        <v>9984</v>
      </c>
    </row>
    <row r="52">
      <c r="A52" t="s">
        <v>9285</v>
      </c>
      <c r="B52" t="n">
        <v>1.0</v>
      </c>
      <c r="C52" t="n">
        <v>6.0</v>
      </c>
      <c r="D52" t="s">
        <v>9305</v>
      </c>
      <c r="E52" t="n">
        <v>11.0</v>
      </c>
      <c r="F52" t="s">
        <v>9357</v>
      </c>
      <c r="G52" t="n">
        <v>90.65</v>
      </c>
      <c r="H52" t="n">
        <v>125.5</v>
      </c>
      <c r="I52" t="n">
        <v>5.0</v>
      </c>
      <c r="J52" t="n">
        <v>8.849999999999994</v>
      </c>
      <c r="K52" t="s">
        <v>9562</v>
      </c>
      <c r="L52" t="s">
        <v>9985</v>
      </c>
    </row>
    <row r="53">
      <c r="A53" t="s">
        <v>9202</v>
      </c>
      <c r="B53" t="n">
        <v>2.0</v>
      </c>
      <c r="C53" t="n">
        <v>6.0</v>
      </c>
      <c r="D53" t="s">
        <v>9305</v>
      </c>
      <c r="E53" t="n">
        <v>11.0</v>
      </c>
      <c r="F53" t="s">
        <v>9358</v>
      </c>
      <c r="G53" t="n">
        <v>88.83333333333333</v>
      </c>
      <c r="H53" t="n">
        <v>100.4</v>
      </c>
      <c r="I53" t="n">
        <v>4.0</v>
      </c>
      <c r="J53" t="n">
        <v>35.76666666666668</v>
      </c>
      <c r="K53" t="s">
        <v>9563</v>
      </c>
      <c r="L53" t="s">
        <v>9986</v>
      </c>
    </row>
    <row r="54">
      <c r="A54" t="s">
        <v>9272</v>
      </c>
      <c r="B54" t="n">
        <v>4.0</v>
      </c>
      <c r="C54" t="n">
        <v>6.0</v>
      </c>
      <c r="D54" t="s">
        <v>9305</v>
      </c>
      <c r="E54" t="n">
        <v>11.0</v>
      </c>
      <c r="F54" t="s">
        <v>9359</v>
      </c>
      <c r="G54" t="n">
        <v>74.63333333333333</v>
      </c>
      <c r="H54" t="n">
        <v>125.5</v>
      </c>
      <c r="I54" t="n">
        <v>5.0</v>
      </c>
      <c r="J54" t="n">
        <v>24.866666666666674</v>
      </c>
      <c r="K54" t="s">
        <v>9564</v>
      </c>
      <c r="L54" t="s">
        <v>9987</v>
      </c>
    </row>
    <row r="55">
      <c r="A55" t="s">
        <v>9288</v>
      </c>
      <c r="B55" t="n">
        <v>5.0</v>
      </c>
      <c r="C55" t="n">
        <v>6.0</v>
      </c>
      <c r="D55" t="s">
        <v>9305</v>
      </c>
      <c r="E55" t="n">
        <v>11.0</v>
      </c>
      <c r="F55" t="s">
        <v>9360</v>
      </c>
      <c r="G55" t="n">
        <v>35.46666666666667</v>
      </c>
      <c r="H55" t="n">
        <v>100.4</v>
      </c>
      <c r="I55" t="n">
        <v>4.0</v>
      </c>
      <c r="J55" t="n">
        <v>89.13333333333333</v>
      </c>
      <c r="K55" t="s">
        <v>9565</v>
      </c>
      <c r="L55" t="s">
        <v>9988</v>
      </c>
    </row>
    <row r="56">
      <c r="A56" t="s">
        <v>9112</v>
      </c>
      <c r="B56" t="n">
        <v>3.0</v>
      </c>
      <c r="C56" t="n">
        <v>6.0</v>
      </c>
      <c r="D56" t="s">
        <v>9305</v>
      </c>
      <c r="E56" t="n">
        <v>11.0</v>
      </c>
      <c r="F56" t="s">
        <v>9361</v>
      </c>
      <c r="G56" t="n">
        <v>52.0</v>
      </c>
      <c r="H56" t="n">
        <v>50.2</v>
      </c>
      <c r="I56" t="n">
        <v>2.0</v>
      </c>
      <c r="J56" t="n">
        <v>122.8</v>
      </c>
      <c r="K56" t="s">
        <v>9566</v>
      </c>
      <c r="L56" t="s">
        <v>9989</v>
      </c>
    </row>
    <row r="57">
      <c r="A57" t="s">
        <v>9294</v>
      </c>
      <c r="B57" t="n">
        <v>5.0</v>
      </c>
      <c r="C57" t="n">
        <v>6.0</v>
      </c>
      <c r="D57" t="s">
        <v>9306</v>
      </c>
      <c r="E57" t="n">
        <v>12.0</v>
      </c>
      <c r="F57" t="s">
        <v>9362</v>
      </c>
      <c r="G57" t="n">
        <v>46.2</v>
      </c>
      <c r="H57" t="n">
        <v>150.60000000000002</v>
      </c>
      <c r="I57" t="n">
        <v>6.0</v>
      </c>
      <c r="J57" t="n">
        <v>28.19999999999999</v>
      </c>
      <c r="K57" t="s">
        <v>9567</v>
      </c>
      <c r="L57" t="s">
        <v>9990</v>
      </c>
    </row>
    <row r="58">
      <c r="A58" t="s">
        <v>9158</v>
      </c>
      <c r="B58" t="n">
        <v>2.0</v>
      </c>
      <c r="C58" t="n">
        <v>6.0</v>
      </c>
      <c r="D58" t="s">
        <v>9306</v>
      </c>
      <c r="E58" t="n">
        <v>12.0</v>
      </c>
      <c r="F58" t="s">
        <v>9363</v>
      </c>
      <c r="G58" t="n">
        <v>98.85</v>
      </c>
      <c r="H58" t="n">
        <v>125.5</v>
      </c>
      <c r="I58" t="n">
        <v>5.0</v>
      </c>
      <c r="J58" t="n">
        <v>0.6500000000000057</v>
      </c>
      <c r="K58" t="s">
        <v>9568</v>
      </c>
      <c r="L58" t="s">
        <v>9991</v>
      </c>
    </row>
    <row r="59">
      <c r="A59" t="s">
        <v>9281</v>
      </c>
      <c r="B59" t="n">
        <v>1.0</v>
      </c>
      <c r="C59" t="n">
        <v>6.0</v>
      </c>
      <c r="D59" t="s">
        <v>9306</v>
      </c>
      <c r="E59" t="n">
        <v>12.0</v>
      </c>
      <c r="F59" t="s">
        <v>9364</v>
      </c>
      <c r="G59" t="n">
        <v>60.36666666666667</v>
      </c>
      <c r="H59" t="n">
        <v>150.60000000000002</v>
      </c>
      <c r="I59" t="n">
        <v>6.0</v>
      </c>
      <c r="J59" t="n">
        <v>14.033333333333303</v>
      </c>
      <c r="K59" t="s">
        <v>9569</v>
      </c>
      <c r="L59" t="s">
        <v>9992</v>
      </c>
    </row>
    <row r="60">
      <c r="A60" t="s">
        <v>9138</v>
      </c>
      <c r="B60" t="n">
        <v>4.0</v>
      </c>
      <c r="C60" t="n">
        <v>6.0</v>
      </c>
      <c r="D60" t="s">
        <v>9306</v>
      </c>
      <c r="E60" t="n">
        <v>12.0</v>
      </c>
      <c r="F60" t="s">
        <v>9365</v>
      </c>
      <c r="G60" t="n">
        <v>69.95</v>
      </c>
      <c r="H60" t="n">
        <v>150.60000000000002</v>
      </c>
      <c r="I60" t="n">
        <v>6.0</v>
      </c>
      <c r="J60" t="n">
        <v>4.449999999999989</v>
      </c>
      <c r="K60" t="s">
        <v>9570</v>
      </c>
      <c r="L60" t="s">
        <v>9993</v>
      </c>
    </row>
    <row r="61">
      <c r="A61" t="s">
        <v>9113</v>
      </c>
      <c r="B61" t="n">
        <v>3.0</v>
      </c>
      <c r="C61" t="n">
        <v>6.0</v>
      </c>
      <c r="D61" t="s">
        <v>9306</v>
      </c>
      <c r="E61" t="n">
        <v>12.0</v>
      </c>
      <c r="F61" t="s">
        <v>9366</v>
      </c>
      <c r="G61" t="n">
        <v>64.05</v>
      </c>
      <c r="H61" t="n">
        <v>50.2</v>
      </c>
      <c r="I61" t="n">
        <v>2.0</v>
      </c>
      <c r="J61" t="n">
        <v>110.74999999999999</v>
      </c>
      <c r="K61" t="s">
        <v>9571</v>
      </c>
      <c r="L61" t="s">
        <v>9994</v>
      </c>
    </row>
    <row r="62">
      <c r="A62" t="s">
        <v>9242</v>
      </c>
      <c r="B62" t="n">
        <v>1.0</v>
      </c>
      <c r="C62" t="n">
        <v>7.0</v>
      </c>
      <c r="D62" t="s">
        <v>9305</v>
      </c>
      <c r="E62" t="n">
        <v>13.0</v>
      </c>
      <c r="F62" t="s">
        <v>9367</v>
      </c>
      <c r="G62" t="n">
        <v>74.06666666666666</v>
      </c>
      <c r="H62" t="n">
        <v>125.5</v>
      </c>
      <c r="I62" t="n">
        <v>5.0</v>
      </c>
      <c r="J62" t="n">
        <v>25.433333333333337</v>
      </c>
      <c r="K62" t="s">
        <v>9572</v>
      </c>
      <c r="L62" t="s">
        <v>9995</v>
      </c>
    </row>
    <row r="63">
      <c r="A63" t="s">
        <v>9121</v>
      </c>
      <c r="B63" t="n">
        <v>3.0</v>
      </c>
      <c r="C63" t="n">
        <v>7.0</v>
      </c>
      <c r="D63" t="s">
        <v>9305</v>
      </c>
      <c r="E63" t="n">
        <v>13.0</v>
      </c>
      <c r="F63" t="s">
        <v>9368</v>
      </c>
      <c r="G63" t="n">
        <v>108.1</v>
      </c>
      <c r="H63" t="n">
        <v>100.4</v>
      </c>
      <c r="I63" t="n">
        <v>4.0</v>
      </c>
      <c r="J63" t="n">
        <v>16.5</v>
      </c>
      <c r="K63" t="s">
        <v>9573</v>
      </c>
      <c r="L63" t="s">
        <v>9996</v>
      </c>
    </row>
    <row r="64">
      <c r="A64" t="s">
        <v>9102</v>
      </c>
      <c r="B64" t="n">
        <v>2.0</v>
      </c>
      <c r="C64" t="n">
        <v>7.0</v>
      </c>
      <c r="D64" t="s">
        <v>9305</v>
      </c>
      <c r="E64" t="n">
        <v>13.0</v>
      </c>
      <c r="F64" t="s">
        <v>9369</v>
      </c>
      <c r="G64" t="n">
        <v>72.3</v>
      </c>
      <c r="H64" t="n">
        <v>75.30000000000001</v>
      </c>
      <c r="I64" t="n">
        <v>3.0</v>
      </c>
      <c r="J64" t="n">
        <v>77.39999999999998</v>
      </c>
      <c r="K64" t="s">
        <v>9574</v>
      </c>
      <c r="L64" t="s">
        <v>9997</v>
      </c>
    </row>
    <row r="65">
      <c r="A65" t="s">
        <v>9118</v>
      </c>
      <c r="B65" t="n">
        <v>4.0</v>
      </c>
      <c r="C65" t="n">
        <v>7.0</v>
      </c>
      <c r="D65" t="s">
        <v>9305</v>
      </c>
      <c r="E65" t="n">
        <v>13.0</v>
      </c>
      <c r="F65" t="s">
        <v>9370</v>
      </c>
      <c r="G65" t="n">
        <v>26.9</v>
      </c>
      <c r="H65" t="n">
        <v>50.2</v>
      </c>
      <c r="I65" t="n">
        <v>2.0</v>
      </c>
      <c r="J65" t="n">
        <v>147.89999999999998</v>
      </c>
      <c r="K65" t="s">
        <v>9575</v>
      </c>
      <c r="L65" t="s">
        <v>9998</v>
      </c>
    </row>
    <row r="66">
      <c r="A66" t="s">
        <v>9119</v>
      </c>
      <c r="B66" t="n">
        <v>5.0</v>
      </c>
      <c r="C66" t="n">
        <v>7.0</v>
      </c>
      <c r="D66" t="s">
        <v>9305</v>
      </c>
      <c r="E66" t="n">
        <v>13.0</v>
      </c>
      <c r="F66" t="s">
        <v>9371</v>
      </c>
      <c r="G66" t="n">
        <v>65.35</v>
      </c>
      <c r="H66" t="n">
        <v>50.2</v>
      </c>
      <c r="I66" t="n">
        <v>2.0</v>
      </c>
      <c r="J66" t="n">
        <v>109.45</v>
      </c>
      <c r="K66" t="s">
        <v>9576</v>
      </c>
      <c r="L66" t="s">
        <v>9999</v>
      </c>
    </row>
    <row r="67">
      <c r="A67" t="s">
        <v>9298</v>
      </c>
      <c r="B67" t="n">
        <v>4.0</v>
      </c>
      <c r="C67" t="n">
        <v>7.0</v>
      </c>
      <c r="D67" t="s">
        <v>9306</v>
      </c>
      <c r="E67" t="n">
        <v>14.0</v>
      </c>
      <c r="F67" t="s">
        <v>9372</v>
      </c>
      <c r="G67" t="n">
        <v>18.266666666666666</v>
      </c>
      <c r="H67" t="n">
        <v>100.4</v>
      </c>
      <c r="I67" t="n">
        <v>4.0</v>
      </c>
      <c r="J67" t="n">
        <v>106.33333333333334</v>
      </c>
      <c r="K67" t="s">
        <v>9577</v>
      </c>
      <c r="L67" t="s">
        <v>10000</v>
      </c>
    </row>
    <row r="68">
      <c r="A68" t="s">
        <v>9260</v>
      </c>
      <c r="B68" t="n">
        <v>5.0</v>
      </c>
      <c r="C68" t="n">
        <v>7.0</v>
      </c>
      <c r="D68" t="s">
        <v>9306</v>
      </c>
      <c r="E68" t="n">
        <v>14.0</v>
      </c>
      <c r="F68" t="s">
        <v>9373</v>
      </c>
      <c r="G68" t="n">
        <v>41.233333333333334</v>
      </c>
      <c r="H68" t="n">
        <v>125.5</v>
      </c>
      <c r="I68" t="n">
        <v>5.0</v>
      </c>
      <c r="J68" t="n">
        <v>58.26666666666665</v>
      </c>
      <c r="K68" t="s">
        <v>9578</v>
      </c>
      <c r="L68" t="s">
        <v>10001</v>
      </c>
    </row>
    <row r="69">
      <c r="A69" t="s">
        <v>9291</v>
      </c>
      <c r="B69" t="n">
        <v>3.0</v>
      </c>
      <c r="C69" t="n">
        <v>7.0</v>
      </c>
      <c r="D69" t="s">
        <v>9306</v>
      </c>
      <c r="E69" t="n">
        <v>14.0</v>
      </c>
      <c r="F69" t="s">
        <v>9374</v>
      </c>
      <c r="G69" t="n">
        <v>68.76666666666667</v>
      </c>
      <c r="H69" t="n">
        <v>125.5</v>
      </c>
      <c r="I69" t="n">
        <v>5.0</v>
      </c>
      <c r="J69" t="n">
        <v>30.73333333333335</v>
      </c>
      <c r="K69" t="s">
        <v>9579</v>
      </c>
      <c r="L69" t="s">
        <v>10002</v>
      </c>
    </row>
    <row r="70">
      <c r="A70" t="s">
        <v>9120</v>
      </c>
      <c r="B70" t="n">
        <v>1.0</v>
      </c>
      <c r="C70" t="n">
        <v>7.0</v>
      </c>
      <c r="D70" t="s">
        <v>9306</v>
      </c>
      <c r="E70" t="n">
        <v>14.0</v>
      </c>
      <c r="F70" t="s">
        <v>9375</v>
      </c>
      <c r="G70" t="n">
        <v>48.766666666666666</v>
      </c>
      <c r="H70" t="n">
        <v>50.2</v>
      </c>
      <c r="I70" t="n">
        <v>2.0</v>
      </c>
      <c r="J70" t="n">
        <v>126.03333333333335</v>
      </c>
      <c r="K70" t="s">
        <v>9580</v>
      </c>
      <c r="L70" t="s">
        <v>10003</v>
      </c>
    </row>
    <row r="71">
      <c r="A71" t="s">
        <v>9126</v>
      </c>
      <c r="B71" t="n">
        <v>2.0</v>
      </c>
      <c r="C71" t="n">
        <v>7.0</v>
      </c>
      <c r="D71" t="s">
        <v>9306</v>
      </c>
      <c r="E71" t="n">
        <v>14.0</v>
      </c>
      <c r="F71" t="s">
        <v>9376</v>
      </c>
      <c r="G71" t="n">
        <v>40.28333333333333</v>
      </c>
      <c r="H71" t="n">
        <v>50.2</v>
      </c>
      <c r="I71" t="n">
        <v>2.0</v>
      </c>
      <c r="J71" t="n">
        <v>134.51666666666665</v>
      </c>
      <c r="K71" t="s">
        <v>9581</v>
      </c>
      <c r="L71" t="s">
        <v>10004</v>
      </c>
    </row>
    <row r="72">
      <c r="A72" t="s">
        <v>9177</v>
      </c>
      <c r="B72" t="n">
        <v>1.0</v>
      </c>
      <c r="C72" t="n">
        <v>8.0</v>
      </c>
      <c r="D72" t="s">
        <v>9305</v>
      </c>
      <c r="E72" t="n">
        <v>15.0</v>
      </c>
      <c r="F72" t="s">
        <v>9377</v>
      </c>
      <c r="G72" t="n">
        <v>95.3</v>
      </c>
      <c r="H72" t="n">
        <v>125.5</v>
      </c>
      <c r="I72" t="n">
        <v>5.0</v>
      </c>
      <c r="J72" t="n">
        <v>4.199999999999989</v>
      </c>
      <c r="K72" t="s">
        <v>9582</v>
      </c>
      <c r="L72" t="s">
        <v>10005</v>
      </c>
    </row>
    <row r="73">
      <c r="A73" t="s">
        <v>9157</v>
      </c>
      <c r="B73" t="n">
        <v>2.0</v>
      </c>
      <c r="C73" t="n">
        <v>8.0</v>
      </c>
      <c r="D73" t="s">
        <v>9305</v>
      </c>
      <c r="E73" t="n">
        <v>15.0</v>
      </c>
      <c r="F73" t="s">
        <v>9378</v>
      </c>
      <c r="G73" t="n">
        <v>62.41666666666667</v>
      </c>
      <c r="H73" t="n">
        <v>125.5</v>
      </c>
      <c r="I73" t="n">
        <v>5.0</v>
      </c>
      <c r="J73" t="n">
        <v>37.083333333333314</v>
      </c>
      <c r="K73" t="s">
        <v>9583</v>
      </c>
      <c r="L73" t="s">
        <v>10006</v>
      </c>
    </row>
    <row r="74">
      <c r="A74" t="s">
        <v>9151</v>
      </c>
      <c r="B74" t="n">
        <v>3.0</v>
      </c>
      <c r="C74" t="n">
        <v>8.0</v>
      </c>
      <c r="D74" t="s">
        <v>9305</v>
      </c>
      <c r="E74" t="n">
        <v>15.0</v>
      </c>
      <c r="F74" t="s">
        <v>9379</v>
      </c>
      <c r="G74" t="n">
        <v>65.23333333333333</v>
      </c>
      <c r="H74" t="n">
        <v>125.5</v>
      </c>
      <c r="I74" t="n">
        <v>5.0</v>
      </c>
      <c r="J74" t="n">
        <v>34.26666666666665</v>
      </c>
      <c r="K74" t="s">
        <v>9584</v>
      </c>
      <c r="L74" t="s">
        <v>10007</v>
      </c>
    </row>
    <row r="75">
      <c r="A75" t="s">
        <v>9127</v>
      </c>
      <c r="B75" t="n">
        <v>5.0</v>
      </c>
      <c r="C75" t="n">
        <v>8.0</v>
      </c>
      <c r="D75" t="s">
        <v>9305</v>
      </c>
      <c r="E75" t="n">
        <v>15.0</v>
      </c>
      <c r="F75" t="s">
        <v>9380</v>
      </c>
      <c r="G75" t="n">
        <v>65.6</v>
      </c>
      <c r="H75" t="n">
        <v>50.2</v>
      </c>
      <c r="I75" t="n">
        <v>2.0</v>
      </c>
      <c r="J75" t="n">
        <v>109.2</v>
      </c>
      <c r="K75" t="s">
        <v>9585</v>
      </c>
      <c r="L75" t="s">
        <v>10008</v>
      </c>
    </row>
    <row r="76">
      <c r="A76" t="s">
        <v>9132</v>
      </c>
      <c r="B76" t="n">
        <v>4.0</v>
      </c>
      <c r="C76" t="n">
        <v>8.0</v>
      </c>
      <c r="D76" t="s">
        <v>9305</v>
      </c>
      <c r="E76" t="n">
        <v>15.0</v>
      </c>
      <c r="F76" t="s">
        <v>9381</v>
      </c>
      <c r="G76" t="n">
        <v>115.01666666666667</v>
      </c>
      <c r="H76" t="n">
        <v>100.4</v>
      </c>
      <c r="I76" t="n">
        <v>4.0</v>
      </c>
      <c r="J76" t="n">
        <v>9.583333333333329</v>
      </c>
      <c r="K76" t="s">
        <v>9586</v>
      </c>
      <c r="L76" t="s">
        <v>10009</v>
      </c>
    </row>
    <row r="77">
      <c r="A77" t="s">
        <v>9297</v>
      </c>
      <c r="B77" t="n">
        <v>2.0</v>
      </c>
      <c r="C77" t="n">
        <v>8.0</v>
      </c>
      <c r="D77" t="s">
        <v>9306</v>
      </c>
      <c r="E77" t="n">
        <v>16.0</v>
      </c>
      <c r="F77" t="s">
        <v>9382</v>
      </c>
      <c r="G77" t="n">
        <v>50.6</v>
      </c>
      <c r="H77" t="n">
        <v>125.5</v>
      </c>
      <c r="I77" t="n">
        <v>5.0</v>
      </c>
      <c r="J77" t="n">
        <v>48.900000000000006</v>
      </c>
      <c r="K77" t="s">
        <v>9587</v>
      </c>
      <c r="L77" t="s">
        <v>10010</v>
      </c>
    </row>
    <row r="78">
      <c r="A78" t="s">
        <v>9303</v>
      </c>
      <c r="B78" t="n">
        <v>1.0</v>
      </c>
      <c r="C78" t="n">
        <v>8.0</v>
      </c>
      <c r="D78" t="s">
        <v>9306</v>
      </c>
      <c r="E78" t="n">
        <v>16.0</v>
      </c>
      <c r="F78" t="s">
        <v>9383</v>
      </c>
      <c r="G78" t="n">
        <v>55.266666666666666</v>
      </c>
      <c r="H78" t="n">
        <v>75.30000000000001</v>
      </c>
      <c r="I78" t="n">
        <v>3.0</v>
      </c>
      <c r="J78" t="n">
        <v>94.43333333333334</v>
      </c>
      <c r="K78" t="s">
        <v>9588</v>
      </c>
      <c r="L78" t="s">
        <v>10011</v>
      </c>
    </row>
    <row r="79">
      <c r="A79" t="s">
        <v>9125</v>
      </c>
      <c r="B79" t="n">
        <v>5.0</v>
      </c>
      <c r="C79" t="n">
        <v>8.0</v>
      </c>
      <c r="D79" t="s">
        <v>9306</v>
      </c>
      <c r="E79" t="n">
        <v>16.0</v>
      </c>
      <c r="F79" t="s">
        <v>9384</v>
      </c>
      <c r="G79" t="n">
        <v>26.566666666666666</v>
      </c>
      <c r="H79" t="n">
        <v>125.5</v>
      </c>
      <c r="I79" t="n">
        <v>5.0</v>
      </c>
      <c r="J79" t="n">
        <v>72.93333333333334</v>
      </c>
      <c r="K79" t="s">
        <v>9589</v>
      </c>
      <c r="L79" t="s">
        <v>10012</v>
      </c>
    </row>
    <row r="80">
      <c r="A80" t="s">
        <v>9249</v>
      </c>
      <c r="B80" t="n">
        <v>4.0</v>
      </c>
      <c r="C80" t="n">
        <v>8.0</v>
      </c>
      <c r="D80" t="s">
        <v>9306</v>
      </c>
      <c r="E80" t="n">
        <v>16.0</v>
      </c>
      <c r="F80" t="s">
        <v>9385</v>
      </c>
      <c r="G80" t="n">
        <v>86.9</v>
      </c>
      <c r="H80" t="n">
        <v>125.5</v>
      </c>
      <c r="I80" t="n">
        <v>5.0</v>
      </c>
      <c r="J80" t="n">
        <v>12.599999999999994</v>
      </c>
      <c r="K80" t="s">
        <v>9590</v>
      </c>
      <c r="L80" t="s">
        <v>10013</v>
      </c>
    </row>
    <row r="81">
      <c r="A81" t="s">
        <v>9133</v>
      </c>
      <c r="B81" t="n">
        <v>3.0</v>
      </c>
      <c r="C81" t="n">
        <v>8.0</v>
      </c>
      <c r="D81" t="s">
        <v>9306</v>
      </c>
      <c r="E81" t="n">
        <v>16.0</v>
      </c>
      <c r="F81" t="s">
        <v>9386</v>
      </c>
      <c r="G81" t="n">
        <v>56.85</v>
      </c>
      <c r="H81" t="n">
        <v>50.2</v>
      </c>
      <c r="I81" t="n">
        <v>2.0</v>
      </c>
      <c r="J81" t="n">
        <v>117.95</v>
      </c>
      <c r="K81" t="s">
        <v>9591</v>
      </c>
      <c r="L81" t="s">
        <v>10014</v>
      </c>
    </row>
    <row r="82">
      <c r="A82" t="s">
        <v>9135</v>
      </c>
      <c r="B82" t="n">
        <v>2.0</v>
      </c>
      <c r="C82" t="n">
        <v>9.0</v>
      </c>
      <c r="D82" t="s">
        <v>9305</v>
      </c>
      <c r="E82" t="n">
        <v>17.0</v>
      </c>
      <c r="F82" t="s">
        <v>9387</v>
      </c>
      <c r="G82" t="n">
        <v>63.4</v>
      </c>
      <c r="H82" t="n">
        <v>125.5</v>
      </c>
      <c r="I82" t="n">
        <v>5.0</v>
      </c>
      <c r="J82" t="n">
        <v>36.099999999999994</v>
      </c>
      <c r="K82" t="s">
        <v>9592</v>
      </c>
      <c r="L82" t="s">
        <v>10015</v>
      </c>
    </row>
    <row r="83">
      <c r="A83" t="s">
        <v>9163</v>
      </c>
      <c r="B83" t="n">
        <v>5.0</v>
      </c>
      <c r="C83" t="n">
        <v>9.0</v>
      </c>
      <c r="D83" t="s">
        <v>9305</v>
      </c>
      <c r="E83" t="n">
        <v>17.0</v>
      </c>
      <c r="F83" t="s">
        <v>9388</v>
      </c>
      <c r="G83" t="n">
        <v>60.88333333333333</v>
      </c>
      <c r="H83" t="n">
        <v>150.60000000000002</v>
      </c>
      <c r="I83" t="n">
        <v>6.0</v>
      </c>
      <c r="J83" t="n">
        <v>13.516666666666652</v>
      </c>
      <c r="K83" t="s">
        <v>9593</v>
      </c>
      <c r="L83" t="s">
        <v>10016</v>
      </c>
    </row>
    <row r="84">
      <c r="A84" t="s">
        <v>9245</v>
      </c>
      <c r="B84" t="n">
        <v>4.0</v>
      </c>
      <c r="C84" t="n">
        <v>9.0</v>
      </c>
      <c r="D84" t="s">
        <v>9305</v>
      </c>
      <c r="E84" t="n">
        <v>17.0</v>
      </c>
      <c r="F84" t="s">
        <v>9389</v>
      </c>
      <c r="G84" t="n">
        <v>60.71666666666667</v>
      </c>
      <c r="H84" t="n">
        <v>125.5</v>
      </c>
      <c r="I84" t="n">
        <v>5.0</v>
      </c>
      <c r="J84" t="n">
        <v>38.78333333333333</v>
      </c>
      <c r="K84" t="s">
        <v>9594</v>
      </c>
      <c r="L84" t="s">
        <v>10017</v>
      </c>
    </row>
    <row r="85">
      <c r="A85" t="s">
        <v>9134</v>
      </c>
      <c r="B85" t="n">
        <v>3.0</v>
      </c>
      <c r="C85" t="n">
        <v>9.0</v>
      </c>
      <c r="D85" t="s">
        <v>9305</v>
      </c>
      <c r="E85" t="n">
        <v>17.0</v>
      </c>
      <c r="F85" t="s">
        <v>9390</v>
      </c>
      <c r="G85" t="n">
        <v>117.26666666666667</v>
      </c>
      <c r="H85" t="n">
        <v>100.4</v>
      </c>
      <c r="I85" t="n">
        <v>4.0</v>
      </c>
      <c r="J85" t="n">
        <v>7.333333333333329</v>
      </c>
      <c r="K85" t="s">
        <v>9595</v>
      </c>
      <c r="L85" t="s">
        <v>10018</v>
      </c>
    </row>
    <row r="86">
      <c r="A86" t="s">
        <v>9140</v>
      </c>
      <c r="B86" t="n">
        <v>1.0</v>
      </c>
      <c r="C86" t="n">
        <v>9.0</v>
      </c>
      <c r="D86" t="s">
        <v>9305</v>
      </c>
      <c r="E86" t="n">
        <v>17.0</v>
      </c>
      <c r="F86" t="s">
        <v>9391</v>
      </c>
      <c r="G86" t="n">
        <v>75.2</v>
      </c>
      <c r="H86" t="n">
        <v>75.30000000000001</v>
      </c>
      <c r="I86" t="n">
        <v>3.0</v>
      </c>
      <c r="J86" t="n">
        <v>74.5</v>
      </c>
      <c r="K86" t="s">
        <v>9596</v>
      </c>
      <c r="L86" t="s">
        <v>10019</v>
      </c>
    </row>
    <row r="87">
      <c r="A87" t="s">
        <v>9246</v>
      </c>
      <c r="B87" t="n">
        <v>5.0</v>
      </c>
      <c r="C87" t="n">
        <v>9.0</v>
      </c>
      <c r="D87" t="s">
        <v>9306</v>
      </c>
      <c r="E87" t="n">
        <v>18.0</v>
      </c>
      <c r="F87" t="s">
        <v>9392</v>
      </c>
      <c r="G87" t="n">
        <v>87.43333333333334</v>
      </c>
      <c r="H87" t="n">
        <v>100.4</v>
      </c>
      <c r="I87" t="n">
        <v>4.0</v>
      </c>
      <c r="J87" t="n">
        <v>37.16666666666666</v>
      </c>
      <c r="K87" t="s">
        <v>9597</v>
      </c>
      <c r="L87" t="s">
        <v>10020</v>
      </c>
    </row>
    <row r="88">
      <c r="A88" t="s">
        <v>9219</v>
      </c>
      <c r="B88" t="n">
        <v>4.0</v>
      </c>
      <c r="C88" t="n">
        <v>9.0</v>
      </c>
      <c r="D88" t="s">
        <v>9306</v>
      </c>
      <c r="E88" t="n">
        <v>18.0</v>
      </c>
      <c r="F88" t="s">
        <v>9393</v>
      </c>
      <c r="G88" t="n">
        <v>17.7</v>
      </c>
      <c r="H88" t="n">
        <v>100.4</v>
      </c>
      <c r="I88" t="n">
        <v>4.0</v>
      </c>
      <c r="J88" t="n">
        <v>106.9</v>
      </c>
      <c r="K88" t="s">
        <v>9598</v>
      </c>
      <c r="L88" t="s">
        <v>10021</v>
      </c>
    </row>
    <row r="89">
      <c r="A89" t="s">
        <v>9204</v>
      </c>
      <c r="B89" t="n">
        <v>2.0</v>
      </c>
      <c r="C89" t="n">
        <v>9.0</v>
      </c>
      <c r="D89" t="s">
        <v>9306</v>
      </c>
      <c r="E89" t="n">
        <v>18.0</v>
      </c>
      <c r="F89" t="s">
        <v>9394</v>
      </c>
      <c r="G89" t="n">
        <v>55.333333333333336</v>
      </c>
      <c r="H89" t="n">
        <v>100.4</v>
      </c>
      <c r="I89" t="n">
        <v>4.0</v>
      </c>
      <c r="J89" t="n">
        <v>69.26666666666665</v>
      </c>
      <c r="K89" t="s">
        <v>9599</v>
      </c>
      <c r="L89" t="s">
        <v>10022</v>
      </c>
    </row>
    <row r="90">
      <c r="A90" t="s">
        <v>9141</v>
      </c>
      <c r="B90" t="n">
        <v>1.0</v>
      </c>
      <c r="C90" t="n">
        <v>9.0</v>
      </c>
      <c r="D90" t="s">
        <v>9306</v>
      </c>
      <c r="E90" t="n">
        <v>18.0</v>
      </c>
      <c r="F90" t="s">
        <v>9395</v>
      </c>
      <c r="G90" t="n">
        <v>51.93333333333334</v>
      </c>
      <c r="H90" t="n">
        <v>75.30000000000001</v>
      </c>
      <c r="I90" t="n">
        <v>3.0</v>
      </c>
      <c r="J90" t="n">
        <v>97.76666666666665</v>
      </c>
      <c r="K90" t="s">
        <v>9600</v>
      </c>
      <c r="L90" t="s">
        <v>10023</v>
      </c>
    </row>
    <row r="91">
      <c r="A91" t="s">
        <v>9148</v>
      </c>
      <c r="B91" t="n">
        <v>3.0</v>
      </c>
      <c r="C91" t="n">
        <v>9.0</v>
      </c>
      <c r="D91" t="s">
        <v>9306</v>
      </c>
      <c r="E91" t="n">
        <v>18.0</v>
      </c>
      <c r="F91" t="s">
        <v>9396</v>
      </c>
      <c r="G91" t="n">
        <v>67.73333333333333</v>
      </c>
      <c r="H91" t="n">
        <v>50.2</v>
      </c>
      <c r="I91" t="n">
        <v>2.0</v>
      </c>
      <c r="J91" t="n">
        <v>107.06666666666665</v>
      </c>
      <c r="K91" t="s">
        <v>9601</v>
      </c>
      <c r="L91" t="s">
        <v>10024</v>
      </c>
    </row>
    <row r="92">
      <c r="A92" t="s">
        <v>9184</v>
      </c>
      <c r="B92" t="n">
        <v>3.0</v>
      </c>
      <c r="C92" t="n">
        <v>10.0</v>
      </c>
      <c r="D92" t="s">
        <v>9305</v>
      </c>
      <c r="E92" t="n">
        <v>19.0</v>
      </c>
      <c r="F92" t="s">
        <v>9397</v>
      </c>
      <c r="G92" t="n">
        <v>94.7</v>
      </c>
      <c r="H92" t="n">
        <v>125.5</v>
      </c>
      <c r="I92" t="n">
        <v>5.0</v>
      </c>
      <c r="J92" t="n">
        <v>4.800000000000011</v>
      </c>
      <c r="K92" t="s">
        <v>9602</v>
      </c>
      <c r="L92" t="s">
        <v>10025</v>
      </c>
    </row>
    <row r="93">
      <c r="A93" t="s">
        <v>9277</v>
      </c>
      <c r="B93" t="n">
        <v>5.0</v>
      </c>
      <c r="C93" t="n">
        <v>10.0</v>
      </c>
      <c r="D93" t="s">
        <v>9305</v>
      </c>
      <c r="E93" t="n">
        <v>19.0</v>
      </c>
      <c r="F93" t="s">
        <v>9398</v>
      </c>
      <c r="G93" t="n">
        <v>30.7</v>
      </c>
      <c r="H93" t="n">
        <v>75.30000000000001</v>
      </c>
      <c r="I93" t="n">
        <v>3.0</v>
      </c>
      <c r="J93" t="n">
        <v>119.0</v>
      </c>
      <c r="K93" t="s">
        <v>9603</v>
      </c>
      <c r="L93" t="s">
        <v>10026</v>
      </c>
    </row>
    <row r="94">
      <c r="A94" t="s">
        <v>9243</v>
      </c>
      <c r="B94" t="n">
        <v>2.0</v>
      </c>
      <c r="C94" t="n">
        <v>10.0</v>
      </c>
      <c r="D94" t="s">
        <v>9305</v>
      </c>
      <c r="E94" t="n">
        <v>19.0</v>
      </c>
      <c r="F94" t="s">
        <v>9399</v>
      </c>
      <c r="G94" t="n">
        <v>36.18333333333333</v>
      </c>
      <c r="H94" t="n">
        <v>125.5</v>
      </c>
      <c r="I94" t="n">
        <v>5.0</v>
      </c>
      <c r="J94" t="n">
        <v>63.31666666666666</v>
      </c>
      <c r="K94" t="s">
        <v>9604</v>
      </c>
      <c r="L94" t="s">
        <v>10027</v>
      </c>
    </row>
    <row r="95">
      <c r="A95" t="s">
        <v>9192</v>
      </c>
      <c r="B95" t="n">
        <v>1.0</v>
      </c>
      <c r="C95" t="n">
        <v>10.0</v>
      </c>
      <c r="D95" t="s">
        <v>9305</v>
      </c>
      <c r="E95" t="n">
        <v>19.0</v>
      </c>
      <c r="F95" t="s">
        <v>9400</v>
      </c>
      <c r="G95" t="n">
        <v>84.6</v>
      </c>
      <c r="H95" t="n">
        <v>125.5</v>
      </c>
      <c r="I95" t="n">
        <v>5.0</v>
      </c>
      <c r="J95" t="n">
        <v>14.900000000000006</v>
      </c>
      <c r="K95" t="s">
        <v>9605</v>
      </c>
      <c r="L95" t="s">
        <v>10028</v>
      </c>
    </row>
    <row r="96">
      <c r="A96" t="s">
        <v>9165</v>
      </c>
      <c r="B96" t="n">
        <v>4.0</v>
      </c>
      <c r="C96" t="n">
        <v>10.0</v>
      </c>
      <c r="D96" t="s">
        <v>9305</v>
      </c>
      <c r="E96" t="n">
        <v>19.0</v>
      </c>
      <c r="F96" t="s">
        <v>9401</v>
      </c>
      <c r="G96" t="n">
        <v>19.9</v>
      </c>
      <c r="H96" t="n">
        <v>100.4</v>
      </c>
      <c r="I96" t="n">
        <v>4.0</v>
      </c>
      <c r="J96" t="n">
        <v>104.69999999999999</v>
      </c>
      <c r="K96" t="s">
        <v>9606</v>
      </c>
      <c r="L96" t="s">
        <v>10029</v>
      </c>
    </row>
    <row r="97">
      <c r="A97" t="s">
        <v>9207</v>
      </c>
      <c r="B97" t="n">
        <v>1.0</v>
      </c>
      <c r="C97" t="n">
        <v>10.0</v>
      </c>
      <c r="D97" t="s">
        <v>9306</v>
      </c>
      <c r="E97" t="n">
        <v>20.0</v>
      </c>
      <c r="F97" t="s">
        <v>9402</v>
      </c>
      <c r="G97" t="n">
        <v>54.766666666666666</v>
      </c>
      <c r="H97" t="n">
        <v>75.30000000000001</v>
      </c>
      <c r="I97" t="n">
        <v>3.0</v>
      </c>
      <c r="J97" t="n">
        <v>94.93333333333334</v>
      </c>
      <c r="K97" t="s">
        <v>9607</v>
      </c>
      <c r="L97" t="s">
        <v>10030</v>
      </c>
    </row>
    <row r="98">
      <c r="A98" t="s">
        <v>9114</v>
      </c>
      <c r="B98" t="n">
        <v>5.0</v>
      </c>
      <c r="C98" t="n">
        <v>10.0</v>
      </c>
      <c r="D98" t="s">
        <v>9306</v>
      </c>
      <c r="E98" t="n">
        <v>20.0</v>
      </c>
      <c r="F98" t="s">
        <v>9403</v>
      </c>
      <c r="G98" t="n">
        <v>33.68333333333333</v>
      </c>
      <c r="H98" t="n">
        <v>125.5</v>
      </c>
      <c r="I98" t="n">
        <v>5.0</v>
      </c>
      <c r="J98" t="n">
        <v>65.81666666666666</v>
      </c>
      <c r="K98" t="s">
        <v>9608</v>
      </c>
      <c r="L98" t="s">
        <v>10031</v>
      </c>
    </row>
    <row r="99">
      <c r="A99" t="s">
        <v>9214</v>
      </c>
      <c r="B99" t="n">
        <v>3.0</v>
      </c>
      <c r="C99" t="n">
        <v>10.0</v>
      </c>
      <c r="D99" t="s">
        <v>9306</v>
      </c>
      <c r="E99" t="n">
        <v>20.0</v>
      </c>
      <c r="F99" t="s">
        <v>9404</v>
      </c>
      <c r="G99" t="n">
        <v>45.6</v>
      </c>
      <c r="H99" t="n">
        <v>75.30000000000001</v>
      </c>
      <c r="I99" t="n">
        <v>3.0</v>
      </c>
      <c r="J99" t="n">
        <v>104.1</v>
      </c>
      <c r="K99" t="s">
        <v>9609</v>
      </c>
      <c r="L99" t="s">
        <v>10032</v>
      </c>
    </row>
    <row r="100">
      <c r="A100" t="s">
        <v>9203</v>
      </c>
      <c r="B100" t="n">
        <v>2.0</v>
      </c>
      <c r="C100" t="n">
        <v>10.0</v>
      </c>
      <c r="D100" t="s">
        <v>9306</v>
      </c>
      <c r="E100" t="n">
        <v>20.0</v>
      </c>
      <c r="F100" t="s">
        <v>9405</v>
      </c>
      <c r="G100" t="n">
        <v>42.93333333333333</v>
      </c>
      <c r="H100" t="n">
        <v>175.70000000000002</v>
      </c>
      <c r="I100" t="n">
        <v>7.0</v>
      </c>
      <c r="J100" t="n">
        <v>6.366666666666646</v>
      </c>
      <c r="K100" t="s">
        <v>9610</v>
      </c>
      <c r="L100" t="s">
        <v>10033</v>
      </c>
    </row>
    <row r="101">
      <c r="A101" t="s">
        <v>9154</v>
      </c>
      <c r="B101" t="n">
        <v>4.0</v>
      </c>
      <c r="C101" t="n">
        <v>10.0</v>
      </c>
      <c r="D101" t="s">
        <v>9306</v>
      </c>
      <c r="E101" t="n">
        <v>20.0</v>
      </c>
      <c r="F101" t="s">
        <v>9406</v>
      </c>
      <c r="G101" t="n">
        <v>27.2</v>
      </c>
      <c r="H101" t="n">
        <v>50.2</v>
      </c>
      <c r="I101" t="n">
        <v>2.0</v>
      </c>
      <c r="J101" t="n">
        <v>147.60000000000002</v>
      </c>
      <c r="K101" t="s">
        <v>9611</v>
      </c>
      <c r="L101" t="s">
        <v>10034</v>
      </c>
    </row>
    <row r="102">
      <c r="A102" t="s">
        <v>9225</v>
      </c>
      <c r="B102" t="n">
        <v>3.0</v>
      </c>
      <c r="C102" t="n">
        <v>11.0</v>
      </c>
      <c r="D102" t="s">
        <v>9305</v>
      </c>
      <c r="E102" t="n">
        <v>21.0</v>
      </c>
      <c r="F102" t="s">
        <v>9407</v>
      </c>
      <c r="G102" t="n">
        <v>58.93333333333334</v>
      </c>
      <c r="H102" t="n">
        <v>150.60000000000002</v>
      </c>
      <c r="I102" t="n">
        <v>6.0</v>
      </c>
      <c r="J102" t="n">
        <v>15.46666666666664</v>
      </c>
      <c r="K102" t="s">
        <v>9612</v>
      </c>
      <c r="L102" t="s">
        <v>10035</v>
      </c>
    </row>
    <row r="103">
      <c r="A103" t="s">
        <v>9152</v>
      </c>
      <c r="B103" t="n">
        <v>1.0</v>
      </c>
      <c r="C103" t="n">
        <v>11.0</v>
      </c>
      <c r="D103" t="s">
        <v>9305</v>
      </c>
      <c r="E103" t="n">
        <v>21.0</v>
      </c>
      <c r="F103" t="s">
        <v>9408</v>
      </c>
      <c r="G103" t="n">
        <v>71.35</v>
      </c>
      <c r="H103" t="n">
        <v>150.60000000000002</v>
      </c>
      <c r="I103" t="n">
        <v>6.0</v>
      </c>
      <c r="J103" t="n">
        <v>3.049999999999983</v>
      </c>
      <c r="K103" t="s">
        <v>9613</v>
      </c>
      <c r="L103" t="s">
        <v>10036</v>
      </c>
    </row>
    <row r="104">
      <c r="A104" t="s">
        <v>9251</v>
      </c>
      <c r="B104" t="n">
        <v>2.0</v>
      </c>
      <c r="C104" t="n">
        <v>11.0</v>
      </c>
      <c r="D104" t="s">
        <v>9305</v>
      </c>
      <c r="E104" t="n">
        <v>21.0</v>
      </c>
      <c r="F104" t="s">
        <v>9409</v>
      </c>
      <c r="G104" t="n">
        <v>28.133333333333333</v>
      </c>
      <c r="H104" t="n">
        <v>75.30000000000001</v>
      </c>
      <c r="I104" t="n">
        <v>3.0</v>
      </c>
      <c r="J104" t="n">
        <v>121.56666666666666</v>
      </c>
      <c r="K104" t="s">
        <v>9614</v>
      </c>
      <c r="L104" t="s">
        <v>10037</v>
      </c>
    </row>
    <row r="105">
      <c r="A105" t="s">
        <v>9218</v>
      </c>
      <c r="B105" t="n">
        <v>4.0</v>
      </c>
      <c r="C105" t="n">
        <v>11.0</v>
      </c>
      <c r="D105" t="s">
        <v>9305</v>
      </c>
      <c r="E105" t="n">
        <v>21.0</v>
      </c>
      <c r="F105" t="s">
        <v>9410</v>
      </c>
      <c r="G105" t="n">
        <v>64.51666666666667</v>
      </c>
      <c r="H105" t="n">
        <v>100.4</v>
      </c>
      <c r="I105" t="n">
        <v>4.0</v>
      </c>
      <c r="J105" t="n">
        <v>60.08333333333334</v>
      </c>
      <c r="K105" t="s">
        <v>9615</v>
      </c>
      <c r="L105" t="s">
        <v>10038</v>
      </c>
    </row>
    <row r="106">
      <c r="A106" t="s">
        <v>9252</v>
      </c>
      <c r="B106" t="n">
        <v>5.0</v>
      </c>
      <c r="C106" t="n">
        <v>11.0</v>
      </c>
      <c r="D106" t="s">
        <v>9305</v>
      </c>
      <c r="E106" t="n">
        <v>21.0</v>
      </c>
      <c r="F106" t="s">
        <v>9411</v>
      </c>
      <c r="G106" t="n">
        <v>68.61666666666667</v>
      </c>
      <c r="H106" t="n">
        <v>150.60000000000002</v>
      </c>
      <c r="I106" t="n">
        <v>6.0</v>
      </c>
      <c r="J106" t="n">
        <v>5.783333333333303</v>
      </c>
      <c r="K106" t="s">
        <v>9616</v>
      </c>
      <c r="L106" t="s">
        <v>10039</v>
      </c>
    </row>
    <row r="107">
      <c r="A107" t="s">
        <v>9262</v>
      </c>
      <c r="B107" t="n">
        <v>2.0</v>
      </c>
      <c r="C107" t="n">
        <v>11.0</v>
      </c>
      <c r="D107" t="s">
        <v>9306</v>
      </c>
      <c r="E107" t="n">
        <v>22.0</v>
      </c>
      <c r="F107" t="s">
        <v>9412</v>
      </c>
      <c r="G107" t="n">
        <v>63.53333333333333</v>
      </c>
      <c r="H107" t="n">
        <v>125.5</v>
      </c>
      <c r="I107" t="n">
        <v>5.0</v>
      </c>
      <c r="J107" t="n">
        <v>35.96666666666667</v>
      </c>
      <c r="K107" t="s">
        <v>9617</v>
      </c>
      <c r="L107" t="s">
        <v>10040</v>
      </c>
    </row>
    <row r="108">
      <c r="A108" t="s">
        <v>9200</v>
      </c>
      <c r="B108" t="n">
        <v>4.0</v>
      </c>
      <c r="C108" t="n">
        <v>11.0</v>
      </c>
      <c r="D108" t="s">
        <v>9306</v>
      </c>
      <c r="E108" t="n">
        <v>22.0</v>
      </c>
      <c r="F108" t="s">
        <v>9413</v>
      </c>
      <c r="G108" t="n">
        <v>81.98333333333333</v>
      </c>
      <c r="H108" t="n">
        <v>125.5</v>
      </c>
      <c r="I108" t="n">
        <v>5.0</v>
      </c>
      <c r="J108" t="n">
        <v>17.51666666666665</v>
      </c>
      <c r="K108" t="s">
        <v>9618</v>
      </c>
      <c r="L108" t="s">
        <v>10041</v>
      </c>
    </row>
    <row r="109">
      <c r="A109" t="s">
        <v>9179</v>
      </c>
      <c r="B109" t="n">
        <v>5.0</v>
      </c>
      <c r="C109" t="n">
        <v>11.0</v>
      </c>
      <c r="D109" t="s">
        <v>9306</v>
      </c>
      <c r="E109" t="n">
        <v>22.0</v>
      </c>
      <c r="F109" t="s">
        <v>9414</v>
      </c>
      <c r="G109" t="n">
        <v>27.566666666666666</v>
      </c>
      <c r="H109" t="n">
        <v>50.2</v>
      </c>
      <c r="I109" t="n">
        <v>2.0</v>
      </c>
      <c r="J109" t="n">
        <v>147.23333333333335</v>
      </c>
      <c r="K109" t="s">
        <v>9619</v>
      </c>
      <c r="L109" t="s">
        <v>10042</v>
      </c>
    </row>
    <row r="110">
      <c r="A110" t="s">
        <v>9290</v>
      </c>
      <c r="B110" t="n">
        <v>3.0</v>
      </c>
      <c r="C110" t="n">
        <v>11.0</v>
      </c>
      <c r="D110" t="s">
        <v>9306</v>
      </c>
      <c r="E110" t="n">
        <v>22.0</v>
      </c>
      <c r="F110" t="s">
        <v>9415</v>
      </c>
      <c r="G110" t="n">
        <v>68.16666666666667</v>
      </c>
      <c r="H110" t="n">
        <v>100.4</v>
      </c>
      <c r="I110" t="n">
        <v>4.0</v>
      </c>
      <c r="J110" t="n">
        <v>56.43333333333331</v>
      </c>
      <c r="K110" t="s">
        <v>9620</v>
      </c>
      <c r="L110" t="s">
        <v>10043</v>
      </c>
    </row>
    <row r="111">
      <c r="A111" t="s">
        <v>9187</v>
      </c>
      <c r="B111" t="n">
        <v>1.0</v>
      </c>
      <c r="C111" t="n">
        <v>11.0</v>
      </c>
      <c r="D111" t="s">
        <v>9306</v>
      </c>
      <c r="E111" t="n">
        <v>22.0</v>
      </c>
      <c r="F111" t="s">
        <v>9416</v>
      </c>
      <c r="G111" t="n">
        <v>67.3</v>
      </c>
      <c r="H111" t="n">
        <v>75.30000000000001</v>
      </c>
      <c r="I111" t="n">
        <v>3.0</v>
      </c>
      <c r="J111" t="n">
        <v>82.39999999999998</v>
      </c>
      <c r="K111" t="s">
        <v>9621</v>
      </c>
      <c r="L111" t="s">
        <v>10044</v>
      </c>
    </row>
    <row r="112">
      <c r="A112" t="s">
        <v>9278</v>
      </c>
      <c r="B112" t="n">
        <v>1.0</v>
      </c>
      <c r="C112" t="n">
        <v>12.0</v>
      </c>
      <c r="D112" t="s">
        <v>9305</v>
      </c>
      <c r="E112" t="n">
        <v>23.0</v>
      </c>
      <c r="F112" t="s">
        <v>9417</v>
      </c>
      <c r="G112" t="n">
        <v>61.03333333333334</v>
      </c>
      <c r="H112" t="n">
        <v>125.5</v>
      </c>
      <c r="I112" t="n">
        <v>5.0</v>
      </c>
      <c r="J112" t="n">
        <v>38.46666666666667</v>
      </c>
      <c r="K112" t="s">
        <v>9622</v>
      </c>
      <c r="L112" t="s">
        <v>10045</v>
      </c>
    </row>
    <row r="113">
      <c r="A113" t="s">
        <v>9191</v>
      </c>
      <c r="B113" t="n">
        <v>5.0</v>
      </c>
      <c r="C113" t="n">
        <v>12.0</v>
      </c>
      <c r="D113" t="s">
        <v>9305</v>
      </c>
      <c r="E113" t="n">
        <v>23.0</v>
      </c>
      <c r="F113" t="s">
        <v>9418</v>
      </c>
      <c r="G113" t="n">
        <v>69.46666666666667</v>
      </c>
      <c r="H113" t="n">
        <v>150.60000000000002</v>
      </c>
      <c r="I113" t="n">
        <v>6.0</v>
      </c>
      <c r="J113" t="n">
        <v>4.933333333333309</v>
      </c>
      <c r="K113" t="s">
        <v>9623</v>
      </c>
      <c r="L113" t="s">
        <v>10046</v>
      </c>
    </row>
    <row r="114">
      <c r="A114" t="s">
        <v>9229</v>
      </c>
      <c r="B114" t="n">
        <v>3.0</v>
      </c>
      <c r="C114" t="n">
        <v>12.0</v>
      </c>
      <c r="D114" t="s">
        <v>9305</v>
      </c>
      <c r="E114" t="n">
        <v>23.0</v>
      </c>
      <c r="F114" t="s">
        <v>9419</v>
      </c>
      <c r="G114" t="n">
        <v>35.9</v>
      </c>
      <c r="H114" t="n">
        <v>100.4</v>
      </c>
      <c r="I114" t="n">
        <v>4.0</v>
      </c>
      <c r="J114" t="n">
        <v>88.69999999999999</v>
      </c>
      <c r="K114" t="s">
        <v>9624</v>
      </c>
      <c r="L114" t="s">
        <v>10047</v>
      </c>
    </row>
    <row r="115">
      <c r="A115" t="s">
        <v>9236</v>
      </c>
      <c r="B115" t="n">
        <v>2.0</v>
      </c>
      <c r="C115" t="n">
        <v>12.0</v>
      </c>
      <c r="D115" t="s">
        <v>9305</v>
      </c>
      <c r="E115" t="n">
        <v>23.0</v>
      </c>
      <c r="F115" t="s">
        <v>9420</v>
      </c>
      <c r="G115" t="n">
        <v>68.0</v>
      </c>
      <c r="H115" t="n">
        <v>125.5</v>
      </c>
      <c r="I115" t="n">
        <v>5.0</v>
      </c>
      <c r="J115" t="n">
        <v>31.5</v>
      </c>
      <c r="K115" t="s">
        <v>9625</v>
      </c>
      <c r="L115" t="s">
        <v>10048</v>
      </c>
    </row>
    <row r="116">
      <c r="A116" t="s">
        <v>9274</v>
      </c>
      <c r="B116" t="n">
        <v>4.0</v>
      </c>
      <c r="C116" t="n">
        <v>12.0</v>
      </c>
      <c r="D116" t="s">
        <v>9305</v>
      </c>
      <c r="E116" t="n">
        <v>23.0</v>
      </c>
      <c r="F116" t="s">
        <v>9421</v>
      </c>
      <c r="G116" t="n">
        <v>59.050000000000004</v>
      </c>
      <c r="H116" t="n">
        <v>100.4</v>
      </c>
      <c r="I116" t="n">
        <v>4.0</v>
      </c>
      <c r="J116" t="n">
        <v>65.54999999999998</v>
      </c>
      <c r="K116" t="s">
        <v>9626</v>
      </c>
      <c r="L116" t="s">
        <v>10049</v>
      </c>
    </row>
    <row r="117">
      <c r="A117" t="s">
        <v>9210</v>
      </c>
      <c r="B117" t="n">
        <v>1.0</v>
      </c>
      <c r="C117" t="n">
        <v>12.0</v>
      </c>
      <c r="D117" t="s">
        <v>9306</v>
      </c>
      <c r="E117" t="n">
        <v>24.0</v>
      </c>
      <c r="F117" t="s">
        <v>9422</v>
      </c>
      <c r="G117" t="n">
        <v>73.01666666666667</v>
      </c>
      <c r="H117" t="n">
        <v>125.5</v>
      </c>
      <c r="I117" t="n">
        <v>5.0</v>
      </c>
      <c r="J117" t="n">
        <v>26.48333333333335</v>
      </c>
      <c r="K117" t="s">
        <v>9627</v>
      </c>
      <c r="L117" t="s">
        <v>10050</v>
      </c>
    </row>
    <row r="118">
      <c r="A118" t="s">
        <v>9286</v>
      </c>
      <c r="B118" t="n">
        <v>3.0</v>
      </c>
      <c r="C118" t="n">
        <v>12.0</v>
      </c>
      <c r="D118" t="s">
        <v>9306</v>
      </c>
      <c r="E118" t="n">
        <v>24.0</v>
      </c>
      <c r="F118" t="s">
        <v>9423</v>
      </c>
      <c r="G118" t="n">
        <v>57.15</v>
      </c>
      <c r="H118" t="n">
        <v>150.60000000000002</v>
      </c>
      <c r="I118" t="n">
        <v>6.0</v>
      </c>
      <c r="J118" t="n">
        <v>17.24999999999997</v>
      </c>
      <c r="K118" t="s">
        <v>9628</v>
      </c>
      <c r="L118" t="s">
        <v>10051</v>
      </c>
    </row>
    <row r="119">
      <c r="A119" t="s">
        <v>9254</v>
      </c>
      <c r="B119" t="n">
        <v>2.0</v>
      </c>
      <c r="C119" t="n">
        <v>12.0</v>
      </c>
      <c r="D119" t="s">
        <v>9306</v>
      </c>
      <c r="E119" t="n">
        <v>24.0</v>
      </c>
      <c r="F119" t="s">
        <v>9424</v>
      </c>
      <c r="G119" t="n">
        <v>79.31666666666666</v>
      </c>
      <c r="H119" t="n">
        <v>100.4</v>
      </c>
      <c r="I119" t="n">
        <v>4.0</v>
      </c>
      <c r="J119" t="n">
        <v>45.28333333333333</v>
      </c>
      <c r="K119" t="s">
        <v>9629</v>
      </c>
      <c r="L119" t="s">
        <v>10052</v>
      </c>
    </row>
    <row r="120">
      <c r="A120" t="s">
        <v>9131</v>
      </c>
      <c r="B120" t="n">
        <v>4.0</v>
      </c>
      <c r="C120" t="n">
        <v>12.0</v>
      </c>
      <c r="D120" t="s">
        <v>9306</v>
      </c>
      <c r="E120" t="n">
        <v>24.0</v>
      </c>
      <c r="F120" t="s">
        <v>9425</v>
      </c>
      <c r="G120" t="n">
        <v>78.05</v>
      </c>
      <c r="H120" t="n">
        <v>125.5</v>
      </c>
      <c r="I120" t="n">
        <v>5.0</v>
      </c>
      <c r="J120" t="n">
        <v>21.44999999999999</v>
      </c>
      <c r="K120" t="s">
        <v>9630</v>
      </c>
      <c r="L120" t="s">
        <v>10053</v>
      </c>
    </row>
    <row r="121">
      <c r="A121" t="s">
        <v>9300</v>
      </c>
      <c r="B121" t="n">
        <v>5.0</v>
      </c>
      <c r="C121" t="n">
        <v>12.0</v>
      </c>
      <c r="D121" t="s">
        <v>9306</v>
      </c>
      <c r="E121" t="n">
        <v>24.0</v>
      </c>
      <c r="F121" t="s">
        <v>9426</v>
      </c>
      <c r="G121" t="n">
        <v>71.15</v>
      </c>
      <c r="H121" t="n">
        <v>75.30000000000001</v>
      </c>
      <c r="I121" t="n">
        <v>3.0</v>
      </c>
      <c r="J121" t="n">
        <v>78.54999999999998</v>
      </c>
      <c r="K121" t="s">
        <v>9631</v>
      </c>
      <c r="L121" t="s">
        <v>10054</v>
      </c>
    </row>
    <row r="122">
      <c r="A122" t="s">
        <v>9293</v>
      </c>
      <c r="B122" t="n">
        <v>1.0</v>
      </c>
      <c r="C122" t="n">
        <v>13.0</v>
      </c>
      <c r="D122" t="s">
        <v>9305</v>
      </c>
      <c r="E122" t="n">
        <v>25.0</v>
      </c>
      <c r="F122" t="s">
        <v>9427</v>
      </c>
      <c r="G122" t="n">
        <v>28.25</v>
      </c>
      <c r="H122" t="n">
        <v>150.60000000000002</v>
      </c>
      <c r="I122" t="n">
        <v>6.0</v>
      </c>
      <c r="J122" t="n">
        <v>46.14999999999998</v>
      </c>
      <c r="K122" t="s">
        <v>9632</v>
      </c>
      <c r="L122" t="s">
        <v>10055</v>
      </c>
    </row>
    <row r="123">
      <c r="A123" t="s">
        <v>9197</v>
      </c>
      <c r="B123" t="n">
        <v>5.0</v>
      </c>
      <c r="C123" t="n">
        <v>13.0</v>
      </c>
      <c r="D123" t="s">
        <v>9305</v>
      </c>
      <c r="E123" t="n">
        <v>25.0</v>
      </c>
      <c r="F123" t="s">
        <v>9428</v>
      </c>
      <c r="G123" t="n">
        <v>37.233333333333334</v>
      </c>
      <c r="H123" t="n">
        <v>150.60000000000002</v>
      </c>
      <c r="I123" t="n">
        <v>6.0</v>
      </c>
      <c r="J123" t="n">
        <v>37.16666666666663</v>
      </c>
      <c r="K123" t="s">
        <v>9633</v>
      </c>
      <c r="L123" t="s">
        <v>10056</v>
      </c>
    </row>
    <row r="124">
      <c r="A124" t="s">
        <v>9259</v>
      </c>
      <c r="B124" t="n">
        <v>4.0</v>
      </c>
      <c r="C124" t="n">
        <v>13.0</v>
      </c>
      <c r="D124" t="s">
        <v>9305</v>
      </c>
      <c r="E124" t="n">
        <v>25.0</v>
      </c>
      <c r="F124" t="s">
        <v>9429</v>
      </c>
      <c r="G124" t="n">
        <v>94.93333333333332</v>
      </c>
      <c r="H124" t="n">
        <v>125.5</v>
      </c>
      <c r="I124" t="n">
        <v>5.0</v>
      </c>
      <c r="J124" t="n">
        <v>4.566666666666663</v>
      </c>
      <c r="K124" t="s">
        <v>9634</v>
      </c>
      <c r="L124" t="s">
        <v>10057</v>
      </c>
    </row>
    <row r="125">
      <c r="A125" t="s">
        <v>9124</v>
      </c>
      <c r="B125" t="n">
        <v>2.0</v>
      </c>
      <c r="C125" t="n">
        <v>13.0</v>
      </c>
      <c r="D125" t="s">
        <v>9305</v>
      </c>
      <c r="E125" t="n">
        <v>25.0</v>
      </c>
      <c r="F125" t="s">
        <v>9430</v>
      </c>
      <c r="G125" t="n">
        <v>82.53333333333333</v>
      </c>
      <c r="H125" t="n">
        <v>100.4</v>
      </c>
      <c r="I125" t="n">
        <v>4.0</v>
      </c>
      <c r="J125" t="n">
        <v>42.06666666666666</v>
      </c>
      <c r="K125" t="s">
        <v>9635</v>
      </c>
      <c r="L125" t="s">
        <v>10058</v>
      </c>
    </row>
    <row r="126">
      <c r="A126" t="s">
        <v>9155</v>
      </c>
      <c r="B126" t="n">
        <v>3.0</v>
      </c>
      <c r="C126" t="n">
        <v>13.0</v>
      </c>
      <c r="D126" t="s">
        <v>9305</v>
      </c>
      <c r="E126" t="n">
        <v>25.0</v>
      </c>
      <c r="F126" t="s">
        <v>9431</v>
      </c>
      <c r="G126" t="n">
        <v>66.2</v>
      </c>
      <c r="H126" t="n">
        <v>50.2</v>
      </c>
      <c r="I126" t="n">
        <v>2.0</v>
      </c>
      <c r="J126" t="n">
        <v>108.60000000000001</v>
      </c>
      <c r="K126" t="s">
        <v>9636</v>
      </c>
      <c r="L126" t="s">
        <v>10059</v>
      </c>
    </row>
    <row r="127">
      <c r="A127" t="s">
        <v>9108</v>
      </c>
      <c r="B127" t="n">
        <v>2.0</v>
      </c>
      <c r="C127" t="n">
        <v>13.0</v>
      </c>
      <c r="D127" t="s">
        <v>9306</v>
      </c>
      <c r="E127" t="n">
        <v>26.0</v>
      </c>
      <c r="F127" t="s">
        <v>9432</v>
      </c>
      <c r="G127" t="n">
        <v>51.166666666666664</v>
      </c>
      <c r="H127" t="n">
        <v>75.30000000000001</v>
      </c>
      <c r="I127" t="n">
        <v>3.0</v>
      </c>
      <c r="J127" t="n">
        <v>98.53333333333333</v>
      </c>
      <c r="K127" t="s">
        <v>9637</v>
      </c>
      <c r="L127" t="s">
        <v>10060</v>
      </c>
    </row>
    <row r="128">
      <c r="A128" t="s">
        <v>9123</v>
      </c>
      <c r="B128" t="n">
        <v>4.0</v>
      </c>
      <c r="C128" t="n">
        <v>13.0</v>
      </c>
      <c r="D128" t="s">
        <v>9306</v>
      </c>
      <c r="E128" t="n">
        <v>26.0</v>
      </c>
      <c r="F128" t="s">
        <v>9433</v>
      </c>
      <c r="G128" t="n">
        <v>35.516666666666666</v>
      </c>
      <c r="H128" t="n">
        <v>125.5</v>
      </c>
      <c r="I128" t="n">
        <v>5.0</v>
      </c>
      <c r="J128" t="n">
        <v>63.98333333333335</v>
      </c>
      <c r="K128" t="s">
        <v>9638</v>
      </c>
      <c r="L128" t="s">
        <v>10061</v>
      </c>
    </row>
    <row r="129">
      <c r="A129" t="s">
        <v>9115</v>
      </c>
      <c r="B129" t="n">
        <v>1.0</v>
      </c>
      <c r="C129" t="n">
        <v>13.0</v>
      </c>
      <c r="D129" t="s">
        <v>9306</v>
      </c>
      <c r="E129" t="n">
        <v>26.0</v>
      </c>
      <c r="F129" t="s">
        <v>9434</v>
      </c>
      <c r="G129" t="n">
        <v>99.28333333333333</v>
      </c>
      <c r="H129" t="n">
        <v>125.5</v>
      </c>
      <c r="I129" t="n">
        <v>5.0</v>
      </c>
      <c r="J129" t="n">
        <v>0.21666666666666856</v>
      </c>
      <c r="K129" t="s">
        <v>9639</v>
      </c>
      <c r="L129" t="s">
        <v>10062</v>
      </c>
    </row>
    <row r="130">
      <c r="A130" t="s">
        <v>9193</v>
      </c>
      <c r="B130" t="n">
        <v>5.0</v>
      </c>
      <c r="C130" t="n">
        <v>13.0</v>
      </c>
      <c r="D130" t="s">
        <v>9306</v>
      </c>
      <c r="E130" t="n">
        <v>26.0</v>
      </c>
      <c r="F130" t="s">
        <v>9435</v>
      </c>
      <c r="G130" t="n">
        <v>27.55</v>
      </c>
      <c r="H130" t="n">
        <v>150.60000000000002</v>
      </c>
      <c r="I130" t="n">
        <v>6.0</v>
      </c>
      <c r="J130" t="n">
        <v>46.849999999999966</v>
      </c>
      <c r="K130" t="s">
        <v>9640</v>
      </c>
      <c r="L130" t="s">
        <v>10063</v>
      </c>
    </row>
    <row r="131">
      <c r="A131" t="s">
        <v>9159</v>
      </c>
      <c r="B131" t="n">
        <v>3.0</v>
      </c>
      <c r="C131" t="n">
        <v>13.0</v>
      </c>
      <c r="D131" t="s">
        <v>9306</v>
      </c>
      <c r="E131" t="n">
        <v>26.0</v>
      </c>
      <c r="F131" t="s">
        <v>9436</v>
      </c>
      <c r="G131" t="n">
        <v>35.13333333333333</v>
      </c>
      <c r="H131" t="n">
        <v>50.2</v>
      </c>
      <c r="I131" t="n">
        <v>2.0</v>
      </c>
      <c r="J131" t="n">
        <v>139.66666666666669</v>
      </c>
      <c r="K131" t="s">
        <v>9641</v>
      </c>
      <c r="L131" t="s">
        <v>10064</v>
      </c>
    </row>
    <row r="132">
      <c r="A132" t="s">
        <v>9237</v>
      </c>
      <c r="B132" t="n">
        <v>5.0</v>
      </c>
      <c r="C132" t="n">
        <v>14.0</v>
      </c>
      <c r="D132" t="s">
        <v>9305</v>
      </c>
      <c r="E132" t="n">
        <v>27.0</v>
      </c>
      <c r="F132" t="s">
        <v>9437</v>
      </c>
      <c r="G132" t="n">
        <v>93.5</v>
      </c>
      <c r="H132" t="n">
        <v>125.5</v>
      </c>
      <c r="I132" t="n">
        <v>5.0</v>
      </c>
      <c r="J132" t="n">
        <v>6.0</v>
      </c>
      <c r="K132" t="s">
        <v>9642</v>
      </c>
      <c r="L132" t="s">
        <v>10065</v>
      </c>
    </row>
    <row r="133">
      <c r="A133" t="s">
        <v>9144</v>
      </c>
      <c r="B133" t="n">
        <v>1.0</v>
      </c>
      <c r="C133" t="n">
        <v>14.0</v>
      </c>
      <c r="D133" t="s">
        <v>9305</v>
      </c>
      <c r="E133" t="n">
        <v>27.0</v>
      </c>
      <c r="F133" t="s">
        <v>9438</v>
      </c>
      <c r="G133" t="n">
        <v>73.41666666666667</v>
      </c>
      <c r="H133" t="n">
        <v>125.5</v>
      </c>
      <c r="I133" t="n">
        <v>5.0</v>
      </c>
      <c r="J133" t="n">
        <v>26.083333333333314</v>
      </c>
      <c r="K133" t="s">
        <v>9643</v>
      </c>
      <c r="L133" t="s">
        <v>10066</v>
      </c>
    </row>
    <row r="134">
      <c r="A134" t="s">
        <v>9160</v>
      </c>
      <c r="B134" t="n">
        <v>2.0</v>
      </c>
      <c r="C134" t="n">
        <v>14.0</v>
      </c>
      <c r="D134" t="s">
        <v>9305</v>
      </c>
      <c r="E134" t="n">
        <v>27.0</v>
      </c>
      <c r="F134" t="s">
        <v>9439</v>
      </c>
      <c r="G134" t="n">
        <v>84.55</v>
      </c>
      <c r="H134" t="n">
        <v>75.30000000000001</v>
      </c>
      <c r="I134" t="n">
        <v>3.0</v>
      </c>
      <c r="J134" t="n">
        <v>65.14999999999998</v>
      </c>
      <c r="K134" t="s">
        <v>9644</v>
      </c>
      <c r="L134" t="s">
        <v>10067</v>
      </c>
    </row>
    <row r="135">
      <c r="A135" t="s">
        <v>9161</v>
      </c>
      <c r="B135" t="n">
        <v>3.0</v>
      </c>
      <c r="C135" t="n">
        <v>14.0</v>
      </c>
      <c r="D135" t="s">
        <v>9305</v>
      </c>
      <c r="E135" t="n">
        <v>27.0</v>
      </c>
      <c r="F135" t="s">
        <v>9440</v>
      </c>
      <c r="G135" t="n">
        <v>113.11666666666667</v>
      </c>
      <c r="H135" t="n">
        <v>75.30000000000001</v>
      </c>
      <c r="I135" t="n">
        <v>3.0</v>
      </c>
      <c r="J135" t="n">
        <v>36.583333333333314</v>
      </c>
      <c r="K135" t="s">
        <v>9645</v>
      </c>
      <c r="L135" t="s">
        <v>10068</v>
      </c>
    </row>
    <row r="136">
      <c r="A136" t="s">
        <v>9162</v>
      </c>
      <c r="B136" t="n">
        <v>4.0</v>
      </c>
      <c r="C136" t="n">
        <v>14.0</v>
      </c>
      <c r="D136" t="s">
        <v>9305</v>
      </c>
      <c r="E136" t="n">
        <v>27.0</v>
      </c>
      <c r="F136" t="s">
        <v>9441</v>
      </c>
      <c r="G136" t="n">
        <v>99.23333333333333</v>
      </c>
      <c r="H136" t="n">
        <v>75.30000000000001</v>
      </c>
      <c r="I136" t="n">
        <v>3.0</v>
      </c>
      <c r="J136" t="n">
        <v>50.466666666666654</v>
      </c>
      <c r="K136" t="s">
        <v>9646</v>
      </c>
      <c r="L136" t="s">
        <v>10069</v>
      </c>
    </row>
    <row r="137">
      <c r="A137" t="s">
        <v>9287</v>
      </c>
      <c r="B137" t="n">
        <v>2.0</v>
      </c>
      <c r="C137" t="n">
        <v>14.0</v>
      </c>
      <c r="D137" t="s">
        <v>9306</v>
      </c>
      <c r="E137" t="n">
        <v>28.0</v>
      </c>
      <c r="F137" t="s">
        <v>9442</v>
      </c>
      <c r="G137" t="n">
        <v>62.416666666666664</v>
      </c>
      <c r="H137" t="n">
        <v>150.60000000000002</v>
      </c>
      <c r="I137" t="n">
        <v>6.0</v>
      </c>
      <c r="J137" t="n">
        <v>11.98333333333332</v>
      </c>
      <c r="K137" t="s">
        <v>9647</v>
      </c>
      <c r="L137" t="s">
        <v>10070</v>
      </c>
    </row>
    <row r="138">
      <c r="A138" t="s">
        <v>9269</v>
      </c>
      <c r="B138" t="n">
        <v>1.0</v>
      </c>
      <c r="C138" t="n">
        <v>14.0</v>
      </c>
      <c r="D138" t="s">
        <v>9306</v>
      </c>
      <c r="E138" t="n">
        <v>28.0</v>
      </c>
      <c r="F138" t="s">
        <v>9443</v>
      </c>
      <c r="G138" t="n">
        <v>33.8</v>
      </c>
      <c r="H138" t="n">
        <v>75.30000000000001</v>
      </c>
      <c r="I138" t="n">
        <v>3.0</v>
      </c>
      <c r="J138" t="n">
        <v>115.89999999999998</v>
      </c>
      <c r="K138" t="s">
        <v>9648</v>
      </c>
      <c r="L138" t="s">
        <v>10071</v>
      </c>
    </row>
    <row r="139">
      <c r="A139" t="s">
        <v>9166</v>
      </c>
      <c r="B139" t="n">
        <v>4.0</v>
      </c>
      <c r="C139" t="n">
        <v>14.0</v>
      </c>
      <c r="D139" t="s">
        <v>9306</v>
      </c>
      <c r="E139" t="n">
        <v>28.0</v>
      </c>
      <c r="F139" t="s">
        <v>9444</v>
      </c>
      <c r="G139" t="n">
        <v>50.43333333333333</v>
      </c>
      <c r="H139" t="n">
        <v>50.2</v>
      </c>
      <c r="I139" t="n">
        <v>2.0</v>
      </c>
      <c r="J139" t="n">
        <v>124.36666666666666</v>
      </c>
      <c r="K139" t="s">
        <v>9649</v>
      </c>
      <c r="L139" t="s">
        <v>10072</v>
      </c>
    </row>
    <row r="140">
      <c r="A140" t="s">
        <v>9167</v>
      </c>
      <c r="B140" t="n">
        <v>5.0</v>
      </c>
      <c r="C140" t="n">
        <v>14.0</v>
      </c>
      <c r="D140" t="s">
        <v>9306</v>
      </c>
      <c r="E140" t="n">
        <v>28.0</v>
      </c>
      <c r="F140" t="s">
        <v>9445</v>
      </c>
      <c r="G140" t="n">
        <v>50.4</v>
      </c>
      <c r="H140" t="n">
        <v>50.2</v>
      </c>
      <c r="I140" t="n">
        <v>2.0</v>
      </c>
      <c r="J140" t="n">
        <v>124.39999999999999</v>
      </c>
      <c r="K140" t="s">
        <v>9650</v>
      </c>
      <c r="L140" t="s">
        <v>10073</v>
      </c>
    </row>
    <row r="141">
      <c r="A141" t="s">
        <v>9168</v>
      </c>
      <c r="B141" t="n">
        <v>3.0</v>
      </c>
      <c r="C141" t="n">
        <v>14.0</v>
      </c>
      <c r="D141" t="s">
        <v>9306</v>
      </c>
      <c r="E141" t="n">
        <v>28.0</v>
      </c>
      <c r="F141" t="s">
        <v>9446</v>
      </c>
      <c r="G141" t="n">
        <v>76.3</v>
      </c>
      <c r="H141" t="n">
        <v>50.2</v>
      </c>
      <c r="I141" t="n">
        <v>2.0</v>
      </c>
      <c r="J141" t="n">
        <v>98.49999999999999</v>
      </c>
      <c r="K141" t="s">
        <v>9651</v>
      </c>
      <c r="L141" t="s">
        <v>10074</v>
      </c>
    </row>
    <row r="142">
      <c r="A142" t="s">
        <v>9196</v>
      </c>
      <c r="B142" t="n">
        <v>5.0</v>
      </c>
      <c r="C142" t="n">
        <v>15.0</v>
      </c>
      <c r="D142" t="s">
        <v>9305</v>
      </c>
      <c r="E142" t="n">
        <v>29.0</v>
      </c>
      <c r="F142" t="s">
        <v>9447</v>
      </c>
      <c r="G142" t="n">
        <v>83.03333333333333</v>
      </c>
      <c r="H142" t="n">
        <v>125.5</v>
      </c>
      <c r="I142" t="n">
        <v>5.0</v>
      </c>
      <c r="J142" t="n">
        <v>16.46666666666667</v>
      </c>
      <c r="K142" t="s">
        <v>9652</v>
      </c>
      <c r="L142" t="s">
        <v>10075</v>
      </c>
    </row>
    <row r="143">
      <c r="A143" t="s">
        <v>9101</v>
      </c>
      <c r="B143" t="n">
        <v>3.0</v>
      </c>
      <c r="C143" t="n">
        <v>15.0</v>
      </c>
      <c r="D143" t="s">
        <v>9305</v>
      </c>
      <c r="E143" t="n">
        <v>29.0</v>
      </c>
      <c r="F143" t="s">
        <v>9448</v>
      </c>
      <c r="G143" t="n">
        <v>91.76666666666667</v>
      </c>
      <c r="H143" t="n">
        <v>125.5</v>
      </c>
      <c r="I143" t="n">
        <v>5.0</v>
      </c>
      <c r="J143" t="n">
        <v>7.7333333333333485</v>
      </c>
      <c r="K143" t="s">
        <v>9653</v>
      </c>
      <c r="L143" t="s">
        <v>10076</v>
      </c>
    </row>
    <row r="144">
      <c r="A144" t="s">
        <v>9185</v>
      </c>
      <c r="B144" t="n">
        <v>1.0</v>
      </c>
      <c r="C144" t="n">
        <v>15.0</v>
      </c>
      <c r="D144" t="s">
        <v>9305</v>
      </c>
      <c r="E144" t="n">
        <v>29.0</v>
      </c>
      <c r="F144" t="s">
        <v>9449</v>
      </c>
      <c r="G144" t="n">
        <v>72.38333333333334</v>
      </c>
      <c r="H144" t="n">
        <v>125.5</v>
      </c>
      <c r="I144" t="n">
        <v>5.0</v>
      </c>
      <c r="J144" t="n">
        <v>27.116666666666674</v>
      </c>
      <c r="K144" t="s">
        <v>9654</v>
      </c>
      <c r="L144" t="s">
        <v>10077</v>
      </c>
    </row>
    <row r="145">
      <c r="A145" t="s">
        <v>9238</v>
      </c>
      <c r="B145" t="n">
        <v>4.0</v>
      </c>
      <c r="C145" t="n">
        <v>15.0</v>
      </c>
      <c r="D145" t="s">
        <v>9305</v>
      </c>
      <c r="E145" t="n">
        <v>29.0</v>
      </c>
      <c r="F145" t="s">
        <v>9450</v>
      </c>
      <c r="G145" t="n">
        <v>46.833333333333336</v>
      </c>
      <c r="H145" t="n">
        <v>75.30000000000001</v>
      </c>
      <c r="I145" t="n">
        <v>3.0</v>
      </c>
      <c r="J145" t="n">
        <v>102.86666666666665</v>
      </c>
      <c r="K145" t="s">
        <v>9655</v>
      </c>
      <c r="L145" t="s">
        <v>10078</v>
      </c>
    </row>
    <row r="146">
      <c r="A146" t="s">
        <v>9153</v>
      </c>
      <c r="B146" t="n">
        <v>2.0</v>
      </c>
      <c r="C146" t="n">
        <v>15.0</v>
      </c>
      <c r="D146" t="s">
        <v>9305</v>
      </c>
      <c r="E146" t="n">
        <v>29.0</v>
      </c>
      <c r="F146" t="s">
        <v>9451</v>
      </c>
      <c r="G146" t="n">
        <v>79.66666666666667</v>
      </c>
      <c r="H146" t="n">
        <v>100.4</v>
      </c>
      <c r="I146" t="n">
        <v>4.0</v>
      </c>
      <c r="J146" t="n">
        <v>44.93333333333331</v>
      </c>
      <c r="K146" t="s">
        <v>9656</v>
      </c>
      <c r="L146" t="s">
        <v>10079</v>
      </c>
    </row>
    <row r="147">
      <c r="A147" t="s">
        <v>9292</v>
      </c>
      <c r="B147" t="n">
        <v>4.0</v>
      </c>
      <c r="C147" t="n">
        <v>15.0</v>
      </c>
      <c r="D147" t="s">
        <v>9306</v>
      </c>
      <c r="E147" t="n">
        <v>30.0</v>
      </c>
      <c r="F147" t="s">
        <v>9452</v>
      </c>
      <c r="G147" t="n">
        <v>38.1</v>
      </c>
      <c r="H147" t="n">
        <v>150.60000000000002</v>
      </c>
      <c r="I147" t="n">
        <v>6.0</v>
      </c>
      <c r="J147" t="n">
        <v>36.29999999999998</v>
      </c>
      <c r="K147" t="s">
        <v>9657</v>
      </c>
      <c r="L147" t="s">
        <v>10080</v>
      </c>
    </row>
    <row r="148">
      <c r="A148" t="s">
        <v>9149</v>
      </c>
      <c r="B148" t="n">
        <v>2.0</v>
      </c>
      <c r="C148" t="n">
        <v>15.0</v>
      </c>
      <c r="D148" t="s">
        <v>9306</v>
      </c>
      <c r="E148" t="n">
        <v>30.0</v>
      </c>
      <c r="F148" t="s">
        <v>9453</v>
      </c>
      <c r="G148" t="n">
        <v>46.5</v>
      </c>
      <c r="H148" t="n">
        <v>175.70000000000002</v>
      </c>
      <c r="I148" t="n">
        <v>7.0</v>
      </c>
      <c r="J148" t="n">
        <v>2.799999999999983</v>
      </c>
      <c r="K148" t="s">
        <v>9658</v>
      </c>
      <c r="L148" t="s">
        <v>10081</v>
      </c>
    </row>
    <row r="149">
      <c r="A149" t="s">
        <v>9136</v>
      </c>
      <c r="B149" t="n">
        <v>1.0</v>
      </c>
      <c r="C149" t="n">
        <v>15.0</v>
      </c>
      <c r="D149" t="s">
        <v>9306</v>
      </c>
      <c r="E149" t="n">
        <v>30.0</v>
      </c>
      <c r="F149" t="s">
        <v>9454</v>
      </c>
      <c r="G149" t="n">
        <v>96.48333333333333</v>
      </c>
      <c r="H149" t="n">
        <v>125.5</v>
      </c>
      <c r="I149" t="n">
        <v>5.0</v>
      </c>
      <c r="J149" t="n">
        <v>3.0166666666666515</v>
      </c>
      <c r="K149" t="s">
        <v>9659</v>
      </c>
      <c r="L149" t="s">
        <v>10082</v>
      </c>
    </row>
    <row r="150">
      <c r="A150" t="s">
        <v>9224</v>
      </c>
      <c r="B150" t="n">
        <v>5.0</v>
      </c>
      <c r="C150" t="n">
        <v>15.0</v>
      </c>
      <c r="D150" t="s">
        <v>9306</v>
      </c>
      <c r="E150" t="n">
        <v>30.0</v>
      </c>
      <c r="F150" t="s">
        <v>9455</v>
      </c>
      <c r="G150" t="n">
        <v>88.45</v>
      </c>
      <c r="H150" t="n">
        <v>75.30000000000001</v>
      </c>
      <c r="I150" t="n">
        <v>3.0</v>
      </c>
      <c r="J150" t="n">
        <v>61.25</v>
      </c>
      <c r="K150" t="s">
        <v>9660</v>
      </c>
      <c r="L150" t="s">
        <v>10083</v>
      </c>
    </row>
    <row r="151">
      <c r="A151" t="s">
        <v>9169</v>
      </c>
      <c r="B151" t="n">
        <v>3.0</v>
      </c>
      <c r="C151" t="n">
        <v>15.0</v>
      </c>
      <c r="D151" t="s">
        <v>9306</v>
      </c>
      <c r="E151" t="n">
        <v>30.0</v>
      </c>
      <c r="F151" t="s">
        <v>9456</v>
      </c>
      <c r="G151" t="n">
        <v>69.48333333333333</v>
      </c>
      <c r="H151" t="n">
        <v>50.2</v>
      </c>
      <c r="I151" t="n">
        <v>2.0</v>
      </c>
      <c r="J151" t="n">
        <v>105.31666666666665</v>
      </c>
      <c r="K151" t="s">
        <v>9661</v>
      </c>
      <c r="L151" t="s">
        <v>10084</v>
      </c>
    </row>
    <row r="152">
      <c r="A152" t="s">
        <v>9208</v>
      </c>
      <c r="B152" t="n">
        <v>1.0</v>
      </c>
      <c r="C152" t="n">
        <v>16.0</v>
      </c>
      <c r="D152" t="s">
        <v>9305</v>
      </c>
      <c r="E152" t="n">
        <v>31.0</v>
      </c>
      <c r="F152" t="s">
        <v>9457</v>
      </c>
      <c r="G152" t="n">
        <v>98.56666666666666</v>
      </c>
      <c r="H152" t="n">
        <v>100.4</v>
      </c>
      <c r="I152" t="n">
        <v>4.0</v>
      </c>
      <c r="J152" t="n">
        <v>26.03333333333333</v>
      </c>
      <c r="K152" t="s">
        <v>9662</v>
      </c>
      <c r="L152" t="s">
        <v>10085</v>
      </c>
    </row>
    <row r="153">
      <c r="A153" t="s">
        <v>9258</v>
      </c>
      <c r="B153" t="n">
        <v>3.0</v>
      </c>
      <c r="C153" t="n">
        <v>16.0</v>
      </c>
      <c r="D153" t="s">
        <v>9305</v>
      </c>
      <c r="E153" t="n">
        <v>31.0</v>
      </c>
      <c r="F153" t="s">
        <v>9458</v>
      </c>
      <c r="G153" t="n">
        <v>118.38333333333333</v>
      </c>
      <c r="H153" t="n">
        <v>100.4</v>
      </c>
      <c r="I153" t="n">
        <v>4.0</v>
      </c>
      <c r="J153" t="n">
        <v>6.216666666666669</v>
      </c>
      <c r="K153" t="s">
        <v>9663</v>
      </c>
      <c r="L153" t="s">
        <v>10086</v>
      </c>
    </row>
    <row r="154">
      <c r="A154" t="s">
        <v>9164</v>
      </c>
      <c r="B154" t="n">
        <v>2.0</v>
      </c>
      <c r="C154" t="n">
        <v>16.0</v>
      </c>
      <c r="D154" t="s">
        <v>9305</v>
      </c>
      <c r="E154" t="n">
        <v>31.0</v>
      </c>
      <c r="F154" t="s">
        <v>9459</v>
      </c>
      <c r="G154" t="n">
        <v>48.2</v>
      </c>
      <c r="H154" t="n">
        <v>125.5</v>
      </c>
      <c r="I154" t="n">
        <v>5.0</v>
      </c>
      <c r="J154" t="n">
        <v>51.30000000000001</v>
      </c>
      <c r="K154" t="s">
        <v>9664</v>
      </c>
      <c r="L154" t="s">
        <v>10087</v>
      </c>
    </row>
    <row r="155">
      <c r="A155" t="s">
        <v>9110</v>
      </c>
      <c r="B155" t="n">
        <v>5.0</v>
      </c>
      <c r="C155" t="n">
        <v>16.0</v>
      </c>
      <c r="D155" t="s">
        <v>9305</v>
      </c>
      <c r="E155" t="n">
        <v>31.0</v>
      </c>
      <c r="F155" t="s">
        <v>9460</v>
      </c>
      <c r="G155" t="n">
        <v>97.63333333333334</v>
      </c>
      <c r="H155" t="n">
        <v>125.5</v>
      </c>
      <c r="I155" t="n">
        <v>5.0</v>
      </c>
      <c r="J155" t="n">
        <v>1.86666666666666</v>
      </c>
      <c r="K155" t="s">
        <v>9665</v>
      </c>
      <c r="L155" t="s">
        <v>10088</v>
      </c>
    </row>
    <row r="156">
      <c r="A156" t="s">
        <v>9174</v>
      </c>
      <c r="B156" t="n">
        <v>4.0</v>
      </c>
      <c r="C156" t="n">
        <v>16.0</v>
      </c>
      <c r="D156" t="s">
        <v>9305</v>
      </c>
      <c r="E156" t="n">
        <v>31.0</v>
      </c>
      <c r="F156" t="s">
        <v>9461</v>
      </c>
      <c r="G156" t="n">
        <v>63.416666666666664</v>
      </c>
      <c r="H156" t="n">
        <v>75.30000000000001</v>
      </c>
      <c r="I156" t="n">
        <v>3.0</v>
      </c>
      <c r="J156" t="n">
        <v>86.28333333333333</v>
      </c>
      <c r="K156" t="s">
        <v>9666</v>
      </c>
      <c r="L156" t="s">
        <v>10089</v>
      </c>
    </row>
    <row r="157">
      <c r="A157" t="s">
        <v>9255</v>
      </c>
      <c r="B157" t="n">
        <v>3.0</v>
      </c>
      <c r="C157" t="n">
        <v>16.0</v>
      </c>
      <c r="D157" t="s">
        <v>9306</v>
      </c>
      <c r="E157" t="n">
        <v>32.0</v>
      </c>
      <c r="F157" t="s">
        <v>9462</v>
      </c>
      <c r="G157" t="n">
        <v>96.68333333333334</v>
      </c>
      <c r="H157" t="n">
        <v>125.5</v>
      </c>
      <c r="I157" t="n">
        <v>5.0</v>
      </c>
      <c r="J157" t="n">
        <v>2.816666666666663</v>
      </c>
      <c r="K157" t="s">
        <v>9667</v>
      </c>
      <c r="L157" t="s">
        <v>10090</v>
      </c>
    </row>
    <row r="158">
      <c r="A158" t="s">
        <v>9240</v>
      </c>
      <c r="B158" t="n">
        <v>4.0</v>
      </c>
      <c r="C158" t="n">
        <v>16.0</v>
      </c>
      <c r="D158" t="s">
        <v>9306</v>
      </c>
      <c r="E158" t="n">
        <v>32.0</v>
      </c>
      <c r="F158" t="s">
        <v>9463</v>
      </c>
      <c r="G158" t="n">
        <v>77.96666666666667</v>
      </c>
      <c r="H158" t="n">
        <v>100.4</v>
      </c>
      <c r="I158" t="n">
        <v>4.0</v>
      </c>
      <c r="J158" t="n">
        <v>46.633333333333326</v>
      </c>
      <c r="K158" t="s">
        <v>9668</v>
      </c>
      <c r="L158" t="s">
        <v>10091</v>
      </c>
    </row>
    <row r="159">
      <c r="A159" t="s">
        <v>9213</v>
      </c>
      <c r="B159" t="n">
        <v>2.0</v>
      </c>
      <c r="C159" t="n">
        <v>16.0</v>
      </c>
      <c r="D159" t="s">
        <v>9306</v>
      </c>
      <c r="E159" t="n">
        <v>32.0</v>
      </c>
      <c r="F159" t="s">
        <v>9464</v>
      </c>
      <c r="G159" t="n">
        <v>47.21666666666667</v>
      </c>
      <c r="H159" t="n">
        <v>175.70000000000002</v>
      </c>
      <c r="I159" t="n">
        <v>7.0</v>
      </c>
      <c r="J159" t="n">
        <v>2.0833333333333144</v>
      </c>
      <c r="K159" t="s">
        <v>9669</v>
      </c>
      <c r="L159" t="s">
        <v>10092</v>
      </c>
    </row>
    <row r="160">
      <c r="A160" t="s">
        <v>9217</v>
      </c>
      <c r="B160" t="n">
        <v>1.0</v>
      </c>
      <c r="C160" t="n">
        <v>16.0</v>
      </c>
      <c r="D160" t="s">
        <v>9306</v>
      </c>
      <c r="E160" t="n">
        <v>32.0</v>
      </c>
      <c r="F160" t="s">
        <v>9465</v>
      </c>
      <c r="G160" t="n">
        <v>36.43333333333334</v>
      </c>
      <c r="H160" t="n">
        <v>100.4</v>
      </c>
      <c r="I160" t="n">
        <v>4.0</v>
      </c>
      <c r="J160" t="n">
        <v>88.16666666666666</v>
      </c>
      <c r="K160" t="s">
        <v>9670</v>
      </c>
      <c r="L160" t="s">
        <v>10093</v>
      </c>
    </row>
    <row r="161">
      <c r="A161" t="s">
        <v>9175</v>
      </c>
      <c r="B161" t="n">
        <v>5.0</v>
      </c>
      <c r="C161" t="n">
        <v>16.0</v>
      </c>
      <c r="D161" t="s">
        <v>9306</v>
      </c>
      <c r="E161" t="n">
        <v>32.0</v>
      </c>
      <c r="F161" t="s">
        <v>9466</v>
      </c>
      <c r="G161" t="n">
        <v>54.2</v>
      </c>
      <c r="H161" t="n">
        <v>50.2</v>
      </c>
      <c r="I161" t="n">
        <v>2.0</v>
      </c>
      <c r="J161" t="n">
        <v>120.60000000000001</v>
      </c>
      <c r="K161" t="s">
        <v>9671</v>
      </c>
      <c r="L161" t="s">
        <v>10094</v>
      </c>
    </row>
    <row r="162">
      <c r="A162" t="s">
        <v>9226</v>
      </c>
      <c r="B162" t="n">
        <v>1.0</v>
      </c>
      <c r="C162" t="n">
        <v>17.0</v>
      </c>
      <c r="D162" t="s">
        <v>9305</v>
      </c>
      <c r="E162" t="n">
        <v>33.0</v>
      </c>
      <c r="F162" t="s">
        <v>9467</v>
      </c>
      <c r="G162" t="n">
        <v>22.866666666666667</v>
      </c>
      <c r="H162" t="n">
        <v>200.8</v>
      </c>
      <c r="I162" t="n">
        <v>8.0</v>
      </c>
      <c r="J162" t="n">
        <v>1.3333333333333144</v>
      </c>
      <c r="K162" t="s">
        <v>9672</v>
      </c>
      <c r="L162" t="s">
        <v>10095</v>
      </c>
    </row>
    <row r="163">
      <c r="A163" t="s">
        <v>9216</v>
      </c>
      <c r="B163" t="n">
        <v>4.0</v>
      </c>
      <c r="C163" t="n">
        <v>17.0</v>
      </c>
      <c r="D163" t="s">
        <v>9305</v>
      </c>
      <c r="E163" t="n">
        <v>33.0</v>
      </c>
      <c r="F163" t="s">
        <v>9468</v>
      </c>
      <c r="G163" t="n">
        <v>112.6</v>
      </c>
      <c r="H163" t="n">
        <v>100.4</v>
      </c>
      <c r="I163" t="n">
        <v>4.0</v>
      </c>
      <c r="J163" t="n">
        <v>12.0</v>
      </c>
      <c r="K163" t="s">
        <v>9673</v>
      </c>
      <c r="L163" t="s">
        <v>10096</v>
      </c>
    </row>
    <row r="164">
      <c r="A164" t="s">
        <v>9103</v>
      </c>
      <c r="B164" t="n">
        <v>3.0</v>
      </c>
      <c r="C164" t="n">
        <v>17.0</v>
      </c>
      <c r="D164" t="s">
        <v>9305</v>
      </c>
      <c r="E164" t="n">
        <v>33.0</v>
      </c>
      <c r="F164" t="s">
        <v>9469</v>
      </c>
      <c r="G164" t="n">
        <v>53.7</v>
      </c>
      <c r="H164" t="n">
        <v>75.30000000000001</v>
      </c>
      <c r="I164" t="n">
        <v>3.0</v>
      </c>
      <c r="J164" t="n">
        <v>96.0</v>
      </c>
      <c r="K164" t="s">
        <v>9674</v>
      </c>
      <c r="L164" t="s">
        <v>10097</v>
      </c>
    </row>
    <row r="165">
      <c r="A165" t="s">
        <v>9130</v>
      </c>
      <c r="B165" t="n">
        <v>2.0</v>
      </c>
      <c r="C165" t="n">
        <v>17.0</v>
      </c>
      <c r="D165" t="s">
        <v>9305</v>
      </c>
      <c r="E165" t="n">
        <v>33.0</v>
      </c>
      <c r="F165" t="s">
        <v>9470</v>
      </c>
      <c r="G165" t="n">
        <v>31.833333333333332</v>
      </c>
      <c r="H165" t="n">
        <v>75.30000000000001</v>
      </c>
      <c r="I165" t="n">
        <v>3.0</v>
      </c>
      <c r="J165" t="n">
        <v>117.86666666666665</v>
      </c>
      <c r="K165" t="s">
        <v>9675</v>
      </c>
      <c r="L165" t="s">
        <v>10098</v>
      </c>
    </row>
    <row r="166">
      <c r="A166" t="s">
        <v>9176</v>
      </c>
      <c r="B166" t="n">
        <v>5.0</v>
      </c>
      <c r="C166" t="n">
        <v>17.0</v>
      </c>
      <c r="D166" t="s">
        <v>9305</v>
      </c>
      <c r="E166" t="n">
        <v>33.0</v>
      </c>
      <c r="F166" t="s">
        <v>9471</v>
      </c>
      <c r="G166" t="n">
        <v>26.983333333333334</v>
      </c>
      <c r="H166" t="n">
        <v>75.30000000000001</v>
      </c>
      <c r="I166" t="n">
        <v>3.0</v>
      </c>
      <c r="J166" t="n">
        <v>122.71666666666664</v>
      </c>
      <c r="K166" t="s">
        <v>9676</v>
      </c>
      <c r="L166" t="s">
        <v>10099</v>
      </c>
    </row>
    <row r="167">
      <c r="A167" t="s">
        <v>9201</v>
      </c>
      <c r="B167" t="n">
        <v>1.0</v>
      </c>
      <c r="C167" t="n">
        <v>17.0</v>
      </c>
      <c r="D167" t="s">
        <v>9306</v>
      </c>
      <c r="E167" t="n">
        <v>34.0</v>
      </c>
      <c r="F167" t="s">
        <v>9472</v>
      </c>
      <c r="G167" t="n">
        <v>74.6</v>
      </c>
      <c r="H167" t="n">
        <v>125.5</v>
      </c>
      <c r="I167" t="n">
        <v>5.0</v>
      </c>
      <c r="J167" t="n">
        <v>24.900000000000006</v>
      </c>
      <c r="K167" t="s">
        <v>9677</v>
      </c>
      <c r="L167" t="s">
        <v>10100</v>
      </c>
    </row>
    <row r="168">
      <c r="A168" t="s">
        <v>9178</v>
      </c>
      <c r="B168" t="n">
        <v>3.0</v>
      </c>
      <c r="C168" t="n">
        <v>17.0</v>
      </c>
      <c r="D168" t="s">
        <v>9306</v>
      </c>
      <c r="E168" t="n">
        <v>34.0</v>
      </c>
      <c r="F168" t="s">
        <v>9473</v>
      </c>
      <c r="G168" t="n">
        <v>41.28333333333333</v>
      </c>
      <c r="H168" t="n">
        <v>175.70000000000002</v>
      </c>
      <c r="I168" t="n">
        <v>7.0</v>
      </c>
      <c r="J168" t="n">
        <v>8.016666666666652</v>
      </c>
      <c r="K168" t="s">
        <v>9678</v>
      </c>
      <c r="L168" t="s">
        <v>10101</v>
      </c>
    </row>
    <row r="169">
      <c r="A169" t="s">
        <v>9129</v>
      </c>
      <c r="B169" t="n">
        <v>4.0</v>
      </c>
      <c r="C169" t="n">
        <v>17.0</v>
      </c>
      <c r="D169" t="s">
        <v>9306</v>
      </c>
      <c r="E169" t="n">
        <v>34.0</v>
      </c>
      <c r="F169" t="s">
        <v>9474</v>
      </c>
      <c r="G169" t="n">
        <v>55.53333333333333</v>
      </c>
      <c r="H169" t="n">
        <v>125.5</v>
      </c>
      <c r="I169" t="n">
        <v>5.0</v>
      </c>
      <c r="J169" t="n">
        <v>43.96666666666667</v>
      </c>
      <c r="K169" t="s">
        <v>9679</v>
      </c>
      <c r="L169" t="s">
        <v>10102</v>
      </c>
    </row>
    <row r="170">
      <c r="A170" t="s">
        <v>9212</v>
      </c>
      <c r="B170" t="n">
        <v>2.0</v>
      </c>
      <c r="C170" t="n">
        <v>17.0</v>
      </c>
      <c r="D170" t="s">
        <v>9306</v>
      </c>
      <c r="E170" t="n">
        <v>34.0</v>
      </c>
      <c r="F170" t="s">
        <v>9475</v>
      </c>
      <c r="G170" t="n">
        <v>32.93333333333333</v>
      </c>
      <c r="H170" t="n">
        <v>150.60000000000002</v>
      </c>
      <c r="I170" t="n">
        <v>6.0</v>
      </c>
      <c r="J170" t="n">
        <v>41.46666666666664</v>
      </c>
      <c r="K170" t="s">
        <v>9680</v>
      </c>
      <c r="L170" t="s">
        <v>10103</v>
      </c>
    </row>
    <row r="171">
      <c r="A171" t="s">
        <v>9181</v>
      </c>
      <c r="B171" t="n">
        <v>5.0</v>
      </c>
      <c r="C171" t="n">
        <v>17.0</v>
      </c>
      <c r="D171" t="s">
        <v>9306</v>
      </c>
      <c r="E171" t="n">
        <v>34.0</v>
      </c>
      <c r="F171" t="s">
        <v>9476</v>
      </c>
      <c r="G171" t="n">
        <v>71.83333333333334</v>
      </c>
      <c r="H171" t="n">
        <v>100.4</v>
      </c>
      <c r="I171" t="n">
        <v>4.0</v>
      </c>
      <c r="J171" t="n">
        <v>52.76666666666665</v>
      </c>
      <c r="K171" t="s">
        <v>9681</v>
      </c>
      <c r="L171" t="s">
        <v>10104</v>
      </c>
    </row>
    <row r="172">
      <c r="A172" t="s">
        <v>9266</v>
      </c>
      <c r="B172" t="n">
        <v>5.0</v>
      </c>
      <c r="C172" t="n">
        <v>18.0</v>
      </c>
      <c r="D172" t="s">
        <v>9305</v>
      </c>
      <c r="E172" t="n">
        <v>35.0</v>
      </c>
      <c r="F172" t="s">
        <v>9477</v>
      </c>
      <c r="G172" t="n">
        <v>78.73333333333333</v>
      </c>
      <c r="H172" t="n">
        <v>125.5</v>
      </c>
      <c r="I172" t="n">
        <v>5.0</v>
      </c>
      <c r="J172" t="n">
        <v>20.76666666666665</v>
      </c>
      <c r="K172" t="s">
        <v>9682</v>
      </c>
      <c r="L172" t="s">
        <v>10105</v>
      </c>
    </row>
    <row r="173">
      <c r="A173" t="s">
        <v>9230</v>
      </c>
      <c r="B173" t="n">
        <v>1.0</v>
      </c>
      <c r="C173" t="n">
        <v>18.0</v>
      </c>
      <c r="D173" t="s">
        <v>9305</v>
      </c>
      <c r="E173" t="n">
        <v>35.0</v>
      </c>
      <c r="F173" t="s">
        <v>9478</v>
      </c>
      <c r="G173" t="n">
        <v>71.56666666666666</v>
      </c>
      <c r="H173" t="n">
        <v>150.60000000000002</v>
      </c>
      <c r="I173" t="n">
        <v>6.0</v>
      </c>
      <c r="J173" t="n">
        <v>2.8333333333333144</v>
      </c>
      <c r="K173" t="s">
        <v>9683</v>
      </c>
      <c r="L173" t="s">
        <v>10106</v>
      </c>
    </row>
    <row r="174">
      <c r="A174" t="s">
        <v>9233</v>
      </c>
      <c r="B174" t="n">
        <v>4.0</v>
      </c>
      <c r="C174" t="n">
        <v>18.0</v>
      </c>
      <c r="D174" t="s">
        <v>9305</v>
      </c>
      <c r="E174" t="n">
        <v>35.0</v>
      </c>
      <c r="F174" t="s">
        <v>9479</v>
      </c>
      <c r="G174" t="n">
        <v>63.81666666666666</v>
      </c>
      <c r="H174" t="n">
        <v>100.4</v>
      </c>
      <c r="I174" t="n">
        <v>4.0</v>
      </c>
      <c r="J174" t="n">
        <v>60.78333333333333</v>
      </c>
      <c r="K174" t="s">
        <v>9684</v>
      </c>
      <c r="L174" t="s">
        <v>10107</v>
      </c>
    </row>
    <row r="175">
      <c r="A175" t="s">
        <v>9182</v>
      </c>
      <c r="B175" t="n">
        <v>2.0</v>
      </c>
      <c r="C175" t="n">
        <v>18.0</v>
      </c>
      <c r="D175" t="s">
        <v>9305</v>
      </c>
      <c r="E175" t="n">
        <v>35.0</v>
      </c>
      <c r="F175" t="s">
        <v>9480</v>
      </c>
      <c r="G175" t="n">
        <v>62.63333333333333</v>
      </c>
      <c r="H175" t="n">
        <v>50.2</v>
      </c>
      <c r="I175" t="n">
        <v>2.0</v>
      </c>
      <c r="J175" t="n">
        <v>112.16666666666667</v>
      </c>
      <c r="K175" t="s">
        <v>9685</v>
      </c>
      <c r="L175" t="s">
        <v>10108</v>
      </c>
    </row>
    <row r="176">
      <c r="A176" t="s">
        <v>9183</v>
      </c>
      <c r="B176" t="n">
        <v>3.0</v>
      </c>
      <c r="C176" t="n">
        <v>18.0</v>
      </c>
      <c r="D176" t="s">
        <v>9305</v>
      </c>
      <c r="E176" t="n">
        <v>35.0</v>
      </c>
      <c r="F176" t="s">
        <v>9481</v>
      </c>
      <c r="G176" t="n">
        <v>79.3</v>
      </c>
      <c r="H176" t="n">
        <v>50.2</v>
      </c>
      <c r="I176" t="n">
        <v>2.0</v>
      </c>
      <c r="J176" t="n">
        <v>95.49999999999999</v>
      </c>
      <c r="K176" t="s">
        <v>9686</v>
      </c>
      <c r="L176" t="s">
        <v>10109</v>
      </c>
    </row>
    <row r="177">
      <c r="A177" t="s">
        <v>9301</v>
      </c>
      <c r="B177" t="n">
        <v>4.0</v>
      </c>
      <c r="C177" t="n">
        <v>18.0</v>
      </c>
      <c r="D177" t="s">
        <v>9306</v>
      </c>
      <c r="E177" t="n">
        <v>36.0</v>
      </c>
      <c r="F177" t="s">
        <v>9482</v>
      </c>
      <c r="G177" t="n">
        <v>58.96666666666667</v>
      </c>
      <c r="H177" t="n">
        <v>150.60000000000002</v>
      </c>
      <c r="I177" t="n">
        <v>6.0</v>
      </c>
      <c r="J177" t="n">
        <v>15.433333333333309</v>
      </c>
      <c r="K177" t="s">
        <v>9687</v>
      </c>
      <c r="L177" t="s">
        <v>10110</v>
      </c>
    </row>
    <row r="178">
      <c r="A178" t="s">
        <v>9299</v>
      </c>
      <c r="B178" t="n">
        <v>2.0</v>
      </c>
      <c r="C178" t="n">
        <v>18.0</v>
      </c>
      <c r="D178" t="s">
        <v>9306</v>
      </c>
      <c r="E178" t="n">
        <v>36.0</v>
      </c>
      <c r="F178" t="s">
        <v>9483</v>
      </c>
      <c r="G178" t="n">
        <v>94.6</v>
      </c>
      <c r="H178" t="n">
        <v>125.5</v>
      </c>
      <c r="I178" t="n">
        <v>5.0</v>
      </c>
      <c r="J178" t="n">
        <v>4.900000000000006</v>
      </c>
      <c r="K178" t="s">
        <v>9688</v>
      </c>
      <c r="L178" t="s">
        <v>10111</v>
      </c>
    </row>
    <row r="179">
      <c r="A179" t="s">
        <v>9116</v>
      </c>
      <c r="B179" t="n">
        <v>3.0</v>
      </c>
      <c r="C179" t="n">
        <v>18.0</v>
      </c>
      <c r="D179" t="s">
        <v>9306</v>
      </c>
      <c r="E179" t="n">
        <v>36.0</v>
      </c>
      <c r="F179" t="s">
        <v>9484</v>
      </c>
      <c r="G179" t="n">
        <v>73.58333333333333</v>
      </c>
      <c r="H179" t="n">
        <v>150.60000000000002</v>
      </c>
      <c r="I179" t="n">
        <v>6.0</v>
      </c>
      <c r="J179" t="n">
        <v>0.8166666666666629</v>
      </c>
      <c r="K179" t="s">
        <v>9689</v>
      </c>
      <c r="L179" t="s">
        <v>10112</v>
      </c>
    </row>
    <row r="180">
      <c r="A180" t="s">
        <v>9188</v>
      </c>
      <c r="B180" t="n">
        <v>1.0</v>
      </c>
      <c r="C180" t="n">
        <v>18.0</v>
      </c>
      <c r="D180" t="s">
        <v>9306</v>
      </c>
      <c r="E180" t="n">
        <v>36.0</v>
      </c>
      <c r="F180" t="s">
        <v>9485</v>
      </c>
      <c r="G180" t="n">
        <v>37.166666666666664</v>
      </c>
      <c r="H180" t="n">
        <v>50.2</v>
      </c>
      <c r="I180" t="n">
        <v>2.0</v>
      </c>
      <c r="J180" t="n">
        <v>137.63333333333333</v>
      </c>
      <c r="K180" t="s">
        <v>9690</v>
      </c>
      <c r="L180" t="s">
        <v>10113</v>
      </c>
    </row>
    <row r="181">
      <c r="A181" t="s">
        <v>9189</v>
      </c>
      <c r="B181" t="n">
        <v>5.0</v>
      </c>
      <c r="C181" t="n">
        <v>18.0</v>
      </c>
      <c r="D181" t="s">
        <v>9306</v>
      </c>
      <c r="E181" t="n">
        <v>36.0</v>
      </c>
      <c r="F181" t="s">
        <v>9486</v>
      </c>
      <c r="G181" t="n">
        <v>25.433333333333334</v>
      </c>
      <c r="H181" t="n">
        <v>50.2</v>
      </c>
      <c r="I181" t="n">
        <v>2.0</v>
      </c>
      <c r="J181" t="n">
        <v>149.36666666666667</v>
      </c>
      <c r="K181" t="s">
        <v>9691</v>
      </c>
      <c r="L181" t="s">
        <v>10114</v>
      </c>
    </row>
    <row r="182">
      <c r="A182" t="s">
        <v>9257</v>
      </c>
      <c r="B182" t="n">
        <v>3.0</v>
      </c>
      <c r="C182" t="n">
        <v>19.0</v>
      </c>
      <c r="D182" t="s">
        <v>9305</v>
      </c>
      <c r="E182" t="n">
        <v>37.0</v>
      </c>
      <c r="F182" t="s">
        <v>9487</v>
      </c>
      <c r="G182" t="n">
        <v>72.45</v>
      </c>
      <c r="H182" t="n">
        <v>150.60000000000002</v>
      </c>
      <c r="I182" t="n">
        <v>6.0</v>
      </c>
      <c r="J182" t="n">
        <v>1.9499999999999886</v>
      </c>
      <c r="K182" t="s">
        <v>9692</v>
      </c>
      <c r="L182" t="s">
        <v>10115</v>
      </c>
    </row>
    <row r="183">
      <c r="A183" t="s">
        <v>9267</v>
      </c>
      <c r="B183" t="n">
        <v>4.0</v>
      </c>
      <c r="C183" t="n">
        <v>19.0</v>
      </c>
      <c r="D183" t="s">
        <v>9305</v>
      </c>
      <c r="E183" t="n">
        <v>37.0</v>
      </c>
      <c r="F183" t="s">
        <v>9488</v>
      </c>
      <c r="G183" t="n">
        <v>39.483333333333334</v>
      </c>
      <c r="H183" t="n">
        <v>75.30000000000001</v>
      </c>
      <c r="I183" t="n">
        <v>3.0</v>
      </c>
      <c r="J183" t="n">
        <v>110.21666666666664</v>
      </c>
      <c r="K183" t="s">
        <v>9693</v>
      </c>
      <c r="L183" t="s">
        <v>10116</v>
      </c>
    </row>
    <row r="184">
      <c r="A184" t="s">
        <v>9143</v>
      </c>
      <c r="B184" t="n">
        <v>5.0</v>
      </c>
      <c r="C184" t="n">
        <v>19.0</v>
      </c>
      <c r="D184" t="s">
        <v>9305</v>
      </c>
      <c r="E184" t="n">
        <v>37.0</v>
      </c>
      <c r="F184" t="s">
        <v>9489</v>
      </c>
      <c r="G184" t="n">
        <v>95.28333333333333</v>
      </c>
      <c r="H184" t="n">
        <v>100.4</v>
      </c>
      <c r="I184" t="n">
        <v>4.0</v>
      </c>
      <c r="J184" t="n">
        <v>29.316666666666663</v>
      </c>
      <c r="K184" t="s">
        <v>9694</v>
      </c>
      <c r="L184" t="s">
        <v>10117</v>
      </c>
    </row>
    <row r="185">
      <c r="A185" t="s">
        <v>9234</v>
      </c>
      <c r="B185" t="n">
        <v>1.0</v>
      </c>
      <c r="C185" t="n">
        <v>19.0</v>
      </c>
      <c r="D185" t="s">
        <v>9305</v>
      </c>
      <c r="E185" t="n">
        <v>37.0</v>
      </c>
      <c r="F185" t="s">
        <v>9490</v>
      </c>
      <c r="G185" t="n">
        <v>99.11666666666667</v>
      </c>
      <c r="H185" t="n">
        <v>125.5</v>
      </c>
      <c r="I185" t="n">
        <v>5.0</v>
      </c>
      <c r="J185" t="n">
        <v>0.38333333333332575</v>
      </c>
      <c r="K185" t="s">
        <v>9695</v>
      </c>
      <c r="L185" t="s">
        <v>10118</v>
      </c>
    </row>
    <row r="186">
      <c r="A186" t="s">
        <v>9244</v>
      </c>
      <c r="B186" t="n">
        <v>2.0</v>
      </c>
      <c r="C186" t="n">
        <v>19.0</v>
      </c>
      <c r="D186" t="s">
        <v>9305</v>
      </c>
      <c r="E186" t="n">
        <v>37.0</v>
      </c>
      <c r="F186" t="s">
        <v>9491</v>
      </c>
      <c r="G186" t="n">
        <v>62.333333333333336</v>
      </c>
      <c r="H186" t="n">
        <v>100.4</v>
      </c>
      <c r="I186" t="n">
        <v>4.0</v>
      </c>
      <c r="J186" t="n">
        <v>62.26666666666665</v>
      </c>
      <c r="K186" t="s">
        <v>9696</v>
      </c>
      <c r="L186" t="s">
        <v>10119</v>
      </c>
    </row>
    <row r="187">
      <c r="A187" t="s">
        <v>9289</v>
      </c>
      <c r="B187" t="n">
        <v>4.0</v>
      </c>
      <c r="C187" t="n">
        <v>19.0</v>
      </c>
      <c r="D187" t="s">
        <v>9306</v>
      </c>
      <c r="E187" t="n">
        <v>38.0</v>
      </c>
      <c r="F187" t="s">
        <v>9492</v>
      </c>
      <c r="G187" t="n">
        <v>71.58333333333333</v>
      </c>
      <c r="H187" t="n">
        <v>125.5</v>
      </c>
      <c r="I187" t="n">
        <v>5.0</v>
      </c>
      <c r="J187" t="n">
        <v>27.916666666666686</v>
      </c>
      <c r="K187" t="s">
        <v>9697</v>
      </c>
      <c r="L187" t="s">
        <v>10120</v>
      </c>
    </row>
    <row r="188">
      <c r="A188" t="s">
        <v>9247</v>
      </c>
      <c r="B188" t="n">
        <v>1.0</v>
      </c>
      <c r="C188" t="n">
        <v>19.0</v>
      </c>
      <c r="D188" t="s">
        <v>9306</v>
      </c>
      <c r="E188" t="n">
        <v>38.0</v>
      </c>
      <c r="F188" t="s">
        <v>9493</v>
      </c>
      <c r="G188" t="n">
        <v>23.466666666666665</v>
      </c>
      <c r="H188" t="n">
        <v>100.4</v>
      </c>
      <c r="I188" t="n">
        <v>4.0</v>
      </c>
      <c r="J188" t="n">
        <v>101.13333333333333</v>
      </c>
      <c r="K188" t="s">
        <v>9698</v>
      </c>
      <c r="L188" t="s">
        <v>10121</v>
      </c>
    </row>
    <row r="189">
      <c r="A189" t="s">
        <v>9156</v>
      </c>
      <c r="B189" t="n">
        <v>2.0</v>
      </c>
      <c r="C189" t="n">
        <v>19.0</v>
      </c>
      <c r="D189" t="s">
        <v>9306</v>
      </c>
      <c r="E189" t="n">
        <v>38.0</v>
      </c>
      <c r="F189" t="s">
        <v>9494</v>
      </c>
      <c r="G189" t="n">
        <v>46.28333333333333</v>
      </c>
      <c r="H189" t="n">
        <v>125.5</v>
      </c>
      <c r="I189" t="n">
        <v>5.0</v>
      </c>
      <c r="J189" t="n">
        <v>53.21666666666667</v>
      </c>
      <c r="K189" t="s">
        <v>9699</v>
      </c>
      <c r="L189" t="s">
        <v>10122</v>
      </c>
    </row>
    <row r="190">
      <c r="A190" t="s">
        <v>9211</v>
      </c>
      <c r="B190" t="n">
        <v>5.0</v>
      </c>
      <c r="C190" t="n">
        <v>19.0</v>
      </c>
      <c r="D190" t="s">
        <v>9306</v>
      </c>
      <c r="E190" t="n">
        <v>38.0</v>
      </c>
      <c r="F190" t="s">
        <v>9495</v>
      </c>
      <c r="G190" t="n">
        <v>73.2</v>
      </c>
      <c r="H190" t="n">
        <v>150.60000000000002</v>
      </c>
      <c r="I190" t="n">
        <v>6.0</v>
      </c>
      <c r="J190" t="n">
        <v>1.1999999999999886</v>
      </c>
      <c r="K190" t="s">
        <v>9700</v>
      </c>
      <c r="L190" t="s">
        <v>10123</v>
      </c>
    </row>
    <row r="191">
      <c r="A191" t="s">
        <v>9146</v>
      </c>
      <c r="B191" t="n">
        <v>3.0</v>
      </c>
      <c r="C191" t="n">
        <v>19.0</v>
      </c>
      <c r="D191" t="s">
        <v>9306</v>
      </c>
      <c r="E191" t="n">
        <v>38.0</v>
      </c>
      <c r="F191" t="s">
        <v>9496</v>
      </c>
      <c r="G191" t="n">
        <v>80.11666666666667</v>
      </c>
      <c r="H191" t="n">
        <v>125.5</v>
      </c>
      <c r="I191" t="n">
        <v>5.0</v>
      </c>
      <c r="J191" t="n">
        <v>19.383333333333326</v>
      </c>
      <c r="K191" t="s">
        <v>9701</v>
      </c>
      <c r="L191" t="s">
        <v>10124</v>
      </c>
    </row>
    <row r="192">
      <c r="A192" t="s">
        <v>9232</v>
      </c>
      <c r="B192" t="n">
        <v>2.0</v>
      </c>
      <c r="C192" t="n">
        <v>20.0</v>
      </c>
      <c r="D192" t="s">
        <v>9305</v>
      </c>
      <c r="E192" t="n">
        <v>39.0</v>
      </c>
      <c r="F192" t="s">
        <v>9497</v>
      </c>
      <c r="G192" t="n">
        <v>68.4</v>
      </c>
      <c r="H192" t="n">
        <v>150.60000000000002</v>
      </c>
      <c r="I192" t="n">
        <v>6.0</v>
      </c>
      <c r="J192" t="n">
        <v>5.999999999999972</v>
      </c>
      <c r="K192" t="s">
        <v>9702</v>
      </c>
      <c r="L192" t="s">
        <v>10125</v>
      </c>
    </row>
    <row r="193">
      <c r="A193" t="s">
        <v>9186</v>
      </c>
      <c r="B193" t="n">
        <v>3.0</v>
      </c>
      <c r="C193" t="n">
        <v>20.0</v>
      </c>
      <c r="D193" t="s">
        <v>9305</v>
      </c>
      <c r="E193" t="n">
        <v>39.0</v>
      </c>
      <c r="F193" t="s">
        <v>9498</v>
      </c>
      <c r="G193" t="n">
        <v>27.200000000000003</v>
      </c>
      <c r="H193" t="n">
        <v>75.30000000000001</v>
      </c>
      <c r="I193" t="n">
        <v>3.0</v>
      </c>
      <c r="J193" t="n">
        <v>122.5</v>
      </c>
      <c r="K193" t="s">
        <v>9703</v>
      </c>
      <c r="L193" t="s">
        <v>10126</v>
      </c>
    </row>
    <row r="194">
      <c r="A194" t="s">
        <v>9264</v>
      </c>
      <c r="B194" t="n">
        <v>4.0</v>
      </c>
      <c r="C194" t="n">
        <v>20.0</v>
      </c>
      <c r="D194" t="s">
        <v>9305</v>
      </c>
      <c r="E194" t="n">
        <v>39.0</v>
      </c>
      <c r="F194" t="s">
        <v>9499</v>
      </c>
      <c r="G194" t="n">
        <v>41.333333333333336</v>
      </c>
      <c r="H194" t="n">
        <v>150.60000000000002</v>
      </c>
      <c r="I194" t="n">
        <v>6.0</v>
      </c>
      <c r="J194" t="n">
        <v>33.066666666666634</v>
      </c>
      <c r="K194" t="s">
        <v>9704</v>
      </c>
      <c r="L194" t="s">
        <v>10127</v>
      </c>
    </row>
    <row r="195">
      <c r="A195" t="s">
        <v>9209</v>
      </c>
      <c r="B195" t="n">
        <v>1.0</v>
      </c>
      <c r="C195" t="n">
        <v>20.0</v>
      </c>
      <c r="D195" t="s">
        <v>9305</v>
      </c>
      <c r="E195" t="n">
        <v>39.0</v>
      </c>
      <c r="F195" t="s">
        <v>9500</v>
      </c>
      <c r="G195" t="n">
        <v>124.38333333333334</v>
      </c>
      <c r="H195" t="n">
        <v>100.4</v>
      </c>
      <c r="I195" t="n">
        <v>4.0</v>
      </c>
      <c r="J195" t="n">
        <v>0.21666666666665435</v>
      </c>
      <c r="K195" t="s">
        <v>9705</v>
      </c>
      <c r="L195" t="s">
        <v>10128</v>
      </c>
    </row>
    <row r="196">
      <c r="A196" t="s">
        <v>9190</v>
      </c>
      <c r="B196" t="n">
        <v>5.0</v>
      </c>
      <c r="C196" t="n">
        <v>20.0</v>
      </c>
      <c r="D196" t="s">
        <v>9305</v>
      </c>
      <c r="E196" t="n">
        <v>39.0</v>
      </c>
      <c r="F196" t="s">
        <v>9501</v>
      </c>
      <c r="G196" t="n">
        <v>81.38333333333333</v>
      </c>
      <c r="H196" t="n">
        <v>50.2</v>
      </c>
      <c r="I196" t="n">
        <v>2.0</v>
      </c>
      <c r="J196" t="n">
        <v>93.41666666666667</v>
      </c>
      <c r="K196" t="s">
        <v>9706</v>
      </c>
      <c r="L196" t="s">
        <v>10129</v>
      </c>
    </row>
    <row r="197">
      <c r="A197" t="s">
        <v>9170</v>
      </c>
      <c r="B197" t="n">
        <v>3.0</v>
      </c>
      <c r="C197" t="n">
        <v>20.0</v>
      </c>
      <c r="D197" t="s">
        <v>9306</v>
      </c>
      <c r="E197" t="n">
        <v>40.0</v>
      </c>
      <c r="F197" t="s">
        <v>9502</v>
      </c>
      <c r="G197" t="n">
        <v>74.3</v>
      </c>
      <c r="H197" t="n">
        <v>150.60000000000002</v>
      </c>
      <c r="I197" t="n">
        <v>6.0</v>
      </c>
      <c r="J197" t="n">
        <v>0.0999999999999659</v>
      </c>
      <c r="K197" t="s">
        <v>9707</v>
      </c>
      <c r="L197" t="s">
        <v>10130</v>
      </c>
    </row>
    <row r="198">
      <c r="A198" t="s">
        <v>9268</v>
      </c>
      <c r="B198" t="n">
        <v>4.0</v>
      </c>
      <c r="C198" t="n">
        <v>20.0</v>
      </c>
      <c r="D198" t="s">
        <v>9306</v>
      </c>
      <c r="E198" t="n">
        <v>40.0</v>
      </c>
      <c r="F198" t="s">
        <v>9503</v>
      </c>
      <c r="G198" t="n">
        <v>49.31666666666667</v>
      </c>
      <c r="H198" t="n">
        <v>150.60000000000002</v>
      </c>
      <c r="I198" t="n">
        <v>6.0</v>
      </c>
      <c r="J198" t="n">
        <v>25.083333333333314</v>
      </c>
      <c r="K198" t="s">
        <v>9708</v>
      </c>
      <c r="L198" t="s">
        <v>10131</v>
      </c>
    </row>
    <row r="199">
      <c r="A199" t="s">
        <v>9145</v>
      </c>
      <c r="B199" t="n">
        <v>1.0</v>
      </c>
      <c r="C199" t="n">
        <v>20.0</v>
      </c>
      <c r="D199" t="s">
        <v>9306</v>
      </c>
      <c r="E199" t="n">
        <v>40.0</v>
      </c>
      <c r="F199" t="s">
        <v>9504</v>
      </c>
      <c r="G199" t="n">
        <v>37.483333333333334</v>
      </c>
      <c r="H199" t="n">
        <v>150.60000000000002</v>
      </c>
      <c r="I199" t="n">
        <v>6.0</v>
      </c>
      <c r="J199" t="n">
        <v>36.91666666666663</v>
      </c>
      <c r="K199" t="s">
        <v>9709</v>
      </c>
      <c r="L199" t="s">
        <v>10132</v>
      </c>
    </row>
    <row r="200">
      <c r="A200" t="s">
        <v>9194</v>
      </c>
      <c r="B200" t="n">
        <v>2.0</v>
      </c>
      <c r="C200" t="n">
        <v>20.0</v>
      </c>
      <c r="D200" t="s">
        <v>9306</v>
      </c>
      <c r="E200" t="n">
        <v>40.0</v>
      </c>
      <c r="F200" t="s">
        <v>9505</v>
      </c>
      <c r="G200" t="n">
        <v>89.78333333333333</v>
      </c>
      <c r="H200" t="n">
        <v>75.30000000000001</v>
      </c>
      <c r="I200" t="n">
        <v>3.0</v>
      </c>
      <c r="J200" t="n">
        <v>59.91666666666666</v>
      </c>
      <c r="K200" t="s">
        <v>9710</v>
      </c>
      <c r="L200" t="s">
        <v>10133</v>
      </c>
    </row>
    <row r="201">
      <c r="A201" t="s">
        <v>9195</v>
      </c>
      <c r="B201" t="n">
        <v>5.0</v>
      </c>
      <c r="C201" t="n">
        <v>20.0</v>
      </c>
      <c r="D201" t="s">
        <v>9306</v>
      </c>
      <c r="E201" t="n">
        <v>40.0</v>
      </c>
      <c r="F201" t="s">
        <v>9506</v>
      </c>
      <c r="G201" t="n">
        <v>75.89999999999999</v>
      </c>
      <c r="H201" t="n">
        <v>75.30000000000001</v>
      </c>
      <c r="I201" t="n">
        <v>3.0</v>
      </c>
      <c r="J201" t="n">
        <v>73.80000000000001</v>
      </c>
      <c r="K201" t="s">
        <v>9711</v>
      </c>
      <c r="L201" t="s">
        <v>10134</v>
      </c>
    </row>
    <row r="202">
      <c r="A202" t="s">
        <v>9215</v>
      </c>
      <c r="B202" t="n">
        <v>4.0</v>
      </c>
      <c r="C202" t="n">
        <v>21.0</v>
      </c>
      <c r="D202" t="s">
        <v>9305</v>
      </c>
      <c r="E202" t="n">
        <v>41.0</v>
      </c>
      <c r="F202" t="s">
        <v>9507</v>
      </c>
      <c r="G202" t="n">
        <v>66.76666666666667</v>
      </c>
      <c r="H202" t="n">
        <v>150.60000000000002</v>
      </c>
      <c r="I202" t="n">
        <v>6.0</v>
      </c>
      <c r="J202" t="n">
        <v>7.633333333333326</v>
      </c>
      <c r="K202" t="s">
        <v>9712</v>
      </c>
      <c r="L202" t="s">
        <v>10135</v>
      </c>
    </row>
    <row r="203">
      <c r="A203" t="s">
        <v>9171</v>
      </c>
      <c r="B203" t="n">
        <v>2.0</v>
      </c>
      <c r="C203" t="n">
        <v>21.0</v>
      </c>
      <c r="D203" t="s">
        <v>9305</v>
      </c>
      <c r="E203" t="n">
        <v>41.0</v>
      </c>
      <c r="F203" t="s">
        <v>9508</v>
      </c>
      <c r="G203" t="n">
        <v>93.63333333333333</v>
      </c>
      <c r="H203" t="n">
        <v>125.5</v>
      </c>
      <c r="I203" t="n">
        <v>5.0</v>
      </c>
      <c r="J203" t="n">
        <v>5.866666666666674</v>
      </c>
      <c r="K203" t="s">
        <v>9713</v>
      </c>
      <c r="L203" t="s">
        <v>10136</v>
      </c>
    </row>
    <row r="204">
      <c r="A204" t="s">
        <v>9256</v>
      </c>
      <c r="B204" t="n">
        <v>1.0</v>
      </c>
      <c r="C204" t="n">
        <v>21.0</v>
      </c>
      <c r="D204" t="s">
        <v>9305</v>
      </c>
      <c r="E204" t="n">
        <v>41.0</v>
      </c>
      <c r="F204" t="s">
        <v>9509</v>
      </c>
      <c r="G204" t="n">
        <v>65.33333333333333</v>
      </c>
      <c r="H204" t="n">
        <v>125.5</v>
      </c>
      <c r="I204" t="n">
        <v>5.0</v>
      </c>
      <c r="J204" t="n">
        <v>34.166666666666686</v>
      </c>
      <c r="K204" t="s">
        <v>9714</v>
      </c>
      <c r="L204" t="s">
        <v>10137</v>
      </c>
    </row>
    <row r="205">
      <c r="A205" t="s">
        <v>9273</v>
      </c>
      <c r="B205" t="n">
        <v>3.0</v>
      </c>
      <c r="C205" t="n">
        <v>21.0</v>
      </c>
      <c r="D205" t="s">
        <v>9305</v>
      </c>
      <c r="E205" t="n">
        <v>41.0</v>
      </c>
      <c r="F205" t="s">
        <v>9510</v>
      </c>
      <c r="G205" t="n">
        <v>98.46666666666667</v>
      </c>
      <c r="H205" t="n">
        <v>125.5</v>
      </c>
      <c r="I205" t="n">
        <v>5.0</v>
      </c>
      <c r="J205" t="n">
        <v>1.0333333333333314</v>
      </c>
      <c r="K205" t="s">
        <v>9715</v>
      </c>
      <c r="L205" t="s">
        <v>10138</v>
      </c>
    </row>
    <row r="206">
      <c r="A206" t="s">
        <v>9261</v>
      </c>
      <c r="B206" t="n">
        <v>5.0</v>
      </c>
      <c r="C206" t="n">
        <v>21.0</v>
      </c>
      <c r="D206" t="s">
        <v>9305</v>
      </c>
      <c r="E206" t="n">
        <v>41.0</v>
      </c>
      <c r="F206" t="s">
        <v>9511</v>
      </c>
      <c r="G206" t="n">
        <v>77.06666666666666</v>
      </c>
      <c r="H206" t="n">
        <v>125.5</v>
      </c>
      <c r="I206" t="n">
        <v>5.0</v>
      </c>
      <c r="J206" t="n">
        <v>22.433333333333337</v>
      </c>
      <c r="K206" t="s">
        <v>9716</v>
      </c>
      <c r="L206" t="s">
        <v>10139</v>
      </c>
    </row>
  </sheetData>
  <pageMargins bottom="0.75" footer="0.3" header="0.3" left="0.7" right="0.7" top="0.75"/>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9</vt:i4>
      </vt:variant>
    </vt:vector>
  </HeadingPairs>
  <TitlesOfParts>
    <vt:vector size="9" baseType="lpstr">
      <vt:lpstr>Input</vt:lpstr>
      <vt:lpstr>Variables</vt:lpstr>
      <vt:lpstr>Rutas</vt:lpstr>
      <vt:lpstr>Puntos de Operacion</vt:lpstr>
      <vt:lpstr>Tareas</vt:lpstr>
      <vt:lpstr>Coordenadas</vt:lpstr>
      <vt:lpstr>Output</vt:lpstr>
      <vt:lpstr>Categorias</vt:lpstr>
      <vt:lpstr>Output Data</vt:lpstr>
    </vt:vector>
  </TitlesOfParts>
  <LinksUpToDate>false</LinksUpToDate>
  <SharedDoc>false</SharedDoc>
  <HyperlinksChanged>false</HyperlinksChanged>
  <AppVersion>15.0300</AppVersion>
</Properties>
</file>

<file path=docProps/core.xml><?xml version="1.0" encoding="utf-8"?>
<coreProperties xmlns="http://schemas.openxmlformats.org/package/2006/metadata/core-properties" xmlns:cp="http://schemas.openxmlformats.org/package/2006/metadata/core-properties" xmlns:dc="http://purl.org/dc/elements/1.1/" xmlns:dcterms="http://purl.org/dc/terms/" xmlns:xsi="http://www.w3.org/2001/XMLSchema-instance">
  <dcterms:created xsi:type="dcterms:W3CDTF">2016-05-23T15:48:47Z</dcterms:created>
  <dc:creator>Martin Ferrari</dc:creator>
  <lastModifiedBy>Xavier Ignacio Gonzalez</lastModifiedBy>
  <lastPrinted>2016-06-06T12:20:12Z</lastPrinted>
  <dcterms:modified xsi:type="dcterms:W3CDTF">2016-07-22T16:40:51Z</dcterms:modified>
</coreProperties>
</file>